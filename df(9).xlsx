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Hoja 1" sheetId="2" r:id="rId5"/>
  </sheets>
  <definedNames>
    <definedName hidden="1" localSheetId="0" name="_xlnm._FilterDatabase">Sheet1!$A$1:$S$666</definedName>
  </definedNames>
  <calcPr/>
  <extLst>
    <ext uri="GoogleSheetsCustomDataVersion2">
      <go:sheetsCustomData xmlns:go="http://customooxmlschemas.google.com/" r:id="rId6" roundtripDataChecksum="MfdvIA/7oRfjBMgBD1ZY32p+xnuG/BArwTDg7NyyPyA="/>
    </ext>
  </extLst>
</workbook>
</file>

<file path=xl/sharedStrings.xml><?xml version="1.0" encoding="utf-8"?>
<sst xmlns="http://schemas.openxmlformats.org/spreadsheetml/2006/main" count="4959" uniqueCount="587">
  <si>
    <t>CATEGORIA_NETSUITE</t>
  </si>
  <si>
    <t>Concepto</t>
  </si>
  <si>
    <t>IS</t>
  </si>
  <si>
    <t>ÁREA</t>
  </si>
  <si>
    <t>ZONA PPTO</t>
  </si>
  <si>
    <t>EMPLEADO</t>
  </si>
  <si>
    <t>MONTO</t>
  </si>
  <si>
    <t>PERIODO</t>
  </si>
  <si>
    <t>AREA</t>
  </si>
  <si>
    <t>ZONA</t>
  </si>
  <si>
    <t>PCT_POND</t>
  </si>
  <si>
    <t>Cargos</t>
  </si>
  <si>
    <t>Fecha</t>
  </si>
  <si>
    <t>Tipo</t>
  </si>
  <si>
    <t>Número</t>
  </si>
  <si>
    <t>Clasf Efs</t>
  </si>
  <si>
    <t>ID SGN</t>
  </si>
  <si>
    <t>PUESTO</t>
  </si>
  <si>
    <t>PAGADORA</t>
  </si>
  <si>
    <t>Sueldos y salarios</t>
  </si>
  <si>
    <t>ACEVEDO LOPEZ GERMAIN</t>
  </si>
  <si>
    <t>COGS</t>
  </si>
  <si>
    <t>OPERACIONES</t>
  </si>
  <si>
    <t>CENTRO</t>
  </si>
  <si>
    <t>GERMAIN ACEVEDO LOPEZ</t>
  </si>
  <si>
    <t>ENERO</t>
  </si>
  <si>
    <t>MARZO</t>
  </si>
  <si>
    <t>FEBRERO</t>
  </si>
  <si>
    <t>ABRIL</t>
  </si>
  <si>
    <t>AGUILAR MORALES EMANUEL</t>
  </si>
  <si>
    <t>EMANUEL AGUILAR MORALES</t>
  </si>
  <si>
    <t>ALCANTARA SEGURA MIRIAM JOSEFINA</t>
  </si>
  <si>
    <t>GASTOS DE ADMINISTRACIÓN</t>
  </si>
  <si>
    <t xml:space="preserve"> TÉCNICO</t>
  </si>
  <si>
    <t>MIRIAM JOSEFINA ALCANTARA SEGURA</t>
  </si>
  <si>
    <t>ALMADA NOZATO DANNA PAOLA</t>
  </si>
  <si>
    <t>PEPSICO SE</t>
  </si>
  <si>
    <t>DANNA PAOLA ALMADA NOZATO</t>
  </si>
  <si>
    <t>ALMANZA GUZMAN FREDDY JESUS</t>
  </si>
  <si>
    <t>BRAND BUILDING</t>
  </si>
  <si>
    <t>FREDDY JESUS ALMANZA GUZMAN</t>
  </si>
  <si>
    <t>ALTAMIRANO DIAZ CIELO ANEL</t>
  </si>
  <si>
    <t>NOROESTE</t>
  </si>
  <si>
    <t>CIELO ANEL ALTAMIRANO DIAZ</t>
  </si>
  <si>
    <t>ALVAREZ CABRERA RODRIGO</t>
  </si>
  <si>
    <t>OCCIDENTE</t>
  </si>
  <si>
    <t>RODRIGO ALVAREZ CABRERA</t>
  </si>
  <si>
    <t>ALVAREZ CHAVEZ VICTOR MANUEL</t>
  </si>
  <si>
    <t>COMERCIAL</t>
  </si>
  <si>
    <t>VICTOR MANUEL ALVAREZ CHAVEZ</t>
  </si>
  <si>
    <t>AREVALO CERVANTES MIGUEL ANGEL</t>
  </si>
  <si>
    <t>MIGUEL ANGEL AREVALO CERVANTES</t>
  </si>
  <si>
    <t>ARRAZOLA SANTAELLA ALBERTO NICOLAS</t>
  </si>
  <si>
    <t>SURESTE</t>
  </si>
  <si>
    <t>ALBERTO NICOLAS ARRAZOLA SANTAELLA</t>
  </si>
  <si>
    <t>ARREOLA ALATRISTE ALEXANDRA ESTEPHANIA</t>
  </si>
  <si>
    <t>TÉCNICO</t>
  </si>
  <si>
    <t>ALEXANDRA ESTEPHANIA ARREOLA ALATRISTE</t>
  </si>
  <si>
    <t>ARVIZU ESTRADA ALBA MARIANA</t>
  </si>
  <si>
    <t>ALBA MARIANA ARVIZU ESTRADA</t>
  </si>
  <si>
    <t>BACA AGUIRRE ANTONIO</t>
  </si>
  <si>
    <t>ANTONIO BACA AGUIRRE</t>
  </si>
  <si>
    <t>BALTAZAR RODRIGUEZ SERGIO ALBERTO</t>
  </si>
  <si>
    <t>NORTE</t>
  </si>
  <si>
    <t>SERGIO ALBERTO BALTAZAR RODRIGUEZ</t>
  </si>
  <si>
    <t>BERNAL MONROY MARIA DEL PILAR JAZMINE</t>
  </si>
  <si>
    <t>MARIA DEL PILAR JAZMINE BERNAL MONROY</t>
  </si>
  <si>
    <t>FRANCISCO JAVIER BERRUETA GUTIERREZ</t>
  </si>
  <si>
    <t>OTROS Facturación / GASTOS</t>
  </si>
  <si>
    <t>SOCIOS</t>
  </si>
  <si>
    <t>JOSE DE JESUS RAMIREZ GONZALEZ</t>
  </si>
  <si>
    <t>LAE</t>
  </si>
  <si>
    <t>OTROS</t>
  </si>
  <si>
    <t>SUSANA RUTH GARCIA MARTINEZ</t>
  </si>
  <si>
    <t>DIEGO GUERRA GUTIERREZ</t>
  </si>
  <si>
    <t xml:space="preserve">JOSE CARLOS SAENZ FERNANDEZ </t>
  </si>
  <si>
    <t>NADIA YURIT ARAUJO ISLAS</t>
  </si>
  <si>
    <t>BERRUETA GONZALEZ FRANCISCO JAVIER</t>
  </si>
  <si>
    <t>PENDIENTE</t>
  </si>
  <si>
    <t>FRANCISCO JAVIER BERRUETA GONZALEZ</t>
  </si>
  <si>
    <t>BERRUETA GUTIERREZ SOFIA</t>
  </si>
  <si>
    <t>SOFIA BERRUETA GUTIERREZ</t>
  </si>
  <si>
    <t>BOCANEGRA MARTINEZ ELEAZAR</t>
  </si>
  <si>
    <t>ELEAZAR BOCANEGRA MARTINEZ</t>
  </si>
  <si>
    <t>BRAVO ZAPIAIN NATALIA</t>
  </si>
  <si>
    <t>NATALIA BRAVO ZAPIAIN</t>
  </si>
  <si>
    <t>CABRERA TERAN ARTURO</t>
  </si>
  <si>
    <t>ARTURO CABRERA TERAN</t>
  </si>
  <si>
    <t>CAMACHO MONCADA MARIA JOSE</t>
  </si>
  <si>
    <t>MARIA JOSE CAMACHO MONCADA</t>
  </si>
  <si>
    <t>CAMACHO NUÑO IVAN ANGEL</t>
  </si>
  <si>
    <t>IVAN ANGEL CAMACHO NUÑO</t>
  </si>
  <si>
    <t>CATARINO TENORIO GRISELDA</t>
  </si>
  <si>
    <t>PEPSICO OCC</t>
  </si>
  <si>
    <t>GRISELDA CATARINO TENORIO</t>
  </si>
  <si>
    <t>CERVANTES AGUILAR JENNIFER MICHELLE</t>
  </si>
  <si>
    <t>JENNIFER MICHELLE CERVANTES AGUILAR</t>
  </si>
  <si>
    <t>CORNEJO JIMENEZ MARLEN</t>
  </si>
  <si>
    <t>PEPSICO NAC.</t>
  </si>
  <si>
    <t>MARLEN CORNEJO JIMENEZ</t>
  </si>
  <si>
    <t>CRISOSTOMO ARENAS MARIA DE LOURDES</t>
  </si>
  <si>
    <t>MARIA DE LOURDES CRISOSTOMO ARENAS</t>
  </si>
  <si>
    <t>CRUZ GARCIA KELLY</t>
  </si>
  <si>
    <t>RH</t>
  </si>
  <si>
    <t>KELLY CRUZ GARCIA</t>
  </si>
  <si>
    <t>CRUZ RODRIGUEZ MARINA CRISTHEL</t>
  </si>
  <si>
    <t>MARINA CRISTHEL CRUZ RODRIGUEZ</t>
  </si>
  <si>
    <t>DE LA VEGA ALCALA BIANCA FRANCISCA</t>
  </si>
  <si>
    <t>VEGA ALCALA BIANCA FRANCISCA DE LA</t>
  </si>
  <si>
    <t>DE LOS SANTOS ALARCON GIOVANNI ALEXANDER</t>
  </si>
  <si>
    <t>SANTOS ALARCON GIOVANNI ALEXANDER DE LOS</t>
  </si>
  <si>
    <t>DIAZ GARCIA MARIA NARELI</t>
  </si>
  <si>
    <t>MARIA NARELI DIAZ GARCIA</t>
  </si>
  <si>
    <t>DOMINGUEZ CORTES ERICK ALAN</t>
  </si>
  <si>
    <t>ERICK ALAN DOMINGUEZ CORTES</t>
  </si>
  <si>
    <t>DOMINGUEZ LOPEZ IRACEMA</t>
  </si>
  <si>
    <t>IRACEMA DOMINGUEZ LOPEZ</t>
  </si>
  <si>
    <t>DUARTE RODRIGUEZ GINA ARLETTE</t>
  </si>
  <si>
    <t>DIRECTIVO</t>
  </si>
  <si>
    <t>GINA ARLETTE DUARTE RODRIGUEZ</t>
  </si>
  <si>
    <t>ESPINOSA MENDOZA NESTOR AXEL</t>
  </si>
  <si>
    <t>NESTOR AXEL ESPINOSA MENDOZA</t>
  </si>
  <si>
    <t>FERNANDEZ PEREZ CLEIVER JOSE</t>
  </si>
  <si>
    <t>CLEIVER JOSE FERNANDEZ PEREZ</t>
  </si>
  <si>
    <t>FERRUSCA MARTINEZ ELVIRA SARAHI</t>
  </si>
  <si>
    <t>ELVIRA SARAHI FERRUSCA MARTINEZ</t>
  </si>
  <si>
    <t>FRANCO AGUILAR MARIA FERNANDA</t>
  </si>
  <si>
    <t>MARIA FERNANDA FRANCO AGUILAR</t>
  </si>
  <si>
    <t>GALLARDO PADILLA EBER</t>
  </si>
  <si>
    <t>EBER GALLARDO PADILLA</t>
  </si>
  <si>
    <t>GARCIA CORTES BELLMAR ALONSO</t>
  </si>
  <si>
    <t>BELLMAR ALONSO GARCIA CORTES</t>
  </si>
  <si>
    <t>GARCIA GARCIA SADUI SHERLYN</t>
  </si>
  <si>
    <t>SADUI SHERLYN GARCIA GARCIA</t>
  </si>
  <si>
    <t>GARCIA MAR JOSE</t>
  </si>
  <si>
    <t>JOSE GARCIA MAR</t>
  </si>
  <si>
    <t>GARCIA VELAZQUEZ FIDEL</t>
  </si>
  <si>
    <t>FIDEL GARCIA VELAZQUEZ</t>
  </si>
  <si>
    <t>GOMEZ GUZMAN JOSE GUADALUPE</t>
  </si>
  <si>
    <t>JOSE GUADALUPE GOMEZ GUZMAN</t>
  </si>
  <si>
    <t>GONZALEZ BOTELLO ERIKA SARAI</t>
  </si>
  <si>
    <t>ERIKA SARAI GONZALEZ BOTELLO</t>
  </si>
  <si>
    <t>GONZALEZ FERNANDEZ AWDREY NAOMY</t>
  </si>
  <si>
    <t>PEPSICO NO</t>
  </si>
  <si>
    <t>AWDREY NAOMY GONZALEZ FERNANDEZ</t>
  </si>
  <si>
    <t>GONZALEZ GOMEZ SHANI MADAY</t>
  </si>
  <si>
    <t>SHANI MADAY GONZALEZ GOMEZ</t>
  </si>
  <si>
    <t>GONZALEZ GONZALEZ GERARDO IMMANUEL</t>
  </si>
  <si>
    <t>GERARDO IMMANUEL GONZALEZ GONZALEZ</t>
  </si>
  <si>
    <t>GONZALEZ JIMENEZ MARIA YAITI</t>
  </si>
  <si>
    <t>MARIA YAITI GONZALEZ JIMENEZ</t>
  </si>
  <si>
    <t>GUTIERREZ RIOS FERNANDO</t>
  </si>
  <si>
    <t>FERNANDO GUTIERREZ RIOS</t>
  </si>
  <si>
    <t>GUZMAN SILVA XIMENA</t>
  </si>
  <si>
    <t>XIMENA GUZMAN SILVA</t>
  </si>
  <si>
    <t>HERNANDEZ AGUILAR CIRO ALBERTO</t>
  </si>
  <si>
    <t>CIRO ALBERTO HERNANDEZ AGUILAR</t>
  </si>
  <si>
    <t>HERRERA GARCIA MARIA FERNANDA</t>
  </si>
  <si>
    <t>MARIA FERNANDA HERRERA GARCIA</t>
  </si>
  <si>
    <t>HIDALGO JIMENEZ IRIS SELENE</t>
  </si>
  <si>
    <t>IRIS SELENE HIDALGO JIMENEZ</t>
  </si>
  <si>
    <t>HIDALGO RODRIGUEZ JESUS EULALIO</t>
  </si>
  <si>
    <t>JESUS EULALIO HIDALGO RODRIGUEZ</t>
  </si>
  <si>
    <t>JIMENEZ LUCIO LUISA ALONDRA</t>
  </si>
  <si>
    <t>LUISA ALONDRA JIMENEZ LUCIO</t>
  </si>
  <si>
    <t>JUAREZ CAZAREZ ISAIAS MIGUEL</t>
  </si>
  <si>
    <t>CHOFER</t>
  </si>
  <si>
    <t>ISAIAS MIGUEL JUAREZ CAZAREZ</t>
  </si>
  <si>
    <t>JUAREZ QUEVEDO VICTOR HUGO</t>
  </si>
  <si>
    <t>VICTOR HUGO JUAREZ QUEVEDO</t>
  </si>
  <si>
    <t>LARA MARTINEZ BRENDA ALESSIA</t>
  </si>
  <si>
    <t>BRENDA ALESSIA LARA MARTINEZ</t>
  </si>
  <si>
    <t>LEDEZMA LONGORIA DANIKA</t>
  </si>
  <si>
    <t>DANIKA LEDEZMA LONGORIA</t>
  </si>
  <si>
    <t>LOPEZ LOPEZ LUIS DIEGO</t>
  </si>
  <si>
    <t>LUIS DIEGO LOPEZ LOPEZ</t>
  </si>
  <si>
    <t>LOPEZ MALDONADO AMAIRANI</t>
  </si>
  <si>
    <t>AMAIRANI LOPEZ MALDONADO</t>
  </si>
  <si>
    <t>LOPEZ MENDEZ IRAIDE SUSANA</t>
  </si>
  <si>
    <t>IRAIDE SUSANA LOPEZ MENDEZ</t>
  </si>
  <si>
    <t>LOPEZ MORALES EMMANUEL ALEJANDRO</t>
  </si>
  <si>
    <t>EMMANUEL ALEJANDRO LOPEZ MORALES</t>
  </si>
  <si>
    <t>LOPEZ PONCE CARMEN CECILIA</t>
  </si>
  <si>
    <t>CARMEN CECILIA LOPEZ PONCE</t>
  </si>
  <si>
    <t>LOZA CRUZ SERGIO IVAN</t>
  </si>
  <si>
    <t>SERGIO IVAN LOZA CRUZ</t>
  </si>
  <si>
    <t>LOZANO GONZALEZ MARIA GUADALUPE</t>
  </si>
  <si>
    <t>MARIA GUADALUPE LOZANO GONZALEZ</t>
  </si>
  <si>
    <t>MACIAS BERNACHE ESMERALDA GALILEA</t>
  </si>
  <si>
    <t>ESMERALDA GALILEA MACIAS BERNACHE</t>
  </si>
  <si>
    <t>MALAGON MORALES DIEGO JOSUE</t>
  </si>
  <si>
    <t>DIEGO JOSUE MALAGON MORALES</t>
  </si>
  <si>
    <t>MALAGON MORALES JUAN PABLO</t>
  </si>
  <si>
    <t>FINANZAS</t>
  </si>
  <si>
    <t>JUAN PABLO MALAGON MORALES</t>
  </si>
  <si>
    <t>MARQUEZ MENDOZA GABRIELA</t>
  </si>
  <si>
    <t>GABRIELA MARQUEZ MENDOZA</t>
  </si>
  <si>
    <t>MARTINEZ HERRERA MARIA MAGDALENA</t>
  </si>
  <si>
    <t>BRAND BUILDING (ENFERMERÍA)</t>
  </si>
  <si>
    <t>MARIA MAGDALENA MARTINEZ HERRERA</t>
  </si>
  <si>
    <t>MARTINEZ RANGEL AMERICA GUADALUPE</t>
  </si>
  <si>
    <t>AMERICA GUADALUPE MARTINEZ RANGEL</t>
  </si>
  <si>
    <t>MARTINEZ SANCHEZ LUIS EDUARDO</t>
  </si>
  <si>
    <t>LUIS EDUARDO MARTINEZ SANCHEZ</t>
  </si>
  <si>
    <t>MARTINEZ TORRES SAMUEL</t>
  </si>
  <si>
    <t>SAMUEL MARTINEZ TORRES</t>
  </si>
  <si>
    <t>MATUS GARCIA REPPER JUAN LUIS</t>
  </si>
  <si>
    <t>REPPER JUAN LUIS MATUS GARCIA</t>
  </si>
  <si>
    <t>MEDINA PORTILLO OMAR YAEL</t>
  </si>
  <si>
    <t>OMAR YAEL MEDINA PORTILLO</t>
  </si>
  <si>
    <t>MENDIZABAL VAZQUEZ SERGIO</t>
  </si>
  <si>
    <t>SERGIO MENDIZABAL VAZQUEZ</t>
  </si>
  <si>
    <t>MENDOZA ALARCON NUR</t>
  </si>
  <si>
    <t>NUR MENDOZA ALARCON</t>
  </si>
  <si>
    <t>MENDOZA RIVERA MELISA</t>
  </si>
  <si>
    <t>MELISA MENDOZA RIVERA</t>
  </si>
  <si>
    <t>MIRELES ORNELAS JORGE</t>
  </si>
  <si>
    <t>JORGE MIRELES ORNELAS</t>
  </si>
  <si>
    <t>MONTES MENDEZ FRANCIA</t>
  </si>
  <si>
    <t>FRANCIA MONTES MENDEZ</t>
  </si>
  <si>
    <t>MORALES ROMERO ALEJANDRO</t>
  </si>
  <si>
    <t>ALEJANDRO MORALES ROMERO</t>
  </si>
  <si>
    <t>MORALES VAZQUEZ RICARDO</t>
  </si>
  <si>
    <t>RICARDO MORALES VAZQUEZ</t>
  </si>
  <si>
    <t>MORENO CAMPOS ARMANDO</t>
  </si>
  <si>
    <t>ARMANDO MORENO CAMPOS</t>
  </si>
  <si>
    <t>MORENO CATARINO VICTOR URIEL</t>
  </si>
  <si>
    <t>VICTOR URIEL MORENO CATARINO</t>
  </si>
  <si>
    <t>MORFIN RODRIGUEZ MARIO FRANCISCO</t>
  </si>
  <si>
    <t>MARIO FRANCISCO MORFIN RODRIGUEZ</t>
  </si>
  <si>
    <t>MUI DAZA DAVID ALEJANDRO</t>
  </si>
  <si>
    <t>DAVID ALEJANDRO MUI DAZA</t>
  </si>
  <si>
    <t>MURILLO PINEDA AURELIO</t>
  </si>
  <si>
    <t>AURELIO MURILLO PINEDA</t>
  </si>
  <si>
    <t>MURO JIMENEZ GERARDO AUGUSTO</t>
  </si>
  <si>
    <t>GERARDO AUGUSTO MURO JIMENEZ</t>
  </si>
  <si>
    <t>ANDRES ROCHA GARCIA</t>
  </si>
  <si>
    <t>NAVARRO ROMERO ARTURO</t>
  </si>
  <si>
    <t>ARTURO NAVARRO ROMERO</t>
  </si>
  <si>
    <t>RUBEN GARCIA  TELLEZ</t>
  </si>
  <si>
    <t>MARCO ANTONIO CANDELA  ARELLANO</t>
  </si>
  <si>
    <t>JORGE ALEJANDRO SOLANO CALDERON</t>
  </si>
  <si>
    <t>JOEL ESAU RODRIGUEZ AGUILERA</t>
  </si>
  <si>
    <t>OBREGON JIMENEZ JORGE LUIS</t>
  </si>
  <si>
    <t>JORGE LUIS OBREGON JIMENEZ</t>
  </si>
  <si>
    <t>OCAMPO GUTIERREZ MAGDIEL ISRAEL</t>
  </si>
  <si>
    <t>MAGDIEL ISRAEL OCAMPO GUTIERREZ</t>
  </si>
  <si>
    <t>OCHOA BARRIENTOS KHIABETT IXCEL</t>
  </si>
  <si>
    <t>KHIABETT IXCEL OCHOA BARRIENTOS</t>
  </si>
  <si>
    <t>OLVERA PARDO JESUS MANUEL</t>
  </si>
  <si>
    <t>JESUS MANUEL OLVERA PARDO</t>
  </si>
  <si>
    <t>ORTIZ CAMACHO BRENDA MONTSERRATH</t>
  </si>
  <si>
    <t>BRENDA MONTSERRATH ORTIZ CAMACHO</t>
  </si>
  <si>
    <t>ORTIZ MILLA KAREN ITZEL</t>
  </si>
  <si>
    <t>KAREN ITZEL ORTIZ MILLA</t>
  </si>
  <si>
    <t>ORTIZ PEÑA IVAN JOEL</t>
  </si>
  <si>
    <t>IVAN JOEL ORTIZ PEÑA</t>
  </si>
  <si>
    <t>PALETA CALDERON GERARDO DANIEL</t>
  </si>
  <si>
    <t>GERARDO DANIEL PALETA CALDERON</t>
  </si>
  <si>
    <t>PATLAN MENDOZA JANILU</t>
  </si>
  <si>
    <t>JANILU PATLAN MENDOZA</t>
  </si>
  <si>
    <t>PENICHE MUÑOZ ROMAN RAMON</t>
  </si>
  <si>
    <t>ROMAN RAMON PENICHE MUÑOZ</t>
  </si>
  <si>
    <t>PEREZ LOPEZ LUIS GUSTAVO</t>
  </si>
  <si>
    <t>LUIS GUSTAVO PEREZ LOPEZ</t>
  </si>
  <si>
    <t>PEREZ NOLASCO FLOR YASMIN</t>
  </si>
  <si>
    <t>FLOR YASMIN PEREZ NOLASCO</t>
  </si>
  <si>
    <t>PEREZ VASQUEZ BRICIA GUADALUPE</t>
  </si>
  <si>
    <t>BRICIA GUADALUPE PEREZ VASQUEZ</t>
  </si>
  <si>
    <t>PEÑA RANGEL YAMILET NAOMI</t>
  </si>
  <si>
    <t>YAMILET NAOMI PEÑA RANGEL</t>
  </si>
  <si>
    <t>RAMIREZ GONZALEZ NAYELI DEL CARMEN</t>
  </si>
  <si>
    <t>NAYELI DEL CARMEN RAMIREZ GONZALEZ</t>
  </si>
  <si>
    <t>RANGEL SANCHEZ OMAR ANGEL</t>
  </si>
  <si>
    <t>OMAR ANGEL RANGEL SANCHEZ</t>
  </si>
  <si>
    <t>RESENDIZ LAGUNA VIOLETA GUADALUPE</t>
  </si>
  <si>
    <t>VIOLETA GUADALUPE RESENDIZ LAGUNA</t>
  </si>
  <si>
    <t>RETANA OLVERA ARTURO</t>
  </si>
  <si>
    <t>ARTURO RETANA OLVERA</t>
  </si>
  <si>
    <t>GONZALEZ HERNANDEZ MAGRO DIANA</t>
  </si>
  <si>
    <t>REYES GALEANA DANNA FABIOLA</t>
  </si>
  <si>
    <t>DANNA FABIOLA REYES GALEANA</t>
  </si>
  <si>
    <t>REYES OLGUIN MARIA FERNANDA</t>
  </si>
  <si>
    <t>MARIA FERNANDA REYES OLGUIN</t>
  </si>
  <si>
    <t>RIOS CHAVARO LUZ ELIZABETH</t>
  </si>
  <si>
    <t>LUZ ELIZABETH RIOS CHAVARO</t>
  </si>
  <si>
    <t>RIVAS NIETO EDGAR NICOLAS</t>
  </si>
  <si>
    <t>EDGAR NICOLAS RIVAS NIETO</t>
  </si>
  <si>
    <t>RIVERA CERON MOISES</t>
  </si>
  <si>
    <t>MOISES RIVERA CERON</t>
  </si>
  <si>
    <t>RIVERA PINEDA LUIS ANGEL</t>
  </si>
  <si>
    <t>LUIS ANGEL RIVERA PINEDA</t>
  </si>
  <si>
    <t>ROBLES ROSALES ERNESTO DANIEL</t>
  </si>
  <si>
    <t>ERNESTO DANIEL ROBLES ROSALES</t>
  </si>
  <si>
    <t>RODRIGUEZ CARRASCO ALEXIS ALAN</t>
  </si>
  <si>
    <t>CORPORATIVO</t>
  </si>
  <si>
    <t>ALEXIS ALAN RODRIGUEZ CARRASCO</t>
  </si>
  <si>
    <t>RODRIGUEZ DOMINGUEZ MONSERRAT</t>
  </si>
  <si>
    <t>MONSERRAT RODRIGUEZ DOMINGUEZ</t>
  </si>
  <si>
    <t>RODRIGUEZ DURAN ROSA YOLANDA</t>
  </si>
  <si>
    <t>ROSA YOLANDA RODRIGUEZ DURAN</t>
  </si>
  <si>
    <t>RODRIGUEZ OLVERA EDUARDO</t>
  </si>
  <si>
    <t>EDUARDO RODRIGUEZ OLVERA</t>
  </si>
  <si>
    <t>ROJAS GERARDO LUIS ENRIQUE</t>
  </si>
  <si>
    <t>LUIS ENRIQUE ROJAS GERARDO</t>
  </si>
  <si>
    <t>ROJAS VIGIL ELSA</t>
  </si>
  <si>
    <t>ELSA ROJAS VIGIL</t>
  </si>
  <si>
    <t>ROMERO OLMOS CARLOS MANUEL</t>
  </si>
  <si>
    <t>CARLOS MANUEL ROMERO OLMOS</t>
  </si>
  <si>
    <t>ROMERO RIZO LUIS ENRIQUE</t>
  </si>
  <si>
    <t>LUIS ENRIQUE ROMERO RIZO</t>
  </si>
  <si>
    <t>ROMERO SANCHEZ JUAN MIGUEL</t>
  </si>
  <si>
    <t>JUAN MIGUEL ROMERO SANCHEZ</t>
  </si>
  <si>
    <t>RUBIO TORRES VALERIA</t>
  </si>
  <si>
    <t>VALERIA RUBIO TORRES</t>
  </si>
  <si>
    <t>RUMBO PELAEZ FRANCISCO GABRIEL</t>
  </si>
  <si>
    <t>FRANCISCO GABRIEL RUMBO PELAEZ</t>
  </si>
  <si>
    <t>SALCIDO SOTO CINTHYA FERNANDA</t>
  </si>
  <si>
    <t>CINTHYA FERNANDA SALCIDO SOTO</t>
  </si>
  <si>
    <t>SALDAÑA TAMARIZ YOLANDA GUADALUPE</t>
  </si>
  <si>
    <t>YOLANDA GUADALUPE SALDAÑA TAMARIZ</t>
  </si>
  <si>
    <t>SANCHEZ ALEJANDRO MARIA DEL CARMEN</t>
  </si>
  <si>
    <t>MARIA DEL CARMEN SANCHEZ ALEJANDRO</t>
  </si>
  <si>
    <t>SANCHEZ GOMEZ LUIS ENRIQUE</t>
  </si>
  <si>
    <t>LUIS ENRIQUE SANCHEZ GOMEZ</t>
  </si>
  <si>
    <t>SANCHEZ PALLARES ERNESTO</t>
  </si>
  <si>
    <t>ERNESTO SANCHEZ PALLARES</t>
  </si>
  <si>
    <t>SANCHEZ PALLARES ERNESTO </t>
  </si>
  <si>
    <t>SERNA REYES MARIA FERNANDA</t>
  </si>
  <si>
    <t>MARIA FERNANDA SERNA REYES</t>
  </si>
  <si>
    <t>TEPEC TECORRAL JUAN CARLOS</t>
  </si>
  <si>
    <t>JUAN CARLOS TEPEC TECORRAL</t>
  </si>
  <si>
    <t>TRISTAN PORRAS BRENDA LILIANA</t>
  </si>
  <si>
    <t>BRENDA LILIANA TRISTAN PORRAS</t>
  </si>
  <si>
    <t>VACA RODRIGUEZ JESÚS ANTONIO</t>
  </si>
  <si>
    <t>JESÚS ANTONIO VACA RODRIGUEZ</t>
  </si>
  <si>
    <t>VALENZUELA CORRAL MIGUEL ABRAHAM</t>
  </si>
  <si>
    <t>MIGUEL ABRAHAM VALENZUELA CORRAL</t>
  </si>
  <si>
    <t>VALENZUELA PINEDA SURI ZADAY</t>
  </si>
  <si>
    <t>SURI ZADAY VALENZUELA PINEDA</t>
  </si>
  <si>
    <t>VASQUEZ JIMENEZ LUIS JOAQUIN</t>
  </si>
  <si>
    <t>LUIS JOAQUIN VASQUEZ JIMENEZ</t>
  </si>
  <si>
    <t>VAZQUEZ MALDONADO ANA KARLA</t>
  </si>
  <si>
    <t>ANA KARLA VAZQUEZ MALDONADO</t>
  </si>
  <si>
    <t>VIDAL CAMBERO EDGARDO RAMIRO</t>
  </si>
  <si>
    <t>EDGARDO RAMIRO VIDAL CAMBERO</t>
  </si>
  <si>
    <t>VILLEDA OLVERA GIOVANA LIZETH</t>
  </si>
  <si>
    <t>GIOVANA LIZETH VILLEDA OLVERA</t>
  </si>
  <si>
    <t>VILLEGAS BOLAÑOS MARIANA GUADALUPE</t>
  </si>
  <si>
    <t>MARIANA GUADALUPE VILLEGAS BOLAÑOS</t>
  </si>
  <si>
    <t>YAÑEZ HERNANDEZ ANGELICA YANETH</t>
  </si>
  <si>
    <t>ANGELICA YANETH YAÑEZ HERNANDEZ</t>
  </si>
  <si>
    <t>ZAVALA LOPEZ VICTOR MANUEL</t>
  </si>
  <si>
    <t>VICTOR MANUEL ZAVALA LOPEZ</t>
  </si>
  <si>
    <t>ZAVALA MUNGUIA NICKO HIAFED</t>
  </si>
  <si>
    <t>NICKO HIAFED ZAVALA MUNGUIA</t>
  </si>
  <si>
    <t>Viaticos y gastos de viaje</t>
  </si>
  <si>
    <t>Arturo Retana</t>
  </si>
  <si>
    <t>Depreciacion de equipo de computo</t>
  </si>
  <si>
    <t>DEPRECIACIONES</t>
  </si>
  <si>
    <t>01/Ene/2026</t>
  </si>
  <si>
    <t>Diario</t>
  </si>
  <si>
    <t>Depreciación de equipo de cómputo</t>
  </si>
  <si>
    <t>Cuotas al IMSS</t>
  </si>
  <si>
    <t>PROVISION IMSS ENERO 2026</t>
  </si>
  <si>
    <t>Honorarios a personas fis residentes nal</t>
  </si>
  <si>
    <t>CAMSA SOLUCIONES FISCALES</t>
  </si>
  <si>
    <t>Servicios administrativos</t>
  </si>
  <si>
    <t>Otros gastos generales</t>
  </si>
  <si>
    <t>CORPORATIVO AQUA QUERETARO</t>
  </si>
  <si>
    <t>Propaganda y publicidad</t>
  </si>
  <si>
    <t>CREATIVOS POR NATURALEZA</t>
  </si>
  <si>
    <t>Cuotas y suscripciones</t>
  </si>
  <si>
    <t>RODRIGO FERNANDO ROLDAN MORALES</t>
  </si>
  <si>
    <t>Capacitaciones</t>
  </si>
  <si>
    <t>SAMUEL HERRERA RAMIREZ</t>
  </si>
  <si>
    <t>Arrendamiento a pers fisicas residtes nal</t>
  </si>
  <si>
    <t>ANGEL OROSCO ANGELES</t>
  </si>
  <si>
    <t>Arrendamiento a pers físicas residtes nal</t>
  </si>
  <si>
    <t>ACTIVE LEASING</t>
  </si>
  <si>
    <t>Arrendamiento a pers morales residtes nal</t>
  </si>
  <si>
    <t>ARRENDADORA HMS</t>
  </si>
  <si>
    <t>BEPENSA LEASING</t>
  </si>
  <si>
    <t>DELL LEASING MEXICO</t>
  </si>
  <si>
    <t>EXI TECNOLOGIAS DE LA INFORMACION</t>
  </si>
  <si>
    <t>Arrendamiento a personas fisicas resid nal</t>
  </si>
  <si>
    <t>FELIPE DE JESUS ORGANISTA ZAVALA</t>
  </si>
  <si>
    <t>FLEET CAR COMPANY MX</t>
  </si>
  <si>
    <t>GUILLERMO ALBERTO MENDEZ ROMERO</t>
  </si>
  <si>
    <t>PS GRAPH</t>
  </si>
  <si>
    <t>Arrendamiento Automotriz</t>
  </si>
  <si>
    <t>VOLKSWAGEN</t>
  </si>
  <si>
    <t>Combustibles y lubricantes</t>
  </si>
  <si>
    <t>COMBUSTIBLES</t>
  </si>
  <si>
    <t>Luz Rios</t>
  </si>
  <si>
    <t>SIN CLASIFICAR</t>
  </si>
  <si>
    <t>LOC BOX</t>
  </si>
  <si>
    <t>Casetas y estacionamientos</t>
  </si>
  <si>
    <t>SUR</t>
  </si>
  <si>
    <t>REGISTROS</t>
  </si>
  <si>
    <t>DIPA</t>
  </si>
  <si>
    <t>RESCUE 24 ASISTENCIA VIAL INTELIGENTE</t>
  </si>
  <si>
    <t>Viáticos uber/taxi</t>
  </si>
  <si>
    <t>Telefono, internet</t>
  </si>
  <si>
    <t>LANTOINTERNET</t>
  </si>
  <si>
    <t>Teléfono, internet</t>
  </si>
  <si>
    <t>NOVABOX</t>
  </si>
  <si>
    <t>RADIOMOVIL DIPSA</t>
  </si>
  <si>
    <t>TELEFONOS DE MEXICO</t>
  </si>
  <si>
    <t>TOTAL BOX</t>
  </si>
  <si>
    <t>TOTAL PLAY</t>
  </si>
  <si>
    <t>MAGALI DESIREL RIOS NAVARRO</t>
  </si>
  <si>
    <t>Agua</t>
  </si>
  <si>
    <t>VIANEY MADERO CUADRAS</t>
  </si>
  <si>
    <t>DAVID ULISES MIGUEL SANCHEZ OLIVARES</t>
  </si>
  <si>
    <t>Limpieza</t>
  </si>
  <si>
    <t>LUIS ALBERTO GONZALEZ GALINDO</t>
  </si>
  <si>
    <t>Mantenimiento y conservacion</t>
  </si>
  <si>
    <t>PAPELERIA</t>
  </si>
  <si>
    <t>Papeleria y articulos de oficina</t>
  </si>
  <si>
    <t>ZAPOPAN ESCOLAR</t>
  </si>
  <si>
    <t>Papelería y artículos de oficina</t>
  </si>
  <si>
    <t>WILCON INGENIERIA Y DIBUJO</t>
  </si>
  <si>
    <t>ABASTECEDORA DE OFICINAS</t>
  </si>
  <si>
    <t>MANTENIMIENTO</t>
  </si>
  <si>
    <t>"U-EXPERT OPERACIONES"</t>
  </si>
  <si>
    <t>Mantenimiento y conservación</t>
  </si>
  <si>
    <t>CAR ONE GONZALITOS</t>
  </si>
  <si>
    <t>CASA MARCUS</t>
  </si>
  <si>
    <t>GRUMINER</t>
  </si>
  <si>
    <t>Asistencia Legal</t>
  </si>
  <si>
    <t>SEGUROS BANORTE</t>
  </si>
  <si>
    <t>Seguros y fianzas</t>
  </si>
  <si>
    <t>02/Ene/2026</t>
  </si>
  <si>
    <t>Egresos</t>
  </si>
  <si>
    <t>SEGUROS Y FIANZAS</t>
  </si>
  <si>
    <t>13/Ene/2026</t>
  </si>
  <si>
    <t>CUOTAS Y SUSCRIPCIONES</t>
  </si>
  <si>
    <t>27/Ene/2026</t>
  </si>
  <si>
    <t>EDGAR ALONSO AGUILAR NEGRETE</t>
  </si>
  <si>
    <t>IMR SOFTWARE</t>
  </si>
  <si>
    <t>ONLINE CARRER CENTER MEXICO</t>
  </si>
  <si>
    <t>GOOGLE MX</t>
  </si>
  <si>
    <t>JESUS ALEJANDRO GALLARZA ORTEGA</t>
  </si>
  <si>
    <t>PAGO INTERESES XEPELIN</t>
  </si>
  <si>
    <t xml:space="preserve"> OTROS Facturación / GASTOS</t>
  </si>
  <si>
    <t>OTROS EGRESOS FINAN</t>
  </si>
  <si>
    <t>INVOICE</t>
  </si>
  <si>
    <t>16/Ene/2026</t>
  </si>
  <si>
    <t>22/Ene/2026</t>
  </si>
  <si>
    <t>23/Ene/2026</t>
  </si>
  <si>
    <t>BBVAUSD</t>
  </si>
  <si>
    <t>BBVAUSD ARIBA</t>
  </si>
  <si>
    <t>29/Ene/2026</t>
  </si>
  <si>
    <t>Transportación terrestre</t>
  </si>
  <si>
    <t>MARIA SONIA RODRIGUEZ GONZALEZ</t>
  </si>
  <si>
    <t>UNIFORMES</t>
  </si>
  <si>
    <t>Fletes y acarreos</t>
  </si>
  <si>
    <t>Uniformes</t>
  </si>
  <si>
    <t>ALBERTO SANCHEZ BENAVIDES</t>
  </si>
  <si>
    <t>Insumos para control de incendios</t>
  </si>
  <si>
    <t>SEGURIDAD TECNICA MAT</t>
  </si>
  <si>
    <t>INTERESES 9651320420</t>
  </si>
  <si>
    <t>05/Ene/2026</t>
  </si>
  <si>
    <t>GASTOS NO DEDUCIBLES</t>
  </si>
  <si>
    <t>VOLKSWAGEN LEASING</t>
  </si>
  <si>
    <t>07/Ene/2026</t>
  </si>
  <si>
    <t>ND</t>
  </si>
  <si>
    <t>Gastos no deducibles</t>
  </si>
  <si>
    <t>OTROS INGRESOS / GASTOS</t>
  </si>
  <si>
    <t>14/Ene/2026</t>
  </si>
  <si>
    <t>BBVAUSD ND</t>
  </si>
  <si>
    <t>DHL EXPRESS MEXICO</t>
  </si>
  <si>
    <t>30/Ene/2026</t>
  </si>
  <si>
    <t>Mensajería</t>
  </si>
  <si>
    <t>DISEÑO EDIFICACION Y ASESORIA CIVIL</t>
  </si>
  <si>
    <t>Dictamenes</t>
  </si>
  <si>
    <t>DISTRIBUIDORA PENINSULUX</t>
  </si>
  <si>
    <t>GOBIERNO DEL ESTADO DE MEXICO</t>
  </si>
  <si>
    <t>Registros Gubernamentales</t>
  </si>
  <si>
    <t>GUILLERMO FRANCISCO ARREOLA OLIVEROS</t>
  </si>
  <si>
    <t>Gestoría</t>
  </si>
  <si>
    <t>INOX, DISEÑO ARQUITECTONICO</t>
  </si>
  <si>
    <t>INSTITUTO ESTATAL DE PROTECCION CIVIL DE SINALOA</t>
  </si>
  <si>
    <t>JOSE LUIS JACINTO DE LA TORRE</t>
  </si>
  <si>
    <t>LUIS JAIME PARTIDA HERRERA</t>
  </si>
  <si>
    <t>MANUEL ARTURO DIAZ CARDIEL</t>
  </si>
  <si>
    <t>MARCELA PADRON BARRERA</t>
  </si>
  <si>
    <t>MERCEDES ROSIQUE RIVERA</t>
  </si>
  <si>
    <t>MUNICIPIO DE LEON</t>
  </si>
  <si>
    <t>Otros impuestos y derechos</t>
  </si>
  <si>
    <t>ROBERTO DANIEL GUERRA PALOS</t>
  </si>
  <si>
    <t>VERTICE CONSULTORIA EN PROTECCION CIVIL</t>
  </si>
  <si>
    <t>LUIS RAMON FOSADO AGUIRRE</t>
  </si>
  <si>
    <t>OMAR BENJAMIN HERNANDEZ AGUILAR</t>
  </si>
  <si>
    <t>VICTOR HUGO MANRIQUEZ MONTES</t>
  </si>
  <si>
    <t>INSUMOS MEDICOS</t>
  </si>
  <si>
    <t>Insumos para cursos</t>
  </si>
  <si>
    <t>BRENDA MORAN MARQUEZ</t>
  </si>
  <si>
    <t>SELH CONSULTORIA</t>
  </si>
  <si>
    <t>SASIT CORPORATION</t>
  </si>
  <si>
    <t>ADMINISTRACION N23</t>
  </si>
  <si>
    <t>SERVICIOS MEDIDUS</t>
  </si>
  <si>
    <t>E-NGENIUM INFRAESTRUCTURA</t>
  </si>
  <si>
    <t>__EXCLUIR__</t>
  </si>
  <si>
    <t>REVERSAS INGRESOS</t>
  </si>
  <si>
    <t>31/Ene/2026</t>
  </si>
  <si>
    <t>Diseño digital</t>
  </si>
  <si>
    <t>REGISTROS GUBERNAMENTALES</t>
  </si>
  <si>
    <t>MULTICATEGORIA</t>
  </si>
  <si>
    <t>Depreciación de maquinaria y equipo</t>
  </si>
  <si>
    <t>Depr de autom, autob, camiones, tractoc</t>
  </si>
  <si>
    <t>Depreciacion de mobiliario y eq de ofic</t>
  </si>
  <si>
    <t>Depreciación de mobiliario y eq de ofic</t>
  </si>
  <si>
    <t>Efraín Valencia</t>
  </si>
  <si>
    <t>Amortizacion acumulada de Software</t>
  </si>
  <si>
    <t>AMORTIZACION</t>
  </si>
  <si>
    <t>MONDAY</t>
  </si>
  <si>
    <t>NETSUITE</t>
  </si>
  <si>
    <t>Intereses a cargo bancario nacional</t>
  </si>
  <si>
    <t>Perdida cambiaria</t>
  </si>
  <si>
    <t>VALUACION CAMBIARIA</t>
  </si>
  <si>
    <t>Pérdida cambiaria</t>
  </si>
  <si>
    <t>Depreciacion de otros activos fijos</t>
  </si>
  <si>
    <t>Depreciación de otros activos fijos</t>
  </si>
  <si>
    <t>Depreciación de instalación</t>
  </si>
  <si>
    <t>COMPRAS</t>
  </si>
  <si>
    <t>Miguel Juarez</t>
  </si>
  <si>
    <t>Iraide Lopez</t>
  </si>
  <si>
    <t>Alan Dominguez</t>
  </si>
  <si>
    <t>EMYCA</t>
  </si>
  <si>
    <t>Comisiones bancarias</t>
  </si>
  <si>
    <t>BBVA MEXICO</t>
  </si>
  <si>
    <t>Comisiones Bancarias</t>
  </si>
  <si>
    <t>COMISIONES BANCARIAS BBVA USD</t>
  </si>
  <si>
    <t>PAGO TC CLARA</t>
  </si>
  <si>
    <t>AFIRME</t>
  </si>
  <si>
    <t>COMISIONES BANCARIAS INBURSA</t>
  </si>
  <si>
    <t>COMISIONES BANCARIAS SCOTIABANK</t>
  </si>
  <si>
    <t>EFECTIVALE</t>
  </si>
  <si>
    <t>Comisiones Efectivale</t>
  </si>
  <si>
    <t>VENTAS</t>
  </si>
  <si>
    <t>Sofia Berrueta</t>
  </si>
  <si>
    <t>Tarjeta clara black</t>
  </si>
  <si>
    <t>Nicko Zavala</t>
  </si>
  <si>
    <t>PAGO DE INTERESES 88059964-089590332</t>
  </si>
  <si>
    <t>1 de Enero del 2026 al 15 de Enero del 2026 Fecha de Pago : 15 de Enero del 2026</t>
  </si>
  <si>
    <t>16 de Enero del 2026 al 31 de Enero del 2026 Fecha de Pago : 31 de Enero del 2026</t>
  </si>
  <si>
    <t>Empleado</t>
  </si>
  <si>
    <t>Sueldo neto</t>
  </si>
  <si>
    <t>Area</t>
  </si>
  <si>
    <t>Otros</t>
  </si>
  <si>
    <t>Aperaciones</t>
  </si>
  <si>
    <t>Otros - LAE</t>
  </si>
  <si>
    <t>Direccion</t>
  </si>
  <si>
    <t xml:space="preserve">ALEJANDRO MORALES ROMERO </t>
  </si>
  <si>
    <t>Tecnico</t>
  </si>
  <si>
    <t>GINA  ARLETTE DUARTE RODRIGUEZ</t>
  </si>
  <si>
    <t>Admon</t>
  </si>
  <si>
    <t>Operaciones</t>
  </si>
  <si>
    <t>1 de Febrero del 2026 al 15 de Febrero del 2026 Fecha de Pago : 13 de febrero del 2026</t>
  </si>
  <si>
    <t>16 de Febrero del 2026 al 28 de Febrero del 2026 Fecha de Pago : 27 de Febrero del 2026</t>
  </si>
  <si>
    <t>-EDGARDO RAMIRO VIDAL CAMBERO</t>
  </si>
  <si>
    <t xml:space="preserve">-GERMAIN ACEVEDO LOPEZ </t>
  </si>
  <si>
    <t>-ALBA AMARIANA ARVIZU</t>
  </si>
  <si>
    <t>-NESTOR AXEL ESPINOSA MENDOZA</t>
  </si>
  <si>
    <t>-MARIANA GUADALUPE VILLEGAS BOLAÑO</t>
  </si>
  <si>
    <t>-IRIS SELENE HIDALGO JIMENEZ</t>
  </si>
  <si>
    <t>-EBER GALLARDO PADILLA</t>
  </si>
  <si>
    <t xml:space="preserve">-OMAR ANGEL RANGEL  SANCHEZ </t>
  </si>
  <si>
    <t xml:space="preserve"> 1 de Marzo del 2026 al 15 de Marzo del 2026 Fecha de Pago : 13 de Marzo del 2026</t>
  </si>
  <si>
    <t>CINTHYA FERNANDA SALCIDO  SOTO</t>
  </si>
  <si>
    <t xml:space="preserve"> JOSE GUADALUPE GOMEZ GUZMAN </t>
  </si>
  <si>
    <t>FIDEL GARCIA  VELAZQUEZ</t>
  </si>
  <si>
    <t xml:space="preserve">LUIS JOAQUIN VASQUEZ JIMENEZ </t>
  </si>
  <si>
    <t>JUAN LUIS  MATUS GARCIA REPPER</t>
  </si>
  <si>
    <t>IRAIDE SUSANA  LOPEZ MENDEZ</t>
  </si>
  <si>
    <t xml:space="preserve">XIMENA GUZMAN SILVA </t>
  </si>
  <si>
    <t xml:space="preserve">EDGAR NICOLAS RIVAS  NIETO </t>
  </si>
  <si>
    <t>GIOVANA LIZETH  VILLEDA OLVERA</t>
  </si>
  <si>
    <t xml:space="preserve">SADUI SHERLYN GARCIA GARCIA </t>
  </si>
  <si>
    <t xml:space="preserve">MAGDIEL ISRAEL OCAMPO GUTIERREZ </t>
  </si>
  <si>
    <t>JESUS ANTONIO VACA RODRIGUEZ</t>
  </si>
  <si>
    <t xml:space="preserve"> BRENDA ALESSIA LARA MARTINEZ </t>
  </si>
  <si>
    <t xml:space="preserve">DAVID ALEJANDRO MUI DAZA </t>
  </si>
  <si>
    <t>1 de Abril del 2026 al 15 de Abril del 2026 Fecha de Pago : 16 de Abril del 2026</t>
  </si>
  <si>
    <t>16 de Abril del 2026 al 30 de Abril del 2026 Fecha de Pago : 30 de Abril del 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</si>
</sst>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$]#,##0.00"/>
    <numFmt numFmtId="165" formatCode="&quot;$&quot;#,##0.00"/>
    <numFmt numFmtId="166" formatCode="dd/mmm/yyyy"/>
  </numFmts>
  <fonts count="15">
    <font>
      <sz val="11.0"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sz val="8.0"/>
      <color rgb="FFFFFFFF"/>
      <name val="Sora"/>
    </font>
    <font>
      <sz val="11.0"/>
      <color theme="1"/>
      <name val="Calibri"/>
    </font>
    <font>
      <b/>
      <sz val="12.0"/>
      <color rgb="FF00CCFF"/>
      <name val="Arial"/>
    </font>
    <font>
      <b/>
      <sz val="12.0"/>
      <color rgb="FF00CCFF"/>
      <name val="Calibri"/>
    </font>
    <font>
      <color rgb="FF434343"/>
      <name val="Roboto"/>
    </font>
    <font>
      <b/>
      <sz val="8.0"/>
      <color theme="1"/>
      <name val="Sora"/>
    </font>
    <font>
      <color rgb="FF434343"/>
      <name val="Verdana"/>
    </font>
    <font>
      <color theme="1"/>
      <name val="Verdana"/>
    </font>
    <font>
      <sz val="11.0"/>
      <color rgb="FF434343"/>
      <name val="Roboto"/>
    </font>
    <font>
      <b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2C3E50"/>
        <bgColor rgb="FF2C3E50"/>
      </patternFill>
    </fill>
    <fill>
      <patternFill patternType="solid">
        <fgColor rgb="FFFFFF00"/>
        <bgColor rgb="FFFFFF00"/>
      </patternFill>
    </fill>
    <fill>
      <patternFill patternType="solid">
        <fgColor rgb="FF999999"/>
        <bgColor rgb="FF999999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C3E50"/>
      </left>
      <right style="thin">
        <color rgb="FF2C3E50"/>
      </right>
      <top style="thin">
        <color rgb="FF2C3E50"/>
      </top>
      <bottom style="thin">
        <color rgb="FF2C3E50"/>
      </bottom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000000"/>
      </bottom>
    </border>
    <border>
      <left style="thin">
        <color rgb="FFD9EAD3"/>
      </left>
      <right style="thin">
        <color rgb="FFD9EAD3"/>
      </right>
      <top style="thin">
        <color rgb="FFD9EAD3"/>
      </top>
      <bottom style="thin">
        <color rgb="FFD9EAD3"/>
      </bottom>
    </border>
  </borders>
  <cellStyleXfs count="1">
    <xf borderId="0" fillId="0" fontId="0" numFmtId="0" applyAlignment="1" applyFont="1"/>
  </cellStyleXfs>
  <cellXfs count="1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top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3" numFmtId="164" xfId="0" applyAlignment="1" applyFill="1" applyFont="1" applyNumberForma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1" fillId="0" fontId="4" numFmtId="0" xfId="0" applyAlignment="1" applyBorder="1" applyFont="1">
      <alignment shrinkToFit="0" vertical="bottom" wrapText="0"/>
    </xf>
    <xf borderId="0" fillId="3" fontId="5" numFmtId="0" xfId="0" applyAlignment="1" applyFill="1" applyFont="1">
      <alignment readingOrder="0" shrinkToFit="0" vertical="center" wrapText="0"/>
    </xf>
    <xf borderId="1" fillId="4" fontId="4" numFmtId="0" xfId="0" applyAlignment="1" applyBorder="1" applyFill="1" applyFont="1">
      <alignment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1" fillId="5" fontId="4" numFmtId="0" xfId="0" applyAlignment="1" applyBorder="1" applyFill="1" applyFont="1">
      <alignment shrinkToFit="0" vertical="bottom" wrapText="0"/>
    </xf>
    <xf borderId="2" fillId="6" fontId="6" numFmtId="0" xfId="0" applyAlignment="1" applyBorder="1" applyFill="1" applyFont="1">
      <alignment shrinkToFit="0" vertical="center" wrapText="0"/>
    </xf>
    <xf borderId="3" fillId="6" fontId="6" numFmtId="0" xfId="0" applyAlignment="1" applyBorder="1" applyFont="1">
      <alignment shrinkToFit="0" vertical="center" wrapText="0"/>
    </xf>
    <xf borderId="3" fillId="6" fontId="6" numFmtId="0" xfId="0" applyAlignment="1" applyBorder="1" applyFont="1">
      <alignment readingOrder="0" shrinkToFit="0" vertical="center" wrapText="0"/>
    </xf>
    <xf borderId="3" fillId="6" fontId="6" numFmtId="0" xfId="0" applyAlignment="1" applyBorder="1" applyFont="1">
      <alignment shrinkToFit="0" vertical="center" wrapText="0"/>
    </xf>
    <xf borderId="4" fillId="6" fontId="6" numFmtId="0" xfId="0" applyAlignment="1" applyBorder="1" applyFont="1">
      <alignment shrinkToFit="0" vertical="center" wrapText="0"/>
    </xf>
    <xf borderId="0" fillId="0" fontId="6" numFmtId="0" xfId="0" applyAlignment="1" applyFont="1">
      <alignment vertical="bottom"/>
    </xf>
    <xf borderId="5" fillId="7" fontId="7" numFmtId="0" xfId="0" applyAlignment="1" applyBorder="1" applyFill="1" applyFont="1">
      <alignment horizontal="left" shrinkToFit="0" vertical="center" wrapText="1"/>
    </xf>
    <xf borderId="5" fillId="0" fontId="8" numFmtId="165" xfId="0" applyAlignment="1" applyBorder="1" applyFont="1" applyNumberFormat="1">
      <alignment horizontal="center" readingOrder="0" shrinkToFit="0" vertical="center" wrapText="0"/>
    </xf>
    <xf borderId="1" fillId="6" fontId="9" numFmtId="0" xfId="0" applyAlignment="1" applyBorder="1" applyFont="1">
      <alignment shrinkToFit="0" vertical="center" wrapText="0"/>
    </xf>
    <xf borderId="3" fillId="6" fontId="9" numFmtId="0" xfId="0" applyAlignment="1" applyBorder="1" applyFont="1">
      <alignment shrinkToFit="0" vertical="center" wrapText="0"/>
    </xf>
    <xf borderId="3" fillId="6" fontId="9" numFmtId="0" xfId="0" applyAlignment="1" applyBorder="1" applyFont="1">
      <alignment shrinkToFit="0" vertical="center" wrapText="0"/>
    </xf>
    <xf borderId="0" fillId="6" fontId="9" numFmtId="0" xfId="0" applyAlignment="1" applyFont="1">
      <alignment shrinkToFit="0" vertical="center" wrapText="0"/>
    </xf>
    <xf borderId="1" fillId="6" fontId="9" numFmtId="0" xfId="0" applyAlignment="1" applyBorder="1" applyFont="1">
      <alignment shrinkToFit="0" vertical="center" wrapText="0"/>
    </xf>
    <xf borderId="3" fillId="6" fontId="9" numFmtId="0" xfId="0" applyAlignment="1" applyBorder="1" applyFont="1">
      <alignment horizontal="right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6" xfId="0" applyAlignment="1" applyFont="1" applyNumberForma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4" numFmtId="0" xfId="0" applyAlignment="1" applyFont="1">
      <alignment shrinkToFit="0" vertical="bottom" wrapText="0"/>
    </xf>
    <xf borderId="0" fillId="8" fontId="3" numFmtId="0" xfId="0" applyAlignment="1" applyFill="1" applyFont="1">
      <alignment readingOrder="0" shrinkToFit="0" vertical="center" wrapText="0"/>
    </xf>
    <xf borderId="0" fillId="3" fontId="10" numFmtId="0" xfId="0" applyAlignment="1" applyFont="1">
      <alignment readingOrder="0" shrinkToFit="0" vertical="center" wrapText="0"/>
    </xf>
    <xf borderId="0" fillId="0" fontId="4" numFmtId="0" xfId="0" applyAlignment="1" applyFont="1">
      <alignment horizontal="right" readingOrder="0" shrinkToFit="0" vertical="bottom" wrapText="0"/>
    </xf>
    <xf borderId="6" fillId="9" fontId="4" numFmtId="0" xfId="0" applyAlignment="1" applyBorder="1" applyFill="1" applyFont="1">
      <alignment shrinkToFit="0" vertical="center" wrapText="0"/>
    </xf>
    <xf borderId="6" fillId="9" fontId="9" numFmtId="0" xfId="0" applyAlignment="1" applyBorder="1" applyFont="1">
      <alignment shrinkToFit="0" vertical="center" wrapText="0"/>
    </xf>
    <xf borderId="6" fillId="9" fontId="9" numFmtId="0" xfId="0" applyAlignment="1" applyBorder="1" applyFont="1">
      <alignment shrinkToFit="0" vertical="center" wrapText="0"/>
    </xf>
    <xf borderId="7" fillId="9" fontId="9" numFmtId="0" xfId="0" applyAlignment="1" applyBorder="1" applyFont="1">
      <alignment shrinkToFit="0" vertical="center" wrapText="0"/>
    </xf>
    <xf borderId="6" fillId="9" fontId="4" numFmtId="0" xfId="0" applyAlignment="1" applyBorder="1" applyFont="1">
      <alignment shrinkToFit="0" vertical="center" wrapText="0"/>
    </xf>
    <xf borderId="6" fillId="9" fontId="11" numFmtId="164" xfId="0" applyAlignment="1" applyBorder="1" applyFont="1" applyNumberFormat="1">
      <alignment horizontal="right" shrinkToFit="0" vertical="bottom" wrapText="0"/>
    </xf>
    <xf borderId="3" fillId="6" fontId="12" numFmtId="0" xfId="0" applyAlignment="1" applyBorder="1" applyFont="1">
      <alignment shrinkToFit="0" vertical="bottom" wrapText="0"/>
    </xf>
    <xf borderId="2" fillId="6" fontId="9" numFmtId="0" xfId="0" applyAlignment="1" applyBorder="1" applyFont="1">
      <alignment shrinkToFit="0" vertical="center" wrapText="0"/>
    </xf>
    <xf borderId="3" fillId="6" fontId="12" numFmtId="0" xfId="0" applyAlignment="1" applyBorder="1" applyFont="1">
      <alignment shrinkToFit="0" vertical="bottom" wrapText="0"/>
    </xf>
    <xf borderId="3" fillId="6" fontId="9" numFmtId="164" xfId="0" applyAlignment="1" applyBorder="1" applyFont="1" applyNumberFormat="1">
      <alignment horizontal="right" shrinkToFit="0" vertical="center" wrapText="0"/>
    </xf>
    <xf borderId="6" fillId="9" fontId="9" numFmtId="4" xfId="0" applyAlignment="1" applyBorder="1" applyFont="1" applyNumberFormat="1">
      <alignment horizontal="right" shrinkToFit="0" vertical="center" wrapText="0"/>
    </xf>
    <xf borderId="3" fillId="6" fontId="4" numFmtId="0" xfId="0" applyAlignment="1" applyBorder="1" applyFont="1">
      <alignment shrinkToFit="0" vertical="center" wrapText="0"/>
    </xf>
    <xf borderId="3" fillId="6" fontId="4" numFmtId="0" xfId="0" applyAlignment="1" applyBorder="1" applyFont="1">
      <alignment shrinkToFit="0" vertical="center" wrapText="0"/>
    </xf>
    <xf borderId="3" fillId="6" fontId="11" numFmtId="164" xfId="0" applyAlignment="1" applyBorder="1" applyFont="1" applyNumberFormat="1">
      <alignment horizontal="right" shrinkToFit="0" vertical="bottom" wrapText="0"/>
    </xf>
    <xf borderId="7" fillId="9" fontId="9" numFmtId="0" xfId="0" applyAlignment="1" applyBorder="1" applyFont="1">
      <alignment shrinkToFit="0" vertical="center" wrapText="0"/>
    </xf>
    <xf borderId="3" fillId="6" fontId="9" numFmtId="4" xfId="0" applyAlignment="1" applyBorder="1" applyFont="1" applyNumberFormat="1">
      <alignment horizontal="right" shrinkToFit="0" vertical="center" wrapText="0"/>
    </xf>
    <xf borderId="0" fillId="9" fontId="6" numFmtId="0" xfId="0" applyAlignment="1" applyFont="1">
      <alignment horizontal="right" readingOrder="0" shrinkToFit="0" vertical="bottom" wrapText="0"/>
    </xf>
    <xf borderId="0" fillId="6" fontId="6" numFmtId="0" xfId="0" applyAlignment="1" applyFont="1">
      <alignment horizontal="right" readingOrder="0" shrinkToFit="0" vertical="bottom" wrapText="0"/>
    </xf>
    <xf borderId="0" fillId="9" fontId="6" numFmtId="0" xfId="0" applyAlignment="1" applyFont="1">
      <alignment horizontal="right" readingOrder="0" shrinkToFit="0" vertical="bottom" wrapText="0"/>
    </xf>
    <xf borderId="0" fillId="9" fontId="13" numFmtId="0" xfId="0" applyAlignment="1" applyFont="1">
      <alignment horizontal="right" readingOrder="0" shrinkToFit="0" vertical="bottom" wrapText="0"/>
    </xf>
    <xf borderId="0" fillId="6" fontId="13" numFmtId="0" xfId="0" applyAlignment="1" applyFont="1">
      <alignment horizontal="right" readingOrder="0" shrinkToFit="0" vertical="bottom" wrapText="0"/>
    </xf>
    <xf borderId="6" fillId="9" fontId="13" numFmtId="0" xfId="0" applyAlignment="1" applyBorder="1" applyFont="1">
      <alignment shrinkToFit="0" vertical="center" wrapText="0"/>
    </xf>
    <xf borderId="6" fillId="9" fontId="13" numFmtId="0" xfId="0" applyAlignment="1" applyBorder="1" applyFont="1">
      <alignment shrinkToFit="0" vertical="center" wrapText="0"/>
    </xf>
    <xf borderId="6" fillId="9" fontId="12" numFmtId="164" xfId="0" applyAlignment="1" applyBorder="1" applyFont="1" applyNumberFormat="1">
      <alignment shrinkToFit="0" vertical="bottom" wrapText="0"/>
    </xf>
    <xf borderId="0" fillId="0" fontId="2" numFmtId="0" xfId="0" applyAlignment="1" applyFont="1">
      <alignment shrinkToFit="0" vertical="center" wrapText="0"/>
    </xf>
    <xf borderId="6" fillId="9" fontId="9" numFmtId="0" xfId="0" applyAlignment="1" applyBorder="1" applyFont="1">
      <alignment horizontal="right" shrinkToFit="0" vertical="center" wrapText="0"/>
    </xf>
    <xf borderId="1" fillId="6" fontId="4" numFmtId="0" xfId="0" applyAlignment="1" applyBorder="1" applyFont="1">
      <alignment shrinkToFit="0" vertical="center" wrapText="0"/>
    </xf>
    <xf borderId="1" fillId="6" fontId="4" numFmtId="0" xfId="0" applyAlignment="1" applyBorder="1" applyFont="1">
      <alignment shrinkToFit="0" vertical="center" wrapText="0"/>
    </xf>
    <xf borderId="0" fillId="9" fontId="9" numFmtId="0" xfId="0" applyAlignment="1" applyFont="1">
      <alignment shrinkToFit="0" vertical="center" wrapText="0"/>
    </xf>
    <xf borderId="0" fillId="9" fontId="9" numFmtId="0" xfId="0" applyAlignment="1" applyFont="1">
      <alignment shrinkToFit="0" vertical="center" wrapText="0"/>
    </xf>
    <xf borderId="0" fillId="9" fontId="9" numFmtId="4" xfId="0" applyAlignment="1" applyFont="1" applyNumberFormat="1">
      <alignment horizontal="right" shrinkToFit="0" vertical="center" wrapText="0"/>
    </xf>
    <xf borderId="0" fillId="0" fontId="3" numFmtId="0" xfId="0" applyAlignment="1" applyFont="1">
      <alignment readingOrder="0"/>
    </xf>
    <xf borderId="0" fillId="0" fontId="2" numFmtId="0" xfId="0" applyFont="1"/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3" fillId="6" fontId="9" numFmtId="0" xfId="0" applyAlignment="1" applyBorder="1" applyFont="1">
      <alignment shrinkToFit="0" wrapText="0"/>
    </xf>
    <xf borderId="3" fillId="6" fontId="9" numFmtId="0" xfId="0" applyAlignment="1" applyBorder="1" applyFont="1">
      <alignment shrinkToFit="0" wrapText="0"/>
    </xf>
    <xf borderId="2" fillId="6" fontId="9" numFmtId="0" xfId="0" applyAlignment="1" applyBorder="1" applyFont="1">
      <alignment shrinkToFit="0" wrapText="0"/>
    </xf>
    <xf borderId="3" fillId="6" fontId="9" numFmtId="4" xfId="0" applyAlignment="1" applyBorder="1" applyFont="1" applyNumberFormat="1">
      <alignment horizontal="right" shrinkToFit="0" wrapText="0"/>
    </xf>
    <xf borderId="6" fillId="9" fontId="9" numFmtId="0" xfId="0" applyAlignment="1" applyBorder="1" applyFont="1">
      <alignment shrinkToFit="0" wrapText="0"/>
    </xf>
    <xf borderId="6" fillId="9" fontId="9" numFmtId="0" xfId="0" applyAlignment="1" applyBorder="1" applyFont="1">
      <alignment shrinkToFit="0" wrapText="0"/>
    </xf>
    <xf borderId="7" fillId="9" fontId="9" numFmtId="0" xfId="0" applyAlignment="1" applyBorder="1" applyFont="1">
      <alignment shrinkToFit="0" wrapText="0"/>
    </xf>
    <xf borderId="6" fillId="9" fontId="9" numFmtId="4" xfId="0" applyAlignment="1" applyBorder="1" applyFont="1" applyNumberFormat="1">
      <alignment horizontal="right" shrinkToFit="0" wrapText="0"/>
    </xf>
    <xf borderId="3" fillId="6" fontId="4" numFmtId="0" xfId="0" applyBorder="1" applyFont="1"/>
    <xf borderId="3" fillId="6" fontId="4" numFmtId="0" xfId="0" applyBorder="1" applyFont="1"/>
    <xf borderId="1" fillId="9" fontId="12" numFmtId="164" xfId="0" applyAlignment="1" applyBorder="1" applyFont="1" applyNumberFormat="1">
      <alignment shrinkToFit="0" vertical="bottom" wrapText="0"/>
    </xf>
    <xf borderId="8" fillId="3" fontId="5" numFmtId="0" xfId="0" applyAlignment="1" applyBorder="1" applyFont="1">
      <alignment shrinkToFit="0" wrapText="0"/>
    </xf>
    <xf borderId="0" fillId="0" fontId="3" numFmtId="0" xfId="0" applyFont="1"/>
    <xf borderId="0" fillId="0" fontId="2" numFmtId="0" xfId="0" applyFont="1"/>
    <xf borderId="6" fillId="9" fontId="4" numFmtId="0" xfId="0" applyBorder="1" applyFont="1"/>
    <xf borderId="0" fillId="6" fontId="9" numFmtId="0" xfId="0" applyAlignment="1" applyFont="1">
      <alignment shrinkToFit="0" wrapText="0"/>
    </xf>
    <xf borderId="6" fillId="9" fontId="4" numFmtId="0" xfId="0" applyBorder="1" applyFont="1"/>
    <xf borderId="6" fillId="9" fontId="9" numFmtId="0" xfId="0" applyAlignment="1" applyBorder="1" applyFont="1">
      <alignment horizontal="right" shrinkToFit="0" wrapText="0"/>
    </xf>
    <xf borderId="6" fillId="9" fontId="4" numFmtId="0" xfId="0" applyBorder="1" applyFont="1"/>
    <xf borderId="6" fillId="9" fontId="9" numFmtId="0" xfId="0" applyAlignment="1" applyBorder="1" applyFont="1">
      <alignment shrinkToFit="0" wrapText="0"/>
    </xf>
    <xf borderId="6" fillId="9" fontId="9" numFmtId="0" xfId="0" applyAlignment="1" applyBorder="1" applyFont="1">
      <alignment shrinkToFit="0" wrapText="0"/>
    </xf>
    <xf borderId="7" fillId="9" fontId="9" numFmtId="0" xfId="0" applyAlignment="1" applyBorder="1" applyFont="1">
      <alignment shrinkToFit="0" wrapText="0"/>
    </xf>
    <xf borderId="6" fillId="9" fontId="4" numFmtId="0" xfId="0" applyBorder="1" applyFont="1"/>
    <xf borderId="6" fillId="9" fontId="11" numFmtId="164" xfId="0" applyAlignment="1" applyBorder="1" applyFont="1" applyNumberFormat="1">
      <alignment horizontal="right" shrinkToFit="0" vertical="bottom" wrapText="0"/>
    </xf>
    <xf borderId="0" fillId="0" fontId="2" numFmtId="166" xfId="0" applyAlignment="1" applyFont="1" applyNumberFormat="1">
      <alignment readingOrder="0"/>
    </xf>
    <xf borderId="3" fillId="6" fontId="4" numFmtId="0" xfId="0" applyBorder="1" applyFont="1"/>
    <xf borderId="3" fillId="6" fontId="9" numFmtId="0" xfId="0" applyAlignment="1" applyBorder="1" applyFont="1">
      <alignment shrinkToFit="0" wrapText="0"/>
    </xf>
    <xf borderId="3" fillId="6" fontId="9" numFmtId="0" xfId="0" applyAlignment="1" applyBorder="1" applyFont="1">
      <alignment shrinkToFit="0" wrapText="0"/>
    </xf>
    <xf borderId="2" fillId="6" fontId="9" numFmtId="0" xfId="0" applyAlignment="1" applyBorder="1" applyFont="1">
      <alignment shrinkToFit="0" wrapText="0"/>
    </xf>
    <xf borderId="3" fillId="6" fontId="4" numFmtId="0" xfId="0" applyBorder="1" applyFont="1"/>
    <xf borderId="3" fillId="6" fontId="9" numFmtId="4" xfId="0" applyAlignment="1" applyBorder="1" applyFont="1" applyNumberFormat="1">
      <alignment horizontal="right" shrinkToFit="0" wrapText="0"/>
    </xf>
    <xf borderId="6" fillId="9" fontId="9" numFmtId="4" xfId="0" applyAlignment="1" applyBorder="1" applyFont="1" applyNumberFormat="1">
      <alignment horizontal="right" shrinkToFit="0" wrapText="0"/>
    </xf>
    <xf borderId="6" fillId="9" fontId="9" numFmtId="0" xfId="0" applyAlignment="1" applyBorder="1" applyFont="1">
      <alignment horizontal="right" shrinkToFit="0" wrapText="0"/>
    </xf>
    <xf borderId="1" fillId="9" fontId="4" numFmtId="0" xfId="0" applyBorder="1" applyFont="1"/>
    <xf borderId="1" fillId="9" fontId="4" numFmtId="0" xfId="0" applyBorder="1" applyFont="1"/>
    <xf borderId="3" fillId="6" fontId="12" numFmtId="164" xfId="0" applyAlignment="1" applyBorder="1" applyFont="1" applyNumberFormat="1">
      <alignment shrinkToFit="0" vertical="bottom" wrapText="0"/>
    </xf>
    <xf borderId="8" fillId="3" fontId="5" numFmtId="0" xfId="0" applyAlignment="1" applyBorder="1" applyFont="1">
      <alignment shrinkToFit="0" wrapText="0"/>
    </xf>
    <xf borderId="1" fillId="9" fontId="9" numFmtId="0" xfId="0" applyAlignment="1" applyBorder="1" applyFont="1">
      <alignment shrinkToFit="0" wrapText="0"/>
    </xf>
    <xf borderId="1" fillId="9" fontId="9" numFmtId="0" xfId="0" applyAlignment="1" applyBorder="1" applyFont="1">
      <alignment shrinkToFit="0" wrapText="0"/>
    </xf>
    <xf borderId="3" fillId="6" fontId="9" numFmtId="0" xfId="0" applyAlignment="1" applyBorder="1" applyFont="1">
      <alignment horizontal="right" shrinkToFit="0" wrapText="0"/>
    </xf>
    <xf borderId="1" fillId="6" fontId="9" numFmtId="0" xfId="0" applyAlignment="1" applyBorder="1" applyFont="1">
      <alignment shrinkToFit="0" wrapText="0"/>
    </xf>
    <xf borderId="1" fillId="6" fontId="9" numFmtId="0" xfId="0" applyAlignment="1" applyBorder="1" applyFont="1">
      <alignment shrinkToFit="0" wrapText="0"/>
    </xf>
    <xf borderId="1" fillId="6" fontId="9" numFmtId="4" xfId="0" applyAlignment="1" applyBorder="1" applyFont="1" applyNumberFormat="1">
      <alignment horizontal="right" shrinkToFit="0" wrapText="0"/>
    </xf>
    <xf borderId="1" fillId="9" fontId="12" numFmtId="0" xfId="0" applyAlignment="1" applyBorder="1" applyFont="1">
      <alignment shrinkToFit="0" vertical="bottom" wrapText="0"/>
    </xf>
    <xf borderId="1" fillId="9" fontId="12" numFmtId="0" xfId="0" applyAlignment="1" applyBorder="1" applyFont="1">
      <alignment shrinkToFit="0" vertical="bottom" wrapText="0"/>
    </xf>
    <xf borderId="9" fillId="9" fontId="12" numFmtId="0" xfId="0" applyAlignment="1" applyBorder="1" applyFont="1">
      <alignment shrinkToFit="0" vertical="bottom" wrapText="0"/>
    </xf>
    <xf borderId="9" fillId="9" fontId="12" numFmtId="0" xfId="0" applyAlignment="1" applyBorder="1" applyFont="1">
      <alignment shrinkToFit="0" vertical="bottom" wrapText="0"/>
    </xf>
    <xf borderId="3" fillId="6" fontId="12" numFmtId="0" xfId="0" applyAlignment="1" applyBorder="1" applyFont="1">
      <alignment shrinkToFit="0" vertical="bottom" wrapText="0"/>
    </xf>
    <xf borderId="3" fillId="6" fontId="12" numFmtId="0" xfId="0" applyAlignment="1" applyBorder="1" applyFont="1">
      <alignment shrinkToFit="0" vertical="bottom" wrapText="0"/>
    </xf>
    <xf borderId="10" fillId="10" fontId="11" numFmtId="164" xfId="0" applyAlignment="1" applyBorder="1" applyFill="1" applyFont="1" applyNumberFormat="1">
      <alignment horizontal="right" shrinkToFit="0" wrapText="0"/>
    </xf>
    <xf borderId="3" fillId="6" fontId="11" numFmtId="164" xfId="0" applyAlignment="1" applyBorder="1" applyFont="1" applyNumberFormat="1">
      <alignment horizontal="right" shrinkToFit="0" vertical="bottom" wrapText="0"/>
    </xf>
    <xf borderId="0" fillId="0" fontId="4" numFmtId="0" xfId="0" applyAlignment="1" applyFont="1">
      <alignment vertical="bottom"/>
    </xf>
    <xf borderId="1" fillId="0" fontId="4" numFmtId="0" xfId="0" applyAlignment="1" applyBorder="1" applyFont="1">
      <alignment vertical="bottom"/>
    </xf>
    <xf borderId="0" fillId="0" fontId="4" numFmtId="0" xfId="0" applyAlignment="1" applyFont="1">
      <alignment horizontal="right" vertical="bottom"/>
    </xf>
    <xf borderId="1" fillId="0" fontId="4" numFmtId="164" xfId="0" applyAlignment="1" applyBorder="1" applyFont="1" applyNumberFormat="1">
      <alignment horizontal="right" vertical="bottom"/>
    </xf>
    <xf borderId="1" fillId="4" fontId="4" numFmtId="0" xfId="0" applyAlignment="1" applyBorder="1" applyFont="1">
      <alignment vertical="bottom"/>
    </xf>
    <xf borderId="1" fillId="0" fontId="14" numFmtId="164" xfId="0" applyAlignment="1" applyBorder="1" applyFont="1" applyNumberFormat="1">
      <alignment horizontal="right" vertical="bottom"/>
    </xf>
    <xf borderId="0" fillId="0" fontId="14" numFmtId="164" xfId="0" applyAlignment="1" applyFont="1" applyNumberFormat="1">
      <alignment horizontal="right" vertical="bottom"/>
    </xf>
    <xf borderId="0" fillId="0" fontId="4" numFmtId="164" xfId="0" applyAlignment="1" applyFont="1" applyNumberFormat="1">
      <alignment vertical="bottom"/>
    </xf>
    <xf borderId="1" fillId="0" fontId="4" numFmtId="0" xfId="0" applyAlignment="1" applyBorder="1" applyFont="1">
      <alignment readingOrder="0" vertical="bottom"/>
    </xf>
    <xf borderId="0" fillId="0" fontId="3" numFmtId="164" xfId="0" applyFont="1" applyNumberFormat="1"/>
    <xf borderId="0" fillId="2" fontId="3" numFmtId="164" xfId="0" applyFont="1" applyNumberFormat="1"/>
    <xf borderId="1" fillId="5" fontId="4" numFmtId="0" xfId="0" applyAlignment="1" applyBorder="1" applyFont="1">
      <alignment vertical="bottom"/>
    </xf>
    <xf borderId="1" fillId="2" fontId="4" numFmtId="0" xfId="0" applyAlignment="1" applyBorder="1" applyFont="1">
      <alignment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S666" displayName="Tabla_1" name="Tabla_1" id="1">
  <autoFilter ref="$A$1:$S$666"/>
  <tableColumns count="19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Cargos" id="12"/>
    <tableColumn name="Fecha" id="13"/>
    <tableColumn name="Tipo" id="14"/>
    <tableColumn name="Número" id="15"/>
    <tableColumn name="Clasf Efs" id="16"/>
    <tableColumn name="ID SGN" id="17"/>
    <tableColumn name="PUESTO" id="18"/>
    <tableColumn name="PAGADORA" id="19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8.86"/>
    <col customWidth="1" min="2" max="2" width="36.14"/>
    <col customWidth="1" min="3" max="3" width="30.29"/>
    <col customWidth="1" min="4" max="4" width="28.43"/>
    <col customWidth="1" min="5" max="5" width="16.43"/>
    <col customWidth="1" min="6" max="6" width="36.14"/>
    <col customWidth="1" min="7" max="7" width="13.71"/>
    <col customWidth="1" min="8" max="8" width="14.29"/>
    <col customWidth="1" min="9" max="9" width="11.0"/>
    <col customWidth="1" min="10" max="10" width="11.29"/>
    <col customWidth="1" min="11" max="11" width="15.86"/>
    <col customWidth="1" min="12" max="12" width="12.14"/>
    <col customWidth="1" min="13" max="13" width="11.29"/>
    <col customWidth="1" min="14" max="14" width="10.14"/>
    <col customWidth="1" min="15" max="15" width="13.43"/>
    <col customWidth="1" min="16" max="16" width="13.29"/>
    <col customWidth="1" min="17" max="17" width="12.29"/>
    <col customWidth="1" min="18" max="18" width="13.14"/>
    <col customWidth="1" min="19" max="19" width="16.29"/>
    <col customWidth="1" min="20" max="26" width="8.71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ht="22.5" customHeight="1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2">
        <v>12269.305252</v>
      </c>
      <c r="H2" s="2" t="s">
        <v>25</v>
      </c>
    </row>
    <row r="3" ht="22.5" customHeight="1">
      <c r="A3" s="2" t="s">
        <v>19</v>
      </c>
      <c r="B3" s="2" t="s">
        <v>20</v>
      </c>
      <c r="C3" s="2" t="s">
        <v>21</v>
      </c>
      <c r="D3" s="2" t="s">
        <v>22</v>
      </c>
      <c r="E3" s="2" t="s">
        <v>23</v>
      </c>
      <c r="F3" s="2" t="s">
        <v>24</v>
      </c>
      <c r="G3" s="3">
        <f>2676.24+'Hoja 1'!C55+'Hoja 1'!I53</f>
        <v>12620.03</v>
      </c>
      <c r="H3" s="2" t="s">
        <v>26</v>
      </c>
    </row>
    <row r="4" ht="22.5" customHeight="1">
      <c r="A4" s="2" t="s">
        <v>19</v>
      </c>
      <c r="B4" s="2" t="s">
        <v>20</v>
      </c>
      <c r="C4" s="2" t="s">
        <v>21</v>
      </c>
      <c r="D4" s="2" t="s">
        <v>22</v>
      </c>
      <c r="E4" s="2" t="s">
        <v>23</v>
      </c>
      <c r="F4" s="2" t="s">
        <v>24</v>
      </c>
      <c r="G4" s="3">
        <f>9286.191037+'Hoja 1'!I30</f>
        <v>10861.39104</v>
      </c>
      <c r="H4" s="2" t="s">
        <v>27</v>
      </c>
    </row>
    <row r="5" ht="22.5" customHeight="1">
      <c r="A5" s="2" t="s">
        <v>19</v>
      </c>
      <c r="B5" s="2" t="s">
        <v>20</v>
      </c>
      <c r="C5" s="2" t="s">
        <v>21</v>
      </c>
      <c r="D5" s="2" t="s">
        <v>22</v>
      </c>
      <c r="E5" s="2" t="s">
        <v>23</v>
      </c>
      <c r="F5" s="2" t="s">
        <v>24</v>
      </c>
      <c r="G5" s="3">
        <f>1391.103+'Hoja 1'!C107+'Hoja 1'!I107</f>
        <v>10842.303</v>
      </c>
      <c r="H5" s="4" t="s">
        <v>28</v>
      </c>
    </row>
    <row r="6" ht="22.5" customHeight="1">
      <c r="A6" s="2" t="s">
        <v>19</v>
      </c>
      <c r="B6" s="2" t="s">
        <v>29</v>
      </c>
      <c r="C6" s="2" t="s">
        <v>21</v>
      </c>
      <c r="D6" s="2" t="s">
        <v>22</v>
      </c>
      <c r="E6" s="2" t="s">
        <v>23</v>
      </c>
      <c r="F6" s="2" t="s">
        <v>30</v>
      </c>
      <c r="G6" s="2">
        <v>24075.34956</v>
      </c>
      <c r="H6" s="2" t="s">
        <v>26</v>
      </c>
    </row>
    <row r="7" ht="22.5" customHeight="1">
      <c r="A7" s="2" t="s">
        <v>19</v>
      </c>
      <c r="B7" s="2" t="s">
        <v>29</v>
      </c>
      <c r="C7" s="2" t="s">
        <v>21</v>
      </c>
      <c r="D7" s="2" t="s">
        <v>22</v>
      </c>
      <c r="E7" s="2" t="s">
        <v>23</v>
      </c>
      <c r="F7" s="2" t="s">
        <v>30</v>
      </c>
      <c r="G7" s="2">
        <v>14312.5067</v>
      </c>
      <c r="H7" s="2" t="s">
        <v>27</v>
      </c>
    </row>
    <row r="8" ht="22.5" customHeight="1">
      <c r="A8" s="2" t="s">
        <v>19</v>
      </c>
      <c r="B8" s="2" t="s">
        <v>31</v>
      </c>
      <c r="C8" s="2" t="s">
        <v>32</v>
      </c>
      <c r="D8" s="2" t="s">
        <v>33</v>
      </c>
      <c r="F8" s="2" t="s">
        <v>34</v>
      </c>
      <c r="G8" s="2">
        <v>14378.847582</v>
      </c>
      <c r="H8" s="2" t="s">
        <v>25</v>
      </c>
    </row>
    <row r="9" ht="22.5" customHeight="1">
      <c r="A9" s="2" t="s">
        <v>19</v>
      </c>
      <c r="B9" s="2" t="s">
        <v>31</v>
      </c>
      <c r="C9" s="2" t="s">
        <v>32</v>
      </c>
      <c r="D9" s="2" t="s">
        <v>33</v>
      </c>
      <c r="F9" s="2" t="s">
        <v>34</v>
      </c>
      <c r="G9" s="2">
        <v>15993.282958</v>
      </c>
      <c r="H9" s="2" t="s">
        <v>26</v>
      </c>
    </row>
    <row r="10" ht="22.5" customHeight="1">
      <c r="A10" s="2" t="s">
        <v>19</v>
      </c>
      <c r="B10" s="2" t="s">
        <v>31</v>
      </c>
      <c r="C10" s="2" t="s">
        <v>32</v>
      </c>
      <c r="D10" s="2" t="s">
        <v>33</v>
      </c>
      <c r="F10" s="2" t="s">
        <v>34</v>
      </c>
      <c r="G10" s="2">
        <v>15770.15378</v>
      </c>
      <c r="H10" s="2" t="s">
        <v>27</v>
      </c>
    </row>
    <row r="11" ht="22.5" customHeight="1">
      <c r="A11" s="2" t="s">
        <v>19</v>
      </c>
      <c r="B11" s="2" t="s">
        <v>35</v>
      </c>
      <c r="C11" s="2" t="s">
        <v>21</v>
      </c>
      <c r="D11" s="2" t="s">
        <v>22</v>
      </c>
      <c r="E11" s="2" t="s">
        <v>36</v>
      </c>
      <c r="F11" s="2" t="s">
        <v>37</v>
      </c>
      <c r="G11" s="2">
        <v>13779.069051</v>
      </c>
      <c r="H11" s="2" t="s">
        <v>26</v>
      </c>
    </row>
    <row r="12" ht="22.5" customHeight="1">
      <c r="A12" s="2" t="s">
        <v>19</v>
      </c>
      <c r="B12" s="2" t="s">
        <v>35</v>
      </c>
      <c r="C12" s="2" t="s">
        <v>21</v>
      </c>
      <c r="D12" s="2" t="s">
        <v>22</v>
      </c>
      <c r="E12" s="2" t="s">
        <v>36</v>
      </c>
      <c r="F12" s="2" t="s">
        <v>37</v>
      </c>
      <c r="G12" s="2">
        <v>13493.097092</v>
      </c>
      <c r="H12" s="2" t="s">
        <v>27</v>
      </c>
    </row>
    <row r="13" ht="22.5" customHeight="1">
      <c r="A13" s="2" t="s">
        <v>19</v>
      </c>
      <c r="B13" s="2" t="s">
        <v>35</v>
      </c>
      <c r="C13" s="2" t="s">
        <v>21</v>
      </c>
      <c r="D13" s="2" t="s">
        <v>22</v>
      </c>
      <c r="E13" s="2" t="s">
        <v>36</v>
      </c>
      <c r="F13" s="2" t="s">
        <v>37</v>
      </c>
      <c r="G13" s="2">
        <v>13751.39405</v>
      </c>
      <c r="H13" s="2" t="s">
        <v>25</v>
      </c>
    </row>
    <row r="14" ht="22.5" customHeight="1">
      <c r="A14" s="2" t="s">
        <v>19</v>
      </c>
      <c r="B14" s="2" t="s">
        <v>38</v>
      </c>
      <c r="C14" s="2" t="s">
        <v>32</v>
      </c>
      <c r="D14" s="2" t="s">
        <v>39</v>
      </c>
      <c r="F14" s="2" t="s">
        <v>40</v>
      </c>
      <c r="G14" s="2">
        <v>19234.552952</v>
      </c>
      <c r="H14" s="2" t="s">
        <v>25</v>
      </c>
    </row>
    <row r="15" ht="22.5" customHeight="1">
      <c r="A15" s="2" t="s">
        <v>19</v>
      </c>
      <c r="B15" s="2" t="s">
        <v>38</v>
      </c>
      <c r="C15" s="2" t="s">
        <v>32</v>
      </c>
      <c r="D15" s="2" t="s">
        <v>39</v>
      </c>
      <c r="F15" s="2" t="s">
        <v>40</v>
      </c>
      <c r="G15" s="2">
        <v>23356.67895</v>
      </c>
      <c r="H15" s="2" t="s">
        <v>26</v>
      </c>
    </row>
    <row r="16" ht="22.5" customHeight="1">
      <c r="A16" s="2" t="s">
        <v>19</v>
      </c>
      <c r="B16" s="2" t="s">
        <v>38</v>
      </c>
      <c r="C16" s="2" t="s">
        <v>32</v>
      </c>
      <c r="D16" s="2" t="s">
        <v>39</v>
      </c>
      <c r="F16" s="2" t="s">
        <v>40</v>
      </c>
      <c r="G16" s="2">
        <v>18896.20395</v>
      </c>
      <c r="H16" s="2" t="s">
        <v>27</v>
      </c>
    </row>
    <row r="17" ht="22.5" customHeight="1">
      <c r="A17" s="2" t="s">
        <v>19</v>
      </c>
      <c r="B17" s="2" t="s">
        <v>41</v>
      </c>
      <c r="C17" s="2" t="s">
        <v>21</v>
      </c>
      <c r="D17" s="2" t="s">
        <v>22</v>
      </c>
      <c r="E17" s="2" t="s">
        <v>42</v>
      </c>
      <c r="F17" s="2" t="s">
        <v>43</v>
      </c>
      <c r="G17" s="2">
        <v>11487.986067</v>
      </c>
      <c r="H17" s="2" t="s">
        <v>26</v>
      </c>
    </row>
    <row r="18" ht="22.5" customHeight="1">
      <c r="A18" s="2" t="s">
        <v>19</v>
      </c>
      <c r="B18" s="2" t="s">
        <v>41</v>
      </c>
      <c r="C18" s="2" t="s">
        <v>21</v>
      </c>
      <c r="D18" s="2" t="s">
        <v>22</v>
      </c>
      <c r="E18" s="2" t="s">
        <v>42</v>
      </c>
      <c r="F18" s="2" t="s">
        <v>43</v>
      </c>
      <c r="G18" s="2">
        <v>17785.736044</v>
      </c>
      <c r="H18" s="2" t="s">
        <v>27</v>
      </c>
    </row>
    <row r="19" ht="22.5" customHeight="1">
      <c r="A19" s="2" t="s">
        <v>19</v>
      </c>
      <c r="B19" s="2" t="s">
        <v>41</v>
      </c>
      <c r="C19" s="2" t="s">
        <v>21</v>
      </c>
      <c r="D19" s="2" t="s">
        <v>22</v>
      </c>
      <c r="E19" s="2" t="s">
        <v>42</v>
      </c>
      <c r="F19" s="2" t="s">
        <v>43</v>
      </c>
      <c r="G19" s="2">
        <v>18125.363418</v>
      </c>
      <c r="H19" s="2" t="s">
        <v>25</v>
      </c>
    </row>
    <row r="20" ht="22.5" customHeight="1">
      <c r="A20" s="2" t="s">
        <v>19</v>
      </c>
      <c r="B20" s="2" t="s">
        <v>44</v>
      </c>
      <c r="C20" s="2" t="s">
        <v>21</v>
      </c>
      <c r="D20" s="2" t="s">
        <v>22</v>
      </c>
      <c r="E20" s="2" t="s">
        <v>45</v>
      </c>
      <c r="F20" s="2" t="s">
        <v>46</v>
      </c>
      <c r="G20" s="2">
        <v>19431.20395</v>
      </c>
      <c r="H20" s="2" t="s">
        <v>27</v>
      </c>
    </row>
    <row r="21" ht="23.25" customHeight="1">
      <c r="A21" s="2" t="s">
        <v>19</v>
      </c>
      <c r="B21" s="2" t="s">
        <v>44</v>
      </c>
      <c r="C21" s="2" t="s">
        <v>21</v>
      </c>
      <c r="D21" s="2" t="s">
        <v>22</v>
      </c>
      <c r="E21" s="2" t="s">
        <v>45</v>
      </c>
      <c r="F21" s="2" t="s">
        <v>46</v>
      </c>
      <c r="G21" s="2">
        <v>19779.552952</v>
      </c>
      <c r="H21" s="2" t="s">
        <v>25</v>
      </c>
    </row>
    <row r="22" ht="15.75" customHeight="1">
      <c r="A22" s="2" t="s">
        <v>19</v>
      </c>
      <c r="B22" s="2" t="s">
        <v>44</v>
      </c>
      <c r="C22" s="2" t="s">
        <v>21</v>
      </c>
      <c r="D22" s="2" t="s">
        <v>22</v>
      </c>
      <c r="E22" s="2" t="s">
        <v>45</v>
      </c>
      <c r="F22" s="2" t="s">
        <v>46</v>
      </c>
      <c r="G22" s="3">
        <f>6351.24+'Hoja 1'!L67</f>
        <v>15802.44</v>
      </c>
      <c r="H22" s="2" t="s">
        <v>26</v>
      </c>
    </row>
    <row r="23" ht="15.75" customHeight="1">
      <c r="A23" s="2" t="s">
        <v>19</v>
      </c>
      <c r="B23" s="2" t="s">
        <v>44</v>
      </c>
      <c r="C23" s="2" t="s">
        <v>21</v>
      </c>
      <c r="D23" s="2" t="s">
        <v>22</v>
      </c>
      <c r="E23" s="2" t="s">
        <v>45</v>
      </c>
      <c r="F23" s="2" t="s">
        <v>46</v>
      </c>
      <c r="G23" s="5">
        <f>6351.24+'Hoja 1'!L119</f>
        <v>10060.44</v>
      </c>
      <c r="H23" s="4" t="s">
        <v>28</v>
      </c>
    </row>
    <row r="24" ht="15.75" customHeight="1">
      <c r="A24" s="2" t="s">
        <v>19</v>
      </c>
      <c r="B24" s="2" t="s">
        <v>47</v>
      </c>
      <c r="C24" s="2" t="s">
        <v>32</v>
      </c>
      <c r="D24" s="2" t="s">
        <v>48</v>
      </c>
      <c r="F24" s="2" t="s">
        <v>49</v>
      </c>
      <c r="G24" s="2">
        <v>18848.225941</v>
      </c>
      <c r="H24" s="2" t="s">
        <v>27</v>
      </c>
    </row>
    <row r="25" ht="15.75" customHeight="1">
      <c r="A25" s="2" t="s">
        <v>19</v>
      </c>
      <c r="B25" s="2" t="s">
        <v>47</v>
      </c>
      <c r="C25" s="2" t="s">
        <v>32</v>
      </c>
      <c r="D25" s="2" t="s">
        <v>48</v>
      </c>
      <c r="F25" s="2" t="s">
        <v>49</v>
      </c>
      <c r="G25" s="2">
        <v>19080.558312</v>
      </c>
      <c r="H25" s="2" t="s">
        <v>26</v>
      </c>
    </row>
    <row r="26" ht="15.75" customHeight="1">
      <c r="A26" s="2" t="s">
        <v>19</v>
      </c>
      <c r="B26" s="2" t="s">
        <v>47</v>
      </c>
      <c r="C26" s="2" t="s">
        <v>32</v>
      </c>
      <c r="D26" s="2" t="s">
        <v>48</v>
      </c>
      <c r="F26" s="2" t="s">
        <v>49</v>
      </c>
      <c r="G26" s="2">
        <v>19207.062778</v>
      </c>
      <c r="H26" s="2" t="s">
        <v>25</v>
      </c>
    </row>
    <row r="27" ht="15.75" customHeight="1">
      <c r="A27" s="2" t="s">
        <v>19</v>
      </c>
      <c r="B27" s="2" t="s">
        <v>50</v>
      </c>
      <c r="C27" s="2" t="s">
        <v>32</v>
      </c>
      <c r="D27" s="2" t="s">
        <v>39</v>
      </c>
      <c r="F27" s="2" t="s">
        <v>51</v>
      </c>
      <c r="G27" s="2">
        <v>20193.28296</v>
      </c>
      <c r="H27" s="2" t="s">
        <v>26</v>
      </c>
    </row>
    <row r="28" ht="15.75" customHeight="1">
      <c r="A28" s="2" t="s">
        <v>19</v>
      </c>
      <c r="B28" s="2" t="s">
        <v>50</v>
      </c>
      <c r="C28" s="2" t="s">
        <v>32</v>
      </c>
      <c r="D28" s="2" t="s">
        <v>39</v>
      </c>
      <c r="F28" s="2" t="s">
        <v>51</v>
      </c>
      <c r="G28" s="2">
        <v>20050.153784</v>
      </c>
      <c r="H28" s="2" t="s">
        <v>27</v>
      </c>
    </row>
    <row r="29" ht="15.75" customHeight="1">
      <c r="A29" s="2" t="s">
        <v>19</v>
      </c>
      <c r="B29" s="2" t="s">
        <v>50</v>
      </c>
      <c r="C29" s="2" t="s">
        <v>32</v>
      </c>
      <c r="D29" s="2" t="s">
        <v>39</v>
      </c>
      <c r="F29" s="2" t="s">
        <v>51</v>
      </c>
      <c r="G29" s="2">
        <v>20427.17472</v>
      </c>
      <c r="H29" s="2" t="s">
        <v>25</v>
      </c>
    </row>
    <row r="30" ht="15.75" customHeight="1">
      <c r="A30" s="2" t="s">
        <v>19</v>
      </c>
      <c r="B30" s="2" t="s">
        <v>52</v>
      </c>
      <c r="C30" s="2" t="s">
        <v>21</v>
      </c>
      <c r="D30" s="2" t="s">
        <v>22</v>
      </c>
      <c r="E30" s="2" t="s">
        <v>53</v>
      </c>
      <c r="F30" s="2" t="s">
        <v>54</v>
      </c>
      <c r="G30" s="2">
        <v>8107.360929</v>
      </c>
      <c r="H30" s="2" t="s">
        <v>27</v>
      </c>
    </row>
    <row r="31" ht="15.75" customHeight="1">
      <c r="A31" s="2" t="s">
        <v>19</v>
      </c>
      <c r="B31" s="2" t="s">
        <v>52</v>
      </c>
      <c r="C31" s="2" t="s">
        <v>21</v>
      </c>
      <c r="D31" s="2" t="s">
        <v>22</v>
      </c>
      <c r="E31" s="2" t="s">
        <v>53</v>
      </c>
      <c r="F31" s="2" t="s">
        <v>54</v>
      </c>
      <c r="G31" s="3">
        <f>15577.41058+'Hoja 1'!I81</f>
        <v>20303.01058</v>
      </c>
      <c r="H31" s="2" t="s">
        <v>26</v>
      </c>
    </row>
    <row r="32" ht="15.75" customHeight="1">
      <c r="A32" s="2" t="s">
        <v>19</v>
      </c>
      <c r="B32" s="2" t="s">
        <v>52</v>
      </c>
      <c r="C32" s="2" t="s">
        <v>21</v>
      </c>
      <c r="D32" s="2" t="s">
        <v>22</v>
      </c>
      <c r="E32" s="2" t="s">
        <v>53</v>
      </c>
      <c r="F32" s="2" t="s">
        <v>54</v>
      </c>
      <c r="G32" s="3">
        <f>8976.24+'Hoja 1'!L135</f>
        <v>18427.44</v>
      </c>
      <c r="H32" s="4" t="s">
        <v>28</v>
      </c>
    </row>
    <row r="33" ht="15.75" customHeight="1">
      <c r="A33" s="2" t="s">
        <v>19</v>
      </c>
      <c r="B33" s="2" t="s">
        <v>55</v>
      </c>
      <c r="C33" s="2" t="s">
        <v>21</v>
      </c>
      <c r="D33" s="2" t="s">
        <v>56</v>
      </c>
      <c r="F33" s="2" t="s">
        <v>57</v>
      </c>
      <c r="G33" s="2">
        <v>13202.829051</v>
      </c>
      <c r="H33" s="2" t="s">
        <v>26</v>
      </c>
    </row>
    <row r="34" ht="15.75" customHeight="1">
      <c r="A34" s="2" t="s">
        <v>19</v>
      </c>
      <c r="B34" s="2" t="s">
        <v>55</v>
      </c>
      <c r="C34" s="2" t="s">
        <v>21</v>
      </c>
      <c r="D34" s="2" t="s">
        <v>56</v>
      </c>
      <c r="F34" s="2" t="s">
        <v>57</v>
      </c>
      <c r="G34" s="2">
        <v>10059.743257</v>
      </c>
      <c r="H34" s="2" t="s">
        <v>27</v>
      </c>
    </row>
    <row r="35" ht="15.75" customHeight="1">
      <c r="A35" s="2" t="s">
        <v>19</v>
      </c>
      <c r="B35" s="2" t="s">
        <v>55</v>
      </c>
      <c r="C35" s="2" t="s">
        <v>21</v>
      </c>
      <c r="D35" s="2" t="s">
        <v>56</v>
      </c>
      <c r="F35" s="2" t="s">
        <v>57</v>
      </c>
      <c r="G35" s="2">
        <v>7350.0</v>
      </c>
      <c r="H35" s="2" t="s">
        <v>25</v>
      </c>
    </row>
    <row r="36" ht="15.75" customHeight="1">
      <c r="A36" s="2" t="s">
        <v>19</v>
      </c>
      <c r="B36" s="2" t="s">
        <v>58</v>
      </c>
      <c r="C36" s="2" t="s">
        <v>21</v>
      </c>
      <c r="D36" s="2" t="s">
        <v>22</v>
      </c>
      <c r="E36" s="6" t="s">
        <v>23</v>
      </c>
      <c r="F36" s="2" t="s">
        <v>59</v>
      </c>
      <c r="G36" s="3">
        <f>5826.24+'Hoja 1'!C56+'Hoja 1'!I54</f>
        <v>15770.03</v>
      </c>
      <c r="H36" s="2" t="s">
        <v>26</v>
      </c>
    </row>
    <row r="37" ht="15.75" customHeight="1">
      <c r="A37" s="2" t="s">
        <v>19</v>
      </c>
      <c r="B37" s="2" t="s">
        <v>58</v>
      </c>
      <c r="C37" s="2" t="s">
        <v>21</v>
      </c>
      <c r="D37" s="2" t="s">
        <v>22</v>
      </c>
      <c r="E37" s="6" t="s">
        <v>23</v>
      </c>
      <c r="F37" s="2" t="s">
        <v>59</v>
      </c>
      <c r="G37" s="3">
        <f>12496.191037+'Hoja 1'!I31</f>
        <v>14071.39104</v>
      </c>
      <c r="H37" s="2" t="s">
        <v>27</v>
      </c>
    </row>
    <row r="38" ht="15.75" customHeight="1">
      <c r="A38" s="2" t="s">
        <v>19</v>
      </c>
      <c r="B38" s="2" t="s">
        <v>58</v>
      </c>
      <c r="C38" s="2" t="s">
        <v>21</v>
      </c>
      <c r="D38" s="2" t="s">
        <v>22</v>
      </c>
      <c r="E38" s="6" t="s">
        <v>23</v>
      </c>
      <c r="F38" s="2" t="s">
        <v>59</v>
      </c>
      <c r="G38" s="2">
        <v>3209.170779</v>
      </c>
      <c r="H38" s="2" t="s">
        <v>25</v>
      </c>
    </row>
    <row r="39" ht="15.75" customHeight="1">
      <c r="A39" s="2" t="s">
        <v>19</v>
      </c>
      <c r="B39" s="2" t="s">
        <v>58</v>
      </c>
      <c r="C39" s="2" t="s">
        <v>21</v>
      </c>
      <c r="D39" s="2" t="s">
        <v>22</v>
      </c>
      <c r="E39" s="6" t="s">
        <v>23</v>
      </c>
      <c r="F39" s="2" t="s">
        <v>59</v>
      </c>
      <c r="G39" s="3">
        <f>5826.24+'Hoja 1'!C108+'Hoja 1'!I108</f>
        <v>15277.44</v>
      </c>
      <c r="H39" s="4" t="s">
        <v>28</v>
      </c>
    </row>
    <row r="40" ht="15.75" customHeight="1">
      <c r="A40" s="2" t="s">
        <v>19</v>
      </c>
      <c r="B40" s="2" t="s">
        <v>60</v>
      </c>
      <c r="C40" s="2" t="s">
        <v>21</v>
      </c>
      <c r="D40" s="2" t="s">
        <v>22</v>
      </c>
      <c r="E40" s="2" t="s">
        <v>42</v>
      </c>
      <c r="F40" s="2" t="s">
        <v>61</v>
      </c>
      <c r="G40" s="2">
        <v>17823.580152</v>
      </c>
      <c r="H40" s="2" t="s">
        <v>27</v>
      </c>
    </row>
    <row r="41" ht="15.75" customHeight="1">
      <c r="A41" s="2" t="s">
        <v>19</v>
      </c>
      <c r="B41" s="2" t="s">
        <v>60</v>
      </c>
      <c r="C41" s="2" t="s">
        <v>21</v>
      </c>
      <c r="D41" s="2" t="s">
        <v>22</v>
      </c>
      <c r="E41" s="2" t="s">
        <v>42</v>
      </c>
      <c r="F41" s="2" t="s">
        <v>61</v>
      </c>
      <c r="G41" s="2">
        <v>18141.678181</v>
      </c>
      <c r="H41" s="2" t="s">
        <v>25</v>
      </c>
    </row>
    <row r="42" ht="15.75" customHeight="1">
      <c r="A42" s="2" t="s">
        <v>19</v>
      </c>
      <c r="B42" s="2" t="s">
        <v>60</v>
      </c>
      <c r="C42" s="2" t="s">
        <v>21</v>
      </c>
      <c r="D42" s="2" t="s">
        <v>22</v>
      </c>
      <c r="E42" s="2" t="s">
        <v>42</v>
      </c>
      <c r="F42" s="2" t="s">
        <v>61</v>
      </c>
      <c r="G42" s="3">
        <f>4250.1795+'Hoja 1'!L79</f>
        <v>10866.0195</v>
      </c>
      <c r="H42" s="2" t="s">
        <v>26</v>
      </c>
    </row>
    <row r="43" ht="15.75" customHeight="1">
      <c r="A43" s="2" t="s">
        <v>19</v>
      </c>
      <c r="B43" s="2" t="s">
        <v>60</v>
      </c>
      <c r="C43" s="2" t="s">
        <v>21</v>
      </c>
      <c r="D43" s="2" t="s">
        <v>22</v>
      </c>
      <c r="E43" s="2" t="s">
        <v>42</v>
      </c>
      <c r="F43" s="2" t="s">
        <v>61</v>
      </c>
      <c r="G43" s="3">
        <f>2967.7095+'Hoja 1'!L131</f>
        <v>7247.5095</v>
      </c>
      <c r="H43" s="4" t="s">
        <v>28</v>
      </c>
    </row>
    <row r="44" ht="15.75" customHeight="1">
      <c r="A44" s="2" t="s">
        <v>19</v>
      </c>
      <c r="B44" s="2" t="s">
        <v>62</v>
      </c>
      <c r="C44" s="2" t="s">
        <v>21</v>
      </c>
      <c r="D44" s="2" t="s">
        <v>22</v>
      </c>
      <c r="E44" s="2" t="s">
        <v>63</v>
      </c>
      <c r="F44" s="2" t="s">
        <v>64</v>
      </c>
      <c r="G44" s="2">
        <v>16006.678947</v>
      </c>
      <c r="H44" s="2" t="s">
        <v>26</v>
      </c>
    </row>
    <row r="45" ht="15.75" customHeight="1">
      <c r="A45" s="2" t="s">
        <v>19</v>
      </c>
      <c r="B45" s="2" t="s">
        <v>62</v>
      </c>
      <c r="C45" s="2" t="s">
        <v>21</v>
      </c>
      <c r="D45" s="2" t="s">
        <v>22</v>
      </c>
      <c r="E45" s="2" t="s">
        <v>63</v>
      </c>
      <c r="F45" s="2" t="s">
        <v>64</v>
      </c>
      <c r="G45" s="2">
        <v>15686.20395</v>
      </c>
      <c r="H45" s="2" t="s">
        <v>27</v>
      </c>
    </row>
    <row r="46" ht="15.75" customHeight="1">
      <c r="A46" s="2" t="s">
        <v>19</v>
      </c>
      <c r="B46" s="2" t="s">
        <v>62</v>
      </c>
      <c r="C46" s="2" t="s">
        <v>21</v>
      </c>
      <c r="D46" s="2" t="s">
        <v>22</v>
      </c>
      <c r="E46" s="2" t="s">
        <v>63</v>
      </c>
      <c r="F46" s="2" t="s">
        <v>64</v>
      </c>
      <c r="G46" s="2">
        <v>15964.552952</v>
      </c>
      <c r="H46" s="2" t="s">
        <v>25</v>
      </c>
    </row>
    <row r="47" ht="15.75" customHeight="1">
      <c r="A47" s="2" t="s">
        <v>19</v>
      </c>
      <c r="B47" s="2" t="s">
        <v>65</v>
      </c>
      <c r="C47" s="2" t="s">
        <v>21</v>
      </c>
      <c r="D47" s="2" t="s">
        <v>22</v>
      </c>
      <c r="E47" s="2" t="s">
        <v>23</v>
      </c>
      <c r="F47" s="2" t="s">
        <v>66</v>
      </c>
      <c r="G47" s="2">
        <v>14885.846693</v>
      </c>
      <c r="H47" s="2" t="s">
        <v>25</v>
      </c>
    </row>
    <row r="48" ht="15.75" customHeight="1">
      <c r="A48" s="2" t="s">
        <v>19</v>
      </c>
      <c r="B48" s="2" t="s">
        <v>65</v>
      </c>
      <c r="C48" s="2" t="s">
        <v>21</v>
      </c>
      <c r="D48" s="2" t="s">
        <v>22</v>
      </c>
      <c r="E48" s="2" t="s">
        <v>23</v>
      </c>
      <c r="F48" s="2" t="s">
        <v>66</v>
      </c>
      <c r="G48" s="2">
        <v>17068.442615</v>
      </c>
      <c r="H48" s="2" t="s">
        <v>26</v>
      </c>
    </row>
    <row r="49" ht="15.75" customHeight="1">
      <c r="A49" s="2" t="s">
        <v>19</v>
      </c>
      <c r="B49" s="2" t="s">
        <v>65</v>
      </c>
      <c r="C49" s="2" t="s">
        <v>21</v>
      </c>
      <c r="D49" s="2" t="s">
        <v>22</v>
      </c>
      <c r="E49" s="2" t="s">
        <v>23</v>
      </c>
      <c r="F49" s="2" t="s">
        <v>66</v>
      </c>
      <c r="G49" s="2">
        <v>16766.51173</v>
      </c>
      <c r="H49" s="2" t="s">
        <v>27</v>
      </c>
    </row>
    <row r="50" ht="15.75" customHeight="1">
      <c r="A50" s="2" t="s">
        <v>19</v>
      </c>
      <c r="B50" s="7" t="s">
        <v>67</v>
      </c>
      <c r="C50" s="8" t="s">
        <v>68</v>
      </c>
      <c r="D50" s="4" t="s">
        <v>69</v>
      </c>
      <c r="F50" s="7" t="s">
        <v>67</v>
      </c>
      <c r="G50" s="3">
        <f>'Hoja 1'!C4+'Hoja 1'!I4 + 131250</f>
        <v>143227.36</v>
      </c>
      <c r="H50" s="2" t="s">
        <v>25</v>
      </c>
    </row>
    <row r="51" ht="15.75" customHeight="1">
      <c r="A51" s="2" t="s">
        <v>19</v>
      </c>
      <c r="B51" s="7" t="s">
        <v>67</v>
      </c>
      <c r="C51" s="8" t="s">
        <v>68</v>
      </c>
      <c r="D51" s="4" t="s">
        <v>69</v>
      </c>
      <c r="F51" s="7" t="s">
        <v>67</v>
      </c>
      <c r="G51" s="3">
        <f>'Hoja 1'!C19+'Hoja 1'!I20 + 131250</f>
        <v>143228.86</v>
      </c>
      <c r="H51" s="4" t="s">
        <v>27</v>
      </c>
    </row>
    <row r="52" ht="15.75" customHeight="1">
      <c r="A52" s="2" t="s">
        <v>19</v>
      </c>
      <c r="B52" s="7" t="s">
        <v>67</v>
      </c>
      <c r="C52" s="8" t="s">
        <v>68</v>
      </c>
      <c r="D52" s="4" t="s">
        <v>69</v>
      </c>
      <c r="F52" s="7" t="s">
        <v>67</v>
      </c>
      <c r="G52" s="3">
        <f>'Hoja 1'!C45+'Hoja 1'!I43 + 131250</f>
        <v>143228.86</v>
      </c>
      <c r="H52" s="4" t="s">
        <v>26</v>
      </c>
    </row>
    <row r="53" ht="15.75" customHeight="1">
      <c r="A53" s="2" t="s">
        <v>19</v>
      </c>
      <c r="B53" s="7" t="s">
        <v>67</v>
      </c>
      <c r="C53" s="8" t="s">
        <v>68</v>
      </c>
      <c r="D53" s="4" t="s">
        <v>69</v>
      </c>
      <c r="F53" s="7" t="s">
        <v>67</v>
      </c>
      <c r="G53" s="3">
        <f>'Hoja 1'!C97+'Hoja 1'!I97 + 131250</f>
        <v>143228.86</v>
      </c>
      <c r="H53" s="4" t="s">
        <v>28</v>
      </c>
    </row>
    <row r="54" ht="15.75" customHeight="1">
      <c r="A54" s="2" t="s">
        <v>19</v>
      </c>
      <c r="B54" s="9" t="s">
        <v>70</v>
      </c>
      <c r="C54" s="4" t="s">
        <v>21</v>
      </c>
      <c r="D54" s="4" t="s">
        <v>22</v>
      </c>
      <c r="F54" s="9" t="s">
        <v>70</v>
      </c>
      <c r="G54" s="3">
        <f>'Hoja 1'!C5+'Hoja 1'!I5</f>
        <v>20127.76</v>
      </c>
      <c r="H54" s="2" t="s">
        <v>25</v>
      </c>
    </row>
    <row r="55" ht="15.75" customHeight="1">
      <c r="A55" s="2" t="s">
        <v>19</v>
      </c>
      <c r="B55" s="10" t="s">
        <v>71</v>
      </c>
      <c r="C55" s="4" t="s">
        <v>68</v>
      </c>
      <c r="D55" s="4" t="s">
        <v>72</v>
      </c>
      <c r="F55" s="7" t="s">
        <v>73</v>
      </c>
      <c r="G55" s="11">
        <f>'Hoja 1'!C6+'Hoja 1'!I6</f>
        <v>12999.9</v>
      </c>
      <c r="H55" s="2" t="s">
        <v>25</v>
      </c>
    </row>
    <row r="56" ht="15.75" customHeight="1">
      <c r="A56" s="2" t="s">
        <v>19</v>
      </c>
      <c r="B56" s="10" t="s">
        <v>71</v>
      </c>
      <c r="C56" s="4" t="s">
        <v>68</v>
      </c>
      <c r="D56" s="4" t="s">
        <v>72</v>
      </c>
      <c r="F56" s="7" t="s">
        <v>73</v>
      </c>
      <c r="G56" s="3">
        <f>'Hoja 1'!C21+'Hoja 1'!I22</f>
        <v>12999.9</v>
      </c>
      <c r="H56" s="4" t="s">
        <v>27</v>
      </c>
    </row>
    <row r="57" ht="15.75" customHeight="1">
      <c r="A57" s="2" t="s">
        <v>19</v>
      </c>
      <c r="B57" s="10" t="s">
        <v>71</v>
      </c>
      <c r="C57" s="4" t="s">
        <v>68</v>
      </c>
      <c r="D57" s="4" t="s">
        <v>72</v>
      </c>
      <c r="F57" s="7" t="s">
        <v>73</v>
      </c>
      <c r="G57" s="3">
        <f>'Hoja 1'!C47+'Hoja 1'!I45</f>
        <v>12999.9</v>
      </c>
      <c r="H57" s="4" t="s">
        <v>26</v>
      </c>
    </row>
    <row r="58" ht="15.75" customHeight="1">
      <c r="A58" s="2" t="s">
        <v>19</v>
      </c>
      <c r="B58" s="10" t="s">
        <v>71</v>
      </c>
      <c r="C58" s="4" t="s">
        <v>68</v>
      </c>
      <c r="D58" s="4" t="s">
        <v>72</v>
      </c>
      <c r="F58" s="7" t="s">
        <v>73</v>
      </c>
      <c r="G58" s="3">
        <v>12999.9</v>
      </c>
      <c r="H58" s="4" t="s">
        <v>28</v>
      </c>
    </row>
    <row r="59" ht="15.75" customHeight="1">
      <c r="A59" s="2" t="s">
        <v>19</v>
      </c>
      <c r="B59" s="10" t="s">
        <v>71</v>
      </c>
      <c r="C59" s="4" t="s">
        <v>68</v>
      </c>
      <c r="D59" s="4" t="s">
        <v>72</v>
      </c>
      <c r="F59" s="7" t="s">
        <v>74</v>
      </c>
      <c r="G59" s="3">
        <f>'Hoja 1'!C8+'Hoja 1'!I8</f>
        <v>12999.9</v>
      </c>
      <c r="H59" s="2" t="s">
        <v>25</v>
      </c>
    </row>
    <row r="60" ht="15.75" customHeight="1">
      <c r="A60" s="2" t="s">
        <v>19</v>
      </c>
      <c r="B60" s="10" t="s">
        <v>71</v>
      </c>
      <c r="C60" s="4" t="s">
        <v>68</v>
      </c>
      <c r="D60" s="4" t="s">
        <v>72</v>
      </c>
      <c r="F60" s="7" t="s">
        <v>74</v>
      </c>
      <c r="G60" s="3">
        <v>12999.9</v>
      </c>
      <c r="H60" s="4" t="s">
        <v>27</v>
      </c>
    </row>
    <row r="61" ht="15.75" customHeight="1">
      <c r="A61" s="2" t="s">
        <v>19</v>
      </c>
      <c r="B61" s="10" t="s">
        <v>71</v>
      </c>
      <c r="C61" s="4" t="s">
        <v>68</v>
      </c>
      <c r="D61" s="4" t="s">
        <v>72</v>
      </c>
      <c r="F61" s="7" t="s">
        <v>74</v>
      </c>
      <c r="G61" s="3">
        <v>12999.9</v>
      </c>
      <c r="H61" s="4" t="s">
        <v>26</v>
      </c>
    </row>
    <row r="62" ht="15.75" customHeight="1">
      <c r="A62" s="2" t="s">
        <v>19</v>
      </c>
      <c r="B62" s="10" t="s">
        <v>71</v>
      </c>
      <c r="C62" s="4" t="s">
        <v>68</v>
      </c>
      <c r="D62" s="4" t="s">
        <v>72</v>
      </c>
      <c r="F62" s="7" t="s">
        <v>74</v>
      </c>
      <c r="G62" s="3">
        <v>12999.9</v>
      </c>
      <c r="H62" s="4" t="s">
        <v>28</v>
      </c>
    </row>
    <row r="63" ht="15.75" customHeight="1">
      <c r="A63" s="2" t="s">
        <v>19</v>
      </c>
      <c r="B63" s="7" t="s">
        <v>75</v>
      </c>
      <c r="C63" s="4" t="s">
        <v>32</v>
      </c>
      <c r="D63" s="4" t="s">
        <v>48</v>
      </c>
      <c r="F63" s="7" t="s">
        <v>75</v>
      </c>
      <c r="G63" s="3">
        <f>'Hoja 1'!C11+'Hoja 1'!I11</f>
        <v>16219.1</v>
      </c>
      <c r="H63" s="2" t="s">
        <v>25</v>
      </c>
    </row>
    <row r="64" ht="15.75" customHeight="1">
      <c r="A64" s="2" t="s">
        <v>19</v>
      </c>
      <c r="B64" s="7" t="s">
        <v>75</v>
      </c>
      <c r="C64" s="4" t="s">
        <v>32</v>
      </c>
      <c r="D64" s="4" t="s">
        <v>48</v>
      </c>
      <c r="F64" s="7" t="s">
        <v>75</v>
      </c>
      <c r="G64" s="3">
        <f>'Hoja 1'!C26+'Hoja 1'!I27</f>
        <v>22000.14</v>
      </c>
      <c r="H64" s="4" t="s">
        <v>27</v>
      </c>
    </row>
    <row r="65" ht="15.75" customHeight="1">
      <c r="A65" s="2" t="s">
        <v>19</v>
      </c>
      <c r="B65" s="7" t="s">
        <v>75</v>
      </c>
      <c r="C65" s="4" t="s">
        <v>32</v>
      </c>
      <c r="D65" s="4" t="s">
        <v>48</v>
      </c>
      <c r="F65" s="7" t="s">
        <v>75</v>
      </c>
      <c r="G65" s="3">
        <f>'Hoja 1'!C52+'Hoja 1'!I50</f>
        <v>22000.14</v>
      </c>
      <c r="H65" s="4" t="s">
        <v>26</v>
      </c>
    </row>
    <row r="66" ht="15.75" customHeight="1">
      <c r="A66" s="2" t="s">
        <v>19</v>
      </c>
      <c r="B66" s="7" t="s">
        <v>75</v>
      </c>
      <c r="C66" s="4" t="s">
        <v>32</v>
      </c>
      <c r="D66" s="4" t="s">
        <v>48</v>
      </c>
      <c r="F66" s="7" t="s">
        <v>75</v>
      </c>
      <c r="G66" s="3">
        <f>'Hoja 1'!C104+'Hoja 1'!I104</f>
        <v>22000.14</v>
      </c>
      <c r="H66" s="4" t="s">
        <v>28</v>
      </c>
    </row>
    <row r="67" ht="15.75" customHeight="1">
      <c r="A67" s="2" t="s">
        <v>19</v>
      </c>
      <c r="B67" s="9" t="s">
        <v>76</v>
      </c>
      <c r="C67" s="4" t="s">
        <v>21</v>
      </c>
      <c r="D67" s="4" t="s">
        <v>22</v>
      </c>
      <c r="F67" s="9" t="s">
        <v>76</v>
      </c>
      <c r="G67" s="3">
        <f>'Hoja 1'!C12+'Hoja 1'!I12</f>
        <v>5192.95</v>
      </c>
      <c r="H67" s="2" t="s">
        <v>25</v>
      </c>
    </row>
    <row r="68" ht="15.75" customHeight="1">
      <c r="A68" s="2" t="s">
        <v>19</v>
      </c>
      <c r="B68" s="9" t="s">
        <v>76</v>
      </c>
      <c r="C68" s="4" t="s">
        <v>21</v>
      </c>
      <c r="D68" s="4" t="s">
        <v>22</v>
      </c>
      <c r="F68" s="9" t="s">
        <v>76</v>
      </c>
      <c r="G68" s="3">
        <f>'Hoja 1'!C27+'Hoja 1'!I28</f>
        <v>12182.49</v>
      </c>
      <c r="H68" s="4" t="s">
        <v>27</v>
      </c>
    </row>
    <row r="69" ht="15.75" customHeight="1">
      <c r="A69" s="2" t="s">
        <v>19</v>
      </c>
      <c r="B69" s="9" t="s">
        <v>76</v>
      </c>
      <c r="C69" s="4" t="s">
        <v>21</v>
      </c>
      <c r="D69" s="4" t="s">
        <v>22</v>
      </c>
      <c r="F69" s="9" t="s">
        <v>76</v>
      </c>
      <c r="G69" s="3">
        <f>'Hoja 1'!C53+'Hoja 1'!I51</f>
        <v>13977.58</v>
      </c>
      <c r="H69" s="4" t="s">
        <v>26</v>
      </c>
    </row>
    <row r="70" ht="15.75" customHeight="1">
      <c r="A70" s="2" t="s">
        <v>19</v>
      </c>
      <c r="B70" s="9" t="s">
        <v>76</v>
      </c>
      <c r="C70" s="4" t="s">
        <v>21</v>
      </c>
      <c r="D70" s="4" t="s">
        <v>22</v>
      </c>
      <c r="F70" s="9" t="s">
        <v>76</v>
      </c>
      <c r="G70" s="3">
        <f>'Hoja 1'!C105+'Hoja 1'!I105</f>
        <v>13977.58</v>
      </c>
      <c r="H70" s="4" t="s">
        <v>28</v>
      </c>
    </row>
    <row r="71" ht="15.75" customHeight="1">
      <c r="A71" s="2" t="s">
        <v>19</v>
      </c>
      <c r="B71" s="2"/>
      <c r="C71" s="2"/>
      <c r="D71" s="2"/>
      <c r="F71" s="2"/>
      <c r="G71" s="2"/>
      <c r="H71" s="2"/>
    </row>
    <row r="72" ht="15.75" customHeight="1">
      <c r="A72" s="2" t="s">
        <v>19</v>
      </c>
      <c r="B72" s="2"/>
      <c r="C72" s="2"/>
      <c r="D72" s="2"/>
      <c r="F72" s="2"/>
      <c r="G72" s="2"/>
      <c r="H72" s="2"/>
    </row>
    <row r="73" ht="15.75" customHeight="1">
      <c r="A73" s="2"/>
      <c r="B73" s="2"/>
      <c r="C73" s="2"/>
      <c r="D73" s="2"/>
      <c r="F73" s="2"/>
      <c r="G73" s="2"/>
      <c r="H73" s="2"/>
    </row>
    <row r="74" ht="15.75" customHeight="1">
      <c r="A74" s="2"/>
      <c r="B74" s="2"/>
      <c r="C74" s="2"/>
      <c r="D74" s="2"/>
      <c r="F74" s="2"/>
      <c r="G74" s="2"/>
      <c r="H74" s="2"/>
    </row>
    <row r="75" ht="15.75" customHeight="1">
      <c r="A75" s="2"/>
      <c r="B75" s="2"/>
      <c r="C75" s="2"/>
      <c r="D75" s="2"/>
      <c r="F75" s="2"/>
      <c r="G75" s="2"/>
      <c r="H75" s="2"/>
    </row>
    <row r="76" ht="15.75" customHeight="1">
      <c r="A76" s="2"/>
      <c r="B76" s="2"/>
      <c r="C76" s="2"/>
      <c r="D76" s="2"/>
      <c r="F76" s="2"/>
      <c r="G76" s="2"/>
      <c r="H76" s="2"/>
    </row>
    <row r="77" ht="15.75" customHeight="1">
      <c r="A77" s="2" t="s">
        <v>19</v>
      </c>
      <c r="B77" s="2" t="s">
        <v>77</v>
      </c>
      <c r="C77" s="2" t="s">
        <v>32</v>
      </c>
      <c r="D77" s="2" t="s">
        <v>78</v>
      </c>
      <c r="F77" s="2" t="s">
        <v>79</v>
      </c>
      <c r="G77" s="2">
        <v>30450.0</v>
      </c>
      <c r="H77" s="2" t="s">
        <v>25</v>
      </c>
    </row>
    <row r="78" ht="15.75" customHeight="1">
      <c r="A78" s="2" t="s">
        <v>19</v>
      </c>
      <c r="B78" s="2" t="s">
        <v>77</v>
      </c>
      <c r="C78" s="2" t="s">
        <v>32</v>
      </c>
      <c r="D78" s="2" t="s">
        <v>78</v>
      </c>
      <c r="F78" s="2" t="s">
        <v>79</v>
      </c>
      <c r="G78" s="2">
        <v>30450.0</v>
      </c>
      <c r="H78" s="2" t="s">
        <v>26</v>
      </c>
    </row>
    <row r="79" ht="15.75" customHeight="1">
      <c r="A79" s="2" t="s">
        <v>19</v>
      </c>
      <c r="B79" s="2" t="s">
        <v>77</v>
      </c>
      <c r="C79" s="2" t="s">
        <v>32</v>
      </c>
      <c r="D79" s="2" t="s">
        <v>78</v>
      </c>
      <c r="F79" s="2" t="s">
        <v>79</v>
      </c>
      <c r="G79" s="2">
        <v>30450.0</v>
      </c>
      <c r="H79" s="2" t="s">
        <v>27</v>
      </c>
    </row>
    <row r="80" ht="15.75" customHeight="1">
      <c r="A80" s="2" t="s">
        <v>19</v>
      </c>
      <c r="B80" s="2" t="s">
        <v>80</v>
      </c>
      <c r="C80" s="2" t="s">
        <v>32</v>
      </c>
      <c r="D80" s="2" t="s">
        <v>56</v>
      </c>
      <c r="F80" s="2" t="s">
        <v>81</v>
      </c>
      <c r="G80" s="2">
        <v>23583.237293</v>
      </c>
      <c r="H80" s="2" t="s">
        <v>26</v>
      </c>
    </row>
    <row r="81" ht="15.75" customHeight="1">
      <c r="A81" s="2" t="s">
        <v>19</v>
      </c>
      <c r="B81" s="2" t="s">
        <v>80</v>
      </c>
      <c r="C81" s="2" t="s">
        <v>32</v>
      </c>
      <c r="D81" s="2" t="s">
        <v>56</v>
      </c>
      <c r="F81" s="2" t="s">
        <v>81</v>
      </c>
      <c r="G81" s="2">
        <v>13045.633175</v>
      </c>
      <c r="H81" s="2" t="s">
        <v>27</v>
      </c>
    </row>
    <row r="82" ht="15.75" customHeight="1">
      <c r="A82" s="2" t="s">
        <v>19</v>
      </c>
      <c r="B82" s="2" t="s">
        <v>80</v>
      </c>
      <c r="C82" s="2" t="s">
        <v>32</v>
      </c>
      <c r="D82" s="2" t="s">
        <v>56</v>
      </c>
      <c r="F82" s="2" t="s">
        <v>81</v>
      </c>
      <c r="G82" s="2">
        <v>13291.944052</v>
      </c>
      <c r="H82" s="2" t="s">
        <v>25</v>
      </c>
    </row>
    <row r="83" ht="15.75" customHeight="1">
      <c r="A83" s="2" t="s">
        <v>19</v>
      </c>
      <c r="B83" s="2" t="s">
        <v>82</v>
      </c>
      <c r="C83" s="2" t="s">
        <v>21</v>
      </c>
      <c r="D83" s="2" t="s">
        <v>56</v>
      </c>
      <c r="F83" s="2" t="s">
        <v>83</v>
      </c>
      <c r="G83" s="2">
        <v>16300.94857</v>
      </c>
      <c r="H83" s="2" t="s">
        <v>27</v>
      </c>
    </row>
    <row r="84" ht="15.75" customHeight="1">
      <c r="A84" s="2" t="s">
        <v>19</v>
      </c>
      <c r="B84" s="2" t="s">
        <v>82</v>
      </c>
      <c r="C84" s="2" t="s">
        <v>21</v>
      </c>
      <c r="D84" s="2" t="s">
        <v>56</v>
      </c>
      <c r="F84" s="2" t="s">
        <v>83</v>
      </c>
      <c r="G84" s="2">
        <v>16669.545683</v>
      </c>
      <c r="H84" s="2" t="s">
        <v>25</v>
      </c>
    </row>
    <row r="85" ht="15.75" customHeight="1">
      <c r="A85" s="2" t="s">
        <v>19</v>
      </c>
      <c r="B85" s="2" t="s">
        <v>82</v>
      </c>
      <c r="C85" s="2" t="s">
        <v>21</v>
      </c>
      <c r="D85" s="2" t="s">
        <v>56</v>
      </c>
      <c r="F85" s="2" t="s">
        <v>83</v>
      </c>
      <c r="G85" s="2">
        <v>16518.122589</v>
      </c>
      <c r="H85" s="2" t="s">
        <v>26</v>
      </c>
    </row>
    <row r="86" ht="15.75" customHeight="1">
      <c r="A86" s="2" t="s">
        <v>19</v>
      </c>
      <c r="B86" s="2" t="s">
        <v>84</v>
      </c>
      <c r="C86" s="2" t="s">
        <v>32</v>
      </c>
      <c r="D86" s="2" t="s">
        <v>48</v>
      </c>
      <c r="F86" s="2" t="s">
        <v>85</v>
      </c>
      <c r="G86" s="2">
        <v>18843.097092</v>
      </c>
      <c r="H86" s="2" t="s">
        <v>27</v>
      </c>
    </row>
    <row r="87" ht="15.75" customHeight="1">
      <c r="A87" s="2" t="s">
        <v>19</v>
      </c>
      <c r="B87" s="2" t="s">
        <v>84</v>
      </c>
      <c r="C87" s="2" t="s">
        <v>32</v>
      </c>
      <c r="D87" s="2" t="s">
        <v>48</v>
      </c>
      <c r="F87" s="2" t="s">
        <v>85</v>
      </c>
      <c r="G87" s="2">
        <v>15931.39405</v>
      </c>
      <c r="H87" s="2" t="s">
        <v>25</v>
      </c>
    </row>
    <row r="88" ht="15.75" customHeight="1">
      <c r="A88" s="2" t="s">
        <v>19</v>
      </c>
      <c r="B88" s="2" t="s">
        <v>84</v>
      </c>
      <c r="C88" s="2" t="s">
        <v>32</v>
      </c>
      <c r="D88" s="2" t="s">
        <v>48</v>
      </c>
      <c r="F88" s="2" t="s">
        <v>85</v>
      </c>
      <c r="G88" s="2">
        <v>19074.754614</v>
      </c>
      <c r="H88" s="2" t="s">
        <v>26</v>
      </c>
    </row>
    <row r="89" ht="15.75" customHeight="1">
      <c r="A89" s="2" t="s">
        <v>19</v>
      </c>
      <c r="B89" s="2" t="s">
        <v>86</v>
      </c>
      <c r="C89" s="2" t="s">
        <v>32</v>
      </c>
      <c r="D89" s="2" t="s">
        <v>39</v>
      </c>
      <c r="F89" s="2" t="s">
        <v>87</v>
      </c>
      <c r="G89" s="2">
        <v>14165.15378</v>
      </c>
      <c r="H89" s="2" t="s">
        <v>27</v>
      </c>
    </row>
    <row r="90" ht="15.75" customHeight="1">
      <c r="A90" s="2" t="s">
        <v>19</v>
      </c>
      <c r="B90" s="2" t="s">
        <v>86</v>
      </c>
      <c r="C90" s="2" t="s">
        <v>32</v>
      </c>
      <c r="D90" s="2" t="s">
        <v>39</v>
      </c>
      <c r="F90" s="2" t="s">
        <v>87</v>
      </c>
      <c r="G90" s="2">
        <v>14432.174718</v>
      </c>
      <c r="H90" s="2" t="s">
        <v>25</v>
      </c>
    </row>
    <row r="91" ht="15.75" customHeight="1">
      <c r="A91" s="2" t="s">
        <v>19</v>
      </c>
      <c r="B91" s="2" t="s">
        <v>86</v>
      </c>
      <c r="C91" s="2" t="s">
        <v>32</v>
      </c>
      <c r="D91" s="2" t="s">
        <v>39</v>
      </c>
      <c r="F91" s="2" t="s">
        <v>87</v>
      </c>
      <c r="G91" s="2">
        <v>14418.282958</v>
      </c>
      <c r="H91" s="2" t="s">
        <v>26</v>
      </c>
    </row>
    <row r="92" ht="15.75" customHeight="1">
      <c r="A92" s="2" t="s">
        <v>19</v>
      </c>
      <c r="B92" s="2" t="s">
        <v>88</v>
      </c>
      <c r="C92" s="2" t="s">
        <v>21</v>
      </c>
      <c r="D92" s="2" t="s">
        <v>22</v>
      </c>
      <c r="E92" s="2" t="s">
        <v>45</v>
      </c>
      <c r="F92" s="2" t="s">
        <v>89</v>
      </c>
      <c r="G92" s="2">
        <v>15633.097092</v>
      </c>
      <c r="H92" s="2" t="s">
        <v>27</v>
      </c>
    </row>
    <row r="93" ht="15.75" customHeight="1">
      <c r="A93" s="2" t="s">
        <v>19</v>
      </c>
      <c r="B93" s="2" t="s">
        <v>88</v>
      </c>
      <c r="C93" s="2" t="s">
        <v>21</v>
      </c>
      <c r="D93" s="2" t="s">
        <v>22</v>
      </c>
      <c r="E93" s="2" t="s">
        <v>45</v>
      </c>
      <c r="F93" s="2" t="s">
        <v>89</v>
      </c>
      <c r="G93" s="2">
        <v>3181.752788</v>
      </c>
      <c r="H93" s="2" t="s">
        <v>25</v>
      </c>
    </row>
    <row r="94" ht="15.75" customHeight="1">
      <c r="A94" s="2" t="s">
        <v>19</v>
      </c>
      <c r="B94" s="2" t="s">
        <v>88</v>
      </c>
      <c r="C94" s="2" t="s">
        <v>21</v>
      </c>
      <c r="D94" s="2" t="s">
        <v>22</v>
      </c>
      <c r="E94" s="2" t="s">
        <v>45</v>
      </c>
      <c r="F94" s="2" t="s">
        <v>89</v>
      </c>
      <c r="G94" s="2">
        <v>15924.754614</v>
      </c>
      <c r="H94" s="2" t="s">
        <v>26</v>
      </c>
    </row>
    <row r="95" ht="15.75" customHeight="1">
      <c r="A95" s="2" t="s">
        <v>19</v>
      </c>
      <c r="B95" s="2" t="s">
        <v>90</v>
      </c>
      <c r="C95" s="2" t="s">
        <v>21</v>
      </c>
      <c r="D95" s="2" t="s">
        <v>22</v>
      </c>
      <c r="E95" s="2" t="s">
        <v>45</v>
      </c>
      <c r="F95" s="2" t="s">
        <v>91</v>
      </c>
      <c r="G95" s="2">
        <v>17051.678181</v>
      </c>
      <c r="H95" s="2" t="s">
        <v>25</v>
      </c>
    </row>
    <row r="96" ht="15.75" customHeight="1">
      <c r="A96" s="2" t="s">
        <v>19</v>
      </c>
      <c r="B96" s="2" t="s">
        <v>90</v>
      </c>
      <c r="C96" s="2" t="s">
        <v>21</v>
      </c>
      <c r="D96" s="2" t="s">
        <v>22</v>
      </c>
      <c r="E96" s="2" t="s">
        <v>45</v>
      </c>
      <c r="F96" s="2" t="s">
        <v>91</v>
      </c>
      <c r="G96" s="2">
        <v>8493.071037</v>
      </c>
      <c r="H96" s="2" t="s">
        <v>27</v>
      </c>
    </row>
    <row r="97" ht="15.75" customHeight="1">
      <c r="A97" s="2" t="s">
        <v>19</v>
      </c>
      <c r="B97" s="2" t="s">
        <v>92</v>
      </c>
      <c r="C97" s="2" t="s">
        <v>21</v>
      </c>
      <c r="D97" s="2" t="s">
        <v>22</v>
      </c>
      <c r="E97" s="2" t="s">
        <v>93</v>
      </c>
      <c r="F97" s="2" t="s">
        <v>94</v>
      </c>
      <c r="G97" s="2">
        <v>14652.097092</v>
      </c>
      <c r="H97" s="2" t="s">
        <v>27</v>
      </c>
    </row>
    <row r="98" ht="15.75" customHeight="1">
      <c r="A98" s="2" t="s">
        <v>19</v>
      </c>
      <c r="B98" s="2" t="s">
        <v>92</v>
      </c>
      <c r="C98" s="2" t="s">
        <v>21</v>
      </c>
      <c r="D98" s="2" t="s">
        <v>22</v>
      </c>
      <c r="E98" s="2" t="s">
        <v>93</v>
      </c>
      <c r="F98" s="2" t="s">
        <v>94</v>
      </c>
      <c r="G98" s="2">
        <v>13969.39405</v>
      </c>
      <c r="H98" s="2" t="s">
        <v>25</v>
      </c>
    </row>
    <row r="99" ht="15.75" customHeight="1">
      <c r="A99" s="2" t="s">
        <v>19</v>
      </c>
      <c r="B99" s="2" t="s">
        <v>92</v>
      </c>
      <c r="C99" s="2" t="s">
        <v>21</v>
      </c>
      <c r="D99" s="2" t="s">
        <v>22</v>
      </c>
      <c r="E99" s="2" t="s">
        <v>93</v>
      </c>
      <c r="F99" s="2" t="s">
        <v>94</v>
      </c>
      <c r="G99" s="2">
        <v>15924.754614</v>
      </c>
      <c r="H99" s="2" t="s">
        <v>26</v>
      </c>
    </row>
    <row r="100" ht="15.75" customHeight="1">
      <c r="A100" s="2" t="s">
        <v>19</v>
      </c>
      <c r="B100" s="2" t="s">
        <v>95</v>
      </c>
      <c r="C100" s="2" t="s">
        <v>68</v>
      </c>
      <c r="D100" s="2" t="s">
        <v>56</v>
      </c>
      <c r="F100" s="2" t="s">
        <v>96</v>
      </c>
      <c r="G100" s="2">
        <v>17571.832089</v>
      </c>
      <c r="H100" s="2" t="s">
        <v>26</v>
      </c>
    </row>
    <row r="101" ht="15.75" customHeight="1">
      <c r="A101" s="2" t="s">
        <v>19</v>
      </c>
      <c r="B101" s="2" t="s">
        <v>95</v>
      </c>
      <c r="C101" s="2" t="s">
        <v>68</v>
      </c>
      <c r="D101" s="2" t="s">
        <v>56</v>
      </c>
      <c r="F101" s="2" t="s">
        <v>96</v>
      </c>
      <c r="G101" s="2">
        <v>17355.964058</v>
      </c>
      <c r="H101" s="2" t="s">
        <v>27</v>
      </c>
    </row>
    <row r="102" ht="15.75" customHeight="1">
      <c r="A102" s="2" t="s">
        <v>19</v>
      </c>
      <c r="B102" s="2" t="s">
        <v>95</v>
      </c>
      <c r="C102" s="2" t="s">
        <v>68</v>
      </c>
      <c r="D102" s="2" t="s">
        <v>56</v>
      </c>
      <c r="F102" s="2" t="s">
        <v>96</v>
      </c>
      <c r="G102" s="2">
        <v>17763.364907</v>
      </c>
      <c r="H102" s="2" t="s">
        <v>25</v>
      </c>
    </row>
    <row r="103" ht="15.75" customHeight="1">
      <c r="A103" s="2" t="s">
        <v>19</v>
      </c>
      <c r="B103" s="2" t="s">
        <v>97</v>
      </c>
      <c r="C103" s="2" t="s">
        <v>21</v>
      </c>
      <c r="D103" s="2" t="s">
        <v>22</v>
      </c>
      <c r="E103" s="2" t="s">
        <v>98</v>
      </c>
      <c r="F103" s="2" t="s">
        <v>99</v>
      </c>
      <c r="G103" s="2">
        <v>26433.84557</v>
      </c>
      <c r="H103" s="2" t="s">
        <v>26</v>
      </c>
    </row>
    <row r="104" ht="15.75" customHeight="1">
      <c r="A104" s="2" t="s">
        <v>19</v>
      </c>
      <c r="B104" s="2" t="s">
        <v>97</v>
      </c>
      <c r="C104" s="2" t="s">
        <v>21</v>
      </c>
      <c r="D104" s="2" t="s">
        <v>22</v>
      </c>
      <c r="E104" s="2" t="s">
        <v>98</v>
      </c>
      <c r="F104" s="2" t="s">
        <v>99</v>
      </c>
      <c r="G104" s="2">
        <v>18888.877198</v>
      </c>
      <c r="H104" s="2" t="s">
        <v>27</v>
      </c>
    </row>
    <row r="105" ht="15.75" customHeight="1">
      <c r="A105" s="2" t="s">
        <v>19</v>
      </c>
      <c r="B105" s="2" t="s">
        <v>97</v>
      </c>
      <c r="C105" s="2" t="s">
        <v>21</v>
      </c>
      <c r="D105" s="2" t="s">
        <v>22</v>
      </c>
      <c r="E105" s="2" t="s">
        <v>98</v>
      </c>
      <c r="F105" s="2" t="s">
        <v>99</v>
      </c>
      <c r="G105" s="2">
        <v>20299.69469</v>
      </c>
      <c r="H105" s="2" t="s">
        <v>25</v>
      </c>
    </row>
    <row r="106" ht="15.75" customHeight="1">
      <c r="A106" s="2" t="s">
        <v>19</v>
      </c>
      <c r="B106" s="2" t="s">
        <v>100</v>
      </c>
      <c r="C106" s="2" t="s">
        <v>21</v>
      </c>
      <c r="D106" s="2" t="s">
        <v>22</v>
      </c>
      <c r="F106" s="2" t="s">
        <v>101</v>
      </c>
      <c r="G106" s="2">
        <v>16929.069051</v>
      </c>
      <c r="H106" s="2" t="s">
        <v>26</v>
      </c>
    </row>
    <row r="107" ht="15.75" customHeight="1">
      <c r="A107" s="2" t="s">
        <v>19</v>
      </c>
      <c r="B107" s="2" t="s">
        <v>100</v>
      </c>
      <c r="C107" s="2" t="s">
        <v>21</v>
      </c>
      <c r="D107" s="2" t="s">
        <v>22</v>
      </c>
      <c r="F107" s="2" t="s">
        <v>101</v>
      </c>
      <c r="G107" s="2">
        <v>4494.62529</v>
      </c>
      <c r="H107" s="2" t="s">
        <v>27</v>
      </c>
    </row>
    <row r="108" ht="15.75" customHeight="1">
      <c r="A108" s="2" t="s">
        <v>19</v>
      </c>
      <c r="B108" s="2" t="s">
        <v>102</v>
      </c>
      <c r="C108" s="2" t="s">
        <v>32</v>
      </c>
      <c r="D108" s="2" t="s">
        <v>103</v>
      </c>
      <c r="F108" s="2" t="s">
        <v>104</v>
      </c>
      <c r="G108" s="2">
        <v>19146.252292</v>
      </c>
      <c r="H108" s="2" t="s">
        <v>26</v>
      </c>
    </row>
    <row r="109" ht="15.75" customHeight="1">
      <c r="A109" s="2" t="s">
        <v>19</v>
      </c>
      <c r="B109" s="2" t="s">
        <v>102</v>
      </c>
      <c r="C109" s="2" t="s">
        <v>32</v>
      </c>
      <c r="D109" s="2" t="s">
        <v>103</v>
      </c>
      <c r="F109" s="2" t="s">
        <v>104</v>
      </c>
      <c r="G109" s="2">
        <v>15198.144052</v>
      </c>
      <c r="H109" s="2" t="s">
        <v>25</v>
      </c>
    </row>
    <row r="110" ht="15.75" customHeight="1">
      <c r="A110" s="2" t="s">
        <v>19</v>
      </c>
      <c r="B110" s="2" t="s">
        <v>102</v>
      </c>
      <c r="C110" s="2" t="s">
        <v>32</v>
      </c>
      <c r="D110" s="2" t="s">
        <v>103</v>
      </c>
      <c r="F110" s="2" t="s">
        <v>104</v>
      </c>
      <c r="G110" s="2">
        <v>17892.853175</v>
      </c>
      <c r="H110" s="2" t="s">
        <v>27</v>
      </c>
    </row>
    <row r="111" ht="15.75" customHeight="1">
      <c r="A111" s="2" t="s">
        <v>19</v>
      </c>
      <c r="B111" s="2" t="s">
        <v>105</v>
      </c>
      <c r="C111" s="2" t="s">
        <v>21</v>
      </c>
      <c r="D111" s="2" t="s">
        <v>22</v>
      </c>
      <c r="F111" s="2" t="s">
        <v>106</v>
      </c>
      <c r="G111" s="2">
        <v>7350.0</v>
      </c>
      <c r="H111" s="2" t="s">
        <v>25</v>
      </c>
    </row>
    <row r="112" ht="15.75" customHeight="1">
      <c r="A112" s="2" t="s">
        <v>19</v>
      </c>
      <c r="B112" s="2" t="s">
        <v>105</v>
      </c>
      <c r="C112" s="2" t="s">
        <v>21</v>
      </c>
      <c r="D112" s="2" t="s">
        <v>22</v>
      </c>
      <c r="F112" s="2" t="s">
        <v>106</v>
      </c>
      <c r="G112" s="2">
        <v>3675.0</v>
      </c>
      <c r="H112" s="2" t="s">
        <v>26</v>
      </c>
    </row>
    <row r="113" ht="15.75" customHeight="1">
      <c r="A113" s="2" t="s">
        <v>19</v>
      </c>
      <c r="B113" s="2" t="s">
        <v>105</v>
      </c>
      <c r="C113" s="2" t="s">
        <v>21</v>
      </c>
      <c r="D113" s="2" t="s">
        <v>22</v>
      </c>
      <c r="F113" s="2" t="s">
        <v>106</v>
      </c>
      <c r="G113" s="2">
        <v>7350.0</v>
      </c>
      <c r="H113" s="2" t="s">
        <v>27</v>
      </c>
    </row>
    <row r="114" ht="15.75" customHeight="1">
      <c r="A114" s="2" t="s">
        <v>19</v>
      </c>
      <c r="B114" s="2" t="s">
        <v>107</v>
      </c>
      <c r="C114" s="2" t="s">
        <v>32</v>
      </c>
      <c r="D114" s="2" t="s">
        <v>48</v>
      </c>
      <c r="F114" s="2" t="s">
        <v>108</v>
      </c>
      <c r="G114" s="2">
        <v>20297.06278</v>
      </c>
      <c r="H114" s="2" t="s">
        <v>25</v>
      </c>
    </row>
    <row r="115" ht="15.75" customHeight="1">
      <c r="A115" s="2" t="s">
        <v>19</v>
      </c>
      <c r="B115" s="2" t="s">
        <v>107</v>
      </c>
      <c r="C115" s="2" t="s">
        <v>32</v>
      </c>
      <c r="D115" s="2" t="s">
        <v>48</v>
      </c>
      <c r="F115" s="2" t="s">
        <v>108</v>
      </c>
      <c r="G115" s="2">
        <v>20130.558316</v>
      </c>
      <c r="H115" s="2" t="s">
        <v>26</v>
      </c>
    </row>
    <row r="116" ht="15.75" customHeight="1">
      <c r="A116" s="2" t="s">
        <v>19</v>
      </c>
      <c r="B116" s="2" t="s">
        <v>107</v>
      </c>
      <c r="C116" s="2" t="s">
        <v>32</v>
      </c>
      <c r="D116" s="2" t="s">
        <v>48</v>
      </c>
      <c r="F116" s="2" t="s">
        <v>108</v>
      </c>
      <c r="G116" s="2">
        <v>19918.225945</v>
      </c>
      <c r="H116" s="2" t="s">
        <v>27</v>
      </c>
    </row>
    <row r="117" ht="15.75" customHeight="1">
      <c r="A117" s="2" t="s">
        <v>19</v>
      </c>
      <c r="B117" s="2" t="s">
        <v>109</v>
      </c>
      <c r="C117" s="2" t="s">
        <v>21</v>
      </c>
      <c r="D117" s="2" t="s">
        <v>22</v>
      </c>
      <c r="E117" s="2" t="s">
        <v>53</v>
      </c>
      <c r="F117" s="2" t="s">
        <v>110</v>
      </c>
      <c r="G117" s="2">
        <v>16974.754614</v>
      </c>
      <c r="H117" s="2" t="s">
        <v>26</v>
      </c>
    </row>
    <row r="118" ht="15.75" customHeight="1">
      <c r="A118" s="2" t="s">
        <v>19</v>
      </c>
      <c r="B118" s="2" t="s">
        <v>109</v>
      </c>
      <c r="C118" s="2" t="s">
        <v>21</v>
      </c>
      <c r="D118" s="2" t="s">
        <v>22</v>
      </c>
      <c r="E118" s="2" t="s">
        <v>53</v>
      </c>
      <c r="F118" s="2" t="s">
        <v>110</v>
      </c>
      <c r="G118" s="2">
        <v>13884.567962</v>
      </c>
      <c r="H118" s="2" t="s">
        <v>27</v>
      </c>
    </row>
    <row r="119" ht="15.75" customHeight="1">
      <c r="A119" s="2" t="s">
        <v>19</v>
      </c>
      <c r="B119" s="2" t="s">
        <v>111</v>
      </c>
      <c r="C119" s="2" t="s">
        <v>21</v>
      </c>
      <c r="D119" s="2" t="s">
        <v>22</v>
      </c>
      <c r="E119" s="2" t="s">
        <v>53</v>
      </c>
      <c r="F119" s="2" t="s">
        <v>112</v>
      </c>
      <c r="G119" s="2">
        <v>15635.661516</v>
      </c>
      <c r="H119" s="2" t="s">
        <v>27</v>
      </c>
    </row>
    <row r="120" ht="15.75" customHeight="1">
      <c r="A120" s="2" t="s">
        <v>19</v>
      </c>
      <c r="B120" s="2" t="s">
        <v>111</v>
      </c>
      <c r="C120" s="2" t="s">
        <v>21</v>
      </c>
      <c r="D120" s="2" t="s">
        <v>22</v>
      </c>
      <c r="E120" s="2" t="s">
        <v>53</v>
      </c>
      <c r="F120" s="2" t="s">
        <v>112</v>
      </c>
      <c r="G120" s="2">
        <v>15934.228414</v>
      </c>
      <c r="H120" s="2" t="s">
        <v>25</v>
      </c>
    </row>
    <row r="121" ht="15.75" customHeight="1">
      <c r="A121" s="2" t="s">
        <v>19</v>
      </c>
      <c r="B121" s="2" t="s">
        <v>111</v>
      </c>
      <c r="C121" s="2" t="s">
        <v>21</v>
      </c>
      <c r="D121" s="2" t="s">
        <v>22</v>
      </c>
      <c r="E121" s="2" t="s">
        <v>53</v>
      </c>
      <c r="F121" s="2" t="s">
        <v>112</v>
      </c>
      <c r="G121" s="2">
        <v>15927.656463</v>
      </c>
      <c r="H121" s="2" t="s">
        <v>26</v>
      </c>
    </row>
    <row r="122" ht="15.75" customHeight="1">
      <c r="A122" s="2" t="s">
        <v>19</v>
      </c>
      <c r="B122" s="2" t="s">
        <v>113</v>
      </c>
      <c r="C122" s="2" t="s">
        <v>32</v>
      </c>
      <c r="D122" s="2" t="s">
        <v>56</v>
      </c>
      <c r="F122" s="2" t="s">
        <v>114</v>
      </c>
      <c r="G122" s="2">
        <v>23200.97604</v>
      </c>
      <c r="H122" s="2" t="s">
        <v>27</v>
      </c>
    </row>
    <row r="123" ht="15.75" customHeight="1">
      <c r="A123" s="2" t="s">
        <v>19</v>
      </c>
      <c r="B123" s="2" t="s">
        <v>113</v>
      </c>
      <c r="C123" s="2" t="s">
        <v>32</v>
      </c>
      <c r="D123" s="2" t="s">
        <v>56</v>
      </c>
      <c r="F123" s="2" t="s">
        <v>114</v>
      </c>
      <c r="G123" s="2">
        <v>22655.84342</v>
      </c>
      <c r="H123" s="2" t="s">
        <v>25</v>
      </c>
    </row>
    <row r="124" ht="15.75" customHeight="1">
      <c r="A124" s="2" t="s">
        <v>19</v>
      </c>
      <c r="B124" s="2" t="s">
        <v>113</v>
      </c>
      <c r="C124" s="2" t="s">
        <v>32</v>
      </c>
      <c r="D124" s="2" t="s">
        <v>56</v>
      </c>
      <c r="F124" s="2" t="s">
        <v>114</v>
      </c>
      <c r="G124" s="3">
        <f>11076.24+'Hoja 1'!L71</f>
        <v>20527.44</v>
      </c>
      <c r="H124" s="2" t="s">
        <v>26</v>
      </c>
    </row>
    <row r="125" ht="15.75" customHeight="1">
      <c r="A125" s="2" t="s">
        <v>19</v>
      </c>
      <c r="B125" s="2" t="s">
        <v>113</v>
      </c>
      <c r="C125" s="2" t="s">
        <v>32</v>
      </c>
      <c r="D125" s="2" t="s">
        <v>56</v>
      </c>
      <c r="F125" s="2" t="s">
        <v>114</v>
      </c>
      <c r="G125" s="3">
        <f>11076.24+'Hoja 1'!L123</f>
        <v>20527.44</v>
      </c>
      <c r="H125" s="4" t="s">
        <v>28</v>
      </c>
    </row>
    <row r="126" ht="15.75" customHeight="1">
      <c r="A126" s="2" t="s">
        <v>19</v>
      </c>
      <c r="B126" s="2" t="s">
        <v>115</v>
      </c>
      <c r="C126" s="2" t="s">
        <v>21</v>
      </c>
      <c r="D126" s="2" t="s">
        <v>22</v>
      </c>
      <c r="F126" s="2" t="s">
        <v>116</v>
      </c>
      <c r="G126" s="2">
        <v>10128.07104</v>
      </c>
      <c r="H126" s="2" t="s">
        <v>27</v>
      </c>
    </row>
    <row r="127" ht="15.75" customHeight="1">
      <c r="A127" s="2" t="s">
        <v>19</v>
      </c>
      <c r="B127" s="2" t="s">
        <v>115</v>
      </c>
      <c r="C127" s="2" t="s">
        <v>21</v>
      </c>
      <c r="D127" s="2" t="s">
        <v>22</v>
      </c>
      <c r="F127" s="2" t="s">
        <v>116</v>
      </c>
      <c r="G127" s="2">
        <v>20321.67818</v>
      </c>
      <c r="H127" s="2" t="s">
        <v>25</v>
      </c>
    </row>
    <row r="128" ht="15.75" customHeight="1">
      <c r="A128" s="2" t="s">
        <v>19</v>
      </c>
      <c r="B128" s="2" t="s">
        <v>117</v>
      </c>
      <c r="C128" s="2" t="s">
        <v>32</v>
      </c>
      <c r="D128" s="2" t="s">
        <v>118</v>
      </c>
      <c r="F128" s="2" t="s">
        <v>119</v>
      </c>
      <c r="G128" s="3">
        <f>21525+'Hoja 1'!C25+'Hoja 1'!I26</f>
        <v>34524.9</v>
      </c>
      <c r="H128" s="2" t="s">
        <v>27</v>
      </c>
    </row>
    <row r="129" ht="15.75" customHeight="1">
      <c r="A129" s="2" t="s">
        <v>19</v>
      </c>
      <c r="B129" s="2" t="s">
        <v>117</v>
      </c>
      <c r="C129" s="2" t="s">
        <v>32</v>
      </c>
      <c r="D129" s="2" t="s">
        <v>118</v>
      </c>
      <c r="F129" s="2" t="s">
        <v>119</v>
      </c>
      <c r="G129" s="3">
        <v>34524.9</v>
      </c>
      <c r="H129" s="2" t="s">
        <v>26</v>
      </c>
    </row>
    <row r="130" ht="15.75" customHeight="1">
      <c r="A130" s="2" t="s">
        <v>19</v>
      </c>
      <c r="B130" s="2" t="s">
        <v>117</v>
      </c>
      <c r="C130" s="2" t="s">
        <v>32</v>
      </c>
      <c r="D130" s="2" t="s">
        <v>118</v>
      </c>
      <c r="F130" s="2" t="s">
        <v>119</v>
      </c>
      <c r="G130" s="3">
        <v>34524.9</v>
      </c>
      <c r="H130" s="2" t="s">
        <v>25</v>
      </c>
    </row>
    <row r="131" ht="15.75" customHeight="1">
      <c r="A131" s="2" t="s">
        <v>19</v>
      </c>
      <c r="B131" s="2" t="s">
        <v>117</v>
      </c>
      <c r="C131" s="2" t="s">
        <v>32</v>
      </c>
      <c r="D131" s="2" t="s">
        <v>118</v>
      </c>
      <c r="F131" s="2" t="s">
        <v>119</v>
      </c>
      <c r="G131" s="3">
        <v>34524.9</v>
      </c>
      <c r="H131" s="4" t="s">
        <v>28</v>
      </c>
    </row>
    <row r="132" ht="15.75" customHeight="1">
      <c r="A132" s="2" t="s">
        <v>19</v>
      </c>
      <c r="B132" s="2" t="s">
        <v>120</v>
      </c>
      <c r="C132" s="2" t="s">
        <v>21</v>
      </c>
      <c r="D132" s="2" t="s">
        <v>22</v>
      </c>
      <c r="E132" s="2" t="s">
        <v>23</v>
      </c>
      <c r="F132" s="2" t="s">
        <v>121</v>
      </c>
      <c r="G132" s="3">
        <f>4424.49+'Hoja 1'!C57+'Hoja 1'!I55</f>
        <v>14368.28</v>
      </c>
      <c r="H132" s="2" t="s">
        <v>26</v>
      </c>
    </row>
    <row r="133" ht="15.75" customHeight="1">
      <c r="A133" s="2" t="s">
        <v>19</v>
      </c>
      <c r="B133" s="2" t="s">
        <v>120</v>
      </c>
      <c r="C133" s="2" t="s">
        <v>21</v>
      </c>
      <c r="D133" s="2" t="s">
        <v>22</v>
      </c>
      <c r="E133" s="2" t="s">
        <v>23</v>
      </c>
      <c r="F133" s="2" t="s">
        <v>121</v>
      </c>
      <c r="G133" s="3">
        <f>11426.191037+'Hoja 1'!I32</f>
        <v>13001.39104</v>
      </c>
      <c r="H133" s="2" t="s">
        <v>27</v>
      </c>
    </row>
    <row r="134" ht="15.75" customHeight="1">
      <c r="A134" s="2" t="s">
        <v>19</v>
      </c>
      <c r="B134" s="2" t="s">
        <v>120</v>
      </c>
      <c r="C134" s="2" t="s">
        <v>21</v>
      </c>
      <c r="D134" s="2" t="s">
        <v>22</v>
      </c>
      <c r="E134" s="2" t="s">
        <v>23</v>
      </c>
      <c r="F134" s="2" t="s">
        <v>121</v>
      </c>
      <c r="G134" s="2">
        <v>11540.051364</v>
      </c>
      <c r="H134" s="2" t="s">
        <v>25</v>
      </c>
    </row>
    <row r="135" ht="15.75" customHeight="1">
      <c r="A135" s="2" t="s">
        <v>19</v>
      </c>
      <c r="B135" s="2" t="s">
        <v>120</v>
      </c>
      <c r="C135" s="2" t="s">
        <v>21</v>
      </c>
      <c r="D135" s="2" t="s">
        <v>22</v>
      </c>
      <c r="E135" s="2" t="s">
        <v>23</v>
      </c>
      <c r="F135" s="2" t="s">
        <v>121</v>
      </c>
      <c r="G135" s="5">
        <f>4062.2925+'Hoja 1'!C109+'Hoja 1'!I109</f>
        <v>13513.4925</v>
      </c>
      <c r="H135" s="4" t="s">
        <v>28</v>
      </c>
    </row>
    <row r="136" ht="15.75" customHeight="1">
      <c r="A136" s="2" t="s">
        <v>19</v>
      </c>
      <c r="B136" s="2" t="s">
        <v>122</v>
      </c>
      <c r="C136" s="2" t="s">
        <v>32</v>
      </c>
      <c r="D136" s="2" t="s">
        <v>48</v>
      </c>
      <c r="F136" s="2" t="s">
        <v>123</v>
      </c>
      <c r="G136" s="2">
        <v>16555.654738</v>
      </c>
      <c r="H136" s="2" t="s">
        <v>26</v>
      </c>
    </row>
    <row r="137" ht="15.75" customHeight="1">
      <c r="A137" s="2" t="s">
        <v>19</v>
      </c>
      <c r="B137" s="2" t="s">
        <v>122</v>
      </c>
      <c r="C137" s="2" t="s">
        <v>32</v>
      </c>
      <c r="D137" s="2" t="s">
        <v>48</v>
      </c>
      <c r="F137" s="2" t="s">
        <v>123</v>
      </c>
      <c r="G137" s="2">
        <v>17783.171619</v>
      </c>
      <c r="H137" s="2" t="s">
        <v>27</v>
      </c>
    </row>
    <row r="138" ht="15.75" customHeight="1">
      <c r="A138" s="2" t="s">
        <v>19</v>
      </c>
      <c r="B138" s="2" t="s">
        <v>122</v>
      </c>
      <c r="C138" s="2" t="s">
        <v>32</v>
      </c>
      <c r="D138" s="2" t="s">
        <v>48</v>
      </c>
      <c r="F138" s="2" t="s">
        <v>123</v>
      </c>
      <c r="G138" s="2">
        <v>18122.529054</v>
      </c>
      <c r="H138" s="2" t="s">
        <v>25</v>
      </c>
    </row>
    <row r="139" ht="15.75" customHeight="1">
      <c r="A139" s="2" t="s">
        <v>19</v>
      </c>
      <c r="B139" s="2" t="s">
        <v>124</v>
      </c>
      <c r="C139" s="2" t="s">
        <v>21</v>
      </c>
      <c r="D139" s="2" t="s">
        <v>22</v>
      </c>
      <c r="E139" s="2" t="s">
        <v>42</v>
      </c>
      <c r="F139" s="2" t="s">
        <v>125</v>
      </c>
      <c r="G139" s="2">
        <v>13205.68591</v>
      </c>
      <c r="H139" s="2" t="s">
        <v>26</v>
      </c>
    </row>
    <row r="140" ht="15.75" customHeight="1">
      <c r="A140" s="2" t="s">
        <v>19</v>
      </c>
      <c r="B140" s="2" t="s">
        <v>124</v>
      </c>
      <c r="C140" s="2" t="s">
        <v>21</v>
      </c>
      <c r="D140" s="2" t="s">
        <v>22</v>
      </c>
      <c r="E140" s="2" t="s">
        <v>42</v>
      </c>
      <c r="F140" s="2" t="s">
        <v>125</v>
      </c>
      <c r="G140" s="2">
        <v>12908.441516</v>
      </c>
      <c r="H140" s="2" t="s">
        <v>27</v>
      </c>
    </row>
    <row r="141" ht="15.75" customHeight="1">
      <c r="A141" s="2" t="s">
        <v>19</v>
      </c>
      <c r="B141" s="2" t="s">
        <v>124</v>
      </c>
      <c r="C141" s="2" t="s">
        <v>21</v>
      </c>
      <c r="D141" s="2" t="s">
        <v>22</v>
      </c>
      <c r="E141" s="2" t="s">
        <v>42</v>
      </c>
      <c r="F141" s="2" t="s">
        <v>125</v>
      </c>
      <c r="G141" s="2">
        <v>13156.028414</v>
      </c>
      <c r="H141" s="2" t="s">
        <v>25</v>
      </c>
    </row>
    <row r="142" ht="15.75" customHeight="1">
      <c r="A142" s="2" t="s">
        <v>19</v>
      </c>
      <c r="B142" s="2" t="s">
        <v>126</v>
      </c>
      <c r="C142" s="2" t="s">
        <v>32</v>
      </c>
      <c r="D142" s="2" t="s">
        <v>48</v>
      </c>
      <c r="F142" s="2" t="s">
        <v>127</v>
      </c>
      <c r="G142" s="2">
        <v>15924.754614</v>
      </c>
      <c r="H142" s="2" t="s">
        <v>26</v>
      </c>
    </row>
    <row r="143" ht="15.75" customHeight="1">
      <c r="A143" s="2" t="s">
        <v>19</v>
      </c>
      <c r="B143" s="2" t="s">
        <v>126</v>
      </c>
      <c r="C143" s="2" t="s">
        <v>32</v>
      </c>
      <c r="D143" s="2" t="s">
        <v>48</v>
      </c>
      <c r="F143" s="2" t="s">
        <v>127</v>
      </c>
      <c r="G143" s="2">
        <v>7699.68742</v>
      </c>
      <c r="H143" s="2" t="s">
        <v>27</v>
      </c>
    </row>
    <row r="144" ht="15.75" customHeight="1">
      <c r="A144" s="2" t="s">
        <v>19</v>
      </c>
      <c r="B144" s="2" t="s">
        <v>128</v>
      </c>
      <c r="C144" s="2" t="s">
        <v>21</v>
      </c>
      <c r="D144" s="2" t="s">
        <v>22</v>
      </c>
      <c r="E144" s="2" t="s">
        <v>23</v>
      </c>
      <c r="F144" s="2" t="s">
        <v>129</v>
      </c>
      <c r="G144" s="3">
        <f>8976.24+'Hoja 1'!C60+'Hoja 1'!I58</f>
        <v>18920.03</v>
      </c>
      <c r="H144" s="2" t="s">
        <v>26</v>
      </c>
    </row>
    <row r="145" ht="15.75" customHeight="1">
      <c r="A145" s="2" t="s">
        <v>19</v>
      </c>
      <c r="B145" s="2" t="s">
        <v>128</v>
      </c>
      <c r="C145" s="2" t="s">
        <v>21</v>
      </c>
      <c r="D145" s="2" t="s">
        <v>22</v>
      </c>
      <c r="E145" s="2" t="s">
        <v>23</v>
      </c>
      <c r="F145" s="2" t="s">
        <v>129</v>
      </c>
      <c r="G145" s="2">
        <f>19215.080388+1575.2</f>
        <v>20790.28039</v>
      </c>
      <c r="H145" s="2" t="s">
        <v>27</v>
      </c>
    </row>
    <row r="146" ht="15.75" customHeight="1">
      <c r="A146" s="2" t="s">
        <v>19</v>
      </c>
      <c r="B146" s="2" t="s">
        <v>128</v>
      </c>
      <c r="C146" s="2" t="s">
        <v>21</v>
      </c>
      <c r="D146" s="2" t="s">
        <v>22</v>
      </c>
      <c r="E146" s="2" t="s">
        <v>23</v>
      </c>
      <c r="F146" s="2" t="s">
        <v>129</v>
      </c>
      <c r="G146" s="2">
        <v>22501.67818</v>
      </c>
      <c r="H146" s="2" t="s">
        <v>25</v>
      </c>
    </row>
    <row r="147" ht="15.75" customHeight="1">
      <c r="A147" s="2" t="s">
        <v>19</v>
      </c>
      <c r="B147" s="2" t="s">
        <v>128</v>
      </c>
      <c r="C147" s="2" t="s">
        <v>21</v>
      </c>
      <c r="D147" s="2" t="s">
        <v>22</v>
      </c>
      <c r="E147" s="2" t="s">
        <v>23</v>
      </c>
      <c r="F147" s="2" t="s">
        <v>129</v>
      </c>
      <c r="G147" s="5">
        <f>8976.24+'Hoja 1'!C112+'Hoja 1'!I112</f>
        <v>18427.44</v>
      </c>
      <c r="H147" s="4" t="s">
        <v>28</v>
      </c>
    </row>
    <row r="148" ht="15.75" customHeight="1">
      <c r="A148" s="2" t="s">
        <v>19</v>
      </c>
      <c r="B148" s="2" t="s">
        <v>130</v>
      </c>
      <c r="C148" s="2" t="s">
        <v>21</v>
      </c>
      <c r="D148" s="2" t="s">
        <v>22</v>
      </c>
      <c r="F148" s="2" t="s">
        <v>131</v>
      </c>
      <c r="G148" s="2">
        <v>12571.67402</v>
      </c>
      <c r="H148" s="2" t="s">
        <v>25</v>
      </c>
    </row>
    <row r="149" ht="15.75" customHeight="1">
      <c r="A149" s="2" t="s">
        <v>19</v>
      </c>
      <c r="B149" s="2" t="s">
        <v>132</v>
      </c>
      <c r="C149" s="2" t="s">
        <v>21</v>
      </c>
      <c r="D149" s="2" t="s">
        <v>56</v>
      </c>
      <c r="F149" s="2" t="s">
        <v>133</v>
      </c>
      <c r="G149" s="2">
        <v>7350.0</v>
      </c>
      <c r="H149" s="2" t="s">
        <v>25</v>
      </c>
    </row>
    <row r="150" ht="15.75" customHeight="1">
      <c r="A150" s="2" t="s">
        <v>19</v>
      </c>
      <c r="B150" s="2" t="s">
        <v>132</v>
      </c>
      <c r="C150" s="2" t="s">
        <v>21</v>
      </c>
      <c r="D150" s="2" t="s">
        <v>56</v>
      </c>
      <c r="F150" s="2" t="s">
        <v>133</v>
      </c>
      <c r="G150" s="3">
        <f>'Hoja 1'!L78</f>
        <v>6615.84</v>
      </c>
      <c r="H150" s="2" t="s">
        <v>26</v>
      </c>
    </row>
    <row r="151" ht="15.75" customHeight="1">
      <c r="A151" s="2" t="s">
        <v>19</v>
      </c>
      <c r="B151" s="2" t="s">
        <v>132</v>
      </c>
      <c r="C151" s="2" t="s">
        <v>21</v>
      </c>
      <c r="D151" s="2" t="s">
        <v>56</v>
      </c>
      <c r="F151" s="2" t="s">
        <v>133</v>
      </c>
      <c r="G151" s="2">
        <v>10059.743257</v>
      </c>
      <c r="H151" s="2" t="s">
        <v>27</v>
      </c>
    </row>
    <row r="152" ht="15.75" customHeight="1">
      <c r="A152" s="2" t="s">
        <v>19</v>
      </c>
      <c r="B152" s="2" t="s">
        <v>132</v>
      </c>
      <c r="C152" s="2" t="s">
        <v>21</v>
      </c>
      <c r="D152" s="2" t="s">
        <v>56</v>
      </c>
      <c r="F152" s="2" t="s">
        <v>133</v>
      </c>
      <c r="G152" s="3">
        <f>'Hoja 1'!L130</f>
        <v>9451.2</v>
      </c>
      <c r="H152" s="4" t="s">
        <v>28</v>
      </c>
    </row>
    <row r="153" ht="15.75" customHeight="1">
      <c r="A153" s="2" t="s">
        <v>19</v>
      </c>
      <c r="B153" s="2" t="s">
        <v>134</v>
      </c>
      <c r="C153" s="2" t="s">
        <v>21</v>
      </c>
      <c r="D153" s="2" t="s">
        <v>56</v>
      </c>
      <c r="F153" s="2" t="s">
        <v>135</v>
      </c>
      <c r="G153" s="2">
        <v>24665.36342</v>
      </c>
      <c r="H153" s="2" t="s">
        <v>25</v>
      </c>
    </row>
    <row r="154" ht="15.75" customHeight="1">
      <c r="A154" s="2" t="s">
        <v>19</v>
      </c>
      <c r="B154" s="2" t="s">
        <v>134</v>
      </c>
      <c r="C154" s="2" t="s">
        <v>21</v>
      </c>
      <c r="D154" s="2" t="s">
        <v>56</v>
      </c>
      <c r="F154" s="2" t="s">
        <v>135</v>
      </c>
      <c r="G154" s="2">
        <v>24293.14929</v>
      </c>
      <c r="H154" s="2" t="s">
        <v>26</v>
      </c>
    </row>
    <row r="155" ht="15.75" customHeight="1">
      <c r="A155" s="2" t="s">
        <v>19</v>
      </c>
      <c r="B155" s="2" t="s">
        <v>134</v>
      </c>
      <c r="C155" s="2" t="s">
        <v>21</v>
      </c>
      <c r="D155" s="2" t="s">
        <v>56</v>
      </c>
      <c r="F155" s="2" t="s">
        <v>135</v>
      </c>
      <c r="G155" s="2">
        <v>24205.73604</v>
      </c>
      <c r="H155" s="2" t="s">
        <v>27</v>
      </c>
    </row>
    <row r="156" ht="15.75" customHeight="1">
      <c r="A156" s="2" t="s">
        <v>19</v>
      </c>
      <c r="B156" s="2" t="s">
        <v>136</v>
      </c>
      <c r="C156" s="2" t="s">
        <v>21</v>
      </c>
      <c r="D156" s="2" t="s">
        <v>22</v>
      </c>
      <c r="E156" s="2" t="s">
        <v>23</v>
      </c>
      <c r="F156" s="2" t="s">
        <v>137</v>
      </c>
      <c r="G156" s="2">
        <v>18141.678181</v>
      </c>
      <c r="H156" s="2" t="s">
        <v>25</v>
      </c>
    </row>
    <row r="157" ht="15.75" customHeight="1">
      <c r="A157" s="2" t="s">
        <v>19</v>
      </c>
      <c r="B157" s="2" t="s">
        <v>136</v>
      </c>
      <c r="C157" s="2" t="s">
        <v>21</v>
      </c>
      <c r="D157" s="2" t="s">
        <v>22</v>
      </c>
      <c r="E157" s="2" t="s">
        <v>23</v>
      </c>
      <c r="F157" s="2" t="s">
        <v>137</v>
      </c>
      <c r="G157" s="3">
        <f>4776.24+'Hoja 1'!L64</f>
        <v>14227.44</v>
      </c>
      <c r="H157" s="2" t="s">
        <v>26</v>
      </c>
    </row>
    <row r="158" ht="15.75" customHeight="1">
      <c r="A158" s="2" t="s">
        <v>19</v>
      </c>
      <c r="B158" s="2" t="s">
        <v>136</v>
      </c>
      <c r="C158" s="2" t="s">
        <v>21</v>
      </c>
      <c r="D158" s="2" t="s">
        <v>22</v>
      </c>
      <c r="E158" s="2" t="s">
        <v>23</v>
      </c>
      <c r="F158" s="2" t="s">
        <v>137</v>
      </c>
      <c r="G158" s="3">
        <f>4776.24+'Hoja 1'!L116</f>
        <v>14227.44</v>
      </c>
      <c r="H158" s="4" t="s">
        <v>28</v>
      </c>
    </row>
    <row r="159" ht="15.75" customHeight="1">
      <c r="A159" s="2" t="s">
        <v>19</v>
      </c>
      <c r="B159" s="2" t="s">
        <v>136</v>
      </c>
      <c r="C159" s="2" t="s">
        <v>21</v>
      </c>
      <c r="D159" s="2" t="s">
        <v>22</v>
      </c>
      <c r="E159" s="2" t="s">
        <v>23</v>
      </c>
      <c r="F159" s="2" t="s">
        <v>137</v>
      </c>
      <c r="G159" s="2">
        <v>17823.581037</v>
      </c>
      <c r="H159" s="2" t="s">
        <v>27</v>
      </c>
    </row>
    <row r="160" ht="15.75" customHeight="1">
      <c r="A160" s="2" t="s">
        <v>19</v>
      </c>
      <c r="B160" s="2" t="s">
        <v>138</v>
      </c>
      <c r="C160" s="2" t="s">
        <v>21</v>
      </c>
      <c r="D160" s="2" t="s">
        <v>22</v>
      </c>
      <c r="E160" s="2" t="s">
        <v>45</v>
      </c>
      <c r="F160" s="2" t="s">
        <v>139</v>
      </c>
      <c r="G160" s="2">
        <v>18141.678181</v>
      </c>
      <c r="H160" s="2" t="s">
        <v>25</v>
      </c>
    </row>
    <row r="161" ht="15.75" customHeight="1">
      <c r="A161" s="2" t="s">
        <v>19</v>
      </c>
      <c r="B161" s="2" t="s">
        <v>138</v>
      </c>
      <c r="C161" s="2" t="s">
        <v>21</v>
      </c>
      <c r="D161" s="2" t="s">
        <v>22</v>
      </c>
      <c r="E161" s="2" t="s">
        <v>45</v>
      </c>
      <c r="F161" s="2" t="s">
        <v>139</v>
      </c>
      <c r="G161" s="3">
        <f>6351.24+'Hoja 1'!L63</f>
        <v>15802.44</v>
      </c>
      <c r="H161" s="2" t="s">
        <v>26</v>
      </c>
    </row>
    <row r="162" ht="15.75" customHeight="1">
      <c r="A162" s="2" t="s">
        <v>19</v>
      </c>
      <c r="B162" s="2" t="s">
        <v>138</v>
      </c>
      <c r="C162" s="2" t="s">
        <v>21</v>
      </c>
      <c r="D162" s="2" t="s">
        <v>22</v>
      </c>
      <c r="E162" s="2" t="s">
        <v>45</v>
      </c>
      <c r="F162" s="2" t="s">
        <v>139</v>
      </c>
      <c r="G162" s="2">
        <v>19428.580152</v>
      </c>
      <c r="H162" s="2" t="s">
        <v>27</v>
      </c>
    </row>
    <row r="163" ht="15.75" customHeight="1">
      <c r="A163" s="2" t="s">
        <v>19</v>
      </c>
      <c r="B163" s="2" t="s">
        <v>138</v>
      </c>
      <c r="C163" s="2" t="s">
        <v>21</v>
      </c>
      <c r="D163" s="2" t="s">
        <v>22</v>
      </c>
      <c r="E163" s="2" t="s">
        <v>45</v>
      </c>
      <c r="F163" s="2" t="s">
        <v>139</v>
      </c>
      <c r="G163" s="3">
        <f>6351.24+'Hoja 1'!L115</f>
        <v>15802.44</v>
      </c>
      <c r="H163" s="4" t="s">
        <v>28</v>
      </c>
    </row>
    <row r="164" ht="15.75" customHeight="1">
      <c r="A164" s="2" t="s">
        <v>19</v>
      </c>
      <c r="B164" s="2" t="s">
        <v>140</v>
      </c>
      <c r="C164" s="2" t="s">
        <v>21</v>
      </c>
      <c r="D164" s="2" t="s">
        <v>56</v>
      </c>
      <c r="F164" s="2" t="s">
        <v>141</v>
      </c>
      <c r="G164" s="2">
        <v>13208.291322</v>
      </c>
      <c r="H164" s="2" t="s">
        <v>25</v>
      </c>
    </row>
    <row r="165" ht="15.75" customHeight="1">
      <c r="A165" s="2" t="s">
        <v>19</v>
      </c>
      <c r="B165" s="2" t="s">
        <v>140</v>
      </c>
      <c r="C165" s="2" t="s">
        <v>21</v>
      </c>
      <c r="D165" s="2" t="s">
        <v>56</v>
      </c>
      <c r="F165" s="2" t="s">
        <v>141</v>
      </c>
      <c r="G165" s="2">
        <v>12955.727005</v>
      </c>
      <c r="H165" s="2" t="s">
        <v>27</v>
      </c>
    </row>
    <row r="166" ht="15.75" customHeight="1">
      <c r="A166" s="2" t="s">
        <v>19</v>
      </c>
      <c r="B166" s="2" t="s">
        <v>140</v>
      </c>
      <c r="C166" s="2" t="s">
        <v>21</v>
      </c>
      <c r="D166" s="2" t="s">
        <v>56</v>
      </c>
      <c r="F166" s="2" t="s">
        <v>141</v>
      </c>
      <c r="G166" s="2">
        <v>13202.829051</v>
      </c>
      <c r="H166" s="2" t="s">
        <v>26</v>
      </c>
    </row>
    <row r="167" ht="15.75" customHeight="1">
      <c r="A167" s="2" t="s">
        <v>19</v>
      </c>
      <c r="B167" s="2" t="s">
        <v>142</v>
      </c>
      <c r="C167" s="2" t="s">
        <v>21</v>
      </c>
      <c r="D167" s="2" t="s">
        <v>22</v>
      </c>
      <c r="E167" s="2" t="s">
        <v>143</v>
      </c>
      <c r="F167" s="2" t="s">
        <v>144</v>
      </c>
      <c r="G167" s="2">
        <v>14563.097092</v>
      </c>
      <c r="H167" s="2" t="s">
        <v>27</v>
      </c>
    </row>
    <row r="168" ht="15.75" customHeight="1">
      <c r="A168" s="2" t="s">
        <v>19</v>
      </c>
      <c r="B168" s="2" t="s">
        <v>142</v>
      </c>
      <c r="C168" s="2" t="s">
        <v>21</v>
      </c>
      <c r="D168" s="2" t="s">
        <v>22</v>
      </c>
      <c r="E168" s="2" t="s">
        <v>143</v>
      </c>
      <c r="F168" s="2" t="s">
        <v>144</v>
      </c>
      <c r="G168" s="2">
        <v>14841.39405</v>
      </c>
      <c r="H168" s="2" t="s">
        <v>25</v>
      </c>
    </row>
    <row r="169" ht="15.75" customHeight="1">
      <c r="A169" s="2" t="s">
        <v>19</v>
      </c>
      <c r="B169" s="2" t="s">
        <v>142</v>
      </c>
      <c r="C169" s="2" t="s">
        <v>21</v>
      </c>
      <c r="D169" s="2" t="s">
        <v>22</v>
      </c>
      <c r="E169" s="2" t="s">
        <v>143</v>
      </c>
      <c r="F169" s="2" t="s">
        <v>144</v>
      </c>
      <c r="G169" s="2">
        <v>14874.754614</v>
      </c>
      <c r="H169" s="2" t="s">
        <v>26</v>
      </c>
    </row>
    <row r="170" ht="15.75" customHeight="1">
      <c r="A170" s="2" t="s">
        <v>19</v>
      </c>
      <c r="B170" s="2" t="s">
        <v>145</v>
      </c>
      <c r="C170" s="2" t="s">
        <v>21</v>
      </c>
      <c r="D170" s="2" t="s">
        <v>22</v>
      </c>
      <c r="E170" s="2" t="s">
        <v>23</v>
      </c>
      <c r="F170" s="2" t="s">
        <v>146</v>
      </c>
      <c r="G170" s="2">
        <v>13884.567962</v>
      </c>
      <c r="H170" s="2" t="s">
        <v>27</v>
      </c>
    </row>
    <row r="171" ht="15.75" customHeight="1">
      <c r="A171" s="2" t="s">
        <v>19</v>
      </c>
      <c r="B171" s="2" t="s">
        <v>145</v>
      </c>
      <c r="C171" s="2" t="s">
        <v>21</v>
      </c>
      <c r="D171" s="2" t="s">
        <v>22</v>
      </c>
      <c r="E171" s="2" t="s">
        <v>23</v>
      </c>
      <c r="F171" s="2" t="s">
        <v>146</v>
      </c>
      <c r="G171" s="2">
        <v>16974.754614</v>
      </c>
      <c r="H171" s="2" t="s">
        <v>26</v>
      </c>
    </row>
    <row r="172" ht="15.75" customHeight="1">
      <c r="A172" s="2" t="s">
        <v>19</v>
      </c>
      <c r="B172" s="2" t="s">
        <v>147</v>
      </c>
      <c r="C172" s="2" t="s">
        <v>21</v>
      </c>
      <c r="D172" s="2" t="s">
        <v>22</v>
      </c>
      <c r="E172" s="2" t="s">
        <v>23</v>
      </c>
      <c r="F172" s="2" t="s">
        <v>148</v>
      </c>
      <c r="G172" s="2">
        <v>21033.58015</v>
      </c>
      <c r="H172" s="2" t="s">
        <v>27</v>
      </c>
    </row>
    <row r="173" ht="15.75" customHeight="1">
      <c r="A173" s="2" t="s">
        <v>19</v>
      </c>
      <c r="B173" s="2" t="s">
        <v>147</v>
      </c>
      <c r="C173" s="2" t="s">
        <v>21</v>
      </c>
      <c r="D173" s="2" t="s">
        <v>22</v>
      </c>
      <c r="E173" s="2" t="s">
        <v>23</v>
      </c>
      <c r="F173" s="2" t="s">
        <v>148</v>
      </c>
      <c r="G173" s="2">
        <v>21411.67818</v>
      </c>
      <c r="H173" s="2" t="s">
        <v>25</v>
      </c>
    </row>
    <row r="174" ht="15.75" customHeight="1">
      <c r="A174" s="2" t="s">
        <v>19</v>
      </c>
      <c r="B174" s="2" t="s">
        <v>147</v>
      </c>
      <c r="C174" s="2" t="s">
        <v>21</v>
      </c>
      <c r="D174" s="2" t="s">
        <v>22</v>
      </c>
      <c r="E174" s="2" t="s">
        <v>23</v>
      </c>
      <c r="F174" s="2" t="s">
        <v>148</v>
      </c>
      <c r="G174" s="2">
        <v>21253.68456</v>
      </c>
      <c r="H174" s="2" t="s">
        <v>26</v>
      </c>
    </row>
    <row r="175" ht="15.75" customHeight="1">
      <c r="A175" s="2" t="s">
        <v>19</v>
      </c>
      <c r="B175" s="2" t="s">
        <v>149</v>
      </c>
      <c r="C175" s="2" t="s">
        <v>32</v>
      </c>
      <c r="D175" s="2" t="s">
        <v>22</v>
      </c>
      <c r="E175" s="2" t="s">
        <v>23</v>
      </c>
      <c r="F175" s="2" t="s">
        <v>150</v>
      </c>
      <c r="G175" s="2">
        <v>26544.05659</v>
      </c>
      <c r="H175" s="2" t="s">
        <v>26</v>
      </c>
    </row>
    <row r="176" ht="15.75" customHeight="1">
      <c r="A176" s="2" t="s">
        <v>19</v>
      </c>
      <c r="B176" s="2" t="s">
        <v>149</v>
      </c>
      <c r="C176" s="2" t="s">
        <v>32</v>
      </c>
      <c r="D176" s="2" t="s">
        <v>22</v>
      </c>
      <c r="E176" s="2" t="s">
        <v>23</v>
      </c>
      <c r="F176" s="2" t="s">
        <v>150</v>
      </c>
      <c r="G176" s="2">
        <v>25031.60342</v>
      </c>
      <c r="H176" s="2" t="s">
        <v>25</v>
      </c>
    </row>
    <row r="177" ht="15.75" customHeight="1">
      <c r="A177" s="2" t="s">
        <v>19</v>
      </c>
      <c r="B177" s="2" t="s">
        <v>149</v>
      </c>
      <c r="C177" s="2" t="s">
        <v>32</v>
      </c>
      <c r="D177" s="2" t="s">
        <v>22</v>
      </c>
      <c r="E177" s="2" t="s">
        <v>23</v>
      </c>
      <c r="F177" s="2" t="s">
        <v>150</v>
      </c>
      <c r="G177" s="2">
        <v>24558.95604</v>
      </c>
      <c r="H177" s="2" t="s">
        <v>27</v>
      </c>
    </row>
    <row r="178" ht="15.75" customHeight="1">
      <c r="A178" s="2" t="s">
        <v>19</v>
      </c>
      <c r="B178" s="2" t="s">
        <v>151</v>
      </c>
      <c r="C178" s="2" t="s">
        <v>32</v>
      </c>
      <c r="D178" s="2" t="s">
        <v>22</v>
      </c>
      <c r="E178" s="2" t="s">
        <v>53</v>
      </c>
      <c r="F178" s="2" t="s">
        <v>152</v>
      </c>
      <c r="G178" s="2">
        <v>24203.17162</v>
      </c>
      <c r="H178" s="2" t="s">
        <v>27</v>
      </c>
    </row>
    <row r="179" ht="15.75" customHeight="1">
      <c r="A179" s="2" t="s">
        <v>19</v>
      </c>
      <c r="B179" s="2" t="s">
        <v>151</v>
      </c>
      <c r="C179" s="2" t="s">
        <v>32</v>
      </c>
      <c r="D179" s="2" t="s">
        <v>22</v>
      </c>
      <c r="E179" s="2" t="s">
        <v>53</v>
      </c>
      <c r="F179" s="2" t="s">
        <v>152</v>
      </c>
      <c r="G179" s="2">
        <v>24662.52906</v>
      </c>
      <c r="H179" s="2" t="s">
        <v>25</v>
      </c>
    </row>
    <row r="180" ht="15.75" customHeight="1">
      <c r="A180" s="2" t="s">
        <v>19</v>
      </c>
      <c r="B180" s="2" t="s">
        <v>151</v>
      </c>
      <c r="C180" s="2" t="s">
        <v>32</v>
      </c>
      <c r="D180" s="2" t="s">
        <v>22</v>
      </c>
      <c r="E180" s="2" t="s">
        <v>53</v>
      </c>
      <c r="F180" s="2" t="s">
        <v>152</v>
      </c>
      <c r="G180" s="2">
        <v>24290.29243</v>
      </c>
      <c r="H180" s="2" t="s">
        <v>26</v>
      </c>
    </row>
    <row r="181" ht="15.75" customHeight="1">
      <c r="A181" s="2" t="s">
        <v>19</v>
      </c>
      <c r="B181" s="2" t="s">
        <v>153</v>
      </c>
      <c r="C181" s="2" t="s">
        <v>21</v>
      </c>
      <c r="D181" s="2" t="s">
        <v>22</v>
      </c>
      <c r="E181" s="2" t="s">
        <v>23</v>
      </c>
      <c r="F181" s="2" t="s">
        <v>154</v>
      </c>
      <c r="G181" s="2">
        <v>17823.580152</v>
      </c>
      <c r="H181" s="2" t="s">
        <v>27</v>
      </c>
    </row>
    <row r="182" ht="15.75" customHeight="1">
      <c r="A182" s="2" t="s">
        <v>19</v>
      </c>
      <c r="B182" s="2" t="s">
        <v>153</v>
      </c>
      <c r="C182" s="2" t="s">
        <v>21</v>
      </c>
      <c r="D182" s="2" t="s">
        <v>22</v>
      </c>
      <c r="E182" s="2" t="s">
        <v>23</v>
      </c>
      <c r="F182" s="2" t="s">
        <v>154</v>
      </c>
      <c r="G182" s="2">
        <v>17456.613181</v>
      </c>
      <c r="H182" s="2" t="s">
        <v>25</v>
      </c>
    </row>
    <row r="183" ht="15.75" customHeight="1">
      <c r="A183" s="2" t="s">
        <v>19</v>
      </c>
      <c r="B183" s="2" t="s">
        <v>153</v>
      </c>
      <c r="C183" s="2" t="s">
        <v>21</v>
      </c>
      <c r="D183" s="2" t="s">
        <v>22</v>
      </c>
      <c r="E183" s="2" t="s">
        <v>23</v>
      </c>
      <c r="F183" s="2" t="s">
        <v>154</v>
      </c>
      <c r="G183" s="3">
        <f>4776.24+'Hoja 1'!L124</f>
        <v>14227.44</v>
      </c>
      <c r="H183" s="4" t="s">
        <v>28</v>
      </c>
    </row>
    <row r="184" ht="15.75" customHeight="1">
      <c r="A184" s="2" t="s">
        <v>19</v>
      </c>
      <c r="B184" s="2" t="s">
        <v>153</v>
      </c>
      <c r="C184" s="2" t="s">
        <v>21</v>
      </c>
      <c r="D184" s="2" t="s">
        <v>22</v>
      </c>
      <c r="E184" s="2" t="s">
        <v>23</v>
      </c>
      <c r="F184" s="2" t="s">
        <v>154</v>
      </c>
      <c r="G184" s="3">
        <f>4776.24+'Hoja 1'!L72</f>
        <v>14227.44</v>
      </c>
      <c r="H184" s="2" t="s">
        <v>26</v>
      </c>
    </row>
    <row r="185" ht="15.75" customHeight="1">
      <c r="A185" s="2" t="s">
        <v>19</v>
      </c>
      <c r="B185" s="2" t="s">
        <v>155</v>
      </c>
      <c r="C185" s="2" t="s">
        <v>32</v>
      </c>
      <c r="D185" s="2" t="s">
        <v>48</v>
      </c>
      <c r="F185" s="2" t="s">
        <v>156</v>
      </c>
      <c r="G185" s="2">
        <v>20063.457943</v>
      </c>
      <c r="H185" s="2" t="s">
        <v>27</v>
      </c>
    </row>
    <row r="186" ht="15.75" customHeight="1">
      <c r="A186" s="2" t="s">
        <v>19</v>
      </c>
      <c r="B186" s="2" t="s">
        <v>155</v>
      </c>
      <c r="C186" s="2" t="s">
        <v>32</v>
      </c>
      <c r="D186" s="2" t="s">
        <v>48</v>
      </c>
      <c r="F186" s="2" t="s">
        <v>156</v>
      </c>
      <c r="G186" s="2">
        <v>20207.91754</v>
      </c>
      <c r="H186" s="2" t="s">
        <v>26</v>
      </c>
    </row>
    <row r="187" ht="15.75" customHeight="1">
      <c r="A187" s="2" t="s">
        <v>19</v>
      </c>
      <c r="B187" s="2" t="s">
        <v>155</v>
      </c>
      <c r="C187" s="2" t="s">
        <v>32</v>
      </c>
      <c r="D187" s="2" t="s">
        <v>48</v>
      </c>
      <c r="F187" s="2" t="s">
        <v>156</v>
      </c>
      <c r="G187" s="2">
        <v>20441.8093</v>
      </c>
      <c r="H187" s="2" t="s">
        <v>25</v>
      </c>
    </row>
    <row r="188" ht="15.75" customHeight="1">
      <c r="A188" s="2" t="s">
        <v>19</v>
      </c>
      <c r="B188" s="2" t="s">
        <v>157</v>
      </c>
      <c r="C188" s="2" t="s">
        <v>21</v>
      </c>
      <c r="D188" s="2" t="s">
        <v>22</v>
      </c>
      <c r="E188" s="2" t="s">
        <v>93</v>
      </c>
      <c r="F188" s="2" t="s">
        <v>158</v>
      </c>
      <c r="G188" s="2">
        <v>13493.097092</v>
      </c>
      <c r="H188" s="2" t="s">
        <v>27</v>
      </c>
    </row>
    <row r="189" ht="15.75" customHeight="1">
      <c r="A189" s="2" t="s">
        <v>19</v>
      </c>
      <c r="B189" s="2" t="s">
        <v>157</v>
      </c>
      <c r="C189" s="2" t="s">
        <v>21</v>
      </c>
      <c r="D189" s="2" t="s">
        <v>22</v>
      </c>
      <c r="E189" s="2" t="s">
        <v>93</v>
      </c>
      <c r="F189" s="2" t="s">
        <v>158</v>
      </c>
      <c r="G189" s="2">
        <v>13751.39405</v>
      </c>
      <c r="H189" s="2" t="s">
        <v>25</v>
      </c>
    </row>
    <row r="190" ht="15.75" customHeight="1">
      <c r="A190" s="2" t="s">
        <v>19</v>
      </c>
      <c r="B190" s="2" t="s">
        <v>157</v>
      </c>
      <c r="C190" s="2" t="s">
        <v>21</v>
      </c>
      <c r="D190" s="2" t="s">
        <v>22</v>
      </c>
      <c r="E190" s="2" t="s">
        <v>93</v>
      </c>
      <c r="F190" s="2" t="s">
        <v>158</v>
      </c>
      <c r="G190" s="2">
        <v>13779.069051</v>
      </c>
      <c r="H190" s="2" t="s">
        <v>26</v>
      </c>
    </row>
    <row r="191" ht="15.75" customHeight="1">
      <c r="A191" s="2" t="s">
        <v>19</v>
      </c>
      <c r="B191" s="2" t="s">
        <v>159</v>
      </c>
      <c r="C191" s="2" t="s">
        <v>21</v>
      </c>
      <c r="D191" s="2" t="s">
        <v>22</v>
      </c>
      <c r="E191" s="2" t="s">
        <v>23</v>
      </c>
      <c r="F191" s="2" t="s">
        <v>160</v>
      </c>
      <c r="G191" s="3">
        <f>17935.515549+'Hoja 1'!I34</f>
        <v>19510.71555</v>
      </c>
      <c r="H191" s="2" t="s">
        <v>27</v>
      </c>
    </row>
    <row r="192" ht="15.75" customHeight="1">
      <c r="A192" s="2" t="s">
        <v>19</v>
      </c>
      <c r="B192" s="2" t="s">
        <v>159</v>
      </c>
      <c r="C192" s="2" t="s">
        <v>21</v>
      </c>
      <c r="D192" s="2" t="s">
        <v>22</v>
      </c>
      <c r="E192" s="2" t="s">
        <v>23</v>
      </c>
      <c r="F192" s="2" t="s">
        <v>160</v>
      </c>
      <c r="G192" s="3">
        <f>7118.79+'Hoja 1'!C59+'Hoja 1'!I57</f>
        <v>17062.58</v>
      </c>
      <c r="H192" s="2" t="s">
        <v>26</v>
      </c>
    </row>
    <row r="193" ht="15.75" customHeight="1">
      <c r="A193" s="2" t="s">
        <v>19</v>
      </c>
      <c r="B193" s="2" t="s">
        <v>159</v>
      </c>
      <c r="C193" s="2" t="s">
        <v>21</v>
      </c>
      <c r="D193" s="2" t="s">
        <v>22</v>
      </c>
      <c r="E193" s="2" t="s">
        <v>23</v>
      </c>
      <c r="F193" s="2" t="s">
        <v>160</v>
      </c>
      <c r="G193" s="2">
        <v>20989.3887</v>
      </c>
      <c r="H193" s="2" t="s">
        <v>25</v>
      </c>
    </row>
    <row r="194" ht="15.75" customHeight="1">
      <c r="A194" s="2" t="s">
        <v>19</v>
      </c>
      <c r="B194" s="2" t="s">
        <v>159</v>
      </c>
      <c r="C194" s="2" t="s">
        <v>21</v>
      </c>
      <c r="D194" s="2" t="s">
        <v>22</v>
      </c>
      <c r="E194" s="2" t="s">
        <v>23</v>
      </c>
      <c r="F194" s="2" t="s">
        <v>160</v>
      </c>
      <c r="G194" s="5">
        <f>6677.6955+'Hoja 1'!C111+'Hoja 1'!I111</f>
        <v>16128.8955</v>
      </c>
      <c r="H194" s="4" t="s">
        <v>28</v>
      </c>
    </row>
    <row r="195" ht="15.75" customHeight="1">
      <c r="A195" s="2" t="s">
        <v>19</v>
      </c>
      <c r="B195" s="2" t="s">
        <v>161</v>
      </c>
      <c r="C195" s="2" t="s">
        <v>21</v>
      </c>
      <c r="D195" s="2" t="s">
        <v>22</v>
      </c>
      <c r="F195" s="2" t="s">
        <v>162</v>
      </c>
      <c r="G195" s="2">
        <v>22103.58015</v>
      </c>
      <c r="H195" s="2" t="s">
        <v>27</v>
      </c>
    </row>
    <row r="196" ht="15.75" customHeight="1">
      <c r="A196" s="2" t="s">
        <v>19</v>
      </c>
      <c r="B196" s="2" t="s">
        <v>161</v>
      </c>
      <c r="C196" s="2" t="s">
        <v>21</v>
      </c>
      <c r="D196" s="2" t="s">
        <v>22</v>
      </c>
      <c r="F196" s="2" t="s">
        <v>162</v>
      </c>
      <c r="G196" s="2">
        <v>8223.170779</v>
      </c>
      <c r="H196" s="2" t="s">
        <v>25</v>
      </c>
    </row>
    <row r="197" ht="15.75" customHeight="1">
      <c r="A197" s="2" t="s">
        <v>19</v>
      </c>
      <c r="B197" s="2" t="s">
        <v>163</v>
      </c>
      <c r="C197" s="2" t="s">
        <v>21</v>
      </c>
      <c r="D197" s="2" t="s">
        <v>22</v>
      </c>
      <c r="E197" s="2" t="s">
        <v>45</v>
      </c>
      <c r="F197" s="2" t="s">
        <v>164</v>
      </c>
      <c r="G197" s="2">
        <v>12956.360152</v>
      </c>
      <c r="H197" s="2" t="s">
        <v>27</v>
      </c>
    </row>
    <row r="198" ht="15.75" customHeight="1">
      <c r="A198" s="2" t="s">
        <v>19</v>
      </c>
      <c r="B198" s="2" t="s">
        <v>163</v>
      </c>
      <c r="C198" s="2" t="s">
        <v>21</v>
      </c>
      <c r="D198" s="2" t="s">
        <v>22</v>
      </c>
      <c r="E198" s="2" t="s">
        <v>45</v>
      </c>
      <c r="F198" s="2" t="s">
        <v>164</v>
      </c>
      <c r="G198" s="2">
        <v>13183.478181</v>
      </c>
      <c r="H198" s="2" t="s">
        <v>25</v>
      </c>
    </row>
    <row r="199" ht="15.75" customHeight="1">
      <c r="A199" s="2" t="s">
        <v>19</v>
      </c>
      <c r="B199" s="2" t="s">
        <v>163</v>
      </c>
      <c r="C199" s="2" t="s">
        <v>21</v>
      </c>
      <c r="D199" s="2" t="s">
        <v>22</v>
      </c>
      <c r="E199" s="2" t="s">
        <v>45</v>
      </c>
      <c r="F199" s="2" t="s">
        <v>164</v>
      </c>
      <c r="G199" s="2">
        <v>13327.44456</v>
      </c>
      <c r="H199" s="2" t="s">
        <v>26</v>
      </c>
    </row>
    <row r="200" ht="15.75" customHeight="1">
      <c r="A200" s="2" t="s">
        <v>19</v>
      </c>
      <c r="B200" s="2" t="s">
        <v>165</v>
      </c>
      <c r="C200" s="2" t="s">
        <v>68</v>
      </c>
      <c r="D200" s="2" t="s">
        <v>166</v>
      </c>
      <c r="F200" s="2" t="s">
        <v>167</v>
      </c>
      <c r="G200" s="2">
        <v>28041.74439</v>
      </c>
      <c r="H200" s="2" t="s">
        <v>25</v>
      </c>
    </row>
    <row r="201" ht="15.75" customHeight="1">
      <c r="A201" s="2" t="s">
        <v>19</v>
      </c>
      <c r="B201" s="2" t="s">
        <v>165</v>
      </c>
      <c r="C201" s="2" t="s">
        <v>68</v>
      </c>
      <c r="D201" s="2" t="s">
        <v>166</v>
      </c>
      <c r="F201" s="2" t="s">
        <v>167</v>
      </c>
      <c r="G201" s="2">
        <v>27445.13804</v>
      </c>
      <c r="H201" s="2" t="s">
        <v>26</v>
      </c>
    </row>
    <row r="202" ht="15.75" customHeight="1">
      <c r="A202" s="2" t="s">
        <v>19</v>
      </c>
      <c r="B202" s="2" t="s">
        <v>165</v>
      </c>
      <c r="C202" s="2" t="s">
        <v>68</v>
      </c>
      <c r="D202" s="2" t="s">
        <v>166</v>
      </c>
      <c r="F202" s="2" t="s">
        <v>167</v>
      </c>
      <c r="G202" s="2">
        <v>29183.312</v>
      </c>
      <c r="H202" s="2" t="s">
        <v>27</v>
      </c>
    </row>
    <row r="203" ht="15.75" customHeight="1">
      <c r="A203" s="2" t="s">
        <v>19</v>
      </c>
      <c r="B203" s="2" t="s">
        <v>168</v>
      </c>
      <c r="C203" s="2" t="s">
        <v>21</v>
      </c>
      <c r="D203" s="2" t="s">
        <v>22</v>
      </c>
      <c r="E203" s="2" t="s">
        <v>23</v>
      </c>
      <c r="F203" s="2" t="s">
        <v>169</v>
      </c>
      <c r="G203" s="2">
        <v>15614.330722</v>
      </c>
      <c r="H203" s="2" t="s">
        <v>25</v>
      </c>
    </row>
    <row r="204" ht="15.75" customHeight="1">
      <c r="A204" s="2" t="s">
        <v>19</v>
      </c>
      <c r="B204" s="2" t="s">
        <v>168</v>
      </c>
      <c r="C204" s="2" t="s">
        <v>21</v>
      </c>
      <c r="D204" s="2" t="s">
        <v>22</v>
      </c>
      <c r="E204" s="2" t="s">
        <v>23</v>
      </c>
      <c r="F204" s="2" t="s">
        <v>169</v>
      </c>
      <c r="G204" s="3">
        <f>1338.12+'Hoja 1'!L75</f>
        <v>7953.96</v>
      </c>
      <c r="H204" s="2" t="s">
        <v>26</v>
      </c>
    </row>
    <row r="205" ht="15.75" customHeight="1">
      <c r="A205" s="2" t="s">
        <v>19</v>
      </c>
      <c r="B205" s="2" t="s">
        <v>168</v>
      </c>
      <c r="C205" s="2" t="s">
        <v>21</v>
      </c>
      <c r="D205" s="2" t="s">
        <v>22</v>
      </c>
      <c r="E205" s="2" t="s">
        <v>23</v>
      </c>
      <c r="F205" s="2" t="s">
        <v>169</v>
      </c>
      <c r="G205" s="2">
        <v>15688.827749</v>
      </c>
      <c r="H205" s="2" t="s">
        <v>27</v>
      </c>
    </row>
    <row r="206" ht="15.75" customHeight="1">
      <c r="A206" s="2" t="s">
        <v>19</v>
      </c>
      <c r="B206" s="2" t="s">
        <v>168</v>
      </c>
      <c r="C206" s="2" t="s">
        <v>21</v>
      </c>
      <c r="D206" s="2" t="s">
        <v>22</v>
      </c>
      <c r="E206" s="2" t="s">
        <v>23</v>
      </c>
      <c r="F206" s="2" t="s">
        <v>169</v>
      </c>
      <c r="G206" s="3">
        <f>'Hoja 1'!L127</f>
        <v>6300.8</v>
      </c>
      <c r="H206" s="4" t="s">
        <v>28</v>
      </c>
    </row>
    <row r="207" ht="15.75" customHeight="1">
      <c r="A207" s="2" t="s">
        <v>19</v>
      </c>
      <c r="B207" s="2" t="s">
        <v>170</v>
      </c>
      <c r="C207" s="2" t="s">
        <v>32</v>
      </c>
      <c r="D207" s="2" t="s">
        <v>56</v>
      </c>
      <c r="F207" s="2" t="s">
        <v>171</v>
      </c>
      <c r="G207" s="2">
        <v>7353.691922</v>
      </c>
      <c r="H207" s="2" t="s">
        <v>25</v>
      </c>
    </row>
    <row r="208" ht="15.75" customHeight="1">
      <c r="A208" s="2" t="s">
        <v>19</v>
      </c>
      <c r="B208" s="2" t="s">
        <v>170</v>
      </c>
      <c r="C208" s="2" t="s">
        <v>32</v>
      </c>
      <c r="D208" s="2" t="s">
        <v>56</v>
      </c>
      <c r="F208" s="2" t="s">
        <v>171</v>
      </c>
      <c r="G208" s="3">
        <f>10333.049216+'Hoja 1'!I84</f>
        <v>12538.32922</v>
      </c>
      <c r="H208" s="2" t="s">
        <v>26</v>
      </c>
    </row>
    <row r="209" ht="15.75" customHeight="1">
      <c r="A209" s="2" t="s">
        <v>19</v>
      </c>
      <c r="B209" s="2" t="s">
        <v>170</v>
      </c>
      <c r="C209" s="2" t="s">
        <v>32</v>
      </c>
      <c r="D209" s="2" t="s">
        <v>56</v>
      </c>
      <c r="F209" s="2" t="s">
        <v>171</v>
      </c>
      <c r="G209" s="2">
        <v>16763.887932</v>
      </c>
      <c r="H209" s="2" t="s">
        <v>27</v>
      </c>
    </row>
    <row r="210" ht="15.75" customHeight="1">
      <c r="A210" s="2" t="s">
        <v>19</v>
      </c>
      <c r="B210" s="2" t="s">
        <v>170</v>
      </c>
      <c r="C210" s="2" t="s">
        <v>32</v>
      </c>
      <c r="D210" s="2" t="s">
        <v>56</v>
      </c>
      <c r="F210" s="2" t="s">
        <v>171</v>
      </c>
      <c r="G210" s="3">
        <f>3726.24+'Hoja 1'!L138</f>
        <v>13177.44</v>
      </c>
      <c r="H210" s="4" t="s">
        <v>28</v>
      </c>
    </row>
    <row r="211" ht="15.75" customHeight="1">
      <c r="A211" s="2" t="s">
        <v>19</v>
      </c>
      <c r="B211" s="2" t="s">
        <v>172</v>
      </c>
      <c r="C211" s="2" t="s">
        <v>21</v>
      </c>
      <c r="D211" s="2" t="s">
        <v>22</v>
      </c>
      <c r="E211" s="2" t="s">
        <v>98</v>
      </c>
      <c r="F211" s="2" t="s">
        <v>173</v>
      </c>
      <c r="G211" s="2">
        <v>15927.656463</v>
      </c>
      <c r="H211" s="2" t="s">
        <v>26</v>
      </c>
    </row>
    <row r="212" ht="15.75" customHeight="1">
      <c r="A212" s="2" t="s">
        <v>19</v>
      </c>
      <c r="B212" s="2" t="s">
        <v>172</v>
      </c>
      <c r="C212" s="2" t="s">
        <v>21</v>
      </c>
      <c r="D212" s="2" t="s">
        <v>22</v>
      </c>
      <c r="E212" s="2" t="s">
        <v>98</v>
      </c>
      <c r="F212" s="2" t="s">
        <v>173</v>
      </c>
      <c r="G212" s="2">
        <v>15635.661516</v>
      </c>
      <c r="H212" s="2" t="s">
        <v>27</v>
      </c>
    </row>
    <row r="213" ht="15.75" customHeight="1">
      <c r="A213" s="2" t="s">
        <v>19</v>
      </c>
      <c r="B213" s="2" t="s">
        <v>172</v>
      </c>
      <c r="C213" s="2" t="s">
        <v>21</v>
      </c>
      <c r="D213" s="2" t="s">
        <v>22</v>
      </c>
      <c r="E213" s="2" t="s">
        <v>98</v>
      </c>
      <c r="F213" s="2" t="s">
        <v>173</v>
      </c>
      <c r="G213" s="2">
        <v>15934.228414</v>
      </c>
      <c r="H213" s="2" t="s">
        <v>25</v>
      </c>
    </row>
    <row r="214" ht="15.75" customHeight="1">
      <c r="A214" s="2" t="s">
        <v>19</v>
      </c>
      <c r="B214" s="2" t="s">
        <v>174</v>
      </c>
      <c r="C214" s="2" t="s">
        <v>21</v>
      </c>
      <c r="D214" s="2" t="s">
        <v>22</v>
      </c>
      <c r="E214" s="2" t="s">
        <v>63</v>
      </c>
      <c r="F214" s="2" t="s">
        <v>175</v>
      </c>
      <c r="G214" s="2">
        <v>15967.427722</v>
      </c>
      <c r="H214" s="2" t="s">
        <v>25</v>
      </c>
    </row>
    <row r="215" ht="15.75" customHeight="1">
      <c r="A215" s="2" t="s">
        <v>19</v>
      </c>
      <c r="B215" s="2" t="s">
        <v>174</v>
      </c>
      <c r="C215" s="2" t="s">
        <v>21</v>
      </c>
      <c r="D215" s="2" t="s">
        <v>22</v>
      </c>
      <c r="E215" s="2" t="s">
        <v>63</v>
      </c>
      <c r="F215" s="2" t="s">
        <v>175</v>
      </c>
      <c r="G215" s="3">
        <f>2676.24+'Hoja 1'!L68</f>
        <v>12127.44</v>
      </c>
      <c r="H215" s="2" t="s">
        <v>26</v>
      </c>
    </row>
    <row r="216" ht="15.75" customHeight="1">
      <c r="A216" s="2" t="s">
        <v>19</v>
      </c>
      <c r="B216" s="2" t="s">
        <v>174</v>
      </c>
      <c r="C216" s="2" t="s">
        <v>21</v>
      </c>
      <c r="D216" s="2" t="s">
        <v>22</v>
      </c>
      <c r="E216" s="2" t="s">
        <v>63</v>
      </c>
      <c r="F216" s="2" t="s">
        <v>175</v>
      </c>
      <c r="G216" s="2">
        <v>15688.827749</v>
      </c>
      <c r="H216" s="2" t="s">
        <v>27</v>
      </c>
    </row>
    <row r="217" ht="15.75" customHeight="1">
      <c r="A217" s="2" t="s">
        <v>19</v>
      </c>
      <c r="B217" s="2" t="s">
        <v>174</v>
      </c>
      <c r="C217" s="2" t="s">
        <v>21</v>
      </c>
      <c r="D217" s="2" t="s">
        <v>22</v>
      </c>
      <c r="E217" s="2" t="s">
        <v>63</v>
      </c>
      <c r="F217" s="2" t="s">
        <v>175</v>
      </c>
      <c r="G217" s="3">
        <f>2676.24+'Hoja 1'!L120</f>
        <v>12127.44</v>
      </c>
      <c r="H217" s="4" t="s">
        <v>28</v>
      </c>
    </row>
    <row r="218" ht="15.75" customHeight="1">
      <c r="A218" s="2" t="s">
        <v>19</v>
      </c>
      <c r="B218" s="2" t="s">
        <v>176</v>
      </c>
      <c r="C218" s="2" t="s">
        <v>21</v>
      </c>
      <c r="D218" s="2" t="s">
        <v>22</v>
      </c>
      <c r="E218" s="2" t="s">
        <v>42</v>
      </c>
      <c r="F218" s="2" t="s">
        <v>177</v>
      </c>
      <c r="G218" s="2">
        <v>7350.0</v>
      </c>
      <c r="H218" s="2" t="s">
        <v>27</v>
      </c>
    </row>
    <row r="219" ht="15.75" customHeight="1">
      <c r="A219" s="2" t="s">
        <v>19</v>
      </c>
      <c r="B219" s="2" t="s">
        <v>176</v>
      </c>
      <c r="C219" s="2" t="s">
        <v>21</v>
      </c>
      <c r="D219" s="2" t="s">
        <v>22</v>
      </c>
      <c r="E219" s="2" t="s">
        <v>42</v>
      </c>
      <c r="F219" s="2" t="s">
        <v>177</v>
      </c>
      <c r="G219" s="2">
        <v>7350.0</v>
      </c>
      <c r="H219" s="2" t="s">
        <v>25</v>
      </c>
    </row>
    <row r="220" ht="15.75" customHeight="1">
      <c r="A220" s="2" t="s">
        <v>19</v>
      </c>
      <c r="B220" s="2" t="s">
        <v>176</v>
      </c>
      <c r="C220" s="2" t="s">
        <v>21</v>
      </c>
      <c r="D220" s="2" t="s">
        <v>22</v>
      </c>
      <c r="E220" s="2" t="s">
        <v>42</v>
      </c>
      <c r="F220" s="2" t="s">
        <v>177</v>
      </c>
      <c r="G220" s="2">
        <v>7350.0</v>
      </c>
      <c r="H220" s="2" t="s">
        <v>26</v>
      </c>
    </row>
    <row r="221" ht="15.75" customHeight="1">
      <c r="A221" s="2" t="s">
        <v>19</v>
      </c>
      <c r="B221" s="2" t="s">
        <v>178</v>
      </c>
      <c r="C221" s="2" t="s">
        <v>32</v>
      </c>
      <c r="D221" s="2" t="s">
        <v>56</v>
      </c>
      <c r="F221" s="2" t="s">
        <v>179</v>
      </c>
      <c r="G221" s="3">
        <f>4776.24+'Hoja 1'!L70</f>
        <v>14227.44</v>
      </c>
      <c r="H221" s="2" t="s">
        <v>26</v>
      </c>
    </row>
    <row r="222" ht="15.75" customHeight="1">
      <c r="A222" s="2" t="s">
        <v>19</v>
      </c>
      <c r="B222" s="2" t="s">
        <v>178</v>
      </c>
      <c r="C222" s="2" t="s">
        <v>32</v>
      </c>
      <c r="D222" s="2" t="s">
        <v>56</v>
      </c>
      <c r="F222" s="2" t="s">
        <v>179</v>
      </c>
      <c r="G222" s="2">
        <v>17835.913761</v>
      </c>
      <c r="H222" s="2" t="s">
        <v>27</v>
      </c>
    </row>
    <row r="223" ht="15.75" customHeight="1">
      <c r="A223" s="2" t="s">
        <v>19</v>
      </c>
      <c r="B223" s="2" t="s">
        <v>178</v>
      </c>
      <c r="C223" s="2" t="s">
        <v>32</v>
      </c>
      <c r="D223" s="2" t="s">
        <v>56</v>
      </c>
      <c r="F223" s="2" t="s">
        <v>179</v>
      </c>
      <c r="G223" s="2">
        <v>18180.823</v>
      </c>
      <c r="H223" s="2" t="s">
        <v>25</v>
      </c>
    </row>
    <row r="224" ht="15.75" customHeight="1">
      <c r="A224" s="2" t="s">
        <v>19</v>
      </c>
      <c r="B224" s="2" t="s">
        <v>178</v>
      </c>
      <c r="C224" s="2" t="s">
        <v>32</v>
      </c>
      <c r="D224" s="2" t="s">
        <v>56</v>
      </c>
      <c r="F224" s="2" t="s">
        <v>179</v>
      </c>
      <c r="G224" s="3">
        <f>4776.24+'Hoja 1'!L122</f>
        <v>14227.44</v>
      </c>
      <c r="H224" s="4" t="s">
        <v>28</v>
      </c>
    </row>
    <row r="225" ht="15.75" customHeight="1">
      <c r="A225" s="2" t="s">
        <v>19</v>
      </c>
      <c r="B225" s="2" t="s">
        <v>180</v>
      </c>
      <c r="C225" s="2" t="s">
        <v>32</v>
      </c>
      <c r="D225" s="2" t="s">
        <v>48</v>
      </c>
      <c r="F225" s="2" t="s">
        <v>181</v>
      </c>
      <c r="G225" s="2">
        <v>32765.73604</v>
      </c>
      <c r="H225" s="2" t="s">
        <v>27</v>
      </c>
    </row>
    <row r="226" ht="15.75" customHeight="1">
      <c r="A226" s="2" t="s">
        <v>19</v>
      </c>
      <c r="B226" s="2" t="s">
        <v>180</v>
      </c>
      <c r="C226" s="2" t="s">
        <v>32</v>
      </c>
      <c r="D226" s="2" t="s">
        <v>48</v>
      </c>
      <c r="F226" s="2" t="s">
        <v>181</v>
      </c>
      <c r="G226" s="2">
        <v>33385.36342</v>
      </c>
      <c r="H226" s="2" t="s">
        <v>25</v>
      </c>
    </row>
    <row r="227" ht="15.75" customHeight="1">
      <c r="A227" s="2" t="s">
        <v>19</v>
      </c>
      <c r="B227" s="2" t="s">
        <v>180</v>
      </c>
      <c r="C227" s="2" t="s">
        <v>32</v>
      </c>
      <c r="D227" s="2" t="s">
        <v>48</v>
      </c>
      <c r="F227" s="2" t="s">
        <v>181</v>
      </c>
      <c r="G227" s="2">
        <v>32739.05659</v>
      </c>
      <c r="H227" s="2" t="s">
        <v>26</v>
      </c>
    </row>
    <row r="228" ht="15.75" customHeight="1">
      <c r="A228" s="2" t="s">
        <v>19</v>
      </c>
      <c r="B228" s="2" t="s">
        <v>182</v>
      </c>
      <c r="C228" s="2" t="s">
        <v>21</v>
      </c>
      <c r="D228" s="2" t="s">
        <v>22</v>
      </c>
      <c r="E228" s="2" t="s">
        <v>143</v>
      </c>
      <c r="F228" s="2" t="s">
        <v>183</v>
      </c>
      <c r="G228" s="2">
        <v>15638.225941</v>
      </c>
      <c r="H228" s="2" t="s">
        <v>27</v>
      </c>
    </row>
    <row r="229" ht="15.75" customHeight="1">
      <c r="A229" s="2" t="s">
        <v>19</v>
      </c>
      <c r="B229" s="2" t="s">
        <v>182</v>
      </c>
      <c r="C229" s="2" t="s">
        <v>21</v>
      </c>
      <c r="D229" s="2" t="s">
        <v>22</v>
      </c>
      <c r="E229" s="2" t="s">
        <v>143</v>
      </c>
      <c r="F229" s="2" t="s">
        <v>183</v>
      </c>
      <c r="G229" s="2">
        <v>15930.558312</v>
      </c>
      <c r="H229" s="2" t="s">
        <v>26</v>
      </c>
    </row>
    <row r="230" ht="15.75" customHeight="1">
      <c r="A230" s="2" t="s">
        <v>19</v>
      </c>
      <c r="B230" s="2" t="s">
        <v>182</v>
      </c>
      <c r="C230" s="2" t="s">
        <v>21</v>
      </c>
      <c r="D230" s="2" t="s">
        <v>22</v>
      </c>
      <c r="E230" s="2" t="s">
        <v>143</v>
      </c>
      <c r="F230" s="2" t="s">
        <v>183</v>
      </c>
      <c r="G230" s="2">
        <v>15937.062778</v>
      </c>
      <c r="H230" s="2" t="s">
        <v>25</v>
      </c>
    </row>
    <row r="231" ht="15.75" customHeight="1">
      <c r="A231" s="2" t="s">
        <v>19</v>
      </c>
      <c r="B231" s="2" t="s">
        <v>184</v>
      </c>
      <c r="C231" s="2" t="s">
        <v>32</v>
      </c>
      <c r="D231" s="2" t="s">
        <v>56</v>
      </c>
      <c r="F231" s="2" t="s">
        <v>185</v>
      </c>
      <c r="G231" s="2">
        <v>12911.005941</v>
      </c>
      <c r="H231" s="2" t="s">
        <v>27</v>
      </c>
    </row>
    <row r="232" ht="15.75" customHeight="1">
      <c r="A232" s="2" t="s">
        <v>19</v>
      </c>
      <c r="B232" s="2" t="s">
        <v>184</v>
      </c>
      <c r="C232" s="2" t="s">
        <v>32</v>
      </c>
      <c r="D232" s="2" t="s">
        <v>56</v>
      </c>
      <c r="F232" s="2" t="s">
        <v>185</v>
      </c>
      <c r="G232" s="2">
        <v>13158.862778</v>
      </c>
      <c r="H232" s="2" t="s">
        <v>25</v>
      </c>
    </row>
    <row r="233" ht="15.75" customHeight="1">
      <c r="A233" s="2" t="s">
        <v>19</v>
      </c>
      <c r="B233" s="2" t="s">
        <v>184</v>
      </c>
      <c r="C233" s="2" t="s">
        <v>32</v>
      </c>
      <c r="D233" s="2" t="s">
        <v>56</v>
      </c>
      <c r="F233" s="2" t="s">
        <v>185</v>
      </c>
      <c r="G233" s="2">
        <v>13254.318312</v>
      </c>
      <c r="H233" s="2" t="s">
        <v>26</v>
      </c>
    </row>
    <row r="234" ht="15.75" customHeight="1">
      <c r="A234" s="2" t="s">
        <v>19</v>
      </c>
      <c r="B234" s="2" t="s">
        <v>186</v>
      </c>
      <c r="C234" s="2" t="s">
        <v>21</v>
      </c>
      <c r="D234" s="2" t="s">
        <v>56</v>
      </c>
      <c r="F234" s="2" t="s">
        <v>187</v>
      </c>
      <c r="G234" s="2">
        <v>15879.069051</v>
      </c>
      <c r="H234" s="2" t="s">
        <v>26</v>
      </c>
    </row>
    <row r="235" ht="15.75" customHeight="1">
      <c r="A235" s="2" t="s">
        <v>19</v>
      </c>
      <c r="B235" s="2" t="s">
        <v>186</v>
      </c>
      <c r="C235" s="2" t="s">
        <v>21</v>
      </c>
      <c r="D235" s="2" t="s">
        <v>56</v>
      </c>
      <c r="F235" s="2" t="s">
        <v>187</v>
      </c>
      <c r="G235" s="2">
        <v>15931.39405</v>
      </c>
      <c r="H235" s="2" t="s">
        <v>25</v>
      </c>
    </row>
    <row r="236" ht="15.75" customHeight="1">
      <c r="A236" s="2" t="s">
        <v>19</v>
      </c>
      <c r="B236" s="2" t="s">
        <v>186</v>
      </c>
      <c r="C236" s="2" t="s">
        <v>21</v>
      </c>
      <c r="D236" s="2" t="s">
        <v>56</v>
      </c>
      <c r="F236" s="2" t="s">
        <v>187</v>
      </c>
      <c r="G236" s="2">
        <v>15475.597092</v>
      </c>
      <c r="H236" s="2" t="s">
        <v>27</v>
      </c>
    </row>
    <row r="237" ht="15.75" customHeight="1">
      <c r="A237" s="2" t="s">
        <v>19</v>
      </c>
      <c r="B237" s="2" t="s">
        <v>188</v>
      </c>
      <c r="C237" s="2" t="s">
        <v>21</v>
      </c>
      <c r="D237" s="2" t="s">
        <v>22</v>
      </c>
      <c r="F237" s="2" t="s">
        <v>189</v>
      </c>
      <c r="G237" s="2">
        <v>15961.678181</v>
      </c>
      <c r="H237" s="2" t="s">
        <v>25</v>
      </c>
    </row>
    <row r="238" ht="15.75" customHeight="1">
      <c r="A238" s="2" t="s">
        <v>19</v>
      </c>
      <c r="B238" s="2" t="s">
        <v>190</v>
      </c>
      <c r="C238" s="2" t="s">
        <v>32</v>
      </c>
      <c r="D238" s="4" t="s">
        <v>118</v>
      </c>
      <c r="F238" s="2" t="s">
        <v>191</v>
      </c>
      <c r="G238" s="3">
        <f>30975+'Hoja 1'!C7+'Hoja 1'!I7</f>
        <v>43974.9</v>
      </c>
      <c r="H238" s="2" t="s">
        <v>25</v>
      </c>
    </row>
    <row r="239" ht="15.75" customHeight="1">
      <c r="A239" s="2" t="s">
        <v>19</v>
      </c>
      <c r="B239" s="2" t="s">
        <v>190</v>
      </c>
      <c r="C239" s="2" t="s">
        <v>32</v>
      </c>
      <c r="D239" s="4" t="s">
        <v>118</v>
      </c>
      <c r="F239" s="2" t="s">
        <v>191</v>
      </c>
      <c r="G239" s="3">
        <f>30975+'Hoja 1'!C22+'Hoja 1'!I23</f>
        <v>43974.9</v>
      </c>
      <c r="H239" s="2" t="s">
        <v>27</v>
      </c>
    </row>
    <row r="240" ht="15.75" customHeight="1">
      <c r="A240" s="2" t="s">
        <v>19</v>
      </c>
      <c r="B240" s="2" t="s">
        <v>190</v>
      </c>
      <c r="C240" s="2" t="s">
        <v>32</v>
      </c>
      <c r="D240" s="4" t="s">
        <v>118</v>
      </c>
      <c r="F240" s="2" t="s">
        <v>191</v>
      </c>
      <c r="G240" s="12">
        <v>43974.899999999994</v>
      </c>
      <c r="H240" s="2" t="s">
        <v>26</v>
      </c>
    </row>
    <row r="241" ht="15.75" customHeight="1">
      <c r="A241" s="2" t="s">
        <v>19</v>
      </c>
      <c r="B241" s="2" t="s">
        <v>190</v>
      </c>
      <c r="C241" s="2" t="s">
        <v>32</v>
      </c>
      <c r="D241" s="4" t="s">
        <v>118</v>
      </c>
      <c r="F241" s="2" t="s">
        <v>191</v>
      </c>
      <c r="G241" s="12">
        <v>43974.899999999994</v>
      </c>
      <c r="H241" s="4" t="s">
        <v>28</v>
      </c>
    </row>
    <row r="242" ht="15.75" customHeight="1">
      <c r="A242" s="2" t="s">
        <v>19</v>
      </c>
      <c r="B242" s="2" t="s">
        <v>192</v>
      </c>
      <c r="C242" s="2" t="s">
        <v>32</v>
      </c>
      <c r="D242" s="2" t="s">
        <v>193</v>
      </c>
      <c r="E242" s="2" t="s">
        <v>23</v>
      </c>
      <c r="F242" s="2" t="s">
        <v>194</v>
      </c>
      <c r="G242" s="2">
        <v>17027.062778</v>
      </c>
      <c r="H242" s="2" t="s">
        <v>25</v>
      </c>
    </row>
    <row r="243" ht="15.75" customHeight="1">
      <c r="A243" s="2" t="s">
        <v>19</v>
      </c>
      <c r="B243" s="2" t="s">
        <v>192</v>
      </c>
      <c r="C243" s="2" t="s">
        <v>32</v>
      </c>
      <c r="D243" s="2" t="s">
        <v>193</v>
      </c>
      <c r="E243" s="2" t="s">
        <v>23</v>
      </c>
      <c r="F243" s="2" t="s">
        <v>194</v>
      </c>
      <c r="G243" s="2">
        <v>16934.78277</v>
      </c>
      <c r="H243" s="2" t="s">
        <v>26</v>
      </c>
    </row>
    <row r="244" ht="15.75" customHeight="1">
      <c r="A244" s="2" t="s">
        <v>19</v>
      </c>
      <c r="B244" s="2" t="s">
        <v>192</v>
      </c>
      <c r="C244" s="2" t="s">
        <v>32</v>
      </c>
      <c r="D244" s="2" t="s">
        <v>193</v>
      </c>
      <c r="E244" s="2" t="s">
        <v>23</v>
      </c>
      <c r="F244" s="2" t="s">
        <v>194</v>
      </c>
      <c r="G244" s="2">
        <v>17652.899441</v>
      </c>
      <c r="H244" s="2" t="s">
        <v>27</v>
      </c>
    </row>
    <row r="245" ht="15.75" customHeight="1">
      <c r="A245" s="2" t="s">
        <v>19</v>
      </c>
      <c r="B245" s="2" t="s">
        <v>195</v>
      </c>
      <c r="C245" s="2" t="s">
        <v>32</v>
      </c>
      <c r="D245" s="2" t="s">
        <v>56</v>
      </c>
      <c r="F245" s="2" t="s">
        <v>196</v>
      </c>
      <c r="G245" s="2">
        <v>20305.36342</v>
      </c>
      <c r="H245" s="2" t="s">
        <v>25</v>
      </c>
    </row>
    <row r="246" ht="15.75" customHeight="1">
      <c r="A246" s="2" t="s">
        <v>19</v>
      </c>
      <c r="B246" s="2" t="s">
        <v>195</v>
      </c>
      <c r="C246" s="2" t="s">
        <v>32</v>
      </c>
      <c r="D246" s="2" t="s">
        <v>56</v>
      </c>
      <c r="F246" s="2" t="s">
        <v>196</v>
      </c>
      <c r="G246" s="2">
        <v>20093.14929</v>
      </c>
      <c r="H246" s="2" t="s">
        <v>26</v>
      </c>
    </row>
    <row r="247" ht="15.75" customHeight="1">
      <c r="A247" s="2" t="s">
        <v>19</v>
      </c>
      <c r="B247" s="2" t="s">
        <v>195</v>
      </c>
      <c r="C247" s="2" t="s">
        <v>32</v>
      </c>
      <c r="D247" s="2" t="s">
        <v>56</v>
      </c>
      <c r="F247" s="2" t="s">
        <v>196</v>
      </c>
      <c r="G247" s="2">
        <v>19925.736044</v>
      </c>
      <c r="H247" s="2" t="s">
        <v>27</v>
      </c>
    </row>
    <row r="248" ht="15.75" customHeight="1">
      <c r="A248" s="2" t="s">
        <v>19</v>
      </c>
      <c r="B248" s="2" t="s">
        <v>197</v>
      </c>
      <c r="C248" s="2" t="s">
        <v>68</v>
      </c>
      <c r="D248" s="2" t="s">
        <v>198</v>
      </c>
      <c r="F248" s="2" t="s">
        <v>199</v>
      </c>
      <c r="G248" s="2">
        <v>16512.962652</v>
      </c>
      <c r="H248" s="2" t="s">
        <v>26</v>
      </c>
    </row>
    <row r="249" ht="15.75" customHeight="1">
      <c r="A249" s="2" t="s">
        <v>19</v>
      </c>
      <c r="B249" s="2" t="s">
        <v>197</v>
      </c>
      <c r="C249" s="2" t="s">
        <v>68</v>
      </c>
      <c r="D249" s="2" t="s">
        <v>198</v>
      </c>
      <c r="F249" s="2" t="s">
        <v>199</v>
      </c>
      <c r="G249" s="2">
        <v>16708.225941</v>
      </c>
      <c r="H249" s="2" t="s">
        <v>27</v>
      </c>
    </row>
    <row r="250" ht="15.75" customHeight="1">
      <c r="A250" s="2" t="s">
        <v>19</v>
      </c>
      <c r="B250" s="2" t="s">
        <v>197</v>
      </c>
      <c r="C250" s="2" t="s">
        <v>68</v>
      </c>
      <c r="D250" s="2" t="s">
        <v>198</v>
      </c>
      <c r="F250" s="2" t="s">
        <v>199</v>
      </c>
      <c r="G250" s="2">
        <v>17027.062778</v>
      </c>
      <c r="H250" s="2" t="s">
        <v>25</v>
      </c>
    </row>
    <row r="251" ht="15.75" customHeight="1">
      <c r="A251" s="2" t="s">
        <v>19</v>
      </c>
      <c r="B251" s="2" t="s">
        <v>200</v>
      </c>
      <c r="C251" s="2" t="s">
        <v>32</v>
      </c>
      <c r="D251" s="2" t="s">
        <v>48</v>
      </c>
      <c r="F251" s="2" t="s">
        <v>201</v>
      </c>
      <c r="G251" s="2">
        <v>18855.736044</v>
      </c>
      <c r="H251" s="2" t="s">
        <v>27</v>
      </c>
    </row>
    <row r="252" ht="15.75" customHeight="1">
      <c r="A252" s="2" t="s">
        <v>19</v>
      </c>
      <c r="B252" s="2" t="s">
        <v>200</v>
      </c>
      <c r="C252" s="2" t="s">
        <v>32</v>
      </c>
      <c r="D252" s="2" t="s">
        <v>48</v>
      </c>
      <c r="F252" s="2" t="s">
        <v>201</v>
      </c>
      <c r="G252" s="2">
        <v>19215.363418</v>
      </c>
      <c r="H252" s="2" t="s">
        <v>25</v>
      </c>
    </row>
    <row r="253" ht="15.75" customHeight="1">
      <c r="A253" s="2" t="s">
        <v>19</v>
      </c>
      <c r="B253" s="2" t="s">
        <v>200</v>
      </c>
      <c r="C253" s="2" t="s">
        <v>32</v>
      </c>
      <c r="D253" s="2" t="s">
        <v>48</v>
      </c>
      <c r="F253" s="2" t="s">
        <v>201</v>
      </c>
      <c r="G253" s="2">
        <v>18459.056587</v>
      </c>
      <c r="H253" s="2" t="s">
        <v>26</v>
      </c>
    </row>
    <row r="254" ht="15.75" customHeight="1">
      <c r="A254" s="2" t="s">
        <v>19</v>
      </c>
      <c r="B254" s="2" t="s">
        <v>202</v>
      </c>
      <c r="C254" s="2" t="s">
        <v>21</v>
      </c>
      <c r="D254" s="2" t="s">
        <v>56</v>
      </c>
      <c r="F254" s="2" t="s">
        <v>203</v>
      </c>
      <c r="G254" s="2">
        <v>40917.85954</v>
      </c>
      <c r="H254" s="2" t="s">
        <v>27</v>
      </c>
    </row>
    <row r="255" ht="15.75" customHeight="1">
      <c r="A255" s="2" t="s">
        <v>19</v>
      </c>
      <c r="B255" s="2" t="s">
        <v>202</v>
      </c>
      <c r="C255" s="2" t="s">
        <v>21</v>
      </c>
      <c r="D255" s="2" t="s">
        <v>56</v>
      </c>
      <c r="F255" s="2" t="s">
        <v>203</v>
      </c>
      <c r="G255" s="2">
        <v>41647.00913</v>
      </c>
      <c r="H255" s="2" t="s">
        <v>25</v>
      </c>
    </row>
    <row r="256" ht="15.75" customHeight="1">
      <c r="A256" s="2" t="s">
        <v>19</v>
      </c>
      <c r="B256" s="2" t="s">
        <v>202</v>
      </c>
      <c r="C256" s="2" t="s">
        <v>21</v>
      </c>
      <c r="D256" s="2" t="s">
        <v>56</v>
      </c>
      <c r="F256" s="2" t="s">
        <v>203</v>
      </c>
      <c r="G256" s="2">
        <v>40675.54158999999</v>
      </c>
      <c r="H256" s="2" t="s">
        <v>26</v>
      </c>
    </row>
    <row r="257" ht="15.75" customHeight="1">
      <c r="A257" s="2" t="s">
        <v>19</v>
      </c>
      <c r="B257" s="2" t="s">
        <v>204</v>
      </c>
      <c r="C257" s="2" t="s">
        <v>32</v>
      </c>
      <c r="D257" s="2" t="s">
        <v>103</v>
      </c>
      <c r="F257" s="2" t="s">
        <v>205</v>
      </c>
      <c r="G257" s="2">
        <v>19340.144052</v>
      </c>
      <c r="H257" s="2" t="s">
        <v>25</v>
      </c>
    </row>
    <row r="258" ht="15.75" customHeight="1">
      <c r="A258" s="2" t="s">
        <v>19</v>
      </c>
      <c r="B258" s="2" t="s">
        <v>204</v>
      </c>
      <c r="C258" s="2" t="s">
        <v>32</v>
      </c>
      <c r="D258" s="2" t="s">
        <v>103</v>
      </c>
      <c r="F258" s="2" t="s">
        <v>205</v>
      </c>
      <c r="G258" s="2">
        <v>18982.853175</v>
      </c>
      <c r="H258" s="2" t="s">
        <v>27</v>
      </c>
    </row>
    <row r="259" ht="15.75" customHeight="1">
      <c r="A259" s="2" t="s">
        <v>19</v>
      </c>
      <c r="B259" s="2" t="s">
        <v>204</v>
      </c>
      <c r="C259" s="2" t="s">
        <v>32</v>
      </c>
      <c r="D259" s="2" t="s">
        <v>103</v>
      </c>
      <c r="F259" s="2" t="s">
        <v>205</v>
      </c>
      <c r="G259" s="2">
        <v>19146.252292</v>
      </c>
      <c r="H259" s="2" t="s">
        <v>26</v>
      </c>
    </row>
    <row r="260" ht="15.75" customHeight="1">
      <c r="A260" s="2" t="s">
        <v>19</v>
      </c>
      <c r="B260" s="2" t="s">
        <v>206</v>
      </c>
      <c r="C260" s="2" t="s">
        <v>21</v>
      </c>
      <c r="D260" s="2" t="s">
        <v>22</v>
      </c>
      <c r="E260" s="2" t="s">
        <v>23</v>
      </c>
      <c r="F260" s="2" t="s">
        <v>207</v>
      </c>
      <c r="G260" s="3">
        <f>3428.67+'Hoja 1'!L66</f>
        <v>12879.87</v>
      </c>
      <c r="H260" s="2" t="s">
        <v>26</v>
      </c>
    </row>
    <row r="261" ht="15.75" customHeight="1">
      <c r="A261" s="2" t="s">
        <v>19</v>
      </c>
      <c r="B261" s="2" t="s">
        <v>206</v>
      </c>
      <c r="C261" s="2" t="s">
        <v>21</v>
      </c>
      <c r="D261" s="2" t="s">
        <v>22</v>
      </c>
      <c r="E261" s="2" t="s">
        <v>23</v>
      </c>
      <c r="F261" s="2" t="s">
        <v>207</v>
      </c>
      <c r="G261" s="2">
        <v>17288.580152</v>
      </c>
      <c r="H261" s="2" t="s">
        <v>27</v>
      </c>
    </row>
    <row r="262" ht="15.75" customHeight="1">
      <c r="A262" s="2" t="s">
        <v>19</v>
      </c>
      <c r="B262" s="2" t="s">
        <v>206</v>
      </c>
      <c r="C262" s="2" t="s">
        <v>21</v>
      </c>
      <c r="D262" s="2" t="s">
        <v>22</v>
      </c>
      <c r="E262" s="2" t="s">
        <v>23</v>
      </c>
      <c r="F262" s="2" t="s">
        <v>207</v>
      </c>
      <c r="G262" s="2">
        <v>15604.598181</v>
      </c>
      <c r="H262" s="2" t="s">
        <v>25</v>
      </c>
    </row>
    <row r="263" ht="15.75" customHeight="1">
      <c r="A263" s="2" t="s">
        <v>19</v>
      </c>
      <c r="B263" s="2" t="s">
        <v>206</v>
      </c>
      <c r="C263" s="2" t="s">
        <v>21</v>
      </c>
      <c r="D263" s="2" t="s">
        <v>22</v>
      </c>
      <c r="E263" s="2" t="s">
        <v>23</v>
      </c>
      <c r="F263" s="2" t="s">
        <v>207</v>
      </c>
      <c r="G263" s="3">
        <f>2238.348+'Hoja 1'!L118</f>
        <v>11689.548</v>
      </c>
      <c r="H263" s="4" t="s">
        <v>28</v>
      </c>
    </row>
    <row r="264" ht="15.75" customHeight="1">
      <c r="A264" s="2" t="s">
        <v>19</v>
      </c>
      <c r="B264" s="2" t="s">
        <v>208</v>
      </c>
      <c r="C264" s="2" t="s">
        <v>32</v>
      </c>
      <c r="D264" s="2" t="s">
        <v>103</v>
      </c>
      <c r="F264" s="2" t="s">
        <v>209</v>
      </c>
      <c r="G264" s="2">
        <v>19337.174718</v>
      </c>
      <c r="H264" s="2" t="s">
        <v>25</v>
      </c>
    </row>
    <row r="265" ht="15.75" customHeight="1">
      <c r="A265" s="2" t="s">
        <v>19</v>
      </c>
      <c r="B265" s="2" t="s">
        <v>208</v>
      </c>
      <c r="C265" s="2" t="s">
        <v>32</v>
      </c>
      <c r="D265" s="2" t="s">
        <v>103</v>
      </c>
      <c r="F265" s="2" t="s">
        <v>209</v>
      </c>
      <c r="G265" s="2">
        <v>19143.282958</v>
      </c>
      <c r="H265" s="2" t="s">
        <v>26</v>
      </c>
    </row>
    <row r="266" ht="15.75" customHeight="1">
      <c r="A266" s="2" t="s">
        <v>19</v>
      </c>
      <c r="B266" s="2" t="s">
        <v>208</v>
      </c>
      <c r="C266" s="2" t="s">
        <v>32</v>
      </c>
      <c r="D266" s="2" t="s">
        <v>103</v>
      </c>
      <c r="F266" s="2" t="s">
        <v>209</v>
      </c>
      <c r="G266" s="2">
        <v>18980.15378</v>
      </c>
      <c r="H266" s="2" t="s">
        <v>27</v>
      </c>
    </row>
    <row r="267" ht="15.75" customHeight="1">
      <c r="A267" s="2" t="s">
        <v>19</v>
      </c>
      <c r="B267" s="2" t="s">
        <v>210</v>
      </c>
      <c r="C267" s="2" t="s">
        <v>21</v>
      </c>
      <c r="D267" s="2" t="s">
        <v>22</v>
      </c>
      <c r="E267" s="2" t="s">
        <v>23</v>
      </c>
      <c r="F267" s="2" t="s">
        <v>211</v>
      </c>
      <c r="G267" s="2">
        <v>18141.678181</v>
      </c>
      <c r="H267" s="2" t="s">
        <v>25</v>
      </c>
    </row>
    <row r="268" ht="15.75" customHeight="1">
      <c r="A268" s="2" t="s">
        <v>19</v>
      </c>
      <c r="B268" s="2" t="s">
        <v>210</v>
      </c>
      <c r="C268" s="2" t="s">
        <v>21</v>
      </c>
      <c r="D268" s="2" t="s">
        <v>22</v>
      </c>
      <c r="E268" s="2" t="s">
        <v>23</v>
      </c>
      <c r="F268" s="2" t="s">
        <v>211</v>
      </c>
      <c r="G268" s="2">
        <v>17823.581037</v>
      </c>
      <c r="H268" s="2" t="s">
        <v>27</v>
      </c>
    </row>
    <row r="269" ht="15.75" customHeight="1">
      <c r="A269" s="2" t="s">
        <v>19</v>
      </c>
      <c r="B269" s="2" t="s">
        <v>210</v>
      </c>
      <c r="C269" s="2" t="s">
        <v>21</v>
      </c>
      <c r="D269" s="2" t="s">
        <v>22</v>
      </c>
      <c r="E269" s="2" t="s">
        <v>23</v>
      </c>
      <c r="F269" s="2" t="s">
        <v>211</v>
      </c>
      <c r="G269" s="3">
        <f>10784.160583+'Hoja 1'!I80</f>
        <v>15509.76058</v>
      </c>
      <c r="H269" s="2" t="s">
        <v>26</v>
      </c>
    </row>
    <row r="270" ht="15.75" customHeight="1">
      <c r="A270" s="2" t="s">
        <v>19</v>
      </c>
      <c r="B270" s="2" t="s">
        <v>210</v>
      </c>
      <c r="C270" s="2" t="s">
        <v>21</v>
      </c>
      <c r="D270" s="2" t="s">
        <v>22</v>
      </c>
      <c r="E270" s="2" t="s">
        <v>23</v>
      </c>
      <c r="F270" s="2" t="s">
        <v>211</v>
      </c>
      <c r="G270" s="3">
        <f>4263.84+'Hoja 1'!L134</f>
        <v>13715.04</v>
      </c>
      <c r="H270" s="4" t="s">
        <v>28</v>
      </c>
    </row>
    <row r="271" ht="15.75" customHeight="1">
      <c r="A271" s="2" t="s">
        <v>19</v>
      </c>
      <c r="B271" s="2" t="s">
        <v>212</v>
      </c>
      <c r="C271" s="2" t="s">
        <v>32</v>
      </c>
      <c r="D271" s="2" t="s">
        <v>39</v>
      </c>
      <c r="F271" s="2" t="s">
        <v>213</v>
      </c>
      <c r="G271" s="2">
        <v>7350.0</v>
      </c>
      <c r="H271" s="2" t="s">
        <v>27</v>
      </c>
    </row>
    <row r="272" ht="15.75" customHeight="1">
      <c r="A272" s="2" t="s">
        <v>19</v>
      </c>
      <c r="B272" s="2" t="s">
        <v>212</v>
      </c>
      <c r="C272" s="2" t="s">
        <v>32</v>
      </c>
      <c r="D272" s="2" t="s">
        <v>39</v>
      </c>
      <c r="F272" s="2" t="s">
        <v>213</v>
      </c>
      <c r="G272" s="2">
        <v>7350.0</v>
      </c>
      <c r="H272" s="2" t="s">
        <v>26</v>
      </c>
    </row>
    <row r="273" ht="15.75" customHeight="1">
      <c r="A273" s="2" t="s">
        <v>19</v>
      </c>
      <c r="B273" s="2" t="s">
        <v>212</v>
      </c>
      <c r="C273" s="2" t="s">
        <v>32</v>
      </c>
      <c r="D273" s="2" t="s">
        <v>39</v>
      </c>
      <c r="F273" s="2" t="s">
        <v>213</v>
      </c>
      <c r="G273" s="2">
        <v>7350.0</v>
      </c>
      <c r="H273" s="2" t="s">
        <v>25</v>
      </c>
    </row>
    <row r="274" ht="15.75" customHeight="1">
      <c r="A274" s="2" t="s">
        <v>19</v>
      </c>
      <c r="B274" s="2" t="s">
        <v>214</v>
      </c>
      <c r="C274" s="2" t="s">
        <v>21</v>
      </c>
      <c r="D274" s="2" t="s">
        <v>56</v>
      </c>
      <c r="F274" s="2" t="s">
        <v>215</v>
      </c>
      <c r="G274" s="2">
        <v>13202.829051</v>
      </c>
      <c r="H274" s="2" t="s">
        <v>26</v>
      </c>
    </row>
    <row r="275" ht="15.75" customHeight="1">
      <c r="A275" s="2" t="s">
        <v>19</v>
      </c>
      <c r="B275" s="2" t="s">
        <v>214</v>
      </c>
      <c r="C275" s="2" t="s">
        <v>21</v>
      </c>
      <c r="D275" s="2" t="s">
        <v>56</v>
      </c>
      <c r="F275" s="2" t="s">
        <v>215</v>
      </c>
      <c r="G275" s="2">
        <v>10059.743257</v>
      </c>
      <c r="H275" s="2" t="s">
        <v>27</v>
      </c>
    </row>
    <row r="276" ht="15.75" customHeight="1">
      <c r="A276" s="2" t="s">
        <v>19</v>
      </c>
      <c r="B276" s="2" t="s">
        <v>214</v>
      </c>
      <c r="C276" s="2" t="s">
        <v>21</v>
      </c>
      <c r="D276" s="2" t="s">
        <v>56</v>
      </c>
      <c r="F276" s="2" t="s">
        <v>215</v>
      </c>
      <c r="G276" s="2">
        <v>7350.0</v>
      </c>
      <c r="H276" s="2" t="s">
        <v>25</v>
      </c>
    </row>
    <row r="277" ht="15.75" customHeight="1">
      <c r="A277" s="2" t="s">
        <v>19</v>
      </c>
      <c r="B277" s="2" t="s">
        <v>216</v>
      </c>
      <c r="C277" s="2" t="s">
        <v>21</v>
      </c>
      <c r="D277" s="2" t="s">
        <v>22</v>
      </c>
      <c r="F277" s="2" t="s">
        <v>217</v>
      </c>
      <c r="G277" s="2">
        <v>18087.178181</v>
      </c>
      <c r="H277" s="2" t="s">
        <v>25</v>
      </c>
    </row>
    <row r="278" ht="15.75" customHeight="1">
      <c r="A278" s="2" t="s">
        <v>19</v>
      </c>
      <c r="B278" s="2" t="s">
        <v>216</v>
      </c>
      <c r="C278" s="2" t="s">
        <v>21</v>
      </c>
      <c r="D278" s="2" t="s">
        <v>22</v>
      </c>
      <c r="F278" s="2" t="s">
        <v>217</v>
      </c>
      <c r="G278" s="2">
        <v>7290.245537</v>
      </c>
      <c r="H278" s="2" t="s">
        <v>27</v>
      </c>
    </row>
    <row r="279" ht="15.75" customHeight="1">
      <c r="A279" s="2" t="s">
        <v>19</v>
      </c>
      <c r="B279" s="2" t="s">
        <v>218</v>
      </c>
      <c r="C279" s="2" t="s">
        <v>21</v>
      </c>
      <c r="D279" s="2" t="s">
        <v>22</v>
      </c>
      <c r="E279" s="2" t="s">
        <v>63</v>
      </c>
      <c r="F279" s="2" t="s">
        <v>219</v>
      </c>
      <c r="G279" s="2">
        <v>15934.228414</v>
      </c>
      <c r="H279" s="2" t="s">
        <v>25</v>
      </c>
    </row>
    <row r="280" ht="15.75" customHeight="1">
      <c r="A280" s="2" t="s">
        <v>19</v>
      </c>
      <c r="B280" s="2" t="s">
        <v>218</v>
      </c>
      <c r="C280" s="2" t="s">
        <v>21</v>
      </c>
      <c r="D280" s="2" t="s">
        <v>22</v>
      </c>
      <c r="E280" s="2" t="s">
        <v>63</v>
      </c>
      <c r="F280" s="2" t="s">
        <v>219</v>
      </c>
      <c r="G280" s="2">
        <v>15881.92591</v>
      </c>
      <c r="H280" s="2" t="s">
        <v>26</v>
      </c>
    </row>
    <row r="281" ht="15.75" customHeight="1">
      <c r="A281" s="2" t="s">
        <v>19</v>
      </c>
      <c r="B281" s="2" t="s">
        <v>218</v>
      </c>
      <c r="C281" s="2" t="s">
        <v>21</v>
      </c>
      <c r="D281" s="2" t="s">
        <v>22</v>
      </c>
      <c r="E281" s="2" t="s">
        <v>63</v>
      </c>
      <c r="F281" s="2" t="s">
        <v>219</v>
      </c>
      <c r="G281" s="2">
        <v>15635.661516</v>
      </c>
      <c r="H281" s="2" t="s">
        <v>27</v>
      </c>
    </row>
    <row r="282" ht="15.75" customHeight="1">
      <c r="A282" s="2" t="s">
        <v>19</v>
      </c>
      <c r="B282" s="2" t="s">
        <v>220</v>
      </c>
      <c r="C282" s="4" t="s">
        <v>32</v>
      </c>
      <c r="D282" s="2" t="s">
        <v>56</v>
      </c>
      <c r="F282" s="2" t="s">
        <v>221</v>
      </c>
      <c r="G282" s="3">
        <f>9712.5+'Hoja 1'!C50+'Hoja 1'!I48</f>
        <v>35960.1</v>
      </c>
      <c r="H282" s="2" t="s">
        <v>26</v>
      </c>
    </row>
    <row r="283" ht="15.75" customHeight="1">
      <c r="A283" s="2" t="s">
        <v>19</v>
      </c>
      <c r="B283" s="2" t="s">
        <v>220</v>
      </c>
      <c r="C283" s="4" t="s">
        <v>32</v>
      </c>
      <c r="D283" s="2" t="s">
        <v>56</v>
      </c>
      <c r="F283" s="2" t="s">
        <v>221</v>
      </c>
      <c r="G283" s="3">
        <f>6300+'Hoja 1'!C9+'Hoja 1'!I9</f>
        <v>32546.1</v>
      </c>
      <c r="H283" s="2" t="s">
        <v>25</v>
      </c>
    </row>
    <row r="284" ht="15.75" customHeight="1">
      <c r="A284" s="2" t="s">
        <v>19</v>
      </c>
      <c r="B284" s="2" t="s">
        <v>220</v>
      </c>
      <c r="C284" s="4" t="s">
        <v>32</v>
      </c>
      <c r="D284" s="2" t="s">
        <v>56</v>
      </c>
      <c r="F284" s="2" t="s">
        <v>221</v>
      </c>
      <c r="G284" s="3">
        <f>6300+'Hoja 1'!C24+'Hoja 1'!I25</f>
        <v>32547.6</v>
      </c>
      <c r="H284" s="2" t="s">
        <v>27</v>
      </c>
    </row>
    <row r="285" ht="15.75" customHeight="1">
      <c r="A285" s="2" t="s">
        <v>19</v>
      </c>
      <c r="B285" s="2" t="s">
        <v>220</v>
      </c>
      <c r="C285" s="4" t="s">
        <v>32</v>
      </c>
      <c r="D285" s="2" t="s">
        <v>56</v>
      </c>
      <c r="F285" s="2" t="s">
        <v>221</v>
      </c>
      <c r="G285" s="3">
        <f>32670.19564+'Hoja 1'!C102+'Hoja 1'!I102</f>
        <v>58917.79564</v>
      </c>
      <c r="H285" s="4" t="s">
        <v>28</v>
      </c>
    </row>
    <row r="286" ht="15.75" customHeight="1">
      <c r="A286" s="2" t="s">
        <v>19</v>
      </c>
      <c r="B286" s="2" t="s">
        <v>222</v>
      </c>
      <c r="C286" s="2" t="s">
        <v>32</v>
      </c>
      <c r="D286" s="2" t="s">
        <v>39</v>
      </c>
      <c r="F286" s="2" t="s">
        <v>223</v>
      </c>
      <c r="G286" s="2">
        <v>21447.91512</v>
      </c>
      <c r="H286" s="2" t="s">
        <v>25</v>
      </c>
    </row>
    <row r="287" ht="15.75" customHeight="1">
      <c r="A287" s="2" t="s">
        <v>19</v>
      </c>
      <c r="B287" s="2" t="s">
        <v>222</v>
      </c>
      <c r="C287" s="2" t="s">
        <v>32</v>
      </c>
      <c r="D287" s="2" t="s">
        <v>39</v>
      </c>
      <c r="F287" s="2" t="s">
        <v>223</v>
      </c>
      <c r="G287" s="2">
        <v>21043.28283</v>
      </c>
      <c r="H287" s="2" t="s">
        <v>27</v>
      </c>
    </row>
    <row r="288" ht="15.75" customHeight="1">
      <c r="A288" s="2" t="s">
        <v>19</v>
      </c>
      <c r="B288" s="2" t="s">
        <v>224</v>
      </c>
      <c r="C288" s="2" t="s">
        <v>21</v>
      </c>
      <c r="D288" s="2" t="s">
        <v>22</v>
      </c>
      <c r="F288" s="2" t="s">
        <v>225</v>
      </c>
      <c r="G288" s="2">
        <v>12664.666657</v>
      </c>
      <c r="H288" s="2" t="s">
        <v>26</v>
      </c>
    </row>
    <row r="289" ht="15.75" customHeight="1">
      <c r="A289" s="2" t="s">
        <v>19</v>
      </c>
      <c r="B289" s="2" t="s">
        <v>224</v>
      </c>
      <c r="C289" s="2" t="s">
        <v>21</v>
      </c>
      <c r="D289" s="2" t="s">
        <v>22</v>
      </c>
      <c r="F289" s="2" t="s">
        <v>225</v>
      </c>
      <c r="G289" s="2">
        <v>8107.360929</v>
      </c>
      <c r="H289" s="2" t="s">
        <v>27</v>
      </c>
    </row>
    <row r="290" ht="15.75" customHeight="1">
      <c r="A290" s="2" t="s">
        <v>19</v>
      </c>
      <c r="B290" s="2" t="s">
        <v>226</v>
      </c>
      <c r="C290" s="2" t="s">
        <v>32</v>
      </c>
      <c r="D290" s="2" t="s">
        <v>22</v>
      </c>
      <c r="E290" s="2" t="s">
        <v>42</v>
      </c>
      <c r="F290" s="2" t="s">
        <v>227</v>
      </c>
      <c r="G290" s="2">
        <v>24662.52906</v>
      </c>
      <c r="H290" s="2" t="s">
        <v>25</v>
      </c>
    </row>
    <row r="291" ht="15.75" customHeight="1">
      <c r="A291" s="2" t="s">
        <v>19</v>
      </c>
      <c r="B291" s="2" t="s">
        <v>226</v>
      </c>
      <c r="C291" s="2" t="s">
        <v>32</v>
      </c>
      <c r="D291" s="2" t="s">
        <v>22</v>
      </c>
      <c r="E291" s="2" t="s">
        <v>42</v>
      </c>
      <c r="F291" s="2" t="s">
        <v>227</v>
      </c>
      <c r="G291" s="2">
        <v>24290.29243</v>
      </c>
      <c r="H291" s="2" t="s">
        <v>26</v>
      </c>
    </row>
    <row r="292" ht="15.75" customHeight="1">
      <c r="A292" s="2" t="s">
        <v>19</v>
      </c>
      <c r="B292" s="2" t="s">
        <v>226</v>
      </c>
      <c r="C292" s="2" t="s">
        <v>32</v>
      </c>
      <c r="D292" s="2" t="s">
        <v>22</v>
      </c>
      <c r="E292" s="2" t="s">
        <v>42</v>
      </c>
      <c r="F292" s="2" t="s">
        <v>227</v>
      </c>
      <c r="G292" s="2">
        <v>24203.17162</v>
      </c>
      <c r="H292" s="2" t="s">
        <v>27</v>
      </c>
    </row>
    <row r="293" ht="15.75" customHeight="1">
      <c r="A293" s="2" t="s">
        <v>19</v>
      </c>
      <c r="B293" s="2" t="s">
        <v>228</v>
      </c>
      <c r="C293" s="2" t="s">
        <v>32</v>
      </c>
      <c r="D293" s="2" t="s">
        <v>118</v>
      </c>
      <c r="F293" s="2" t="s">
        <v>229</v>
      </c>
      <c r="G293" s="2">
        <v>68390.14405</v>
      </c>
      <c r="H293" s="2" t="s">
        <v>25</v>
      </c>
    </row>
    <row r="294" ht="15.75" customHeight="1">
      <c r="A294" s="2" t="s">
        <v>19</v>
      </c>
      <c r="B294" s="2" t="s">
        <v>228</v>
      </c>
      <c r="C294" s="2" t="s">
        <v>32</v>
      </c>
      <c r="D294" s="2" t="s">
        <v>118</v>
      </c>
      <c r="F294" s="2" t="s">
        <v>229</v>
      </c>
      <c r="G294" s="2">
        <v>76896.25229</v>
      </c>
      <c r="H294" s="2" t="s">
        <v>26</v>
      </c>
    </row>
    <row r="295" ht="15.75" customHeight="1">
      <c r="A295" s="2" t="s">
        <v>19</v>
      </c>
      <c r="B295" s="2" t="s">
        <v>228</v>
      </c>
      <c r="C295" s="2" t="s">
        <v>32</v>
      </c>
      <c r="D295" s="2" t="s">
        <v>118</v>
      </c>
      <c r="F295" s="2" t="s">
        <v>229</v>
      </c>
      <c r="G295" s="2">
        <v>77832.85317</v>
      </c>
      <c r="H295" s="2" t="s">
        <v>27</v>
      </c>
    </row>
    <row r="296" ht="15.75" customHeight="1">
      <c r="A296" s="2" t="s">
        <v>19</v>
      </c>
      <c r="B296" s="2" t="s">
        <v>230</v>
      </c>
      <c r="C296" s="2" t="s">
        <v>32</v>
      </c>
      <c r="D296" s="2" t="s">
        <v>48</v>
      </c>
      <c r="F296" s="2" t="s">
        <v>231</v>
      </c>
      <c r="G296" s="2">
        <v>19207.062778</v>
      </c>
      <c r="H296" s="2" t="s">
        <v>25</v>
      </c>
    </row>
    <row r="297" ht="15.75" customHeight="1">
      <c r="A297" s="2" t="s">
        <v>19</v>
      </c>
      <c r="B297" s="2" t="s">
        <v>230</v>
      </c>
      <c r="C297" s="2" t="s">
        <v>32</v>
      </c>
      <c r="D297" s="2" t="s">
        <v>48</v>
      </c>
      <c r="F297" s="2" t="s">
        <v>231</v>
      </c>
      <c r="G297" s="3">
        <f>5826.24+'Hoja 1'!I85</f>
        <v>8031.52</v>
      </c>
      <c r="H297" s="2" t="s">
        <v>26</v>
      </c>
    </row>
    <row r="298" ht="15.75" customHeight="1">
      <c r="A298" s="2" t="s">
        <v>19</v>
      </c>
      <c r="B298" s="2" t="s">
        <v>230</v>
      </c>
      <c r="C298" s="2" t="s">
        <v>32</v>
      </c>
      <c r="D298" s="2" t="s">
        <v>48</v>
      </c>
      <c r="F298" s="2" t="s">
        <v>231</v>
      </c>
      <c r="G298" s="2">
        <v>18848.225941</v>
      </c>
      <c r="H298" s="2" t="s">
        <v>27</v>
      </c>
    </row>
    <row r="299" ht="15.75" customHeight="1">
      <c r="A299" s="2" t="s">
        <v>19</v>
      </c>
      <c r="B299" s="2" t="s">
        <v>230</v>
      </c>
      <c r="C299" s="2" t="s">
        <v>32</v>
      </c>
      <c r="D299" s="2" t="s">
        <v>48</v>
      </c>
      <c r="F299" s="2" t="s">
        <v>231</v>
      </c>
      <c r="G299" s="3">
        <f>5826.24+'Hoja 1'!L139</f>
        <v>15277.44</v>
      </c>
      <c r="H299" s="4" t="s">
        <v>28</v>
      </c>
    </row>
    <row r="300" ht="15.75" customHeight="1">
      <c r="A300" s="2" t="s">
        <v>19</v>
      </c>
      <c r="B300" s="2" t="s">
        <v>232</v>
      </c>
      <c r="C300" s="2" t="s">
        <v>68</v>
      </c>
      <c r="D300" s="2" t="s">
        <v>198</v>
      </c>
      <c r="F300" s="2" t="s">
        <v>233</v>
      </c>
      <c r="G300" s="2">
        <v>20203.68456</v>
      </c>
      <c r="H300" s="2" t="s">
        <v>26</v>
      </c>
    </row>
    <row r="301" ht="15.75" customHeight="1">
      <c r="A301" s="2" t="s">
        <v>19</v>
      </c>
      <c r="B301" s="2" t="s">
        <v>232</v>
      </c>
      <c r="C301" s="2" t="s">
        <v>68</v>
      </c>
      <c r="D301" s="2" t="s">
        <v>198</v>
      </c>
      <c r="F301" s="2" t="s">
        <v>233</v>
      </c>
      <c r="G301" s="2">
        <v>19963.580155</v>
      </c>
      <c r="H301" s="2" t="s">
        <v>27</v>
      </c>
    </row>
    <row r="302" ht="15.75" customHeight="1">
      <c r="A302" s="2" t="s">
        <v>19</v>
      </c>
      <c r="B302" s="2" t="s">
        <v>232</v>
      </c>
      <c r="C302" s="2" t="s">
        <v>68</v>
      </c>
      <c r="D302" s="2" t="s">
        <v>198</v>
      </c>
      <c r="F302" s="2" t="s">
        <v>233</v>
      </c>
      <c r="G302" s="2">
        <v>20321.67818</v>
      </c>
      <c r="H302" s="2" t="s">
        <v>25</v>
      </c>
    </row>
    <row r="303" ht="15.75" customHeight="1">
      <c r="A303" s="2" t="s">
        <v>19</v>
      </c>
      <c r="B303" s="2" t="s">
        <v>234</v>
      </c>
      <c r="C303" s="2" t="s">
        <v>21</v>
      </c>
      <c r="D303" s="2" t="s">
        <v>22</v>
      </c>
      <c r="F303" s="2" t="s">
        <v>235</v>
      </c>
      <c r="G303" s="2">
        <v>18141.678181</v>
      </c>
      <c r="H303" s="2" t="s">
        <v>25</v>
      </c>
    </row>
    <row r="304" ht="15.75" customHeight="1">
      <c r="A304" s="2" t="s">
        <v>19</v>
      </c>
      <c r="B304" s="7" t="s">
        <v>236</v>
      </c>
      <c r="C304" s="4" t="s">
        <v>21</v>
      </c>
      <c r="D304" s="2" t="s">
        <v>22</v>
      </c>
      <c r="E304" s="4" t="s">
        <v>53</v>
      </c>
      <c r="F304" s="7" t="s">
        <v>236</v>
      </c>
      <c r="G304" s="3">
        <f>'Hoja 1'!I86</f>
        <v>630.08</v>
      </c>
      <c r="H304" s="4" t="s">
        <v>26</v>
      </c>
    </row>
    <row r="305" ht="15.75" customHeight="1">
      <c r="A305" s="2" t="s">
        <v>19</v>
      </c>
      <c r="B305" s="7" t="s">
        <v>236</v>
      </c>
      <c r="C305" s="4" t="s">
        <v>21</v>
      </c>
      <c r="D305" s="2" t="s">
        <v>22</v>
      </c>
      <c r="E305" s="4" t="s">
        <v>53</v>
      </c>
      <c r="F305" s="7" t="s">
        <v>236</v>
      </c>
      <c r="G305" s="3">
        <f>9574.656+'Hoja 1'!L140</f>
        <v>19025.856</v>
      </c>
      <c r="H305" s="4" t="s">
        <v>28</v>
      </c>
    </row>
    <row r="306" ht="15.75" customHeight="1">
      <c r="A306" s="2" t="s">
        <v>19</v>
      </c>
      <c r="B306" s="2" t="s">
        <v>237</v>
      </c>
      <c r="C306" s="2" t="s">
        <v>21</v>
      </c>
      <c r="D306" s="2" t="s">
        <v>22</v>
      </c>
      <c r="E306" s="2" t="s">
        <v>42</v>
      </c>
      <c r="F306" s="2" t="s">
        <v>238</v>
      </c>
      <c r="G306" s="2">
        <v>12552.513977</v>
      </c>
      <c r="H306" s="2" t="s">
        <v>26</v>
      </c>
    </row>
    <row r="307" ht="15.75" customHeight="1">
      <c r="A307" s="2" t="s">
        <v>19</v>
      </c>
      <c r="B307" s="13" t="s">
        <v>239</v>
      </c>
      <c r="C307" s="4" t="s">
        <v>21</v>
      </c>
      <c r="D307" s="4" t="s">
        <v>22</v>
      </c>
      <c r="E307" s="4" t="s">
        <v>42</v>
      </c>
      <c r="F307" s="13" t="s">
        <v>239</v>
      </c>
      <c r="G307" s="3">
        <f>7480.2+'Hoja 1'!C141+'Hoja 1'!I140</f>
        <v>15356.2</v>
      </c>
      <c r="H307" s="4" t="s">
        <v>28</v>
      </c>
    </row>
    <row r="308" ht="15.75" customHeight="1">
      <c r="A308" s="2" t="s">
        <v>19</v>
      </c>
      <c r="B308" s="7" t="s">
        <v>240</v>
      </c>
      <c r="C308" s="4" t="s">
        <v>21</v>
      </c>
      <c r="D308" s="4" t="s">
        <v>22</v>
      </c>
      <c r="E308" s="4" t="s">
        <v>23</v>
      </c>
      <c r="F308" s="7" t="s">
        <v>240</v>
      </c>
      <c r="G308" s="3">
        <f>1863.12+'Hoja 1'!I141</f>
        <v>6588.72</v>
      </c>
      <c r="H308" s="4" t="s">
        <v>28</v>
      </c>
    </row>
    <row r="309" ht="15.75" customHeight="1">
      <c r="A309" s="2" t="s">
        <v>19</v>
      </c>
      <c r="B309" s="7" t="s">
        <v>241</v>
      </c>
      <c r="C309" s="4" t="s">
        <v>21</v>
      </c>
      <c r="D309" s="4" t="s">
        <v>22</v>
      </c>
      <c r="E309" s="4" t="s">
        <v>53</v>
      </c>
      <c r="F309" s="7" t="s">
        <v>241</v>
      </c>
      <c r="G309" s="3">
        <f>3438.12+'Hoja 1'!I142</f>
        <v>8163.72</v>
      </c>
      <c r="H309" s="4" t="s">
        <v>28</v>
      </c>
    </row>
    <row r="310" ht="15.75" customHeight="1">
      <c r="A310" s="2" t="s">
        <v>19</v>
      </c>
      <c r="B310" s="7" t="s">
        <v>242</v>
      </c>
      <c r="C310" s="4" t="s">
        <v>21</v>
      </c>
      <c r="D310" s="4" t="s">
        <v>22</v>
      </c>
      <c r="E310" s="4" t="s">
        <v>45</v>
      </c>
      <c r="F310" s="7" t="s">
        <v>242</v>
      </c>
      <c r="G310" s="3">
        <f>496.8285+'Hoja 1'!I143</f>
        <v>1756.9885</v>
      </c>
      <c r="H310" s="4" t="s">
        <v>28</v>
      </c>
    </row>
    <row r="311" ht="15.75" customHeight="1">
      <c r="A311" s="2" t="s">
        <v>19</v>
      </c>
      <c r="B311" s="2" t="s">
        <v>237</v>
      </c>
      <c r="C311" s="2" t="s">
        <v>21</v>
      </c>
      <c r="D311" s="2" t="s">
        <v>22</v>
      </c>
      <c r="E311" s="2" t="s">
        <v>42</v>
      </c>
      <c r="F311" s="2" t="s">
        <v>238</v>
      </c>
      <c r="G311" s="2">
        <v>18893.580152</v>
      </c>
      <c r="H311" s="2" t="s">
        <v>27</v>
      </c>
    </row>
    <row r="312" ht="15.75" customHeight="1">
      <c r="A312" s="2" t="s">
        <v>19</v>
      </c>
      <c r="B312" s="2" t="s">
        <v>237</v>
      </c>
      <c r="C312" s="2" t="s">
        <v>21</v>
      </c>
      <c r="D312" s="2" t="s">
        <v>22</v>
      </c>
      <c r="E312" s="2" t="s">
        <v>42</v>
      </c>
      <c r="F312" s="2" t="s">
        <v>238</v>
      </c>
      <c r="G312" s="2">
        <v>19231.678181</v>
      </c>
      <c r="H312" s="2" t="s">
        <v>25</v>
      </c>
    </row>
    <row r="313" ht="15.75" customHeight="1">
      <c r="A313" s="2" t="s">
        <v>19</v>
      </c>
      <c r="B313" s="2" t="s">
        <v>243</v>
      </c>
      <c r="C313" s="2" t="s">
        <v>21</v>
      </c>
      <c r="D313" s="2" t="s">
        <v>56</v>
      </c>
      <c r="F313" s="2" t="s">
        <v>244</v>
      </c>
      <c r="G313" s="2">
        <v>28074.40406</v>
      </c>
      <c r="H313" s="2" t="s">
        <v>27</v>
      </c>
    </row>
    <row r="314" ht="15.75" customHeight="1">
      <c r="A314" s="2" t="s">
        <v>19</v>
      </c>
      <c r="B314" s="2" t="s">
        <v>243</v>
      </c>
      <c r="C314" s="2" t="s">
        <v>21</v>
      </c>
      <c r="D314" s="2" t="s">
        <v>56</v>
      </c>
      <c r="F314" s="2" t="s">
        <v>244</v>
      </c>
      <c r="G314" s="2">
        <v>28361.56091</v>
      </c>
      <c r="H314" s="2" t="s">
        <v>25</v>
      </c>
    </row>
    <row r="315" ht="15.75" customHeight="1">
      <c r="A315" s="2" t="s">
        <v>19</v>
      </c>
      <c r="B315" s="2" t="s">
        <v>243</v>
      </c>
      <c r="C315" s="2" t="s">
        <v>21</v>
      </c>
      <c r="D315" s="2" t="s">
        <v>56</v>
      </c>
      <c r="F315" s="2" t="s">
        <v>244</v>
      </c>
      <c r="G315" s="2">
        <v>27403.82208</v>
      </c>
      <c r="H315" s="2" t="s">
        <v>26</v>
      </c>
    </row>
    <row r="316" ht="15.75" customHeight="1">
      <c r="A316" s="2" t="s">
        <v>19</v>
      </c>
      <c r="B316" s="2" t="s">
        <v>245</v>
      </c>
      <c r="C316" s="2" t="s">
        <v>21</v>
      </c>
      <c r="D316" s="2" t="s">
        <v>22</v>
      </c>
      <c r="E316" s="2" t="s">
        <v>63</v>
      </c>
      <c r="F316" s="2" t="s">
        <v>246</v>
      </c>
      <c r="G316" s="3">
        <f>4776.24+'Hoja 1'!I79</f>
        <v>9501.84</v>
      </c>
      <c r="H316" s="2" t="s">
        <v>26</v>
      </c>
    </row>
    <row r="317" ht="15.75" customHeight="1">
      <c r="A317" s="2" t="s">
        <v>19</v>
      </c>
      <c r="B317" s="2" t="s">
        <v>245</v>
      </c>
      <c r="C317" s="2" t="s">
        <v>21</v>
      </c>
      <c r="D317" s="2" t="s">
        <v>22</v>
      </c>
      <c r="E317" s="2" t="s">
        <v>63</v>
      </c>
      <c r="F317" s="2" t="s">
        <v>246</v>
      </c>
      <c r="G317" s="2">
        <v>18141.678181</v>
      </c>
      <c r="H317" s="2" t="s">
        <v>25</v>
      </c>
    </row>
    <row r="318" ht="15.75" customHeight="1">
      <c r="A318" s="2" t="s">
        <v>19</v>
      </c>
      <c r="B318" s="2" t="s">
        <v>245</v>
      </c>
      <c r="C318" s="2" t="s">
        <v>21</v>
      </c>
      <c r="D318" s="2" t="s">
        <v>22</v>
      </c>
      <c r="E318" s="2" t="s">
        <v>63</v>
      </c>
      <c r="F318" s="2" t="s">
        <v>246</v>
      </c>
      <c r="G318" s="2">
        <v>17823.580152</v>
      </c>
      <c r="H318" s="2" t="s">
        <v>27</v>
      </c>
    </row>
    <row r="319" ht="15.75" customHeight="1">
      <c r="A319" s="2" t="s">
        <v>19</v>
      </c>
      <c r="B319" s="2" t="s">
        <v>245</v>
      </c>
      <c r="C319" s="2" t="s">
        <v>21</v>
      </c>
      <c r="D319" s="2" t="s">
        <v>22</v>
      </c>
      <c r="E319" s="2" t="s">
        <v>63</v>
      </c>
      <c r="F319" s="2" t="s">
        <v>246</v>
      </c>
      <c r="G319" s="3">
        <f>4776.24+'Hoja 1'!L133</f>
        <v>14227.44</v>
      </c>
      <c r="H319" s="4" t="s">
        <v>28</v>
      </c>
    </row>
    <row r="320" ht="15.75" customHeight="1">
      <c r="A320" s="2" t="s">
        <v>19</v>
      </c>
      <c r="B320" s="2" t="s">
        <v>247</v>
      </c>
      <c r="C320" s="2" t="s">
        <v>21</v>
      </c>
      <c r="D320" s="2" t="s">
        <v>22</v>
      </c>
      <c r="E320" s="2" t="s">
        <v>23</v>
      </c>
      <c r="F320" s="2" t="s">
        <v>248</v>
      </c>
      <c r="G320" s="2">
        <v>7350.0</v>
      </c>
      <c r="H320" s="2" t="s">
        <v>26</v>
      </c>
    </row>
    <row r="321" ht="15.75" customHeight="1">
      <c r="A321" s="2" t="s">
        <v>19</v>
      </c>
      <c r="B321" s="2" t="s">
        <v>247</v>
      </c>
      <c r="C321" s="2" t="s">
        <v>21</v>
      </c>
      <c r="D321" s="2" t="s">
        <v>22</v>
      </c>
      <c r="E321" s="2" t="s">
        <v>23</v>
      </c>
      <c r="F321" s="2" t="s">
        <v>248</v>
      </c>
      <c r="G321" s="2">
        <v>7350.0</v>
      </c>
      <c r="H321" s="2" t="s">
        <v>25</v>
      </c>
    </row>
    <row r="322" ht="15.75" customHeight="1">
      <c r="A322" s="2" t="s">
        <v>19</v>
      </c>
      <c r="B322" s="2" t="s">
        <v>247</v>
      </c>
      <c r="C322" s="2" t="s">
        <v>21</v>
      </c>
      <c r="D322" s="2" t="s">
        <v>22</v>
      </c>
      <c r="E322" s="2" t="s">
        <v>23</v>
      </c>
      <c r="F322" s="2" t="s">
        <v>248</v>
      </c>
      <c r="G322" s="2">
        <v>7350.0</v>
      </c>
      <c r="H322" s="2" t="s">
        <v>27</v>
      </c>
    </row>
    <row r="323" ht="15.75" customHeight="1">
      <c r="A323" s="2" t="s">
        <v>19</v>
      </c>
      <c r="B323" s="2" t="s">
        <v>249</v>
      </c>
      <c r="C323" s="2" t="s">
        <v>21</v>
      </c>
      <c r="D323" s="2" t="s">
        <v>56</v>
      </c>
      <c r="F323" s="2" t="s">
        <v>250</v>
      </c>
      <c r="G323" s="2">
        <v>13202.829051</v>
      </c>
      <c r="H323" s="2" t="s">
        <v>26</v>
      </c>
    </row>
    <row r="324" ht="15.75" customHeight="1">
      <c r="A324" s="2" t="s">
        <v>19</v>
      </c>
      <c r="B324" s="2" t="s">
        <v>249</v>
      </c>
      <c r="C324" s="2" t="s">
        <v>21</v>
      </c>
      <c r="D324" s="2" t="s">
        <v>56</v>
      </c>
      <c r="F324" s="2" t="s">
        <v>250</v>
      </c>
      <c r="G324" s="2">
        <v>12905.877092</v>
      </c>
      <c r="H324" s="2" t="s">
        <v>27</v>
      </c>
    </row>
    <row r="325" ht="15.75" customHeight="1">
      <c r="A325" s="2" t="s">
        <v>19</v>
      </c>
      <c r="B325" s="2" t="s">
        <v>249</v>
      </c>
      <c r="C325" s="2" t="s">
        <v>21</v>
      </c>
      <c r="D325" s="2" t="s">
        <v>56</v>
      </c>
      <c r="F325" s="2" t="s">
        <v>250</v>
      </c>
      <c r="G325" s="2">
        <v>13153.19405</v>
      </c>
      <c r="H325" s="2" t="s">
        <v>25</v>
      </c>
    </row>
    <row r="326" ht="15.75" customHeight="1">
      <c r="A326" s="2" t="s">
        <v>19</v>
      </c>
      <c r="B326" s="2" t="s">
        <v>251</v>
      </c>
      <c r="C326" s="2" t="s">
        <v>21</v>
      </c>
      <c r="D326" s="2" t="s">
        <v>56</v>
      </c>
      <c r="F326" s="2" t="s">
        <v>252</v>
      </c>
      <c r="G326" s="2">
        <v>7350.0</v>
      </c>
      <c r="H326" s="2" t="s">
        <v>25</v>
      </c>
    </row>
    <row r="327" ht="15.75" customHeight="1">
      <c r="A327" s="2" t="s">
        <v>19</v>
      </c>
      <c r="B327" s="2" t="s">
        <v>251</v>
      </c>
      <c r="C327" s="2" t="s">
        <v>21</v>
      </c>
      <c r="D327" s="2" t="s">
        <v>56</v>
      </c>
      <c r="F327" s="2" t="s">
        <v>252</v>
      </c>
      <c r="G327" s="2">
        <v>7350.0</v>
      </c>
      <c r="H327" s="2" t="s">
        <v>26</v>
      </c>
    </row>
    <row r="328" ht="15.75" customHeight="1">
      <c r="A328" s="2" t="s">
        <v>19</v>
      </c>
      <c r="B328" s="2" t="s">
        <v>251</v>
      </c>
      <c r="C328" s="2" t="s">
        <v>21</v>
      </c>
      <c r="D328" s="2" t="s">
        <v>56</v>
      </c>
      <c r="F328" s="2" t="s">
        <v>252</v>
      </c>
      <c r="G328" s="2">
        <v>7350.0</v>
      </c>
      <c r="H328" s="2" t="s">
        <v>27</v>
      </c>
    </row>
    <row r="329" ht="15.75" customHeight="1">
      <c r="A329" s="2" t="s">
        <v>19</v>
      </c>
      <c r="B329" s="2" t="s">
        <v>253</v>
      </c>
      <c r="C329" s="2" t="s">
        <v>32</v>
      </c>
      <c r="D329" s="2" t="s">
        <v>56</v>
      </c>
      <c r="F329" s="2" t="s">
        <v>254</v>
      </c>
      <c r="G329" s="2">
        <v>21139.39677</v>
      </c>
      <c r="H329" s="2" t="s">
        <v>26</v>
      </c>
    </row>
    <row r="330" ht="15.75" customHeight="1">
      <c r="A330" s="2" t="s">
        <v>19</v>
      </c>
      <c r="B330" s="2" t="s">
        <v>253</v>
      </c>
      <c r="C330" s="2" t="s">
        <v>32</v>
      </c>
      <c r="D330" s="2" t="s">
        <v>56</v>
      </c>
      <c r="F330" s="2" t="s">
        <v>254</v>
      </c>
      <c r="G330" s="2">
        <v>19315.770457</v>
      </c>
      <c r="H330" s="2" t="s">
        <v>25</v>
      </c>
    </row>
    <row r="331" ht="15.75" customHeight="1">
      <c r="A331" s="2" t="s">
        <v>19</v>
      </c>
      <c r="B331" s="2" t="s">
        <v>253</v>
      </c>
      <c r="C331" s="2" t="s">
        <v>32</v>
      </c>
      <c r="D331" s="2" t="s">
        <v>56</v>
      </c>
      <c r="F331" s="2" t="s">
        <v>254</v>
      </c>
      <c r="G331" s="2">
        <v>19996.580507</v>
      </c>
      <c r="H331" s="2" t="s">
        <v>27</v>
      </c>
    </row>
    <row r="332" ht="15.75" customHeight="1">
      <c r="A332" s="2" t="s">
        <v>19</v>
      </c>
      <c r="B332" s="2" t="s">
        <v>255</v>
      </c>
      <c r="C332" s="2" t="s">
        <v>21</v>
      </c>
      <c r="D332" s="2" t="s">
        <v>22</v>
      </c>
      <c r="E332" s="2" t="s">
        <v>63</v>
      </c>
      <c r="F332" s="2" t="s">
        <v>256</v>
      </c>
      <c r="G332" s="3">
        <f>7403.466+'Hoja 1'!L69</f>
        <v>16854.666</v>
      </c>
      <c r="H332" s="2" t="s">
        <v>26</v>
      </c>
    </row>
    <row r="333" ht="15.75" customHeight="1">
      <c r="A333" s="2" t="s">
        <v>19</v>
      </c>
      <c r="B333" s="2" t="s">
        <v>255</v>
      </c>
      <c r="C333" s="2" t="s">
        <v>21</v>
      </c>
      <c r="D333" s="2" t="s">
        <v>22</v>
      </c>
      <c r="E333" s="2" t="s">
        <v>63</v>
      </c>
      <c r="F333" s="2" t="s">
        <v>256</v>
      </c>
      <c r="G333" s="2">
        <v>21425.8467</v>
      </c>
      <c r="H333" s="2" t="s">
        <v>25</v>
      </c>
    </row>
    <row r="334" ht="15.75" customHeight="1">
      <c r="A334" s="2" t="s">
        <v>19</v>
      </c>
      <c r="B334" s="2" t="s">
        <v>255</v>
      </c>
      <c r="C334" s="2" t="s">
        <v>21</v>
      </c>
      <c r="D334" s="2" t="s">
        <v>22</v>
      </c>
      <c r="E334" s="2" t="s">
        <v>63</v>
      </c>
      <c r="F334" s="2" t="s">
        <v>256</v>
      </c>
      <c r="G334" s="2">
        <v>21046.5104</v>
      </c>
      <c r="H334" s="2" t="s">
        <v>27</v>
      </c>
    </row>
    <row r="335" ht="15.75" customHeight="1">
      <c r="A335" s="2" t="s">
        <v>19</v>
      </c>
      <c r="B335" s="2" t="s">
        <v>255</v>
      </c>
      <c r="C335" s="2" t="s">
        <v>21</v>
      </c>
      <c r="D335" s="2" t="s">
        <v>22</v>
      </c>
      <c r="E335" s="2" t="s">
        <v>63</v>
      </c>
      <c r="F335" s="2" t="s">
        <v>256</v>
      </c>
      <c r="G335" s="3">
        <f>7926.24+'Hoja 1'!L121</f>
        <v>17377.44</v>
      </c>
      <c r="H335" s="4" t="s">
        <v>28</v>
      </c>
    </row>
    <row r="336" ht="15.75" customHeight="1">
      <c r="A336" s="2" t="s">
        <v>19</v>
      </c>
      <c r="B336" s="2" t="s">
        <v>257</v>
      </c>
      <c r="C336" s="2" t="s">
        <v>32</v>
      </c>
      <c r="D336" s="2" t="s">
        <v>39</v>
      </c>
      <c r="F336" s="2" t="s">
        <v>258</v>
      </c>
      <c r="G336" s="2">
        <v>14700.15378</v>
      </c>
      <c r="H336" s="2" t="s">
        <v>27</v>
      </c>
    </row>
    <row r="337" ht="15.75" customHeight="1">
      <c r="A337" s="2" t="s">
        <v>19</v>
      </c>
      <c r="B337" s="2" t="s">
        <v>257</v>
      </c>
      <c r="C337" s="2" t="s">
        <v>32</v>
      </c>
      <c r="D337" s="2" t="s">
        <v>39</v>
      </c>
      <c r="F337" s="2" t="s">
        <v>258</v>
      </c>
      <c r="G337" s="2">
        <v>14977.174718</v>
      </c>
      <c r="H337" s="2" t="s">
        <v>25</v>
      </c>
    </row>
    <row r="338" ht="15.75" customHeight="1">
      <c r="A338" s="2" t="s">
        <v>19</v>
      </c>
      <c r="B338" s="2" t="s">
        <v>257</v>
      </c>
      <c r="C338" s="2" t="s">
        <v>32</v>
      </c>
      <c r="D338" s="2" t="s">
        <v>39</v>
      </c>
      <c r="F338" s="2" t="s">
        <v>258</v>
      </c>
      <c r="G338" s="2">
        <v>14943.282958</v>
      </c>
      <c r="H338" s="2" t="s">
        <v>26</v>
      </c>
    </row>
    <row r="339" ht="15.75" customHeight="1">
      <c r="A339" s="2" t="s">
        <v>19</v>
      </c>
      <c r="B339" s="2" t="s">
        <v>259</v>
      </c>
      <c r="C339" s="2" t="s">
        <v>21</v>
      </c>
      <c r="D339" s="2" t="s">
        <v>22</v>
      </c>
      <c r="E339" s="2" t="s">
        <v>63</v>
      </c>
      <c r="F339" s="2" t="s">
        <v>260</v>
      </c>
      <c r="G339" s="2">
        <v>16715.736044</v>
      </c>
      <c r="H339" s="2" t="s">
        <v>27</v>
      </c>
    </row>
    <row r="340" ht="15.75" customHeight="1">
      <c r="A340" s="2" t="s">
        <v>19</v>
      </c>
      <c r="B340" s="2" t="s">
        <v>259</v>
      </c>
      <c r="C340" s="2" t="s">
        <v>21</v>
      </c>
      <c r="D340" s="2" t="s">
        <v>22</v>
      </c>
      <c r="E340" s="2" t="s">
        <v>63</v>
      </c>
      <c r="F340" s="2" t="s">
        <v>260</v>
      </c>
      <c r="G340" s="2">
        <v>18670.363418</v>
      </c>
      <c r="H340" s="2" t="s">
        <v>25</v>
      </c>
    </row>
    <row r="341" ht="15.75" customHeight="1">
      <c r="A341" s="2" t="s">
        <v>19</v>
      </c>
      <c r="B341" s="2" t="s">
        <v>259</v>
      </c>
      <c r="C341" s="2" t="s">
        <v>21</v>
      </c>
      <c r="D341" s="2" t="s">
        <v>22</v>
      </c>
      <c r="E341" s="2" t="s">
        <v>63</v>
      </c>
      <c r="F341" s="2" t="s">
        <v>260</v>
      </c>
      <c r="G341" s="2">
        <v>18039.056587</v>
      </c>
      <c r="H341" s="2" t="s">
        <v>26</v>
      </c>
    </row>
    <row r="342" ht="15.75" customHeight="1">
      <c r="A342" s="2" t="s">
        <v>19</v>
      </c>
      <c r="B342" s="2" t="s">
        <v>261</v>
      </c>
      <c r="C342" s="2" t="s">
        <v>21</v>
      </c>
      <c r="D342" s="2" t="s">
        <v>22</v>
      </c>
      <c r="E342" s="2" t="s">
        <v>53</v>
      </c>
      <c r="F342" s="2" t="s">
        <v>262</v>
      </c>
      <c r="G342" s="2">
        <v>15147.448181</v>
      </c>
      <c r="H342" s="2" t="s">
        <v>25</v>
      </c>
    </row>
    <row r="343" ht="15.75" customHeight="1">
      <c r="A343" s="2" t="s">
        <v>19</v>
      </c>
      <c r="B343" s="2" t="s">
        <v>261</v>
      </c>
      <c r="C343" s="2" t="s">
        <v>21</v>
      </c>
      <c r="D343" s="2" t="s">
        <v>22</v>
      </c>
      <c r="E343" s="2" t="s">
        <v>53</v>
      </c>
      <c r="F343" s="2" t="s">
        <v>262</v>
      </c>
      <c r="G343" s="2">
        <v>17038.780152</v>
      </c>
      <c r="H343" s="2" t="s">
        <v>27</v>
      </c>
    </row>
    <row r="344" ht="15.75" customHeight="1">
      <c r="A344" s="2" t="s">
        <v>19</v>
      </c>
      <c r="B344" s="2" t="s">
        <v>261</v>
      </c>
      <c r="C344" s="2" t="s">
        <v>21</v>
      </c>
      <c r="D344" s="2" t="s">
        <v>22</v>
      </c>
      <c r="E344" s="2" t="s">
        <v>53</v>
      </c>
      <c r="F344" s="2" t="s">
        <v>262</v>
      </c>
      <c r="G344" s="3">
        <f>4776.24+'Hoja 1'!L73</f>
        <v>14227.44</v>
      </c>
      <c r="H344" s="2" t="s">
        <v>26</v>
      </c>
    </row>
    <row r="345" ht="15.75" customHeight="1">
      <c r="A345" s="2" t="s">
        <v>19</v>
      </c>
      <c r="B345" s="2" t="s">
        <v>261</v>
      </c>
      <c r="C345" s="2" t="s">
        <v>21</v>
      </c>
      <c r="D345" s="2" t="s">
        <v>22</v>
      </c>
      <c r="E345" s="2" t="s">
        <v>53</v>
      </c>
      <c r="F345" s="2" t="s">
        <v>262</v>
      </c>
      <c r="G345" s="3">
        <f>624.624+'Hoja 1'!L126</f>
        <v>10075.824</v>
      </c>
      <c r="H345" s="4" t="s">
        <v>28</v>
      </c>
    </row>
    <row r="346" ht="15.75" customHeight="1">
      <c r="A346" s="2" t="s">
        <v>19</v>
      </c>
      <c r="B346" s="2" t="s">
        <v>263</v>
      </c>
      <c r="C346" s="2" t="s">
        <v>21</v>
      </c>
      <c r="D346" s="2" t="s">
        <v>22</v>
      </c>
      <c r="F346" s="2" t="s">
        <v>264</v>
      </c>
      <c r="G346" s="2">
        <v>7350.0</v>
      </c>
      <c r="H346" s="2" t="s">
        <v>27</v>
      </c>
    </row>
    <row r="347" ht="15.75" customHeight="1">
      <c r="A347" s="2" t="s">
        <v>19</v>
      </c>
      <c r="B347" s="2" t="s">
        <v>263</v>
      </c>
      <c r="C347" s="2" t="s">
        <v>21</v>
      </c>
      <c r="D347" s="2" t="s">
        <v>22</v>
      </c>
      <c r="F347" s="2" t="s">
        <v>264</v>
      </c>
      <c r="G347" s="2">
        <v>7350.0</v>
      </c>
      <c r="H347" s="2" t="s">
        <v>25</v>
      </c>
    </row>
    <row r="348" ht="15.75" customHeight="1">
      <c r="A348" s="2" t="s">
        <v>19</v>
      </c>
      <c r="B348" s="2" t="s">
        <v>263</v>
      </c>
      <c r="C348" s="2" t="s">
        <v>21</v>
      </c>
      <c r="D348" s="2" t="s">
        <v>22</v>
      </c>
      <c r="F348" s="2" t="s">
        <v>264</v>
      </c>
      <c r="G348" s="2">
        <v>3675.0</v>
      </c>
      <c r="H348" s="2" t="s">
        <v>26</v>
      </c>
    </row>
    <row r="349" ht="15.75" customHeight="1">
      <c r="A349" s="2" t="s">
        <v>19</v>
      </c>
      <c r="B349" s="2" t="s">
        <v>265</v>
      </c>
      <c r="C349" s="2" t="s">
        <v>32</v>
      </c>
      <c r="D349" s="2" t="s">
        <v>193</v>
      </c>
      <c r="E349" s="2" t="s">
        <v>23</v>
      </c>
      <c r="F349" s="2" t="s">
        <v>266</v>
      </c>
      <c r="G349" s="2">
        <v>23508.75854</v>
      </c>
      <c r="H349" s="2" t="s">
        <v>27</v>
      </c>
    </row>
    <row r="350" ht="15.75" customHeight="1">
      <c r="A350" s="2" t="s">
        <v>19</v>
      </c>
      <c r="B350" s="2" t="s">
        <v>265</v>
      </c>
      <c r="C350" s="2" t="s">
        <v>32</v>
      </c>
      <c r="D350" s="2" t="s">
        <v>193</v>
      </c>
      <c r="E350" s="2" t="s">
        <v>23</v>
      </c>
      <c r="F350" s="2" t="s">
        <v>266</v>
      </c>
      <c r="G350" s="2">
        <v>22304.9482</v>
      </c>
      <c r="H350" s="2" t="s">
        <v>26</v>
      </c>
    </row>
    <row r="351" ht="15.75" customHeight="1">
      <c r="A351" s="2" t="s">
        <v>19</v>
      </c>
      <c r="B351" s="2" t="s">
        <v>265</v>
      </c>
      <c r="C351" s="2" t="s">
        <v>32</v>
      </c>
      <c r="D351" s="2" t="s">
        <v>193</v>
      </c>
      <c r="E351" s="2" t="s">
        <v>23</v>
      </c>
      <c r="F351" s="2" t="s">
        <v>266</v>
      </c>
      <c r="G351" s="2">
        <v>22618.83996</v>
      </c>
      <c r="H351" s="2" t="s">
        <v>25</v>
      </c>
    </row>
    <row r="352" ht="15.75" customHeight="1">
      <c r="A352" s="2" t="s">
        <v>19</v>
      </c>
      <c r="B352" s="2" t="s">
        <v>267</v>
      </c>
      <c r="C352" s="2" t="s">
        <v>21</v>
      </c>
      <c r="D352" s="2" t="s">
        <v>22</v>
      </c>
      <c r="E352" s="2" t="s">
        <v>23</v>
      </c>
      <c r="F352" s="2" t="s">
        <v>268</v>
      </c>
      <c r="G352" s="2">
        <v>7350.0</v>
      </c>
      <c r="H352" s="2" t="s">
        <v>25</v>
      </c>
    </row>
    <row r="353" ht="15.75" customHeight="1">
      <c r="A353" s="2" t="s">
        <v>19</v>
      </c>
      <c r="B353" s="2" t="s">
        <v>267</v>
      </c>
      <c r="C353" s="2" t="s">
        <v>21</v>
      </c>
      <c r="D353" s="2" t="s">
        <v>22</v>
      </c>
      <c r="E353" s="2" t="s">
        <v>23</v>
      </c>
      <c r="F353" s="2" t="s">
        <v>268</v>
      </c>
      <c r="G353" s="2">
        <v>7350.0</v>
      </c>
      <c r="H353" s="2" t="s">
        <v>26</v>
      </c>
    </row>
    <row r="354" ht="15.75" customHeight="1">
      <c r="A354" s="2" t="s">
        <v>19</v>
      </c>
      <c r="B354" s="2" t="s">
        <v>267</v>
      </c>
      <c r="C354" s="2" t="s">
        <v>21</v>
      </c>
      <c r="D354" s="2" t="s">
        <v>22</v>
      </c>
      <c r="E354" s="2" t="s">
        <v>23</v>
      </c>
      <c r="F354" s="2" t="s">
        <v>268</v>
      </c>
      <c r="G354" s="2">
        <v>7350.0</v>
      </c>
      <c r="H354" s="2" t="s">
        <v>27</v>
      </c>
    </row>
    <row r="355" ht="15.75" customHeight="1">
      <c r="A355" s="2" t="s">
        <v>19</v>
      </c>
      <c r="B355" s="2" t="s">
        <v>269</v>
      </c>
      <c r="C355" s="2" t="s">
        <v>21</v>
      </c>
      <c r="D355" s="2" t="s">
        <v>22</v>
      </c>
      <c r="E355" s="2" t="s">
        <v>36</v>
      </c>
      <c r="F355" s="2" t="s">
        <v>270</v>
      </c>
      <c r="G355" s="2">
        <v>15927.656463</v>
      </c>
      <c r="H355" s="2" t="s">
        <v>26</v>
      </c>
    </row>
    <row r="356" ht="15.75" customHeight="1">
      <c r="A356" s="2" t="s">
        <v>19</v>
      </c>
      <c r="B356" s="2" t="s">
        <v>269</v>
      </c>
      <c r="C356" s="2" t="s">
        <v>21</v>
      </c>
      <c r="D356" s="2" t="s">
        <v>22</v>
      </c>
      <c r="E356" s="2" t="s">
        <v>36</v>
      </c>
      <c r="F356" s="2" t="s">
        <v>270</v>
      </c>
      <c r="G356" s="2">
        <v>15635.661516</v>
      </c>
      <c r="H356" s="2" t="s">
        <v>27</v>
      </c>
    </row>
    <row r="357" ht="15.75" customHeight="1">
      <c r="A357" s="2" t="s">
        <v>19</v>
      </c>
      <c r="B357" s="2" t="s">
        <v>269</v>
      </c>
      <c r="C357" s="2" t="s">
        <v>21</v>
      </c>
      <c r="D357" s="2" t="s">
        <v>22</v>
      </c>
      <c r="E357" s="2" t="s">
        <v>36</v>
      </c>
      <c r="F357" s="2" t="s">
        <v>270</v>
      </c>
      <c r="G357" s="2">
        <v>15934.228414</v>
      </c>
      <c r="H357" s="2" t="s">
        <v>25</v>
      </c>
    </row>
    <row r="358" ht="15.75" customHeight="1">
      <c r="A358" s="2" t="s">
        <v>19</v>
      </c>
      <c r="B358" s="2" t="s">
        <v>271</v>
      </c>
      <c r="C358" s="2" t="s">
        <v>32</v>
      </c>
      <c r="D358" s="2" t="s">
        <v>48</v>
      </c>
      <c r="F358" s="2" t="s">
        <v>272</v>
      </c>
      <c r="G358" s="2">
        <v>29400.0</v>
      </c>
      <c r="H358" s="2" t="s">
        <v>26</v>
      </c>
    </row>
    <row r="359" ht="15.75" customHeight="1">
      <c r="A359" s="2" t="s">
        <v>19</v>
      </c>
      <c r="B359" s="2" t="s">
        <v>271</v>
      </c>
      <c r="C359" s="2" t="s">
        <v>32</v>
      </c>
      <c r="D359" s="2" t="s">
        <v>48</v>
      </c>
      <c r="F359" s="2" t="s">
        <v>272</v>
      </c>
      <c r="G359" s="2">
        <v>29400.0</v>
      </c>
      <c r="H359" s="2" t="s">
        <v>27</v>
      </c>
    </row>
    <row r="360" ht="15.75" customHeight="1">
      <c r="A360" s="2" t="s">
        <v>19</v>
      </c>
      <c r="B360" s="2" t="s">
        <v>271</v>
      </c>
      <c r="C360" s="2" t="s">
        <v>32</v>
      </c>
      <c r="D360" s="2" t="s">
        <v>48</v>
      </c>
      <c r="F360" s="2" t="s">
        <v>272</v>
      </c>
      <c r="G360" s="2">
        <v>29400.0</v>
      </c>
      <c r="H360" s="2" t="s">
        <v>25</v>
      </c>
    </row>
    <row r="361" ht="15.75" customHeight="1">
      <c r="A361" s="2" t="s">
        <v>19</v>
      </c>
      <c r="B361" s="2" t="s">
        <v>273</v>
      </c>
      <c r="C361" s="2" t="s">
        <v>21</v>
      </c>
      <c r="D361" s="2" t="s">
        <v>22</v>
      </c>
      <c r="E361" s="2" t="s">
        <v>23</v>
      </c>
      <c r="F361" s="2" t="s">
        <v>274</v>
      </c>
      <c r="G361" s="3">
        <f>6351.24+'Hoja 1'!C61+'Hoja 1'!I59</f>
        <v>15802.44</v>
      </c>
      <c r="H361" s="2" t="s">
        <v>26</v>
      </c>
    </row>
    <row r="362" ht="15.75" customHeight="1">
      <c r="A362" s="2" t="s">
        <v>19</v>
      </c>
      <c r="B362" s="2" t="s">
        <v>273</v>
      </c>
      <c r="C362" s="2" t="s">
        <v>21</v>
      </c>
      <c r="D362" s="2" t="s">
        <v>22</v>
      </c>
      <c r="E362" s="2" t="s">
        <v>23</v>
      </c>
      <c r="F362" s="2" t="s">
        <v>274</v>
      </c>
      <c r="G362" s="2">
        <f>16540.080385+1575.2</f>
        <v>18115.28039</v>
      </c>
      <c r="H362" s="2" t="s">
        <v>27</v>
      </c>
    </row>
    <row r="363" ht="15.75" customHeight="1">
      <c r="A363" s="2" t="s">
        <v>19</v>
      </c>
      <c r="B363" s="2" t="s">
        <v>273</v>
      </c>
      <c r="C363" s="2" t="s">
        <v>21</v>
      </c>
      <c r="D363" s="2" t="s">
        <v>22</v>
      </c>
      <c r="E363" s="2" t="s">
        <v>23</v>
      </c>
      <c r="F363" s="2" t="s">
        <v>274</v>
      </c>
      <c r="G363" s="2">
        <v>18822.928181</v>
      </c>
      <c r="H363" s="2" t="s">
        <v>25</v>
      </c>
    </row>
    <row r="364" ht="15.75" customHeight="1">
      <c r="A364" s="14" t="s">
        <v>19</v>
      </c>
      <c r="B364" s="15" t="s">
        <v>273</v>
      </c>
      <c r="C364" s="15" t="s">
        <v>21</v>
      </c>
      <c r="D364" s="15" t="s">
        <v>22</v>
      </c>
      <c r="E364" s="15" t="s">
        <v>23</v>
      </c>
      <c r="F364" s="15" t="s">
        <v>274</v>
      </c>
      <c r="G364" s="5">
        <f>6112.89+'Hoja 1'!C113+'Hoja 1'!I113</f>
        <v>15564.09</v>
      </c>
      <c r="H364" s="16" t="s">
        <v>28</v>
      </c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8"/>
      <c r="T364" s="19"/>
      <c r="U364" s="19"/>
      <c r="V364" s="19"/>
      <c r="W364" s="19"/>
      <c r="X364" s="19"/>
      <c r="Y364" s="19"/>
      <c r="Z364" s="19"/>
    </row>
    <row r="365" ht="15.75" customHeight="1">
      <c r="A365" s="2" t="s">
        <v>19</v>
      </c>
      <c r="B365" s="2" t="s">
        <v>275</v>
      </c>
      <c r="C365" s="2" t="s">
        <v>21</v>
      </c>
      <c r="D365" s="2" t="s">
        <v>22</v>
      </c>
      <c r="E365" s="2" t="s">
        <v>23</v>
      </c>
      <c r="F365" s="2" t="s">
        <v>276</v>
      </c>
      <c r="G365" s="2">
        <v>16974.754614</v>
      </c>
      <c r="H365" s="2" t="s">
        <v>26</v>
      </c>
    </row>
    <row r="366" ht="15.75" customHeight="1">
      <c r="A366" s="2" t="s">
        <v>19</v>
      </c>
      <c r="B366" s="2" t="s">
        <v>275</v>
      </c>
      <c r="C366" s="2" t="s">
        <v>21</v>
      </c>
      <c r="D366" s="2" t="s">
        <v>22</v>
      </c>
      <c r="E366" s="2" t="s">
        <v>23</v>
      </c>
      <c r="F366" s="2" t="s">
        <v>276</v>
      </c>
      <c r="G366" s="2">
        <v>16703.097092</v>
      </c>
      <c r="H366" s="2" t="s">
        <v>27</v>
      </c>
    </row>
    <row r="367" ht="15.75" customHeight="1">
      <c r="A367" s="2" t="s">
        <v>19</v>
      </c>
      <c r="B367" s="2" t="s">
        <v>275</v>
      </c>
      <c r="C367" s="2" t="s">
        <v>21</v>
      </c>
      <c r="D367" s="2" t="s">
        <v>22</v>
      </c>
      <c r="E367" s="2" t="s">
        <v>23</v>
      </c>
      <c r="F367" s="2" t="s">
        <v>276</v>
      </c>
      <c r="G367" s="2">
        <v>17021.39405</v>
      </c>
      <c r="H367" s="2" t="s">
        <v>25</v>
      </c>
    </row>
    <row r="368" ht="15.75" customHeight="1">
      <c r="A368" s="2" t="s">
        <v>19</v>
      </c>
      <c r="B368" s="2" t="s">
        <v>277</v>
      </c>
      <c r="C368" s="2" t="s">
        <v>32</v>
      </c>
      <c r="D368" s="2" t="s">
        <v>56</v>
      </c>
      <c r="F368" s="2" t="s">
        <v>278</v>
      </c>
      <c r="G368" s="2">
        <v>21778.98612</v>
      </c>
      <c r="H368" s="2" t="s">
        <v>26</v>
      </c>
    </row>
    <row r="369" ht="15.75" customHeight="1">
      <c r="A369" s="2" t="s">
        <v>19</v>
      </c>
      <c r="B369" s="2" t="s">
        <v>277</v>
      </c>
      <c r="C369" s="2" t="s">
        <v>32</v>
      </c>
      <c r="D369" s="2" t="s">
        <v>56</v>
      </c>
      <c r="F369" s="2" t="s">
        <v>278</v>
      </c>
      <c r="G369" s="2">
        <v>20697.705549</v>
      </c>
      <c r="H369" s="2" t="s">
        <v>25</v>
      </c>
    </row>
    <row r="370" ht="15.75" customHeight="1">
      <c r="A370" s="2" t="s">
        <v>19</v>
      </c>
      <c r="B370" s="2" t="s">
        <v>277</v>
      </c>
      <c r="C370" s="2" t="s">
        <v>32</v>
      </c>
      <c r="D370" s="2" t="s">
        <v>56</v>
      </c>
      <c r="F370" s="2" t="s">
        <v>278</v>
      </c>
      <c r="G370" s="2">
        <v>21661.06821</v>
      </c>
      <c r="H370" s="2" t="s">
        <v>27</v>
      </c>
    </row>
    <row r="371" ht="15.75" customHeight="1">
      <c r="A371" s="2" t="s">
        <v>19</v>
      </c>
      <c r="B371" s="20" t="s">
        <v>279</v>
      </c>
      <c r="C371" s="8" t="s">
        <v>68</v>
      </c>
      <c r="D371" s="4" t="s">
        <v>69</v>
      </c>
      <c r="E371" s="2"/>
      <c r="F371" s="20" t="s">
        <v>279</v>
      </c>
      <c r="G371" s="21">
        <v>131250.0</v>
      </c>
      <c r="H371" s="4" t="s">
        <v>25</v>
      </c>
    </row>
    <row r="372" ht="15.75" customHeight="1">
      <c r="A372" s="2" t="s">
        <v>19</v>
      </c>
      <c r="B372" s="20" t="s">
        <v>279</v>
      </c>
      <c r="C372" s="8" t="s">
        <v>68</v>
      </c>
      <c r="D372" s="4" t="s">
        <v>69</v>
      </c>
      <c r="E372" s="2"/>
      <c r="F372" s="20" t="s">
        <v>279</v>
      </c>
      <c r="G372" s="21">
        <v>131250.0</v>
      </c>
      <c r="H372" s="4" t="s">
        <v>27</v>
      </c>
    </row>
    <row r="373" ht="15.75" customHeight="1">
      <c r="A373" s="2" t="s">
        <v>19</v>
      </c>
      <c r="B373" s="20" t="s">
        <v>279</v>
      </c>
      <c r="C373" s="8" t="s">
        <v>68</v>
      </c>
      <c r="D373" s="4" t="s">
        <v>69</v>
      </c>
      <c r="E373" s="2"/>
      <c r="F373" s="20" t="s">
        <v>279</v>
      </c>
      <c r="G373" s="21">
        <v>131250.0</v>
      </c>
      <c r="H373" s="4" t="s">
        <v>26</v>
      </c>
    </row>
    <row r="374" ht="15.75" customHeight="1">
      <c r="A374" s="2" t="s">
        <v>19</v>
      </c>
      <c r="B374" s="20" t="s">
        <v>279</v>
      </c>
      <c r="C374" s="8" t="s">
        <v>68</v>
      </c>
      <c r="D374" s="4" t="s">
        <v>69</v>
      </c>
      <c r="E374" s="2"/>
      <c r="F374" s="20" t="s">
        <v>279</v>
      </c>
      <c r="G374" s="21">
        <v>131250.0</v>
      </c>
      <c r="H374" s="4" t="s">
        <v>28</v>
      </c>
    </row>
    <row r="375" ht="15.75" customHeight="1">
      <c r="A375" s="2" t="s">
        <v>19</v>
      </c>
      <c r="B375" s="2" t="s">
        <v>280</v>
      </c>
      <c r="C375" s="2" t="s">
        <v>32</v>
      </c>
      <c r="D375" s="2" t="s">
        <v>193</v>
      </c>
      <c r="E375" s="2" t="s">
        <v>23</v>
      </c>
      <c r="F375" s="2" t="s">
        <v>281</v>
      </c>
      <c r="G375" s="2">
        <v>13291.944052</v>
      </c>
      <c r="H375" s="2" t="s">
        <v>25</v>
      </c>
    </row>
    <row r="376" ht="15.75" customHeight="1">
      <c r="A376" s="2" t="s">
        <v>19</v>
      </c>
      <c r="B376" s="2" t="s">
        <v>280</v>
      </c>
      <c r="C376" s="2" t="s">
        <v>32</v>
      </c>
      <c r="D376" s="2" t="s">
        <v>193</v>
      </c>
      <c r="E376" s="2" t="s">
        <v>23</v>
      </c>
      <c r="F376" s="2" t="s">
        <v>281</v>
      </c>
      <c r="G376" s="2">
        <v>14658.132292</v>
      </c>
      <c r="H376" s="2" t="s">
        <v>26</v>
      </c>
    </row>
    <row r="377" ht="15.75" customHeight="1">
      <c r="A377" s="2" t="s">
        <v>19</v>
      </c>
      <c r="B377" s="2" t="s">
        <v>280</v>
      </c>
      <c r="C377" s="2" t="s">
        <v>32</v>
      </c>
      <c r="D377" s="2" t="s">
        <v>193</v>
      </c>
      <c r="E377" s="2" t="s">
        <v>23</v>
      </c>
      <c r="F377" s="2" t="s">
        <v>281</v>
      </c>
      <c r="G377" s="2">
        <v>13045.633175</v>
      </c>
      <c r="H377" s="2" t="s">
        <v>27</v>
      </c>
    </row>
    <row r="378" ht="15.75" customHeight="1">
      <c r="A378" s="2" t="s">
        <v>19</v>
      </c>
      <c r="B378" s="2" t="s">
        <v>282</v>
      </c>
      <c r="C378" s="2" t="s">
        <v>21</v>
      </c>
      <c r="D378" s="2" t="s">
        <v>56</v>
      </c>
      <c r="F378" s="2" t="s">
        <v>283</v>
      </c>
      <c r="G378" s="2">
        <v>21381.39405</v>
      </c>
      <c r="H378" s="2" t="s">
        <v>25</v>
      </c>
    </row>
    <row r="379" ht="15.75" customHeight="1">
      <c r="A379" s="2" t="s">
        <v>19</v>
      </c>
      <c r="B379" s="2" t="s">
        <v>282</v>
      </c>
      <c r="C379" s="2" t="s">
        <v>21</v>
      </c>
      <c r="D379" s="2" t="s">
        <v>56</v>
      </c>
      <c r="F379" s="2" t="s">
        <v>283</v>
      </c>
      <c r="G379" s="2">
        <v>19452.096152</v>
      </c>
      <c r="H379" s="2" t="s">
        <v>26</v>
      </c>
    </row>
    <row r="380" ht="15.75" customHeight="1">
      <c r="A380" s="2" t="s">
        <v>19</v>
      </c>
      <c r="B380" s="2" t="s">
        <v>282</v>
      </c>
      <c r="C380" s="2" t="s">
        <v>21</v>
      </c>
      <c r="D380" s="2" t="s">
        <v>56</v>
      </c>
      <c r="F380" s="2" t="s">
        <v>283</v>
      </c>
      <c r="G380" s="2">
        <v>14542.782092</v>
      </c>
      <c r="H380" s="2" t="s">
        <v>27</v>
      </c>
    </row>
    <row r="381" ht="15.75" customHeight="1">
      <c r="A381" s="2" t="s">
        <v>19</v>
      </c>
      <c r="B381" s="2" t="s">
        <v>284</v>
      </c>
      <c r="C381" s="2" t="s">
        <v>21</v>
      </c>
      <c r="D381" s="2" t="s">
        <v>22</v>
      </c>
      <c r="E381" s="2" t="s">
        <v>23</v>
      </c>
      <c r="F381" s="2" t="s">
        <v>285</v>
      </c>
      <c r="G381" s="2">
        <v>17778.225941</v>
      </c>
      <c r="H381" s="2" t="s">
        <v>27</v>
      </c>
    </row>
    <row r="382" ht="15.75" customHeight="1">
      <c r="A382" s="2" t="s">
        <v>19</v>
      </c>
      <c r="B382" s="2" t="s">
        <v>284</v>
      </c>
      <c r="C382" s="2" t="s">
        <v>21</v>
      </c>
      <c r="D382" s="2" t="s">
        <v>22</v>
      </c>
      <c r="E382" s="2" t="s">
        <v>23</v>
      </c>
      <c r="F382" s="2" t="s">
        <v>285</v>
      </c>
      <c r="G382" s="2">
        <v>18117.062778</v>
      </c>
      <c r="H382" s="2" t="s">
        <v>25</v>
      </c>
    </row>
    <row r="383" ht="15.75" customHeight="1">
      <c r="A383" s="2" t="s">
        <v>19</v>
      </c>
      <c r="B383" s="2" t="s">
        <v>284</v>
      </c>
      <c r="C383" s="2" t="s">
        <v>21</v>
      </c>
      <c r="D383" s="2" t="s">
        <v>22</v>
      </c>
      <c r="E383" s="2" t="s">
        <v>23</v>
      </c>
      <c r="F383" s="2" t="s">
        <v>285</v>
      </c>
      <c r="G383" s="2">
        <v>18030.558312</v>
      </c>
      <c r="H383" s="2" t="s">
        <v>26</v>
      </c>
    </row>
    <row r="384" ht="15.75" customHeight="1">
      <c r="A384" s="2" t="s">
        <v>19</v>
      </c>
      <c r="B384" s="2" t="s">
        <v>286</v>
      </c>
      <c r="C384" s="2" t="s">
        <v>21</v>
      </c>
      <c r="D384" s="2" t="s">
        <v>22</v>
      </c>
      <c r="E384" s="2" t="s">
        <v>63</v>
      </c>
      <c r="F384" s="2" t="s">
        <v>287</v>
      </c>
      <c r="G384" s="3">
        <f>2676.24+'Hoja 1'!L74</f>
        <v>9292.08</v>
      </c>
      <c r="H384" s="2" t="s">
        <v>26</v>
      </c>
    </row>
    <row r="385" ht="15.75" customHeight="1">
      <c r="A385" s="2" t="s">
        <v>19</v>
      </c>
      <c r="B385" s="2" t="s">
        <v>286</v>
      </c>
      <c r="C385" s="2" t="s">
        <v>21</v>
      </c>
      <c r="D385" s="2" t="s">
        <v>22</v>
      </c>
      <c r="E385" s="2" t="s">
        <v>63</v>
      </c>
      <c r="F385" s="2" t="s">
        <v>287</v>
      </c>
      <c r="G385" s="2">
        <v>15686.20395</v>
      </c>
      <c r="H385" s="2" t="s">
        <v>27</v>
      </c>
    </row>
    <row r="386" ht="15.75" customHeight="1">
      <c r="A386" s="2" t="s">
        <v>19</v>
      </c>
      <c r="B386" s="2" t="s">
        <v>286</v>
      </c>
      <c r="C386" s="2" t="s">
        <v>21</v>
      </c>
      <c r="D386" s="2" t="s">
        <v>22</v>
      </c>
      <c r="E386" s="2" t="s">
        <v>63</v>
      </c>
      <c r="F386" s="2" t="s">
        <v>287</v>
      </c>
      <c r="G386" s="2">
        <v>15964.552952</v>
      </c>
      <c r="H386" s="2" t="s">
        <v>25</v>
      </c>
    </row>
    <row r="387" ht="15.75" customHeight="1">
      <c r="A387" s="2" t="s">
        <v>19</v>
      </c>
      <c r="B387" s="2" t="s">
        <v>286</v>
      </c>
      <c r="C387" s="2" t="s">
        <v>21</v>
      </c>
      <c r="D387" s="2" t="s">
        <v>22</v>
      </c>
      <c r="E387" s="2" t="s">
        <v>63</v>
      </c>
      <c r="F387" s="2" t="s">
        <v>287</v>
      </c>
      <c r="G387" s="3">
        <f>2676.24+'Hoja 1'!L126</f>
        <v>12127.44</v>
      </c>
      <c r="H387" s="4" t="s">
        <v>28</v>
      </c>
    </row>
    <row r="388" ht="15.75" customHeight="1">
      <c r="A388" s="2" t="s">
        <v>19</v>
      </c>
      <c r="B388" s="2" t="s">
        <v>288</v>
      </c>
      <c r="C388" s="2" t="s">
        <v>32</v>
      </c>
      <c r="D388" s="2" t="s">
        <v>48</v>
      </c>
      <c r="F388" s="2" t="s">
        <v>289</v>
      </c>
      <c r="G388" s="2">
        <v>18843.097092</v>
      </c>
      <c r="H388" s="2" t="s">
        <v>27</v>
      </c>
    </row>
    <row r="389" ht="15.75" customHeight="1">
      <c r="A389" s="2" t="s">
        <v>19</v>
      </c>
      <c r="B389" s="2" t="s">
        <v>288</v>
      </c>
      <c r="C389" s="2" t="s">
        <v>32</v>
      </c>
      <c r="D389" s="2" t="s">
        <v>48</v>
      </c>
      <c r="F389" s="2" t="s">
        <v>289</v>
      </c>
      <c r="G389" s="2">
        <v>19201.39405</v>
      </c>
      <c r="H389" s="2" t="s">
        <v>25</v>
      </c>
    </row>
    <row r="390" ht="15.75" customHeight="1">
      <c r="A390" s="2" t="s">
        <v>19</v>
      </c>
      <c r="B390" s="2" t="s">
        <v>288</v>
      </c>
      <c r="C390" s="2" t="s">
        <v>32</v>
      </c>
      <c r="D390" s="2" t="s">
        <v>48</v>
      </c>
      <c r="F390" s="2" t="s">
        <v>289</v>
      </c>
      <c r="G390" s="2">
        <v>19074.754614</v>
      </c>
      <c r="H390" s="2" t="s">
        <v>26</v>
      </c>
    </row>
    <row r="391" ht="15.75" customHeight="1">
      <c r="A391" s="2" t="s">
        <v>19</v>
      </c>
      <c r="B391" s="2" t="s">
        <v>290</v>
      </c>
      <c r="C391" s="2" t="s">
        <v>32</v>
      </c>
      <c r="D391" s="2" t="s">
        <v>56</v>
      </c>
      <c r="F391" s="2" t="s">
        <v>291</v>
      </c>
      <c r="G391" s="2">
        <v>13161.494689</v>
      </c>
      <c r="H391" s="2" t="s">
        <v>25</v>
      </c>
    </row>
    <row r="392" ht="15.75" customHeight="1">
      <c r="A392" s="2" t="s">
        <v>19</v>
      </c>
      <c r="B392" s="2" t="s">
        <v>290</v>
      </c>
      <c r="C392" s="2" t="s">
        <v>32</v>
      </c>
      <c r="D392" s="2" t="s">
        <v>56</v>
      </c>
      <c r="F392" s="2" t="s">
        <v>291</v>
      </c>
      <c r="G392" s="2">
        <v>12913.387193</v>
      </c>
      <c r="H392" s="2" t="s">
        <v>27</v>
      </c>
    </row>
    <row r="393" ht="15.75" customHeight="1">
      <c r="A393" s="2" t="s">
        <v>19</v>
      </c>
      <c r="B393" s="2" t="s">
        <v>290</v>
      </c>
      <c r="C393" s="2" t="s">
        <v>32</v>
      </c>
      <c r="D393" s="2" t="s">
        <v>56</v>
      </c>
      <c r="F393" s="2" t="s">
        <v>291</v>
      </c>
      <c r="G393" s="2">
        <v>13257.012887</v>
      </c>
      <c r="H393" s="2" t="s">
        <v>26</v>
      </c>
    </row>
    <row r="394" ht="15.75" customHeight="1">
      <c r="A394" s="2" t="s">
        <v>19</v>
      </c>
      <c r="B394" s="2" t="s">
        <v>292</v>
      </c>
      <c r="C394" s="2" t="s">
        <v>68</v>
      </c>
      <c r="D394" s="2" t="s">
        <v>198</v>
      </c>
      <c r="F394" s="2" t="s">
        <v>293</v>
      </c>
      <c r="G394" s="2">
        <v>20207.91754</v>
      </c>
      <c r="H394" s="2" t="s">
        <v>26</v>
      </c>
    </row>
    <row r="395" ht="15.75" customHeight="1">
      <c r="A395" s="2" t="s">
        <v>19</v>
      </c>
      <c r="B395" s="2" t="s">
        <v>292</v>
      </c>
      <c r="C395" s="2" t="s">
        <v>68</v>
      </c>
      <c r="D395" s="2" t="s">
        <v>198</v>
      </c>
      <c r="F395" s="2" t="s">
        <v>293</v>
      </c>
      <c r="G395" s="2">
        <v>20063.457943</v>
      </c>
      <c r="H395" s="2" t="s">
        <v>27</v>
      </c>
    </row>
    <row r="396" ht="15.75" customHeight="1">
      <c r="A396" s="2" t="s">
        <v>19</v>
      </c>
      <c r="B396" s="2" t="s">
        <v>292</v>
      </c>
      <c r="C396" s="2" t="s">
        <v>68</v>
      </c>
      <c r="D396" s="2" t="s">
        <v>198</v>
      </c>
      <c r="F396" s="2" t="s">
        <v>293</v>
      </c>
      <c r="G396" s="2">
        <v>20441.8093</v>
      </c>
      <c r="H396" s="2" t="s">
        <v>25</v>
      </c>
    </row>
    <row r="397" ht="15.75" customHeight="1">
      <c r="A397" s="2" t="s">
        <v>19</v>
      </c>
      <c r="B397" s="2" t="s">
        <v>294</v>
      </c>
      <c r="C397" s="2" t="s">
        <v>32</v>
      </c>
      <c r="D397" s="2" t="s">
        <v>22</v>
      </c>
      <c r="E397" s="2" t="s">
        <v>295</v>
      </c>
      <c r="F397" s="2" t="s">
        <v>296</v>
      </c>
      <c r="G397" s="2">
        <v>24296.58051</v>
      </c>
      <c r="H397" s="2" t="s">
        <v>27</v>
      </c>
    </row>
    <row r="398" ht="15.75" customHeight="1">
      <c r="A398" s="2" t="s">
        <v>19</v>
      </c>
      <c r="B398" s="2" t="s">
        <v>294</v>
      </c>
      <c r="C398" s="2" t="s">
        <v>32</v>
      </c>
      <c r="D398" s="2" t="s">
        <v>22</v>
      </c>
      <c r="E398" s="2" t="s">
        <v>295</v>
      </c>
      <c r="F398" s="2" t="s">
        <v>296</v>
      </c>
      <c r="G398" s="2">
        <v>24765.77046</v>
      </c>
      <c r="H398" s="2" t="s">
        <v>25</v>
      </c>
    </row>
    <row r="399" ht="15.75" customHeight="1">
      <c r="A399" s="2" t="s">
        <v>19</v>
      </c>
      <c r="B399" s="2" t="s">
        <v>294</v>
      </c>
      <c r="C399" s="2" t="s">
        <v>32</v>
      </c>
      <c r="D399" s="2" t="s">
        <v>22</v>
      </c>
      <c r="E399" s="2" t="s">
        <v>295</v>
      </c>
      <c r="F399" s="2" t="s">
        <v>296</v>
      </c>
      <c r="G399" s="2">
        <v>24289.39677</v>
      </c>
      <c r="H399" s="2" t="s">
        <v>26</v>
      </c>
    </row>
    <row r="400" ht="15.75" customHeight="1">
      <c r="A400" s="2" t="s">
        <v>19</v>
      </c>
      <c r="B400" s="2" t="s">
        <v>297</v>
      </c>
      <c r="C400" s="2" t="s">
        <v>21</v>
      </c>
      <c r="D400" s="2" t="s">
        <v>22</v>
      </c>
      <c r="E400" s="2" t="s">
        <v>45</v>
      </c>
      <c r="F400" s="2" t="s">
        <v>298</v>
      </c>
      <c r="G400" s="2">
        <v>19153.68456</v>
      </c>
      <c r="H400" s="2" t="s">
        <v>26</v>
      </c>
    </row>
    <row r="401" ht="15.75" customHeight="1">
      <c r="A401" s="2" t="s">
        <v>19</v>
      </c>
      <c r="B401" s="2" t="s">
        <v>297</v>
      </c>
      <c r="C401" s="2" t="s">
        <v>21</v>
      </c>
      <c r="D401" s="2" t="s">
        <v>22</v>
      </c>
      <c r="E401" s="2" t="s">
        <v>45</v>
      </c>
      <c r="F401" s="2" t="s">
        <v>298</v>
      </c>
      <c r="G401" s="2">
        <v>18893.580152</v>
      </c>
      <c r="H401" s="2" t="s">
        <v>27</v>
      </c>
    </row>
    <row r="402" ht="15.75" customHeight="1">
      <c r="A402" s="2" t="s">
        <v>19</v>
      </c>
      <c r="B402" s="2" t="s">
        <v>297</v>
      </c>
      <c r="C402" s="2" t="s">
        <v>21</v>
      </c>
      <c r="D402" s="2" t="s">
        <v>22</v>
      </c>
      <c r="E402" s="2" t="s">
        <v>45</v>
      </c>
      <c r="F402" s="2" t="s">
        <v>298</v>
      </c>
      <c r="G402" s="2">
        <v>19231.678181</v>
      </c>
      <c r="H402" s="2" t="s">
        <v>25</v>
      </c>
    </row>
    <row r="403" ht="15.75" customHeight="1">
      <c r="A403" s="2" t="s">
        <v>19</v>
      </c>
      <c r="B403" s="2" t="s">
        <v>299</v>
      </c>
      <c r="C403" s="2" t="s">
        <v>32</v>
      </c>
      <c r="D403" s="2" t="s">
        <v>193</v>
      </c>
      <c r="E403" s="2" t="s">
        <v>23</v>
      </c>
      <c r="F403" s="2" t="s">
        <v>300</v>
      </c>
      <c r="G403" s="2">
        <v>17773.097092</v>
      </c>
      <c r="H403" s="2" t="s">
        <v>27</v>
      </c>
    </row>
    <row r="404" ht="15.75" customHeight="1">
      <c r="A404" s="2" t="s">
        <v>19</v>
      </c>
      <c r="B404" s="2" t="s">
        <v>299</v>
      </c>
      <c r="C404" s="2" t="s">
        <v>32</v>
      </c>
      <c r="D404" s="2" t="s">
        <v>193</v>
      </c>
      <c r="E404" s="2" t="s">
        <v>23</v>
      </c>
      <c r="F404" s="2" t="s">
        <v>300</v>
      </c>
      <c r="G404" s="2">
        <v>18111.39405</v>
      </c>
      <c r="H404" s="2" t="s">
        <v>25</v>
      </c>
    </row>
    <row r="405" ht="15.75" customHeight="1">
      <c r="A405" s="2" t="s">
        <v>19</v>
      </c>
      <c r="B405" s="2" t="s">
        <v>299</v>
      </c>
      <c r="C405" s="2" t="s">
        <v>32</v>
      </c>
      <c r="D405" s="2" t="s">
        <v>193</v>
      </c>
      <c r="E405" s="2" t="s">
        <v>23</v>
      </c>
      <c r="F405" s="2" t="s">
        <v>300</v>
      </c>
      <c r="G405" s="2">
        <v>18024.754614</v>
      </c>
      <c r="H405" s="2" t="s">
        <v>26</v>
      </c>
    </row>
    <row r="406" ht="15.75" customHeight="1">
      <c r="A406" s="2" t="s">
        <v>19</v>
      </c>
      <c r="B406" s="2" t="s">
        <v>301</v>
      </c>
      <c r="C406" s="2" t="s">
        <v>32</v>
      </c>
      <c r="D406" s="2" t="s">
        <v>56</v>
      </c>
      <c r="F406" s="2" t="s">
        <v>302</v>
      </c>
      <c r="G406" s="2">
        <v>21786.40512</v>
      </c>
      <c r="H406" s="2" t="s">
        <v>26</v>
      </c>
    </row>
    <row r="407" ht="15.75" customHeight="1">
      <c r="A407" s="2" t="s">
        <v>19</v>
      </c>
      <c r="B407" s="2" t="s">
        <v>301</v>
      </c>
      <c r="C407" s="2" t="s">
        <v>32</v>
      </c>
      <c r="D407" s="2" t="s">
        <v>56</v>
      </c>
      <c r="F407" s="2" t="s">
        <v>302</v>
      </c>
      <c r="G407" s="2">
        <v>20686.97919</v>
      </c>
      <c r="H407" s="2" t="s">
        <v>27</v>
      </c>
    </row>
    <row r="408" ht="15.75" customHeight="1">
      <c r="A408" s="2" t="s">
        <v>19</v>
      </c>
      <c r="B408" s="2" t="s">
        <v>301</v>
      </c>
      <c r="C408" s="2" t="s">
        <v>32</v>
      </c>
      <c r="D408" s="2" t="s">
        <v>56</v>
      </c>
      <c r="F408" s="2" t="s">
        <v>302</v>
      </c>
      <c r="G408" s="2">
        <v>20176.369</v>
      </c>
      <c r="H408" s="2" t="s">
        <v>25</v>
      </c>
    </row>
    <row r="409" ht="15.75" customHeight="1">
      <c r="A409" s="2" t="s">
        <v>19</v>
      </c>
      <c r="B409" s="2" t="s">
        <v>303</v>
      </c>
      <c r="C409" s="2" t="s">
        <v>21</v>
      </c>
      <c r="D409" s="2" t="s">
        <v>22</v>
      </c>
      <c r="E409" s="2" t="s">
        <v>42</v>
      </c>
      <c r="F409" s="2" t="s">
        <v>304</v>
      </c>
      <c r="G409" s="3">
        <f>4488.12+'Hoja 1'!C136</f>
        <v>9213.72</v>
      </c>
      <c r="H409" s="4" t="s">
        <v>28</v>
      </c>
    </row>
    <row r="410" ht="15.75" customHeight="1">
      <c r="A410" s="2" t="s">
        <v>19</v>
      </c>
      <c r="B410" s="2" t="s">
        <v>303</v>
      </c>
      <c r="C410" s="2" t="s">
        <v>21</v>
      </c>
      <c r="D410" s="2" t="s">
        <v>22</v>
      </c>
      <c r="E410" s="2" t="s">
        <v>42</v>
      </c>
      <c r="F410" s="2" t="s">
        <v>304</v>
      </c>
      <c r="G410" s="3">
        <f>14842.14224+'Hoja 1'!I82</f>
        <v>19567.74224</v>
      </c>
      <c r="H410" s="2" t="s">
        <v>26</v>
      </c>
    </row>
    <row r="411" ht="15.75" customHeight="1">
      <c r="A411" s="2" t="s">
        <v>19</v>
      </c>
      <c r="B411" s="2" t="s">
        <v>305</v>
      </c>
      <c r="C411" s="2" t="s">
        <v>21</v>
      </c>
      <c r="D411" s="2" t="s">
        <v>56</v>
      </c>
      <c r="F411" s="2" t="s">
        <v>306</v>
      </c>
      <c r="G411" s="2">
        <v>9599.206537</v>
      </c>
      <c r="H411" s="2" t="s">
        <v>27</v>
      </c>
    </row>
    <row r="412" ht="15.75" customHeight="1">
      <c r="A412" s="2" t="s">
        <v>19</v>
      </c>
      <c r="B412" s="2" t="s">
        <v>305</v>
      </c>
      <c r="C412" s="2" t="s">
        <v>21</v>
      </c>
      <c r="D412" s="2" t="s">
        <v>56</v>
      </c>
      <c r="F412" s="2" t="s">
        <v>306</v>
      </c>
      <c r="G412" s="2">
        <v>19037.435568</v>
      </c>
      <c r="H412" s="2" t="s">
        <v>26</v>
      </c>
    </row>
    <row r="413" ht="15.75" customHeight="1">
      <c r="A413" s="2" t="s">
        <v>19</v>
      </c>
      <c r="B413" s="2" t="s">
        <v>305</v>
      </c>
      <c r="C413" s="2" t="s">
        <v>21</v>
      </c>
      <c r="D413" s="2" t="s">
        <v>56</v>
      </c>
      <c r="F413" s="2" t="s">
        <v>306</v>
      </c>
      <c r="G413" s="2">
        <v>19265.007247</v>
      </c>
      <c r="H413" s="2" t="s">
        <v>25</v>
      </c>
    </row>
    <row r="414" ht="15.75" customHeight="1">
      <c r="A414" s="2" t="s">
        <v>19</v>
      </c>
      <c r="B414" s="2" t="s">
        <v>307</v>
      </c>
      <c r="C414" s="2" t="s">
        <v>21</v>
      </c>
      <c r="D414" s="2" t="s">
        <v>56</v>
      </c>
      <c r="F414" s="2" t="s">
        <v>308</v>
      </c>
      <c r="G414" s="2">
        <v>7350.0</v>
      </c>
      <c r="H414" s="2" t="s">
        <v>25</v>
      </c>
    </row>
    <row r="415" ht="15.75" customHeight="1">
      <c r="A415" s="2" t="s">
        <v>19</v>
      </c>
      <c r="B415" s="2" t="s">
        <v>307</v>
      </c>
      <c r="C415" s="2" t="s">
        <v>21</v>
      </c>
      <c r="D415" s="2" t="s">
        <v>56</v>
      </c>
      <c r="F415" s="2" t="s">
        <v>308</v>
      </c>
      <c r="G415" s="2">
        <v>10059.743257</v>
      </c>
      <c r="H415" s="2" t="s">
        <v>27</v>
      </c>
    </row>
    <row r="416" ht="15.75" customHeight="1">
      <c r="A416" s="2" t="s">
        <v>19</v>
      </c>
      <c r="B416" s="2" t="s">
        <v>307</v>
      </c>
      <c r="C416" s="2" t="s">
        <v>21</v>
      </c>
      <c r="D416" s="2" t="s">
        <v>56</v>
      </c>
      <c r="F416" s="2" t="s">
        <v>308</v>
      </c>
      <c r="G416" s="2">
        <v>13202.829051</v>
      </c>
      <c r="H416" s="2" t="s">
        <v>26</v>
      </c>
    </row>
    <row r="417" ht="15.75" customHeight="1">
      <c r="A417" s="2" t="s">
        <v>19</v>
      </c>
      <c r="B417" s="2" t="s">
        <v>309</v>
      </c>
      <c r="C417" s="2" t="s">
        <v>21</v>
      </c>
      <c r="D417" s="2" t="s">
        <v>22</v>
      </c>
      <c r="E417" s="2" t="s">
        <v>45</v>
      </c>
      <c r="F417" s="2" t="s">
        <v>310</v>
      </c>
      <c r="G417" s="2">
        <v>17051.678181</v>
      </c>
      <c r="H417" s="2" t="s">
        <v>25</v>
      </c>
    </row>
    <row r="418" ht="15.75" customHeight="1">
      <c r="A418" s="2" t="s">
        <v>19</v>
      </c>
      <c r="B418" s="2" t="s">
        <v>309</v>
      </c>
      <c r="C418" s="2" t="s">
        <v>21</v>
      </c>
      <c r="D418" s="2" t="s">
        <v>22</v>
      </c>
      <c r="E418" s="2" t="s">
        <v>45</v>
      </c>
      <c r="F418" s="2" t="s">
        <v>310</v>
      </c>
      <c r="G418" s="2">
        <v>16753.580152</v>
      </c>
      <c r="H418" s="2" t="s">
        <v>27</v>
      </c>
    </row>
    <row r="419" ht="15.75" customHeight="1">
      <c r="A419" s="2" t="s">
        <v>19</v>
      </c>
      <c r="B419" s="2" t="s">
        <v>309</v>
      </c>
      <c r="C419" s="2" t="s">
        <v>21</v>
      </c>
      <c r="D419" s="2" t="s">
        <v>22</v>
      </c>
      <c r="E419" s="2" t="s">
        <v>45</v>
      </c>
      <c r="F419" s="2" t="s">
        <v>310</v>
      </c>
      <c r="G419" s="2">
        <v>16686.18456</v>
      </c>
      <c r="H419" s="2" t="s">
        <v>26</v>
      </c>
    </row>
    <row r="420" ht="15.75" customHeight="1">
      <c r="A420" s="2" t="s">
        <v>19</v>
      </c>
      <c r="B420" s="2" t="s">
        <v>311</v>
      </c>
      <c r="C420" s="2" t="s">
        <v>21</v>
      </c>
      <c r="D420" s="2" t="s">
        <v>22</v>
      </c>
      <c r="E420" s="2" t="s">
        <v>45</v>
      </c>
      <c r="F420" s="2" t="s">
        <v>312</v>
      </c>
      <c r="G420" s="2">
        <v>14145.9939</v>
      </c>
      <c r="H420" s="2" t="s">
        <v>26</v>
      </c>
    </row>
    <row r="421" ht="15.75" customHeight="1">
      <c r="A421" s="2" t="s">
        <v>19</v>
      </c>
      <c r="B421" s="2" t="s">
        <v>311</v>
      </c>
      <c r="C421" s="2" t="s">
        <v>21</v>
      </c>
      <c r="D421" s="2" t="s">
        <v>22</v>
      </c>
      <c r="E421" s="2" t="s">
        <v>45</v>
      </c>
      <c r="F421" s="2" t="s">
        <v>312</v>
      </c>
      <c r="G421" s="2">
        <v>16753.580152</v>
      </c>
      <c r="H421" s="2" t="s">
        <v>27</v>
      </c>
    </row>
    <row r="422" ht="15.75" customHeight="1">
      <c r="A422" s="2" t="s">
        <v>19</v>
      </c>
      <c r="B422" s="2" t="s">
        <v>311</v>
      </c>
      <c r="C422" s="2" t="s">
        <v>21</v>
      </c>
      <c r="D422" s="2" t="s">
        <v>22</v>
      </c>
      <c r="E422" s="2" t="s">
        <v>45</v>
      </c>
      <c r="F422" s="2" t="s">
        <v>312</v>
      </c>
      <c r="G422" s="2">
        <v>17051.678181</v>
      </c>
      <c r="H422" s="2" t="s">
        <v>25</v>
      </c>
    </row>
    <row r="423" ht="15.75" customHeight="1">
      <c r="A423" s="2" t="s">
        <v>19</v>
      </c>
      <c r="B423" s="2" t="s">
        <v>313</v>
      </c>
      <c r="C423" s="2" t="s">
        <v>21</v>
      </c>
      <c r="D423" s="2" t="s">
        <v>22</v>
      </c>
      <c r="E423" s="2" t="s">
        <v>295</v>
      </c>
      <c r="F423" s="2" t="s">
        <v>314</v>
      </c>
      <c r="G423" s="2">
        <v>15685.577941</v>
      </c>
      <c r="H423" s="2" t="s">
        <v>27</v>
      </c>
    </row>
    <row r="424" ht="15.75" customHeight="1">
      <c r="A424" s="2" t="s">
        <v>19</v>
      </c>
      <c r="B424" s="2" t="s">
        <v>313</v>
      </c>
      <c r="C424" s="2" t="s">
        <v>21</v>
      </c>
      <c r="D424" s="2" t="s">
        <v>22</v>
      </c>
      <c r="E424" s="2" t="s">
        <v>295</v>
      </c>
      <c r="F424" s="2" t="s">
        <v>314</v>
      </c>
      <c r="G424" s="2">
        <v>15989.399199</v>
      </c>
      <c r="H424" s="2" t="s">
        <v>25</v>
      </c>
    </row>
    <row r="425" ht="17.25" customHeight="1">
      <c r="A425" s="2" t="s">
        <v>19</v>
      </c>
      <c r="B425" s="2" t="s">
        <v>313</v>
      </c>
      <c r="C425" s="2" t="s">
        <v>21</v>
      </c>
      <c r="D425" s="2" t="s">
        <v>22</v>
      </c>
      <c r="E425" s="2" t="s">
        <v>295</v>
      </c>
      <c r="F425" s="2" t="s">
        <v>314</v>
      </c>
      <c r="G425" s="2">
        <v>15881.92591</v>
      </c>
      <c r="H425" s="2" t="s">
        <v>26</v>
      </c>
    </row>
    <row r="426" ht="15.75" customHeight="1">
      <c r="A426" s="2" t="s">
        <v>19</v>
      </c>
      <c r="B426" s="2" t="s">
        <v>315</v>
      </c>
      <c r="C426" s="2" t="s">
        <v>32</v>
      </c>
      <c r="D426" s="2" t="s">
        <v>193</v>
      </c>
      <c r="F426" s="2" t="s">
        <v>316</v>
      </c>
      <c r="G426" s="2">
        <v>7350.0</v>
      </c>
      <c r="H426" s="2" t="s">
        <v>25</v>
      </c>
    </row>
    <row r="427" ht="15.75" customHeight="1">
      <c r="A427" s="2" t="s">
        <v>19</v>
      </c>
      <c r="B427" s="2" t="s">
        <v>317</v>
      </c>
      <c r="C427" s="2" t="s">
        <v>21</v>
      </c>
      <c r="D427" s="2" t="s">
        <v>22</v>
      </c>
      <c r="E427" s="2" t="s">
        <v>42</v>
      </c>
      <c r="F427" s="2" t="s">
        <v>318</v>
      </c>
      <c r="G427" s="2">
        <v>16335.548181</v>
      </c>
      <c r="H427" s="2" t="s">
        <v>25</v>
      </c>
    </row>
    <row r="428" ht="15.75" customHeight="1">
      <c r="A428" s="2" t="s">
        <v>19</v>
      </c>
      <c r="B428" s="2" t="s">
        <v>317</v>
      </c>
      <c r="C428" s="2" t="s">
        <v>21</v>
      </c>
      <c r="D428" s="2" t="s">
        <v>22</v>
      </c>
      <c r="E428" s="2" t="s">
        <v>42</v>
      </c>
      <c r="F428" s="2" t="s">
        <v>318</v>
      </c>
      <c r="G428" s="3">
        <f>4776.24+'Hoja 1'!L62</f>
        <v>14227.44</v>
      </c>
      <c r="H428" s="2" t="s">
        <v>26</v>
      </c>
    </row>
    <row r="429" ht="15.75" customHeight="1">
      <c r="A429" s="2" t="s">
        <v>19</v>
      </c>
      <c r="B429" s="2" t="s">
        <v>317</v>
      </c>
      <c r="C429" s="2" t="s">
        <v>21</v>
      </c>
      <c r="D429" s="2" t="s">
        <v>22</v>
      </c>
      <c r="E429" s="2" t="s">
        <v>42</v>
      </c>
      <c r="F429" s="2" t="s">
        <v>318</v>
      </c>
      <c r="G429" s="2">
        <v>17823.580152</v>
      </c>
      <c r="H429" s="2" t="s">
        <v>27</v>
      </c>
    </row>
    <row r="430" ht="15.75" customHeight="1">
      <c r="A430" s="2" t="s">
        <v>19</v>
      </c>
      <c r="B430" s="2" t="s">
        <v>317</v>
      </c>
      <c r="C430" s="2" t="s">
        <v>21</v>
      </c>
      <c r="D430" s="2" t="s">
        <v>22</v>
      </c>
      <c r="E430" s="2" t="s">
        <v>42</v>
      </c>
      <c r="F430" s="2" t="s">
        <v>318</v>
      </c>
      <c r="G430" s="5">
        <f>4776.24+'Hoja 1'!L114</f>
        <v>14227.44</v>
      </c>
      <c r="H430" s="4" t="s">
        <v>28</v>
      </c>
    </row>
    <row r="431" ht="15.75" customHeight="1">
      <c r="A431" s="2" t="s">
        <v>19</v>
      </c>
      <c r="B431" s="2" t="s">
        <v>319</v>
      </c>
      <c r="C431" s="2" t="s">
        <v>32</v>
      </c>
      <c r="D431" s="2" t="s">
        <v>103</v>
      </c>
      <c r="F431" s="2" t="s">
        <v>320</v>
      </c>
      <c r="G431" s="2">
        <v>21120.15378</v>
      </c>
      <c r="H431" s="2" t="s">
        <v>27</v>
      </c>
    </row>
    <row r="432" ht="15.75" customHeight="1">
      <c r="A432" s="2" t="s">
        <v>19</v>
      </c>
      <c r="B432" s="2" t="s">
        <v>319</v>
      </c>
      <c r="C432" s="2" t="s">
        <v>32</v>
      </c>
      <c r="D432" s="2" t="s">
        <v>103</v>
      </c>
      <c r="F432" s="2" t="s">
        <v>320</v>
      </c>
      <c r="G432" s="2">
        <v>21517.17472</v>
      </c>
      <c r="H432" s="2" t="s">
        <v>25</v>
      </c>
    </row>
    <row r="433" ht="15.75" customHeight="1">
      <c r="A433" s="2" t="s">
        <v>19</v>
      </c>
      <c r="B433" s="2" t="s">
        <v>319</v>
      </c>
      <c r="C433" s="2" t="s">
        <v>32</v>
      </c>
      <c r="D433" s="2" t="s">
        <v>103</v>
      </c>
      <c r="F433" s="2" t="s">
        <v>320</v>
      </c>
      <c r="G433" s="2">
        <v>21243.28296</v>
      </c>
      <c r="H433" s="2" t="s">
        <v>26</v>
      </c>
    </row>
    <row r="434" ht="15.75" customHeight="1">
      <c r="A434" s="2" t="s">
        <v>19</v>
      </c>
      <c r="B434" s="2" t="s">
        <v>321</v>
      </c>
      <c r="C434" s="2" t="s">
        <v>32</v>
      </c>
      <c r="D434" s="2" t="s">
        <v>193</v>
      </c>
      <c r="E434" s="2" t="s">
        <v>23</v>
      </c>
      <c r="F434" s="2" t="s">
        <v>322</v>
      </c>
      <c r="G434" s="2">
        <v>13045.633175</v>
      </c>
      <c r="H434" s="2" t="s">
        <v>27</v>
      </c>
    </row>
    <row r="435" ht="15.75" customHeight="1">
      <c r="A435" s="2" t="s">
        <v>19</v>
      </c>
      <c r="B435" s="2" t="s">
        <v>321</v>
      </c>
      <c r="C435" s="2" t="s">
        <v>32</v>
      </c>
      <c r="D435" s="2" t="s">
        <v>193</v>
      </c>
      <c r="E435" s="2" t="s">
        <v>23</v>
      </c>
      <c r="F435" s="2" t="s">
        <v>322</v>
      </c>
      <c r="G435" s="2">
        <v>13291.944052</v>
      </c>
      <c r="H435" s="2" t="s">
        <v>25</v>
      </c>
    </row>
    <row r="436" ht="15.75" customHeight="1">
      <c r="A436" s="2" t="s">
        <v>19</v>
      </c>
      <c r="B436" s="2" t="s">
        <v>321</v>
      </c>
      <c r="C436" s="2" t="s">
        <v>32</v>
      </c>
      <c r="D436" s="2" t="s">
        <v>193</v>
      </c>
      <c r="E436" s="2" t="s">
        <v>23</v>
      </c>
      <c r="F436" s="2" t="s">
        <v>322</v>
      </c>
      <c r="G436" s="2">
        <v>14658.132292</v>
      </c>
      <c r="H436" s="2" t="s">
        <v>26</v>
      </c>
    </row>
    <row r="437" ht="15.75" customHeight="1">
      <c r="A437" s="2" t="s">
        <v>19</v>
      </c>
      <c r="B437" s="2" t="s">
        <v>323</v>
      </c>
      <c r="C437" s="2" t="s">
        <v>21</v>
      </c>
      <c r="D437" s="2" t="s">
        <v>56</v>
      </c>
      <c r="F437" s="2" t="s">
        <v>324</v>
      </c>
      <c r="G437" s="2">
        <v>16518.122589</v>
      </c>
      <c r="H437" s="2" t="s">
        <v>26</v>
      </c>
    </row>
    <row r="438" ht="15.75" customHeight="1">
      <c r="A438" s="2" t="s">
        <v>19</v>
      </c>
      <c r="B438" s="2" t="s">
        <v>323</v>
      </c>
      <c r="C438" s="2" t="s">
        <v>21</v>
      </c>
      <c r="D438" s="2" t="s">
        <v>56</v>
      </c>
      <c r="F438" s="2" t="s">
        <v>324</v>
      </c>
      <c r="G438" s="2">
        <v>16300.94857</v>
      </c>
      <c r="H438" s="2" t="s">
        <v>27</v>
      </c>
    </row>
    <row r="439" ht="15.75" customHeight="1">
      <c r="A439" s="2" t="s">
        <v>19</v>
      </c>
      <c r="B439" s="2" t="s">
        <v>323</v>
      </c>
      <c r="C439" s="2" t="s">
        <v>21</v>
      </c>
      <c r="D439" s="2" t="s">
        <v>56</v>
      </c>
      <c r="F439" s="2" t="s">
        <v>324</v>
      </c>
      <c r="G439" s="2">
        <v>16598.800683</v>
      </c>
      <c r="H439" s="2" t="s">
        <v>25</v>
      </c>
    </row>
    <row r="440" ht="15.75" customHeight="1">
      <c r="A440" s="2" t="s">
        <v>19</v>
      </c>
      <c r="B440" s="2" t="s">
        <v>325</v>
      </c>
      <c r="C440" s="2" t="s">
        <v>32</v>
      </c>
      <c r="D440" s="2" t="s">
        <v>118</v>
      </c>
      <c r="F440" s="2" t="s">
        <v>326</v>
      </c>
      <c r="G440" s="2">
        <v>66396.25229</v>
      </c>
      <c r="H440" s="2" t="s">
        <v>26</v>
      </c>
    </row>
    <row r="441" ht="15.75" customHeight="1">
      <c r="A441" s="2" t="s">
        <v>19</v>
      </c>
      <c r="B441" s="2" t="s">
        <v>327</v>
      </c>
      <c r="C441" s="2" t="s">
        <v>32</v>
      </c>
      <c r="D441" s="2" t="s">
        <v>118</v>
      </c>
      <c r="F441" s="2" t="s">
        <v>326</v>
      </c>
      <c r="G441" s="2">
        <v>68390.14405</v>
      </c>
      <c r="H441" s="2" t="s">
        <v>25</v>
      </c>
    </row>
    <row r="442" ht="15.75" customHeight="1">
      <c r="A442" s="2" t="s">
        <v>19</v>
      </c>
      <c r="B442" s="2" t="s">
        <v>327</v>
      </c>
      <c r="C442" s="2" t="s">
        <v>32</v>
      </c>
      <c r="D442" s="2" t="s">
        <v>118</v>
      </c>
      <c r="F442" s="2" t="s">
        <v>326</v>
      </c>
      <c r="G442" s="2">
        <v>67132.85317</v>
      </c>
      <c r="H442" s="2" t="s">
        <v>27</v>
      </c>
    </row>
    <row r="443" ht="15.75" customHeight="1">
      <c r="A443" s="2" t="s">
        <v>19</v>
      </c>
      <c r="B443" s="2" t="s">
        <v>328</v>
      </c>
      <c r="C443" s="2" t="s">
        <v>21</v>
      </c>
      <c r="D443" s="2" t="s">
        <v>22</v>
      </c>
      <c r="E443" s="2" t="s">
        <v>45</v>
      </c>
      <c r="F443" s="2" t="s">
        <v>329</v>
      </c>
      <c r="G443" s="2">
        <v>12011.248991</v>
      </c>
      <c r="H443" s="2" t="s">
        <v>26</v>
      </c>
    </row>
    <row r="444" ht="15.75" customHeight="1">
      <c r="A444" s="2" t="s">
        <v>19</v>
      </c>
      <c r="B444" s="2" t="s">
        <v>330</v>
      </c>
      <c r="C444" s="2" t="s">
        <v>21</v>
      </c>
      <c r="D444" s="2" t="s">
        <v>22</v>
      </c>
      <c r="E444" s="2" t="s">
        <v>45</v>
      </c>
      <c r="F444" s="2" t="s">
        <v>331</v>
      </c>
      <c r="G444" s="2">
        <v>18118.442615</v>
      </c>
      <c r="H444" s="2" t="s">
        <v>26</v>
      </c>
    </row>
    <row r="445" ht="15.75" customHeight="1">
      <c r="A445" s="2" t="s">
        <v>19</v>
      </c>
      <c r="B445" s="2" t="s">
        <v>330</v>
      </c>
      <c r="C445" s="2" t="s">
        <v>21</v>
      </c>
      <c r="D445" s="2" t="s">
        <v>22</v>
      </c>
      <c r="E445" s="2" t="s">
        <v>45</v>
      </c>
      <c r="F445" s="2" t="s">
        <v>331</v>
      </c>
      <c r="G445" s="2">
        <v>17836.51173</v>
      </c>
      <c r="H445" s="2" t="s">
        <v>27</v>
      </c>
    </row>
    <row r="446" ht="15.75" customHeight="1">
      <c r="A446" s="2" t="s">
        <v>19</v>
      </c>
      <c r="B446" s="2" t="s">
        <v>330</v>
      </c>
      <c r="C446" s="2" t="s">
        <v>21</v>
      </c>
      <c r="D446" s="2" t="s">
        <v>22</v>
      </c>
      <c r="E446" s="2" t="s">
        <v>45</v>
      </c>
      <c r="F446" s="2" t="s">
        <v>331</v>
      </c>
      <c r="G446" s="2">
        <v>17789.606693</v>
      </c>
      <c r="H446" s="2" t="s">
        <v>25</v>
      </c>
    </row>
    <row r="447" ht="15.75" customHeight="1">
      <c r="A447" s="2" t="s">
        <v>19</v>
      </c>
      <c r="B447" s="2" t="s">
        <v>332</v>
      </c>
      <c r="C447" s="2" t="s">
        <v>21</v>
      </c>
      <c r="D447" s="2" t="s">
        <v>22</v>
      </c>
      <c r="E447" s="2" t="s">
        <v>45</v>
      </c>
      <c r="F447" s="2" t="s">
        <v>333</v>
      </c>
      <c r="G447" s="2">
        <v>3184.9965</v>
      </c>
      <c r="H447" s="2" t="s">
        <v>26</v>
      </c>
    </row>
    <row r="448" ht="15.75" customHeight="1">
      <c r="A448" s="2" t="s">
        <v>19</v>
      </c>
      <c r="B448" s="2" t="s">
        <v>334</v>
      </c>
      <c r="C448" s="2" t="s">
        <v>21</v>
      </c>
      <c r="D448" s="2" t="s">
        <v>22</v>
      </c>
      <c r="E448" s="2" t="s">
        <v>45</v>
      </c>
      <c r="F448" s="2" t="s">
        <v>335</v>
      </c>
      <c r="G448" s="3">
        <f>11377.410583+'Hoja 1'!I83</f>
        <v>16103.01058</v>
      </c>
      <c r="H448" s="2" t="s">
        <v>26</v>
      </c>
    </row>
    <row r="449" ht="15.75" customHeight="1">
      <c r="A449" s="2" t="s">
        <v>19</v>
      </c>
      <c r="B449" s="2" t="s">
        <v>334</v>
      </c>
      <c r="C449" s="2" t="s">
        <v>21</v>
      </c>
      <c r="D449" s="2" t="s">
        <v>22</v>
      </c>
      <c r="E449" s="2" t="s">
        <v>45</v>
      </c>
      <c r="F449" s="2" t="s">
        <v>335</v>
      </c>
      <c r="G449" s="2">
        <v>17823.580152</v>
      </c>
      <c r="H449" s="2" t="s">
        <v>27</v>
      </c>
    </row>
    <row r="450" ht="15.75" customHeight="1">
      <c r="A450" s="2" t="s">
        <v>19</v>
      </c>
      <c r="B450" s="2" t="s">
        <v>334</v>
      </c>
      <c r="C450" s="2" t="s">
        <v>21</v>
      </c>
      <c r="D450" s="2" t="s">
        <v>22</v>
      </c>
      <c r="E450" s="2" t="s">
        <v>45</v>
      </c>
      <c r="F450" s="2" t="s">
        <v>335</v>
      </c>
      <c r="G450" s="2">
        <v>18141.678181</v>
      </c>
      <c r="H450" s="2" t="s">
        <v>25</v>
      </c>
    </row>
    <row r="451" ht="15.75" customHeight="1">
      <c r="A451" s="2" t="s">
        <v>19</v>
      </c>
      <c r="B451" s="2" t="s">
        <v>334</v>
      </c>
      <c r="C451" s="2" t="s">
        <v>21</v>
      </c>
      <c r="D451" s="2" t="s">
        <v>22</v>
      </c>
      <c r="E451" s="2" t="s">
        <v>45</v>
      </c>
      <c r="F451" s="2" t="s">
        <v>335</v>
      </c>
      <c r="G451" s="3">
        <f>4776.24+'Hoja 1'!L137</f>
        <v>14227.44</v>
      </c>
      <c r="H451" s="4" t="s">
        <v>28</v>
      </c>
    </row>
    <row r="452" ht="15.75" customHeight="1">
      <c r="A452" s="2" t="s">
        <v>19</v>
      </c>
      <c r="B452" s="2" t="s">
        <v>336</v>
      </c>
      <c r="C452" s="2" t="s">
        <v>21</v>
      </c>
      <c r="D452" s="2" t="s">
        <v>22</v>
      </c>
      <c r="E452" s="2" t="s">
        <v>42</v>
      </c>
      <c r="F452" s="2" t="s">
        <v>337</v>
      </c>
      <c r="G452" s="3">
        <f>14842.14224+'Hoja 1'!I78</f>
        <v>19567.74224</v>
      </c>
      <c r="H452" s="2" t="s">
        <v>26</v>
      </c>
    </row>
    <row r="453" ht="15.75" customHeight="1">
      <c r="A453" s="2" t="s">
        <v>19</v>
      </c>
      <c r="B453" s="2" t="s">
        <v>336</v>
      </c>
      <c r="C453" s="2" t="s">
        <v>21</v>
      </c>
      <c r="D453" s="2" t="s">
        <v>22</v>
      </c>
      <c r="E453" s="2" t="s">
        <v>42</v>
      </c>
      <c r="F453" s="2" t="s">
        <v>337</v>
      </c>
      <c r="G453" s="3">
        <f>8976.24+'Hoja 1'!L132</f>
        <v>13768.16</v>
      </c>
      <c r="H453" s="4" t="s">
        <v>28</v>
      </c>
    </row>
    <row r="454" ht="15.75" customHeight="1">
      <c r="A454" s="2" t="s">
        <v>19</v>
      </c>
      <c r="B454" s="2" t="s">
        <v>338</v>
      </c>
      <c r="C454" s="2" t="s">
        <v>21</v>
      </c>
      <c r="D454" s="2" t="s">
        <v>22</v>
      </c>
      <c r="E454" s="2" t="s">
        <v>23</v>
      </c>
      <c r="F454" s="2" t="s">
        <v>339</v>
      </c>
      <c r="G454" s="2">
        <v>7350.0</v>
      </c>
      <c r="H454" s="2" t="s">
        <v>25</v>
      </c>
    </row>
    <row r="455" ht="15.75" customHeight="1">
      <c r="A455" s="2" t="s">
        <v>19</v>
      </c>
      <c r="B455" s="2" t="s">
        <v>338</v>
      </c>
      <c r="C455" s="2" t="s">
        <v>21</v>
      </c>
      <c r="D455" s="2" t="s">
        <v>22</v>
      </c>
      <c r="E455" s="2" t="s">
        <v>23</v>
      </c>
      <c r="F455" s="2" t="s">
        <v>339</v>
      </c>
      <c r="G455" s="2">
        <v>3675.0</v>
      </c>
      <c r="H455" s="2" t="s">
        <v>27</v>
      </c>
    </row>
    <row r="456" ht="15.75" customHeight="1">
      <c r="A456" s="2" t="s">
        <v>19</v>
      </c>
      <c r="B456" s="2" t="s">
        <v>340</v>
      </c>
      <c r="C456" s="2" t="s">
        <v>21</v>
      </c>
      <c r="D456" s="2" t="s">
        <v>22</v>
      </c>
      <c r="E456" s="2" t="s">
        <v>45</v>
      </c>
      <c r="F456" s="2" t="s">
        <v>341</v>
      </c>
      <c r="G456" s="3">
        <f>8976.24+'Hoja 1'!L65</f>
        <v>18427.44</v>
      </c>
      <c r="H456" s="2" t="s">
        <v>26</v>
      </c>
    </row>
    <row r="457" ht="15.75" customHeight="1">
      <c r="A457" s="2" t="s">
        <v>19</v>
      </c>
      <c r="B457" s="2" t="s">
        <v>340</v>
      </c>
      <c r="C457" s="2" t="s">
        <v>21</v>
      </c>
      <c r="D457" s="2" t="s">
        <v>22</v>
      </c>
      <c r="E457" s="2" t="s">
        <v>45</v>
      </c>
      <c r="F457" s="2" t="s">
        <v>341</v>
      </c>
      <c r="G457" s="2">
        <v>22103.58015</v>
      </c>
      <c r="H457" s="2" t="s">
        <v>27</v>
      </c>
    </row>
    <row r="458" ht="15.75" customHeight="1">
      <c r="A458" s="2" t="s">
        <v>19</v>
      </c>
      <c r="B458" s="2" t="s">
        <v>340</v>
      </c>
      <c r="C458" s="2" t="s">
        <v>21</v>
      </c>
      <c r="D458" s="2" t="s">
        <v>22</v>
      </c>
      <c r="E458" s="2" t="s">
        <v>45</v>
      </c>
      <c r="F458" s="2" t="s">
        <v>341</v>
      </c>
      <c r="G458" s="2">
        <v>8223.170779</v>
      </c>
      <c r="H458" s="2" t="s">
        <v>25</v>
      </c>
    </row>
    <row r="459" ht="15.75" customHeight="1">
      <c r="A459" s="2" t="s">
        <v>19</v>
      </c>
      <c r="B459" s="2" t="s">
        <v>340</v>
      </c>
      <c r="C459" s="2" t="s">
        <v>21</v>
      </c>
      <c r="D459" s="2" t="s">
        <v>22</v>
      </c>
      <c r="E459" s="2" t="s">
        <v>45</v>
      </c>
      <c r="F459" s="2" t="s">
        <v>341</v>
      </c>
      <c r="G459" s="3">
        <f>8976.24+'Hoja 1'!L65</f>
        <v>18427.44</v>
      </c>
      <c r="H459" s="4" t="s">
        <v>28</v>
      </c>
    </row>
    <row r="460" ht="15.75" customHeight="1">
      <c r="A460" s="2" t="s">
        <v>19</v>
      </c>
      <c r="B460" s="2" t="s">
        <v>342</v>
      </c>
      <c r="C460" s="2" t="s">
        <v>21</v>
      </c>
      <c r="D460" s="2" t="s">
        <v>22</v>
      </c>
      <c r="E460" s="2" t="s">
        <v>23</v>
      </c>
      <c r="F460" s="2" t="s">
        <v>343</v>
      </c>
      <c r="G460" s="2">
        <v>14597.59959</v>
      </c>
      <c r="H460" s="2" t="s">
        <v>27</v>
      </c>
    </row>
    <row r="461" ht="15.75" customHeight="1">
      <c r="A461" s="2" t="s">
        <v>19</v>
      </c>
      <c r="B461" s="2" t="s">
        <v>342</v>
      </c>
      <c r="C461" s="2" t="s">
        <v>21</v>
      </c>
      <c r="D461" s="2" t="s">
        <v>22</v>
      </c>
      <c r="E461" s="2" t="s">
        <v>23</v>
      </c>
      <c r="F461" s="2" t="s">
        <v>343</v>
      </c>
      <c r="G461" s="2">
        <v>15931.39405</v>
      </c>
      <c r="H461" s="2" t="s">
        <v>25</v>
      </c>
    </row>
    <row r="462" ht="15.75" customHeight="1">
      <c r="A462" s="2" t="s">
        <v>19</v>
      </c>
      <c r="B462" s="2" t="s">
        <v>342</v>
      </c>
      <c r="C462" s="2" t="s">
        <v>21</v>
      </c>
      <c r="D462" s="2" t="s">
        <v>22</v>
      </c>
      <c r="E462" s="2" t="s">
        <v>23</v>
      </c>
      <c r="F462" s="2" t="s">
        <v>343</v>
      </c>
      <c r="G462" s="2">
        <v>11622.781714</v>
      </c>
      <c r="H462" s="2" t="s">
        <v>26</v>
      </c>
    </row>
    <row r="463" ht="15.75" customHeight="1">
      <c r="A463" s="2" t="s">
        <v>19</v>
      </c>
      <c r="B463" s="2" t="s">
        <v>344</v>
      </c>
      <c r="C463" s="2" t="s">
        <v>21</v>
      </c>
      <c r="D463" s="2" t="s">
        <v>22</v>
      </c>
      <c r="E463" s="2" t="s">
        <v>45</v>
      </c>
      <c r="F463" s="2" t="s">
        <v>345</v>
      </c>
      <c r="G463" s="3">
        <f>18426.24+'Hoja 1'!C54+'Hoja 1'!I52</f>
        <v>28370.03</v>
      </c>
      <c r="H463" s="2" t="s">
        <v>26</v>
      </c>
    </row>
    <row r="464" ht="15.75" customHeight="1">
      <c r="A464" s="2" t="s">
        <v>19</v>
      </c>
      <c r="B464" s="2" t="s">
        <v>344</v>
      </c>
      <c r="C464" s="2" t="s">
        <v>21</v>
      </c>
      <c r="D464" s="2" t="s">
        <v>22</v>
      </c>
      <c r="E464" s="2" t="s">
        <v>45</v>
      </c>
      <c r="F464" s="2" t="s">
        <v>345</v>
      </c>
      <c r="G464" s="3">
        <f>28234.21921+'Hoja 1'!I29</f>
        <v>29809.41921</v>
      </c>
      <c r="H464" s="2" t="s">
        <v>27</v>
      </c>
    </row>
    <row r="465" ht="15.75" customHeight="1">
      <c r="A465" s="2" t="s">
        <v>19</v>
      </c>
      <c r="B465" s="2" t="s">
        <v>344</v>
      </c>
      <c r="C465" s="2" t="s">
        <v>21</v>
      </c>
      <c r="D465" s="2" t="s">
        <v>22</v>
      </c>
      <c r="E465" s="2" t="s">
        <v>45</v>
      </c>
      <c r="F465" s="2" t="s">
        <v>345</v>
      </c>
      <c r="G465" s="2">
        <f>22339.29715</f>
        <v>22339.29715</v>
      </c>
      <c r="H465" s="2" t="s">
        <v>25</v>
      </c>
    </row>
    <row r="466" ht="15.75" customHeight="1">
      <c r="A466" s="2" t="s">
        <v>19</v>
      </c>
      <c r="B466" s="2" t="s">
        <v>344</v>
      </c>
      <c r="C466" s="2" t="s">
        <v>21</v>
      </c>
      <c r="D466" s="2" t="s">
        <v>22</v>
      </c>
      <c r="E466" s="2" t="s">
        <v>45</v>
      </c>
      <c r="F466" s="2" t="s">
        <v>345</v>
      </c>
      <c r="G466" s="3">
        <f>18426.24+'Hoja 1'!C106+'Hoja 1'!I106</f>
        <v>27877.44</v>
      </c>
      <c r="H466" s="4" t="s">
        <v>28</v>
      </c>
    </row>
    <row r="467" ht="15.75" customHeight="1">
      <c r="A467" s="2" t="s">
        <v>19</v>
      </c>
      <c r="B467" s="2" t="s">
        <v>346</v>
      </c>
      <c r="C467" s="2" t="s">
        <v>21</v>
      </c>
      <c r="D467" s="2" t="s">
        <v>22</v>
      </c>
      <c r="E467" s="2" t="s">
        <v>63</v>
      </c>
      <c r="F467" s="2" t="s">
        <v>347</v>
      </c>
      <c r="G467" s="2">
        <v>14563.097092</v>
      </c>
      <c r="H467" s="2" t="s">
        <v>27</v>
      </c>
    </row>
    <row r="468" ht="15.75" customHeight="1">
      <c r="A468" s="2" t="s">
        <v>19</v>
      </c>
      <c r="B468" s="2" t="s">
        <v>346</v>
      </c>
      <c r="C468" s="2" t="s">
        <v>21</v>
      </c>
      <c r="D468" s="2" t="s">
        <v>22</v>
      </c>
      <c r="E468" s="2" t="s">
        <v>63</v>
      </c>
      <c r="F468" s="2" t="s">
        <v>347</v>
      </c>
      <c r="G468" s="3">
        <f>1626.24+'Hoja 1'!L77</f>
        <v>8242.08</v>
      </c>
      <c r="H468" s="2" t="s">
        <v>26</v>
      </c>
    </row>
    <row r="469" ht="15.75" customHeight="1">
      <c r="A469" s="2" t="s">
        <v>19</v>
      </c>
      <c r="B469" s="2" t="s">
        <v>346</v>
      </c>
      <c r="C469" s="2" t="s">
        <v>21</v>
      </c>
      <c r="D469" s="2" t="s">
        <v>22</v>
      </c>
      <c r="E469" s="2" t="s">
        <v>63</v>
      </c>
      <c r="F469" s="2" t="s">
        <v>347</v>
      </c>
      <c r="G469" s="2">
        <v>8845.99814</v>
      </c>
      <c r="H469" s="2" t="s">
        <v>25</v>
      </c>
    </row>
    <row r="470" ht="15.75" customHeight="1">
      <c r="A470" s="2" t="s">
        <v>19</v>
      </c>
      <c r="B470" s="2" t="s">
        <v>346</v>
      </c>
      <c r="C470" s="2" t="s">
        <v>21</v>
      </c>
      <c r="D470" s="2" t="s">
        <v>22</v>
      </c>
      <c r="E470" s="2" t="s">
        <v>63</v>
      </c>
      <c r="F470" s="2" t="s">
        <v>347</v>
      </c>
      <c r="G470" s="3">
        <f>1626.24+'Hoja 1'!L129</f>
        <v>11077.44</v>
      </c>
      <c r="H470" s="4" t="s">
        <v>28</v>
      </c>
    </row>
    <row r="471" ht="15.75" customHeight="1">
      <c r="A471" s="2" t="s">
        <v>19</v>
      </c>
      <c r="B471" s="2" t="s">
        <v>348</v>
      </c>
      <c r="C471" s="2" t="s">
        <v>21</v>
      </c>
      <c r="D471" s="2" t="s">
        <v>22</v>
      </c>
      <c r="E471" s="2" t="s">
        <v>23</v>
      </c>
      <c r="F471" s="2" t="s">
        <v>349</v>
      </c>
      <c r="G471" s="2">
        <f>17052.48746+1575.2</f>
        <v>18627.68746</v>
      </c>
      <c r="H471" s="2" t="s">
        <v>27</v>
      </c>
    </row>
    <row r="472" ht="15.75" customHeight="1">
      <c r="A472" s="2" t="s">
        <v>19</v>
      </c>
      <c r="B472" s="2" t="s">
        <v>348</v>
      </c>
      <c r="C472" s="2" t="s">
        <v>21</v>
      </c>
      <c r="D472" s="2" t="s">
        <v>22</v>
      </c>
      <c r="E472" s="2" t="s">
        <v>23</v>
      </c>
      <c r="F472" s="2" t="s">
        <v>349</v>
      </c>
      <c r="G472" s="3">
        <f>6876.24+'Hoja 1'!C58+'Hoja 1'!I56</f>
        <v>16820.03</v>
      </c>
      <c r="H472" s="2" t="s">
        <v>26</v>
      </c>
    </row>
    <row r="473" ht="15.75" customHeight="1">
      <c r="A473" s="2" t="s">
        <v>19</v>
      </c>
      <c r="B473" s="2" t="s">
        <v>348</v>
      </c>
      <c r="C473" s="2" t="s">
        <v>21</v>
      </c>
      <c r="D473" s="2" t="s">
        <v>22</v>
      </c>
      <c r="E473" s="2" t="s">
        <v>23</v>
      </c>
      <c r="F473" s="2" t="s">
        <v>349</v>
      </c>
      <c r="G473" s="3">
        <f>6876.24+'Hoja 1'!C110+'Hoja 1'!I110</f>
        <v>16327.44</v>
      </c>
      <c r="H473" s="4" t="s">
        <v>28</v>
      </c>
    </row>
    <row r="474" ht="15.75" customHeight="1">
      <c r="A474" s="2" t="s">
        <v>19</v>
      </c>
      <c r="B474" s="2" t="s">
        <v>348</v>
      </c>
      <c r="C474" s="2" t="s">
        <v>21</v>
      </c>
      <c r="D474" s="2" t="s">
        <v>22</v>
      </c>
      <c r="E474" s="2" t="s">
        <v>23</v>
      </c>
      <c r="F474" s="2" t="s">
        <v>349</v>
      </c>
      <c r="G474" s="2">
        <v>20291.39405</v>
      </c>
      <c r="H474" s="2" t="s">
        <v>25</v>
      </c>
    </row>
    <row r="475" ht="15.75" customHeight="1">
      <c r="A475" s="2" t="s">
        <v>19</v>
      </c>
      <c r="B475" s="2" t="s">
        <v>350</v>
      </c>
      <c r="C475" s="2" t="s">
        <v>32</v>
      </c>
      <c r="D475" s="2" t="s">
        <v>22</v>
      </c>
      <c r="E475" s="2" t="s">
        <v>45</v>
      </c>
      <c r="F475" s="2" t="s">
        <v>351</v>
      </c>
      <c r="G475" s="2">
        <v>33868.44261</v>
      </c>
      <c r="H475" s="2" t="s">
        <v>26</v>
      </c>
    </row>
    <row r="476" ht="15.75" customHeight="1">
      <c r="A476" s="2" t="s">
        <v>19</v>
      </c>
      <c r="B476" s="2" t="s">
        <v>350</v>
      </c>
      <c r="C476" s="2" t="s">
        <v>32</v>
      </c>
      <c r="D476" s="2" t="s">
        <v>22</v>
      </c>
      <c r="E476" s="2" t="s">
        <v>45</v>
      </c>
      <c r="F476" s="2" t="s">
        <v>351</v>
      </c>
      <c r="G476" s="2">
        <v>32935.3767</v>
      </c>
      <c r="H476" s="2" t="s">
        <v>25</v>
      </c>
    </row>
    <row r="477" ht="15.75" customHeight="1">
      <c r="A477" s="2" t="s">
        <v>19</v>
      </c>
      <c r="B477" s="2" t="s">
        <v>350</v>
      </c>
      <c r="C477" s="2" t="s">
        <v>32</v>
      </c>
      <c r="D477" s="2" t="s">
        <v>22</v>
      </c>
      <c r="E477" s="2" t="s">
        <v>45</v>
      </c>
      <c r="F477" s="2" t="s">
        <v>351</v>
      </c>
      <c r="G477" s="2">
        <v>33886.51173</v>
      </c>
      <c r="H477" s="2" t="s">
        <v>27</v>
      </c>
    </row>
    <row r="478" ht="15.75" customHeight="1">
      <c r="A478" s="2" t="s">
        <v>19</v>
      </c>
      <c r="B478" s="2" t="s">
        <v>352</v>
      </c>
      <c r="C478" s="2" t="s">
        <v>21</v>
      </c>
      <c r="D478" s="2" t="s">
        <v>22</v>
      </c>
      <c r="E478" s="2" t="s">
        <v>53</v>
      </c>
      <c r="F478" s="2" t="s">
        <v>353</v>
      </c>
      <c r="G478" s="2">
        <v>21568.41622</v>
      </c>
      <c r="H478" s="2" t="s">
        <v>26</v>
      </c>
    </row>
    <row r="479" ht="22.5" customHeight="1">
      <c r="A479" s="2" t="s">
        <v>19</v>
      </c>
      <c r="B479" s="2" t="s">
        <v>354</v>
      </c>
      <c r="C479" s="2" t="s">
        <v>21</v>
      </c>
      <c r="D479" s="2" t="s">
        <v>22</v>
      </c>
      <c r="E479" s="2" t="s">
        <v>23</v>
      </c>
      <c r="F479" s="2" t="s">
        <v>355</v>
      </c>
      <c r="G479" s="2">
        <v>13042.93378</v>
      </c>
      <c r="H479" s="2" t="s">
        <v>27</v>
      </c>
    </row>
    <row r="480" ht="22.5" customHeight="1">
      <c r="A480" s="2" t="s">
        <v>19</v>
      </c>
      <c r="B480" s="2" t="s">
        <v>354</v>
      </c>
      <c r="C480" s="2" t="s">
        <v>21</v>
      </c>
      <c r="D480" s="2" t="s">
        <v>22</v>
      </c>
      <c r="E480" s="2" t="s">
        <v>23</v>
      </c>
      <c r="F480" s="2" t="s">
        <v>355</v>
      </c>
      <c r="G480" s="2">
        <v>13288.974718</v>
      </c>
      <c r="H480" s="2" t="s">
        <v>25</v>
      </c>
    </row>
    <row r="481" ht="15.75" customHeight="1">
      <c r="A481" s="2" t="s">
        <v>19</v>
      </c>
      <c r="B481" s="2" t="s">
        <v>354</v>
      </c>
      <c r="C481" s="2" t="s">
        <v>21</v>
      </c>
      <c r="D481" s="2" t="s">
        <v>22</v>
      </c>
      <c r="E481" s="2" t="s">
        <v>23</v>
      </c>
      <c r="F481" s="2" t="s">
        <v>355</v>
      </c>
      <c r="G481" s="3">
        <f>2676.24+'Hoja 1'!L128</f>
        <v>12127.44</v>
      </c>
      <c r="H481" s="4" t="s">
        <v>28</v>
      </c>
    </row>
    <row r="482" ht="15.75" customHeight="1">
      <c r="A482" s="2" t="s">
        <v>356</v>
      </c>
      <c r="B482" s="22" t="s">
        <v>357</v>
      </c>
      <c r="C482" s="23" t="s">
        <v>32</v>
      </c>
      <c r="D482" s="24" t="s">
        <v>56</v>
      </c>
      <c r="E482" s="25"/>
      <c r="F482" s="26" t="s">
        <v>357</v>
      </c>
      <c r="G482" s="27">
        <v>3087.11</v>
      </c>
      <c r="H482" s="28"/>
      <c r="I482" s="28"/>
      <c r="J482" s="28"/>
      <c r="K482" s="28"/>
      <c r="L482" s="29"/>
      <c r="M482" s="30">
        <v>46082.0</v>
      </c>
      <c r="N482" s="29"/>
      <c r="O482" s="29"/>
      <c r="P482" s="29"/>
      <c r="Q482" s="28"/>
      <c r="R482" s="28"/>
      <c r="S482" s="28"/>
    </row>
    <row r="483" ht="15.75" customHeight="1">
      <c r="A483" s="31" t="s">
        <v>358</v>
      </c>
      <c r="B483" s="2" t="s">
        <v>359</v>
      </c>
      <c r="C483" s="6" t="s">
        <v>32</v>
      </c>
      <c r="D483" s="32" t="s">
        <v>56</v>
      </c>
      <c r="G483" s="4">
        <v>10169.65289</v>
      </c>
      <c r="L483" s="2">
        <v>32688.17</v>
      </c>
      <c r="M483" s="2" t="s">
        <v>360</v>
      </c>
      <c r="N483" s="2" t="s">
        <v>361</v>
      </c>
      <c r="O483" s="2">
        <v>502.0</v>
      </c>
      <c r="P483" s="2" t="s">
        <v>362</v>
      </c>
    </row>
    <row r="484" ht="15.75" customHeight="1">
      <c r="A484" s="31" t="s">
        <v>356</v>
      </c>
      <c r="B484" s="31"/>
      <c r="C484" s="31" t="s">
        <v>32</v>
      </c>
      <c r="D484" s="31" t="s">
        <v>39</v>
      </c>
      <c r="E484" s="31"/>
      <c r="F484" s="31"/>
      <c r="G484" s="31">
        <v>479.7</v>
      </c>
      <c r="H484" s="31"/>
      <c r="I484" s="31"/>
      <c r="J484" s="31"/>
      <c r="K484" s="31"/>
      <c r="L484" s="31"/>
      <c r="M484" s="31">
        <v>46082.0</v>
      </c>
      <c r="N484" s="31"/>
      <c r="O484" s="31"/>
      <c r="P484" s="31"/>
      <c r="Q484" s="31"/>
      <c r="R484" s="31"/>
      <c r="S484" s="31"/>
    </row>
    <row r="485" ht="15.75" customHeight="1">
      <c r="A485" s="2" t="s">
        <v>19</v>
      </c>
      <c r="B485" s="2" t="s">
        <v>354</v>
      </c>
      <c r="C485" s="2" t="s">
        <v>21</v>
      </c>
      <c r="D485" s="2" t="s">
        <v>22</v>
      </c>
      <c r="E485" s="2" t="s">
        <v>23</v>
      </c>
      <c r="F485" s="2" t="s">
        <v>355</v>
      </c>
      <c r="G485" s="3">
        <f>2676.24+'Hoja 1'!L76</f>
        <v>9292.08</v>
      </c>
      <c r="H485" s="2" t="s">
        <v>26</v>
      </c>
    </row>
    <row r="486" ht="15.75" customHeight="1">
      <c r="A486" s="2" t="s">
        <v>363</v>
      </c>
      <c r="B486" s="2" t="s">
        <v>364</v>
      </c>
      <c r="G486" s="2">
        <v>13833.01</v>
      </c>
      <c r="L486" s="2">
        <v>13833.01</v>
      </c>
      <c r="M486" s="2" t="s">
        <v>360</v>
      </c>
      <c r="N486" s="2" t="s">
        <v>361</v>
      </c>
      <c r="O486" s="2">
        <v>500.0</v>
      </c>
      <c r="P486" s="2" t="s">
        <v>363</v>
      </c>
    </row>
    <row r="487" ht="15.75" customHeight="1">
      <c r="A487" s="2" t="s">
        <v>365</v>
      </c>
      <c r="B487" s="2" t="s">
        <v>366</v>
      </c>
      <c r="C487" s="6" t="s">
        <v>32</v>
      </c>
      <c r="D487" s="6" t="s">
        <v>193</v>
      </c>
      <c r="G487" s="2">
        <v>20324.14</v>
      </c>
      <c r="L487" s="2">
        <v>20324.14</v>
      </c>
      <c r="M487" s="2" t="s">
        <v>360</v>
      </c>
      <c r="N487" s="2" t="s">
        <v>361</v>
      </c>
      <c r="O487" s="2">
        <v>288.0</v>
      </c>
      <c r="P487" s="2" t="s">
        <v>367</v>
      </c>
    </row>
    <row r="488" ht="15.75" customHeight="1">
      <c r="A488" s="2" t="s">
        <v>368</v>
      </c>
      <c r="B488" s="2" t="s">
        <v>369</v>
      </c>
      <c r="C488" s="2" t="s">
        <v>32</v>
      </c>
      <c r="G488" s="2">
        <v>86206.9</v>
      </c>
      <c r="L488" s="2">
        <v>86206.9</v>
      </c>
      <c r="M488" s="2" t="s">
        <v>360</v>
      </c>
      <c r="N488" s="2" t="s">
        <v>361</v>
      </c>
      <c r="O488" s="2">
        <v>288.0</v>
      </c>
      <c r="P488" s="2" t="s">
        <v>367</v>
      </c>
    </row>
    <row r="489" ht="15.75" customHeight="1">
      <c r="A489" s="2" t="s">
        <v>370</v>
      </c>
      <c r="B489" s="2" t="s">
        <v>371</v>
      </c>
      <c r="C489" s="6" t="s">
        <v>32</v>
      </c>
      <c r="D489" s="6" t="s">
        <v>39</v>
      </c>
      <c r="G489" s="2">
        <v>29000.0</v>
      </c>
      <c r="L489" s="2">
        <v>29000.0</v>
      </c>
      <c r="M489" s="2" t="s">
        <v>360</v>
      </c>
      <c r="N489" s="2" t="s">
        <v>361</v>
      </c>
      <c r="O489" s="2">
        <v>288.0</v>
      </c>
      <c r="P489" s="2" t="s">
        <v>367</v>
      </c>
    </row>
    <row r="490" ht="15.75" customHeight="1">
      <c r="A490" s="2" t="s">
        <v>372</v>
      </c>
      <c r="B490" s="2" t="s">
        <v>373</v>
      </c>
      <c r="C490" s="6" t="s">
        <v>32</v>
      </c>
      <c r="G490" s="2">
        <v>5244.76</v>
      </c>
      <c r="L490" s="2">
        <v>5244.76</v>
      </c>
      <c r="M490" s="2" t="s">
        <v>360</v>
      </c>
      <c r="N490" s="2" t="s">
        <v>361</v>
      </c>
      <c r="O490" s="2">
        <v>288.0</v>
      </c>
      <c r="P490" s="2" t="s">
        <v>367</v>
      </c>
    </row>
    <row r="491" ht="15.75" customHeight="1">
      <c r="A491" s="2" t="s">
        <v>374</v>
      </c>
      <c r="B491" s="2" t="s">
        <v>375</v>
      </c>
      <c r="C491" s="6" t="s">
        <v>32</v>
      </c>
      <c r="D491" s="6" t="s">
        <v>118</v>
      </c>
      <c r="G491" s="2">
        <v>8500.0</v>
      </c>
      <c r="L491" s="2">
        <v>8500.0</v>
      </c>
      <c r="M491" s="2" t="s">
        <v>360</v>
      </c>
      <c r="N491" s="2" t="s">
        <v>361</v>
      </c>
      <c r="O491" s="2">
        <v>288.0</v>
      </c>
      <c r="P491" s="2" t="s">
        <v>367</v>
      </c>
    </row>
    <row r="492" ht="15.75" customHeight="1">
      <c r="A492" s="2" t="s">
        <v>376</v>
      </c>
      <c r="B492" s="2" t="s">
        <v>377</v>
      </c>
      <c r="G492" s="2">
        <v>4258.36</v>
      </c>
      <c r="L492" s="2">
        <v>4258.36</v>
      </c>
      <c r="M492" s="2" t="s">
        <v>360</v>
      </c>
      <c r="N492" s="2" t="s">
        <v>361</v>
      </c>
      <c r="O492" s="2">
        <v>272.0</v>
      </c>
      <c r="P492" s="2" t="s">
        <v>378</v>
      </c>
    </row>
    <row r="493" ht="15.75" customHeight="1">
      <c r="A493" s="2" t="s">
        <v>368</v>
      </c>
      <c r="B493" s="2" t="s">
        <v>379</v>
      </c>
      <c r="C493" s="2" t="s">
        <v>32</v>
      </c>
      <c r="G493" s="2">
        <v>7343.97</v>
      </c>
      <c r="L493" s="2">
        <v>7343.97</v>
      </c>
      <c r="M493" s="2" t="s">
        <v>360</v>
      </c>
      <c r="N493" s="2" t="s">
        <v>361</v>
      </c>
      <c r="O493" s="2">
        <v>272.0</v>
      </c>
      <c r="P493" s="2" t="s">
        <v>380</v>
      </c>
    </row>
    <row r="494" ht="15.75" customHeight="1">
      <c r="A494" s="2" t="s">
        <v>376</v>
      </c>
      <c r="B494" s="2" t="s">
        <v>377</v>
      </c>
      <c r="G494" s="2">
        <v>15365.54</v>
      </c>
      <c r="L494" s="2">
        <v>15365.54</v>
      </c>
      <c r="M494" s="2" t="s">
        <v>360</v>
      </c>
      <c r="N494" s="2" t="s">
        <v>361</v>
      </c>
      <c r="O494" s="2">
        <v>272.0</v>
      </c>
      <c r="P494" s="2" t="s">
        <v>380</v>
      </c>
    </row>
    <row r="495" ht="15.75" customHeight="1">
      <c r="A495" s="2" t="s">
        <v>376</v>
      </c>
      <c r="B495" s="2" t="s">
        <v>377</v>
      </c>
      <c r="G495" s="2">
        <v>17316.68</v>
      </c>
      <c r="L495" s="2">
        <v>17316.68</v>
      </c>
      <c r="M495" s="2" t="s">
        <v>360</v>
      </c>
      <c r="N495" s="2" t="s">
        <v>361</v>
      </c>
      <c r="O495" s="2">
        <v>272.0</v>
      </c>
      <c r="P495" s="2" t="s">
        <v>380</v>
      </c>
    </row>
    <row r="496" ht="15.75" customHeight="1">
      <c r="A496" s="2" t="s">
        <v>368</v>
      </c>
      <c r="B496" s="2" t="s">
        <v>381</v>
      </c>
      <c r="C496" s="2" t="s">
        <v>32</v>
      </c>
      <c r="G496" s="2">
        <v>8900.0</v>
      </c>
      <c r="L496" s="2">
        <v>8900.0</v>
      </c>
      <c r="M496" s="2" t="s">
        <v>360</v>
      </c>
      <c r="N496" s="2" t="s">
        <v>361</v>
      </c>
      <c r="O496" s="2">
        <v>272.0</v>
      </c>
      <c r="P496" s="2" t="s">
        <v>380</v>
      </c>
    </row>
    <row r="497" ht="15.75" customHeight="1">
      <c r="A497" s="2" t="s">
        <v>368</v>
      </c>
      <c r="B497" s="2" t="s">
        <v>382</v>
      </c>
      <c r="C497" s="2" t="s">
        <v>32</v>
      </c>
      <c r="G497" s="2">
        <v>114992.67</v>
      </c>
      <c r="L497" s="2">
        <v>114992.67</v>
      </c>
      <c r="M497" s="2" t="s">
        <v>360</v>
      </c>
      <c r="N497" s="2" t="s">
        <v>361</v>
      </c>
      <c r="O497" s="2">
        <v>272.0</v>
      </c>
      <c r="P497" s="2" t="s">
        <v>380</v>
      </c>
    </row>
    <row r="498" ht="15.75" customHeight="1">
      <c r="A498" s="2" t="s">
        <v>380</v>
      </c>
      <c r="B498" s="2" t="s">
        <v>383</v>
      </c>
      <c r="C498" s="33" t="s">
        <v>32</v>
      </c>
      <c r="G498" s="2">
        <v>3985.76</v>
      </c>
      <c r="L498" s="2">
        <v>3985.76</v>
      </c>
      <c r="M498" s="2" t="s">
        <v>360</v>
      </c>
      <c r="N498" s="2" t="s">
        <v>361</v>
      </c>
      <c r="O498" s="2">
        <v>272.0</v>
      </c>
      <c r="P498" s="2" t="s">
        <v>380</v>
      </c>
    </row>
    <row r="499" ht="15.75" customHeight="1">
      <c r="A499" s="2" t="s">
        <v>380</v>
      </c>
      <c r="B499" s="2" t="s">
        <v>383</v>
      </c>
      <c r="C499" s="33" t="s">
        <v>32</v>
      </c>
      <c r="G499" s="2">
        <v>4172.27</v>
      </c>
      <c r="L499" s="2">
        <v>4172.27</v>
      </c>
      <c r="M499" s="2" t="s">
        <v>360</v>
      </c>
      <c r="N499" s="2" t="s">
        <v>361</v>
      </c>
      <c r="O499" s="2">
        <v>272.0</v>
      </c>
      <c r="P499" s="2" t="s">
        <v>380</v>
      </c>
    </row>
    <row r="500" ht="15.75" customHeight="1">
      <c r="A500" s="2" t="s">
        <v>380</v>
      </c>
      <c r="B500" s="2" t="s">
        <v>383</v>
      </c>
      <c r="C500" s="33" t="s">
        <v>32</v>
      </c>
      <c r="G500" s="2">
        <v>4578.49</v>
      </c>
      <c r="L500" s="2">
        <v>4578.49</v>
      </c>
      <c r="M500" s="2" t="s">
        <v>360</v>
      </c>
      <c r="N500" s="2" t="s">
        <v>361</v>
      </c>
      <c r="O500" s="2">
        <v>272.0</v>
      </c>
      <c r="P500" s="2" t="s">
        <v>380</v>
      </c>
    </row>
    <row r="501" ht="15.75" customHeight="1">
      <c r="A501" s="2" t="s">
        <v>380</v>
      </c>
      <c r="B501" s="2" t="s">
        <v>383</v>
      </c>
      <c r="C501" s="33" t="s">
        <v>32</v>
      </c>
      <c r="G501" s="2">
        <v>6890.7</v>
      </c>
      <c r="L501" s="2">
        <v>6890.7</v>
      </c>
      <c r="M501" s="2" t="s">
        <v>360</v>
      </c>
      <c r="N501" s="2" t="s">
        <v>361</v>
      </c>
      <c r="O501" s="2">
        <v>272.0</v>
      </c>
      <c r="P501" s="2" t="s">
        <v>380</v>
      </c>
    </row>
    <row r="502" ht="15.75" customHeight="1">
      <c r="A502" s="2" t="s">
        <v>380</v>
      </c>
      <c r="B502" s="2" t="s">
        <v>383</v>
      </c>
      <c r="C502" s="33" t="s">
        <v>32</v>
      </c>
      <c r="G502" s="2">
        <v>7734.15</v>
      </c>
      <c r="L502" s="2">
        <v>7734.15</v>
      </c>
      <c r="M502" s="2" t="s">
        <v>360</v>
      </c>
      <c r="N502" s="2" t="s">
        <v>361</v>
      </c>
      <c r="O502" s="2">
        <v>272.0</v>
      </c>
      <c r="P502" s="2" t="s">
        <v>380</v>
      </c>
    </row>
    <row r="503" ht="15.75" customHeight="1">
      <c r="A503" s="2" t="s">
        <v>380</v>
      </c>
      <c r="B503" s="2" t="s">
        <v>383</v>
      </c>
      <c r="C503" s="33" t="s">
        <v>32</v>
      </c>
      <c r="G503" s="2">
        <v>9987.58</v>
      </c>
      <c r="L503" s="2">
        <v>9987.58</v>
      </c>
      <c r="M503" s="2" t="s">
        <v>360</v>
      </c>
      <c r="N503" s="2" t="s">
        <v>361</v>
      </c>
      <c r="O503" s="2">
        <v>272.0</v>
      </c>
      <c r="P503" s="2" t="s">
        <v>380</v>
      </c>
    </row>
    <row r="504" ht="15.75" customHeight="1">
      <c r="A504" s="2" t="s">
        <v>380</v>
      </c>
      <c r="B504" s="2" t="s">
        <v>383</v>
      </c>
      <c r="C504" s="33" t="s">
        <v>32</v>
      </c>
      <c r="G504" s="2">
        <v>11796.17</v>
      </c>
      <c r="L504" s="2">
        <v>11796.17</v>
      </c>
      <c r="M504" s="2" t="s">
        <v>360</v>
      </c>
      <c r="N504" s="2" t="s">
        <v>361</v>
      </c>
      <c r="O504" s="2">
        <v>272.0</v>
      </c>
      <c r="P504" s="2" t="s">
        <v>380</v>
      </c>
    </row>
    <row r="505" ht="15.75" customHeight="1">
      <c r="A505" s="2" t="s">
        <v>380</v>
      </c>
      <c r="B505" s="2" t="s">
        <v>384</v>
      </c>
      <c r="G505" s="2">
        <v>11900.0</v>
      </c>
      <c r="L505" s="2">
        <v>11900.0</v>
      </c>
      <c r="M505" s="2" t="s">
        <v>360</v>
      </c>
      <c r="N505" s="2" t="s">
        <v>361</v>
      </c>
      <c r="O505" s="2">
        <v>272.0</v>
      </c>
      <c r="P505" s="2" t="s">
        <v>380</v>
      </c>
    </row>
    <row r="506" ht="15.75" customHeight="1">
      <c r="A506" s="2" t="s">
        <v>385</v>
      </c>
      <c r="B506" s="2" t="s">
        <v>386</v>
      </c>
      <c r="G506" s="2">
        <v>19503.8</v>
      </c>
      <c r="L506" s="2">
        <v>19503.8</v>
      </c>
      <c r="M506" s="2" t="s">
        <v>360</v>
      </c>
      <c r="N506" s="2" t="s">
        <v>361</v>
      </c>
      <c r="O506" s="2">
        <v>272.0</v>
      </c>
      <c r="P506" s="2" t="s">
        <v>380</v>
      </c>
    </row>
    <row r="507" ht="15.75" customHeight="1">
      <c r="A507" s="2" t="s">
        <v>380</v>
      </c>
      <c r="B507" s="2" t="s">
        <v>387</v>
      </c>
      <c r="C507" s="6" t="s">
        <v>21</v>
      </c>
      <c r="D507" s="6" t="s">
        <v>22</v>
      </c>
      <c r="G507" s="2">
        <v>2392.85</v>
      </c>
      <c r="L507" s="2">
        <v>2392.85</v>
      </c>
      <c r="M507" s="2" t="s">
        <v>360</v>
      </c>
      <c r="N507" s="2" t="s">
        <v>361</v>
      </c>
      <c r="O507" s="2">
        <v>272.0</v>
      </c>
      <c r="P507" s="2" t="s">
        <v>380</v>
      </c>
    </row>
    <row r="508" ht="15.75" customHeight="1">
      <c r="A508" s="2" t="s">
        <v>380</v>
      </c>
      <c r="B508" s="2" t="s">
        <v>387</v>
      </c>
      <c r="C508" s="6" t="s">
        <v>21</v>
      </c>
      <c r="D508" s="6" t="s">
        <v>22</v>
      </c>
      <c r="G508" s="2">
        <v>2758.62</v>
      </c>
      <c r="L508" s="2">
        <v>2758.62</v>
      </c>
      <c r="M508" s="2" t="s">
        <v>360</v>
      </c>
      <c r="N508" s="2" t="s">
        <v>361</v>
      </c>
      <c r="O508" s="2">
        <v>272.0</v>
      </c>
      <c r="P508" s="2" t="s">
        <v>380</v>
      </c>
    </row>
    <row r="509" ht="15.75" customHeight="1">
      <c r="A509" s="2" t="s">
        <v>380</v>
      </c>
      <c r="B509" s="2" t="s">
        <v>387</v>
      </c>
      <c r="C509" s="6" t="s">
        <v>21</v>
      </c>
      <c r="D509" s="6" t="s">
        <v>22</v>
      </c>
      <c r="G509" s="2">
        <v>5475.37</v>
      </c>
      <c r="L509" s="2">
        <v>5475.37</v>
      </c>
      <c r="M509" s="2" t="s">
        <v>360</v>
      </c>
      <c r="N509" s="2" t="s">
        <v>361</v>
      </c>
      <c r="O509" s="2">
        <v>272.0</v>
      </c>
      <c r="P509" s="2" t="s">
        <v>380</v>
      </c>
    </row>
    <row r="510" ht="15.75" customHeight="1">
      <c r="A510" s="2" t="s">
        <v>385</v>
      </c>
      <c r="B510" s="2" t="s">
        <v>388</v>
      </c>
      <c r="G510" s="2">
        <v>17306.48</v>
      </c>
      <c r="L510" s="2">
        <v>17306.48</v>
      </c>
      <c r="M510" s="2" t="s">
        <v>360</v>
      </c>
      <c r="N510" s="2" t="s">
        <v>361</v>
      </c>
      <c r="O510" s="2">
        <v>272.0</v>
      </c>
      <c r="P510" s="2" t="s">
        <v>380</v>
      </c>
    </row>
    <row r="511" ht="15.75" customHeight="1">
      <c r="A511" s="2" t="s">
        <v>380</v>
      </c>
      <c r="B511" s="2" t="s">
        <v>389</v>
      </c>
      <c r="C511" s="34" t="s">
        <v>32</v>
      </c>
      <c r="D511" s="32" t="s">
        <v>56</v>
      </c>
      <c r="G511" s="35">
        <v>145600.0</v>
      </c>
      <c r="L511" s="2"/>
      <c r="M511" s="2" t="s">
        <v>360</v>
      </c>
      <c r="N511" s="2" t="s">
        <v>361</v>
      </c>
      <c r="O511" s="2">
        <v>272.0</v>
      </c>
      <c r="P511" s="2" t="s">
        <v>380</v>
      </c>
    </row>
    <row r="512" ht="15.75" customHeight="1">
      <c r="A512" s="2" t="s">
        <v>380</v>
      </c>
      <c r="B512" s="2" t="s">
        <v>389</v>
      </c>
      <c r="C512" s="34" t="s">
        <v>32</v>
      </c>
      <c r="D512" s="32" t="s">
        <v>103</v>
      </c>
      <c r="G512" s="35">
        <v>10400.0</v>
      </c>
      <c r="L512" s="2"/>
      <c r="M512" s="2" t="s">
        <v>360</v>
      </c>
      <c r="N512" s="2" t="s">
        <v>361</v>
      </c>
      <c r="O512" s="2">
        <v>272.0</v>
      </c>
      <c r="P512" s="2" t="s">
        <v>380</v>
      </c>
    </row>
    <row r="513" ht="15.75" customHeight="1">
      <c r="A513" s="2" t="s">
        <v>380</v>
      </c>
      <c r="B513" s="2" t="s">
        <v>389</v>
      </c>
      <c r="C513" s="6" t="s">
        <v>21</v>
      </c>
      <c r="D513" s="32" t="s">
        <v>22</v>
      </c>
      <c r="E513" s="6" t="s">
        <v>23</v>
      </c>
      <c r="G513" s="35">
        <v>197600.0</v>
      </c>
      <c r="L513" s="2"/>
      <c r="M513" s="2" t="s">
        <v>360</v>
      </c>
      <c r="N513" s="2" t="s">
        <v>361</v>
      </c>
      <c r="O513" s="2">
        <v>272.0</v>
      </c>
      <c r="P513" s="2" t="s">
        <v>380</v>
      </c>
    </row>
    <row r="514" ht="15.75" customHeight="1">
      <c r="A514" s="2" t="s">
        <v>390</v>
      </c>
      <c r="B514" s="2" t="s">
        <v>391</v>
      </c>
      <c r="C514" s="2" t="s">
        <v>21</v>
      </c>
      <c r="D514" s="6" t="s">
        <v>22</v>
      </c>
      <c r="G514" s="2">
        <v>20826.33</v>
      </c>
      <c r="L514" s="2">
        <v>20826.33</v>
      </c>
      <c r="M514" s="2" t="s">
        <v>360</v>
      </c>
      <c r="N514" s="2" t="s">
        <v>361</v>
      </c>
      <c r="O514" s="2">
        <v>272.0</v>
      </c>
      <c r="P514" s="2" t="s">
        <v>380</v>
      </c>
    </row>
    <row r="515" ht="15.75" customHeight="1">
      <c r="A515" s="2" t="s">
        <v>392</v>
      </c>
      <c r="B515" s="2" t="s">
        <v>393</v>
      </c>
      <c r="C515" s="2" t="s">
        <v>21</v>
      </c>
      <c r="G515" s="2">
        <v>19833.79</v>
      </c>
      <c r="L515" s="2">
        <v>19833.79</v>
      </c>
      <c r="M515" s="2" t="s">
        <v>360</v>
      </c>
      <c r="N515" s="2" t="s">
        <v>361</v>
      </c>
      <c r="O515" s="2">
        <v>260.0</v>
      </c>
      <c r="P515" s="2" t="s">
        <v>392</v>
      </c>
    </row>
    <row r="516" ht="15.75" customHeight="1">
      <c r="A516" s="2" t="s">
        <v>356</v>
      </c>
      <c r="B516" s="36"/>
      <c r="C516" s="37" t="s">
        <v>21</v>
      </c>
      <c r="D516" s="38" t="s">
        <v>22</v>
      </c>
      <c r="E516" s="39" t="s">
        <v>23</v>
      </c>
      <c r="F516" s="40"/>
      <c r="G516" s="41">
        <v>115700.88</v>
      </c>
      <c r="L516" s="2"/>
      <c r="M516" s="2" t="s">
        <v>360</v>
      </c>
      <c r="N516" s="2"/>
      <c r="O516" s="2"/>
      <c r="P516" s="2"/>
    </row>
    <row r="517" ht="15.75" customHeight="1">
      <c r="A517" s="2" t="s">
        <v>356</v>
      </c>
      <c r="B517" s="42" t="s">
        <v>394</v>
      </c>
      <c r="C517" s="23" t="s">
        <v>21</v>
      </c>
      <c r="D517" s="24" t="s">
        <v>22</v>
      </c>
      <c r="E517" s="43" t="s">
        <v>23</v>
      </c>
      <c r="F517" s="44" t="s">
        <v>394</v>
      </c>
      <c r="G517" s="45">
        <v>283.5</v>
      </c>
      <c r="L517" s="2"/>
      <c r="M517" s="2" t="s">
        <v>360</v>
      </c>
      <c r="N517" s="2"/>
      <c r="O517" s="2"/>
      <c r="P517" s="2"/>
    </row>
    <row r="518" ht="15.75" customHeight="1">
      <c r="A518" s="2" t="s">
        <v>395</v>
      </c>
      <c r="B518" s="29" t="s">
        <v>396</v>
      </c>
      <c r="C518" s="28"/>
      <c r="D518" s="28"/>
      <c r="E518" s="28"/>
      <c r="F518" s="28"/>
      <c r="G518" s="29">
        <v>4346.25</v>
      </c>
      <c r="L518" s="2">
        <v>4346.25</v>
      </c>
      <c r="M518" s="2" t="s">
        <v>360</v>
      </c>
      <c r="N518" s="2" t="s">
        <v>361</v>
      </c>
      <c r="O518" s="2">
        <v>275.0</v>
      </c>
      <c r="P518" s="2" t="s">
        <v>397</v>
      </c>
    </row>
    <row r="519" ht="15.75" customHeight="1">
      <c r="A519" s="2" t="s">
        <v>356</v>
      </c>
      <c r="B519" s="36"/>
      <c r="C519" s="37" t="s">
        <v>21</v>
      </c>
      <c r="D519" s="38" t="s">
        <v>22</v>
      </c>
      <c r="E519" s="39" t="s">
        <v>63</v>
      </c>
      <c r="F519" s="40"/>
      <c r="G519" s="46">
        <v>276857.45</v>
      </c>
      <c r="L519" s="2"/>
      <c r="M519" s="2" t="s">
        <v>360</v>
      </c>
      <c r="N519" s="2"/>
      <c r="O519" s="2"/>
      <c r="P519" s="2"/>
    </row>
    <row r="520" ht="15.75" customHeight="1">
      <c r="A520" s="2" t="s">
        <v>356</v>
      </c>
      <c r="B520" s="47"/>
      <c r="C520" s="23" t="s">
        <v>21</v>
      </c>
      <c r="D520" s="24" t="s">
        <v>22</v>
      </c>
      <c r="E520" s="43" t="s">
        <v>45</v>
      </c>
      <c r="F520" s="48"/>
      <c r="G520" s="49">
        <v>116807.69</v>
      </c>
      <c r="L520" s="2"/>
      <c r="M520" s="2" t="s">
        <v>360</v>
      </c>
      <c r="N520" s="2"/>
      <c r="O520" s="2"/>
      <c r="P520" s="2"/>
    </row>
    <row r="521" ht="15.75" customHeight="1">
      <c r="A521" s="2" t="s">
        <v>356</v>
      </c>
      <c r="B521" s="36"/>
      <c r="C521" s="37" t="s">
        <v>21</v>
      </c>
      <c r="D521" s="38" t="s">
        <v>22</v>
      </c>
      <c r="E521" s="50" t="s">
        <v>398</v>
      </c>
      <c r="F521" s="40"/>
      <c r="G521" s="46">
        <v>15788.81</v>
      </c>
      <c r="L521" s="2"/>
      <c r="M521" s="2" t="s">
        <v>360</v>
      </c>
      <c r="N521" s="2"/>
      <c r="O521" s="2"/>
      <c r="P521" s="2"/>
    </row>
    <row r="522" ht="15.75" customHeight="1">
      <c r="A522" s="2" t="s">
        <v>356</v>
      </c>
      <c r="B522" s="23" t="s">
        <v>399</v>
      </c>
      <c r="C522" s="23" t="s">
        <v>32</v>
      </c>
      <c r="D522" s="24" t="s">
        <v>56</v>
      </c>
      <c r="E522" s="43"/>
      <c r="F522" s="24" t="s">
        <v>399</v>
      </c>
      <c r="G522" s="51">
        <v>52488.89</v>
      </c>
      <c r="L522" s="2"/>
      <c r="M522" s="2" t="s">
        <v>360</v>
      </c>
      <c r="N522" s="2"/>
      <c r="O522" s="2"/>
      <c r="P522" s="2"/>
    </row>
    <row r="523" ht="15.75" customHeight="1">
      <c r="A523" s="2" t="s">
        <v>356</v>
      </c>
      <c r="B523" s="37" t="s">
        <v>400</v>
      </c>
      <c r="C523" s="37" t="s">
        <v>21</v>
      </c>
      <c r="D523" s="38" t="s">
        <v>56</v>
      </c>
      <c r="E523" s="39"/>
      <c r="F523" s="38" t="s">
        <v>400</v>
      </c>
      <c r="G523" s="46">
        <v>5599.92</v>
      </c>
      <c r="L523" s="2"/>
      <c r="M523" s="2" t="s">
        <v>360</v>
      </c>
      <c r="N523" s="2"/>
      <c r="O523" s="2"/>
      <c r="P523" s="2"/>
    </row>
    <row r="524" ht="15.75" customHeight="1">
      <c r="A524" s="2" t="s">
        <v>380</v>
      </c>
      <c r="B524" s="29" t="s">
        <v>401</v>
      </c>
      <c r="C524" s="6" t="s">
        <v>21</v>
      </c>
      <c r="D524" s="6" t="s">
        <v>22</v>
      </c>
      <c r="E524" s="28"/>
      <c r="F524" s="28"/>
      <c r="G524" s="29">
        <v>4456.0</v>
      </c>
      <c r="L524" s="2">
        <v>4456.0</v>
      </c>
      <c r="M524" s="2" t="s">
        <v>360</v>
      </c>
      <c r="N524" s="2" t="s">
        <v>361</v>
      </c>
      <c r="O524" s="2">
        <v>293.0</v>
      </c>
      <c r="P524" s="2" t="s">
        <v>402</v>
      </c>
    </row>
    <row r="525" ht="15.75" customHeight="1">
      <c r="A525" s="2" t="s">
        <v>380</v>
      </c>
      <c r="B525" s="29" t="s">
        <v>401</v>
      </c>
      <c r="C525" s="6" t="s">
        <v>21</v>
      </c>
      <c r="D525" s="6" t="s">
        <v>22</v>
      </c>
      <c r="E525" s="28"/>
      <c r="F525" s="28"/>
      <c r="G525" s="29">
        <v>4456.0</v>
      </c>
      <c r="L525" s="2">
        <v>4456.0</v>
      </c>
      <c r="M525" s="2" t="s">
        <v>360</v>
      </c>
      <c r="N525" s="2" t="s">
        <v>361</v>
      </c>
      <c r="O525" s="2">
        <v>293.0</v>
      </c>
      <c r="P525" s="2" t="s">
        <v>402</v>
      </c>
    </row>
    <row r="526" ht="15.75" customHeight="1">
      <c r="A526" s="2" t="s">
        <v>403</v>
      </c>
      <c r="B526" s="29" t="s">
        <v>404</v>
      </c>
      <c r="C526" s="31" t="s">
        <v>32</v>
      </c>
      <c r="D526" s="32" t="s">
        <v>56</v>
      </c>
      <c r="E526" s="28"/>
      <c r="F526" s="28"/>
      <c r="G526" s="52">
        <v>42625.90578</v>
      </c>
      <c r="L526" s="2">
        <v>15000.0</v>
      </c>
      <c r="M526" s="2" t="s">
        <v>360</v>
      </c>
      <c r="N526" s="2" t="s">
        <v>361</v>
      </c>
      <c r="O526" s="2">
        <v>290.0</v>
      </c>
      <c r="P526" s="2" t="s">
        <v>405</v>
      </c>
    </row>
    <row r="527" ht="15.75" customHeight="1">
      <c r="A527" s="2" t="s">
        <v>368</v>
      </c>
      <c r="B527" s="29" t="s">
        <v>406</v>
      </c>
      <c r="C527" s="29" t="s">
        <v>32</v>
      </c>
      <c r="D527" s="28"/>
      <c r="E527" s="28"/>
      <c r="F527" s="28"/>
      <c r="G527" s="29">
        <v>17.24</v>
      </c>
      <c r="L527" s="2">
        <v>17.24</v>
      </c>
      <c r="M527" s="2" t="s">
        <v>360</v>
      </c>
      <c r="N527" s="2" t="s">
        <v>361</v>
      </c>
      <c r="O527" s="2">
        <v>290.0</v>
      </c>
      <c r="P527" s="2" t="s">
        <v>405</v>
      </c>
    </row>
    <row r="528" ht="15.75" customHeight="1">
      <c r="A528" s="2" t="s">
        <v>403</v>
      </c>
      <c r="B528" s="29" t="s">
        <v>407</v>
      </c>
      <c r="C528" s="31" t="s">
        <v>32</v>
      </c>
      <c r="D528" s="32" t="s">
        <v>103</v>
      </c>
      <c r="E528" s="28"/>
      <c r="F528" s="28"/>
      <c r="G528" s="53">
        <v>3044.707556</v>
      </c>
      <c r="L528" s="2">
        <v>36844.28</v>
      </c>
      <c r="M528" s="2" t="s">
        <v>360</v>
      </c>
      <c r="N528" s="2" t="s">
        <v>361</v>
      </c>
      <c r="O528" s="2">
        <v>290.0</v>
      </c>
      <c r="P528" s="2" t="s">
        <v>405</v>
      </c>
    </row>
    <row r="529" ht="15.75" customHeight="1">
      <c r="A529" s="2" t="s">
        <v>403</v>
      </c>
      <c r="B529" s="29" t="s">
        <v>408</v>
      </c>
      <c r="C529" s="31" t="s">
        <v>21</v>
      </c>
      <c r="D529" s="32" t="s">
        <v>22</v>
      </c>
      <c r="E529" s="28"/>
      <c r="F529" s="28"/>
      <c r="G529" s="52">
        <v>57849.44356</v>
      </c>
      <c r="L529" s="2">
        <v>473.28</v>
      </c>
      <c r="M529" s="2" t="s">
        <v>360</v>
      </c>
      <c r="N529" s="2" t="s">
        <v>361</v>
      </c>
      <c r="O529" s="2">
        <v>290.0</v>
      </c>
      <c r="P529" s="2" t="s">
        <v>405</v>
      </c>
    </row>
    <row r="530" ht="15.75" customHeight="1">
      <c r="A530" s="2" t="s">
        <v>403</v>
      </c>
      <c r="B530" s="29" t="s">
        <v>409</v>
      </c>
      <c r="C530" s="31" t="s">
        <v>32</v>
      </c>
      <c r="D530" s="32" t="s">
        <v>193</v>
      </c>
      <c r="F530" s="28"/>
      <c r="G530" s="53">
        <v>8119.220148</v>
      </c>
      <c r="L530" s="2">
        <v>688.79</v>
      </c>
      <c r="M530" s="2" t="s">
        <v>360</v>
      </c>
      <c r="N530" s="2" t="s">
        <v>361</v>
      </c>
      <c r="O530" s="2">
        <v>290.0</v>
      </c>
      <c r="P530" s="2" t="s">
        <v>405</v>
      </c>
    </row>
    <row r="531" ht="15.75" customHeight="1">
      <c r="A531" s="2" t="s">
        <v>403</v>
      </c>
      <c r="B531" s="29" t="s">
        <v>408</v>
      </c>
      <c r="C531" s="31" t="s">
        <v>32</v>
      </c>
      <c r="D531" s="32" t="s">
        <v>39</v>
      </c>
      <c r="F531" s="28"/>
      <c r="G531" s="52">
        <v>4567.061333</v>
      </c>
      <c r="L531" s="2">
        <v>194.39</v>
      </c>
      <c r="M531" s="2" t="s">
        <v>360</v>
      </c>
      <c r="N531" s="2" t="s">
        <v>361</v>
      </c>
      <c r="O531" s="2">
        <v>290.0</v>
      </c>
      <c r="P531" s="2" t="s">
        <v>405</v>
      </c>
    </row>
    <row r="532" ht="15.75" customHeight="1">
      <c r="A532" s="2" t="s">
        <v>403</v>
      </c>
      <c r="B532" s="2" t="s">
        <v>410</v>
      </c>
      <c r="C532" s="31" t="s">
        <v>32</v>
      </c>
      <c r="D532" s="32" t="s">
        <v>48</v>
      </c>
      <c r="F532" s="28"/>
      <c r="G532" s="53">
        <v>16238.4403</v>
      </c>
      <c r="L532" s="2">
        <v>473.28</v>
      </c>
      <c r="M532" s="2" t="s">
        <v>360</v>
      </c>
      <c r="N532" s="2" t="s">
        <v>361</v>
      </c>
      <c r="O532" s="2">
        <v>290.0</v>
      </c>
      <c r="P532" s="2" t="s">
        <v>405</v>
      </c>
    </row>
    <row r="533" ht="15.75" customHeight="1">
      <c r="A533" s="2" t="s">
        <v>403</v>
      </c>
      <c r="B533" s="2" t="s">
        <v>411</v>
      </c>
      <c r="C533" s="6" t="s">
        <v>32</v>
      </c>
      <c r="D533" s="32" t="s">
        <v>118</v>
      </c>
      <c r="G533" s="54">
        <v>4567.061333</v>
      </c>
      <c r="L533" s="2">
        <v>86.52</v>
      </c>
      <c r="M533" s="2" t="s">
        <v>360</v>
      </c>
      <c r="N533" s="2" t="s">
        <v>361</v>
      </c>
      <c r="O533" s="2">
        <v>290.0</v>
      </c>
      <c r="P533" s="2" t="s">
        <v>405</v>
      </c>
    </row>
    <row r="534" ht="15.75" customHeight="1">
      <c r="A534" s="2" t="s">
        <v>412</v>
      </c>
      <c r="B534" s="2" t="s">
        <v>411</v>
      </c>
      <c r="C534" s="6" t="s">
        <v>32</v>
      </c>
      <c r="D534" s="32" t="s">
        <v>56</v>
      </c>
      <c r="G534" s="55">
        <v>816.8222222</v>
      </c>
      <c r="L534" s="2">
        <v>106.0</v>
      </c>
      <c r="M534" s="2" t="s">
        <v>360</v>
      </c>
      <c r="N534" s="2" t="s">
        <v>361</v>
      </c>
      <c r="O534" s="2">
        <v>271.0</v>
      </c>
      <c r="P534" s="2" t="s">
        <v>412</v>
      </c>
    </row>
    <row r="535" ht="15.75" customHeight="1">
      <c r="A535" s="2" t="s">
        <v>412</v>
      </c>
      <c r="B535" s="2" t="s">
        <v>413</v>
      </c>
      <c r="C535" s="6" t="s">
        <v>32</v>
      </c>
      <c r="D535" s="32" t="s">
        <v>103</v>
      </c>
      <c r="G535" s="56">
        <v>58.34444444</v>
      </c>
      <c r="L535" s="2">
        <v>192.0</v>
      </c>
      <c r="M535" s="2" t="s">
        <v>360</v>
      </c>
      <c r="N535" s="2" t="s">
        <v>361</v>
      </c>
      <c r="O535" s="2">
        <v>271.0</v>
      </c>
      <c r="P535" s="2" t="s">
        <v>412</v>
      </c>
    </row>
    <row r="536" ht="15.75" customHeight="1">
      <c r="A536" s="2" t="s">
        <v>412</v>
      </c>
      <c r="B536" s="2" t="s">
        <v>413</v>
      </c>
      <c r="C536" s="6" t="s">
        <v>21</v>
      </c>
      <c r="D536" s="32" t="s">
        <v>22</v>
      </c>
      <c r="G536" s="55">
        <v>1108.544444</v>
      </c>
      <c r="L536" s="2">
        <v>430.0</v>
      </c>
      <c r="M536" s="2" t="s">
        <v>360</v>
      </c>
      <c r="N536" s="2" t="s">
        <v>361</v>
      </c>
      <c r="O536" s="2">
        <v>271.0</v>
      </c>
      <c r="P536" s="2" t="s">
        <v>412</v>
      </c>
    </row>
    <row r="537" ht="15.75" customHeight="1">
      <c r="A537" s="2" t="s">
        <v>412</v>
      </c>
      <c r="B537" s="2" t="s">
        <v>414</v>
      </c>
      <c r="C537" s="6" t="s">
        <v>32</v>
      </c>
      <c r="D537" s="32" t="s">
        <v>193</v>
      </c>
      <c r="G537" s="56">
        <v>155.5851852</v>
      </c>
      <c r="L537" s="2">
        <v>1897.5</v>
      </c>
      <c r="M537" s="2" t="s">
        <v>360</v>
      </c>
      <c r="N537" s="2" t="s">
        <v>361</v>
      </c>
      <c r="O537" s="2">
        <v>271.0</v>
      </c>
      <c r="P537" s="2" t="s">
        <v>412</v>
      </c>
    </row>
    <row r="538" ht="15.75" customHeight="1">
      <c r="A538" s="2" t="s">
        <v>415</v>
      </c>
      <c r="B538" s="2" t="s">
        <v>416</v>
      </c>
      <c r="G538" s="29">
        <v>5921.68</v>
      </c>
      <c r="L538" s="2">
        <v>5921.68</v>
      </c>
      <c r="M538" s="2" t="s">
        <v>360</v>
      </c>
      <c r="N538" s="2" t="s">
        <v>361</v>
      </c>
      <c r="O538" s="2">
        <v>283.0</v>
      </c>
      <c r="P538" s="2" t="s">
        <v>415</v>
      </c>
    </row>
    <row r="539" ht="15.75" customHeight="1">
      <c r="A539" s="2" t="s">
        <v>417</v>
      </c>
      <c r="B539" s="2" t="s">
        <v>416</v>
      </c>
      <c r="G539" s="2">
        <v>5000.0</v>
      </c>
      <c r="L539" s="2">
        <v>5000.0</v>
      </c>
      <c r="M539" s="2" t="s">
        <v>360</v>
      </c>
      <c r="N539" s="2" t="s">
        <v>361</v>
      </c>
      <c r="O539" s="2">
        <v>283.0</v>
      </c>
      <c r="P539" s="2" t="s">
        <v>415</v>
      </c>
    </row>
    <row r="540" ht="15.75" customHeight="1">
      <c r="A540" s="2" t="s">
        <v>417</v>
      </c>
      <c r="B540" s="2" t="s">
        <v>418</v>
      </c>
      <c r="G540" s="2">
        <v>758.62</v>
      </c>
      <c r="L540" s="2">
        <v>758.62</v>
      </c>
      <c r="M540" s="2" t="s">
        <v>360</v>
      </c>
      <c r="N540" s="2" t="s">
        <v>361</v>
      </c>
      <c r="O540" s="2">
        <v>283.0</v>
      </c>
      <c r="P540" s="2" t="s">
        <v>415</v>
      </c>
    </row>
    <row r="541" ht="15.75" customHeight="1">
      <c r="A541" s="2" t="s">
        <v>419</v>
      </c>
      <c r="B541" s="2" t="s">
        <v>420</v>
      </c>
      <c r="G541" s="2">
        <v>14653.38</v>
      </c>
      <c r="L541" s="2">
        <v>14653.38</v>
      </c>
      <c r="M541" s="2" t="s">
        <v>360</v>
      </c>
      <c r="N541" s="2" t="s">
        <v>361</v>
      </c>
      <c r="O541" s="2">
        <v>266.0</v>
      </c>
      <c r="P541" s="2" t="s">
        <v>421</v>
      </c>
    </row>
    <row r="542" ht="15.75" customHeight="1">
      <c r="A542" s="2" t="s">
        <v>419</v>
      </c>
      <c r="B542" s="2" t="s">
        <v>422</v>
      </c>
      <c r="G542" s="2">
        <v>3580.45</v>
      </c>
      <c r="L542" s="2">
        <v>3580.45</v>
      </c>
      <c r="M542" s="2" t="s">
        <v>360</v>
      </c>
      <c r="N542" s="2" t="s">
        <v>361</v>
      </c>
      <c r="O542" s="2">
        <v>286.0</v>
      </c>
      <c r="P542" s="2" t="s">
        <v>421</v>
      </c>
    </row>
    <row r="543" ht="15.75" customHeight="1">
      <c r="A543" s="2" t="s">
        <v>419</v>
      </c>
      <c r="B543" s="2" t="s">
        <v>423</v>
      </c>
      <c r="G543" s="2">
        <v>13054.18</v>
      </c>
      <c r="L543" s="2">
        <v>13054.18</v>
      </c>
      <c r="M543" s="2" t="s">
        <v>360</v>
      </c>
      <c r="N543" s="2" t="s">
        <v>361</v>
      </c>
      <c r="O543" s="2">
        <v>286.0</v>
      </c>
      <c r="P543" s="2" t="s">
        <v>421</v>
      </c>
    </row>
    <row r="544" ht="15.75" customHeight="1">
      <c r="A544" s="2" t="s">
        <v>419</v>
      </c>
      <c r="B544" s="2" t="s">
        <v>424</v>
      </c>
      <c r="G544" s="2">
        <v>1618.88</v>
      </c>
      <c r="L544" s="2">
        <v>1618.88</v>
      </c>
      <c r="M544" s="2" t="s">
        <v>360</v>
      </c>
      <c r="N544" s="2" t="s">
        <v>361</v>
      </c>
      <c r="O544" s="2">
        <v>286.0</v>
      </c>
      <c r="P544" s="2" t="s">
        <v>421</v>
      </c>
    </row>
    <row r="545" ht="15.75" customHeight="1">
      <c r="A545" s="2" t="s">
        <v>417</v>
      </c>
      <c r="B545" s="2" t="s">
        <v>425</v>
      </c>
      <c r="G545" s="2">
        <v>6425.56</v>
      </c>
      <c r="L545" s="2">
        <v>6425.56</v>
      </c>
      <c r="M545" s="2" t="s">
        <v>360</v>
      </c>
      <c r="N545" s="2" t="s">
        <v>361</v>
      </c>
      <c r="O545" s="2">
        <v>264.0</v>
      </c>
      <c r="P545" s="2" t="s">
        <v>426</v>
      </c>
    </row>
    <row r="546" ht="15.75" customHeight="1">
      <c r="A546" s="2" t="s">
        <v>417</v>
      </c>
      <c r="B546" s="2" t="s">
        <v>427</v>
      </c>
      <c r="G546" s="2">
        <v>934.0</v>
      </c>
      <c r="L546" s="2">
        <v>934.0</v>
      </c>
      <c r="M546" s="2" t="s">
        <v>360</v>
      </c>
      <c r="N546" s="2" t="s">
        <v>361</v>
      </c>
      <c r="O546" s="2">
        <v>284.0</v>
      </c>
      <c r="P546" s="2" t="s">
        <v>426</v>
      </c>
    </row>
    <row r="547" ht="15.75" customHeight="1">
      <c r="A547" s="2" t="s">
        <v>417</v>
      </c>
      <c r="B547" s="2" t="s">
        <v>427</v>
      </c>
      <c r="G547" s="2">
        <v>6397.41</v>
      </c>
      <c r="L547" s="2">
        <v>6397.41</v>
      </c>
      <c r="M547" s="2" t="s">
        <v>360</v>
      </c>
      <c r="N547" s="2" t="s">
        <v>361</v>
      </c>
      <c r="O547" s="2">
        <v>284.0</v>
      </c>
      <c r="P547" s="2" t="s">
        <v>426</v>
      </c>
    </row>
    <row r="548" ht="15.75" customHeight="1">
      <c r="A548" s="2" t="s">
        <v>417</v>
      </c>
      <c r="B548" s="2" t="s">
        <v>428</v>
      </c>
      <c r="G548" s="2">
        <v>8505.17</v>
      </c>
      <c r="L548" s="2">
        <v>8505.17</v>
      </c>
      <c r="M548" s="2" t="s">
        <v>360</v>
      </c>
      <c r="N548" s="2" t="s">
        <v>361</v>
      </c>
      <c r="O548" s="2">
        <v>284.0</v>
      </c>
      <c r="P548" s="2" t="s">
        <v>426</v>
      </c>
    </row>
    <row r="549" ht="15.75" customHeight="1">
      <c r="A549" s="2" t="s">
        <v>417</v>
      </c>
      <c r="B549" s="2" t="s">
        <v>429</v>
      </c>
      <c r="G549" s="2">
        <v>3370.7</v>
      </c>
      <c r="L549" s="2">
        <v>3370.7</v>
      </c>
      <c r="M549" s="2" t="s">
        <v>360</v>
      </c>
      <c r="N549" s="2" t="s">
        <v>361</v>
      </c>
      <c r="O549" s="2">
        <v>284.0</v>
      </c>
      <c r="P549" s="2" t="s">
        <v>426</v>
      </c>
    </row>
    <row r="550" ht="15.75" customHeight="1">
      <c r="A550" s="2" t="s">
        <v>430</v>
      </c>
      <c r="B550" s="2" t="s">
        <v>431</v>
      </c>
      <c r="C550" s="2" t="s">
        <v>32</v>
      </c>
      <c r="G550" s="2">
        <v>25000.0</v>
      </c>
      <c r="L550" s="2">
        <v>25000.0</v>
      </c>
      <c r="M550" s="2" t="s">
        <v>360</v>
      </c>
      <c r="N550" s="2" t="s">
        <v>361</v>
      </c>
      <c r="O550" s="2">
        <v>287.0</v>
      </c>
      <c r="P550" s="2" t="s">
        <v>432</v>
      </c>
    </row>
    <row r="551" ht="15.75" customHeight="1">
      <c r="A551" s="2" t="s">
        <v>432</v>
      </c>
      <c r="B551" s="2" t="s">
        <v>431</v>
      </c>
      <c r="C551" s="33" t="s">
        <v>32</v>
      </c>
      <c r="G551" s="2">
        <v>3608.33</v>
      </c>
      <c r="L551" s="2">
        <v>3608.33</v>
      </c>
      <c r="M551" s="2" t="s">
        <v>433</v>
      </c>
      <c r="N551" s="2" t="s">
        <v>434</v>
      </c>
      <c r="O551" s="2">
        <v>2.0</v>
      </c>
      <c r="P551" s="2" t="s">
        <v>432</v>
      </c>
    </row>
    <row r="552" ht="15.75" customHeight="1">
      <c r="A552" s="4" t="s">
        <v>430</v>
      </c>
      <c r="B552" s="2" t="s">
        <v>435</v>
      </c>
      <c r="C552" s="33" t="s">
        <v>32</v>
      </c>
      <c r="G552" s="2">
        <v>53535.0</v>
      </c>
      <c r="L552" s="2">
        <v>53535.0</v>
      </c>
      <c r="M552" s="2" t="s">
        <v>436</v>
      </c>
      <c r="N552" s="2" t="s">
        <v>434</v>
      </c>
      <c r="O552" s="2">
        <v>79.0</v>
      </c>
      <c r="P552" s="2" t="s">
        <v>432</v>
      </c>
    </row>
    <row r="553" ht="15.75" customHeight="1">
      <c r="A553" s="31" t="s">
        <v>385</v>
      </c>
      <c r="B553" s="2" t="s">
        <v>437</v>
      </c>
      <c r="C553" s="33" t="s">
        <v>32</v>
      </c>
      <c r="G553" s="2">
        <v>5700.83</v>
      </c>
      <c r="L553" s="2">
        <v>5700.83</v>
      </c>
      <c r="M553" s="2" t="s">
        <v>438</v>
      </c>
      <c r="N553" s="2" t="s">
        <v>434</v>
      </c>
      <c r="O553" s="2">
        <v>148.0</v>
      </c>
      <c r="P553" s="2" t="s">
        <v>432</v>
      </c>
    </row>
    <row r="554" ht="15.75" customHeight="1">
      <c r="A554" s="31" t="s">
        <v>403</v>
      </c>
      <c r="B554" s="2" t="s">
        <v>439</v>
      </c>
      <c r="C554" s="33" t="s">
        <v>32</v>
      </c>
      <c r="G554" s="2">
        <v>585.56</v>
      </c>
      <c r="L554" s="2">
        <v>585.56</v>
      </c>
      <c r="M554" s="2" t="s">
        <v>360</v>
      </c>
      <c r="N554" s="2" t="s">
        <v>361</v>
      </c>
      <c r="O554" s="2">
        <v>262.0</v>
      </c>
      <c r="P554" s="2" t="s">
        <v>372</v>
      </c>
    </row>
    <row r="555" ht="15.75" customHeight="1">
      <c r="A555" s="31" t="s">
        <v>365</v>
      </c>
      <c r="B555" s="2" t="s">
        <v>439</v>
      </c>
      <c r="C555" s="6" t="s">
        <v>32</v>
      </c>
      <c r="D555" s="6" t="s">
        <v>56</v>
      </c>
      <c r="G555" s="2">
        <v>1227.1</v>
      </c>
      <c r="L555" s="2">
        <v>1227.1</v>
      </c>
      <c r="M555" s="2" t="s">
        <v>360</v>
      </c>
      <c r="N555" s="2" t="s">
        <v>361</v>
      </c>
      <c r="O555" s="2">
        <v>276.0</v>
      </c>
      <c r="P555" s="2" t="s">
        <v>372</v>
      </c>
    </row>
    <row r="556" ht="15.75" customHeight="1">
      <c r="A556" s="31" t="s">
        <v>365</v>
      </c>
      <c r="B556" s="2" t="s">
        <v>439</v>
      </c>
      <c r="C556" s="6" t="s">
        <v>32</v>
      </c>
      <c r="D556" s="6" t="s">
        <v>56</v>
      </c>
      <c r="G556" s="2">
        <v>4275.0</v>
      </c>
      <c r="L556" s="2">
        <v>4275.0</v>
      </c>
      <c r="M556" s="2" t="s">
        <v>360</v>
      </c>
      <c r="N556" s="2" t="s">
        <v>361</v>
      </c>
      <c r="O556" s="2">
        <v>276.0</v>
      </c>
      <c r="P556" s="2" t="s">
        <v>372</v>
      </c>
    </row>
    <row r="557" ht="15.75" customHeight="1">
      <c r="A557" s="31" t="s">
        <v>365</v>
      </c>
      <c r="B557" s="2" t="s">
        <v>440</v>
      </c>
      <c r="C557" s="6" t="s">
        <v>32</v>
      </c>
      <c r="D557" s="6" t="s">
        <v>56</v>
      </c>
      <c r="G557" s="2">
        <v>18254.66</v>
      </c>
      <c r="L557" s="2">
        <v>18254.66</v>
      </c>
      <c r="M557" s="2" t="s">
        <v>360</v>
      </c>
      <c r="N557" s="2" t="s">
        <v>361</v>
      </c>
      <c r="O557" s="2">
        <v>276.0</v>
      </c>
      <c r="P557" s="2" t="s">
        <v>372</v>
      </c>
    </row>
    <row r="558" ht="15.75" customHeight="1">
      <c r="A558" s="2" t="s">
        <v>372</v>
      </c>
      <c r="B558" s="2" t="s">
        <v>440</v>
      </c>
      <c r="C558" s="6" t="s">
        <v>32</v>
      </c>
      <c r="D558" s="6" t="s">
        <v>193</v>
      </c>
      <c r="G558" s="2">
        <v>4500.0</v>
      </c>
      <c r="L558" s="2">
        <v>4500.0</v>
      </c>
      <c r="M558" s="2" t="s">
        <v>360</v>
      </c>
      <c r="N558" s="2" t="s">
        <v>361</v>
      </c>
      <c r="O558" s="2">
        <v>276.0</v>
      </c>
      <c r="P558" s="2" t="s">
        <v>372</v>
      </c>
    </row>
    <row r="559" ht="15.75" customHeight="1">
      <c r="A559" s="2" t="s">
        <v>372</v>
      </c>
      <c r="B559" s="2" t="s">
        <v>441</v>
      </c>
      <c r="C559" s="6" t="s">
        <v>32</v>
      </c>
      <c r="D559" s="6" t="s">
        <v>193</v>
      </c>
      <c r="G559" s="2">
        <v>3190.0</v>
      </c>
      <c r="L559" s="2">
        <v>3190.0</v>
      </c>
      <c r="M559" s="2" t="s">
        <v>360</v>
      </c>
      <c r="N559" s="2" t="s">
        <v>361</v>
      </c>
      <c r="O559" s="2">
        <v>276.0</v>
      </c>
      <c r="P559" s="2" t="s">
        <v>372</v>
      </c>
    </row>
    <row r="560" ht="15.75" customHeight="1">
      <c r="A560" s="2" t="s">
        <v>372</v>
      </c>
      <c r="B560" s="2" t="s">
        <v>442</v>
      </c>
      <c r="C560" s="6" t="s">
        <v>32</v>
      </c>
      <c r="D560" s="6" t="s">
        <v>103</v>
      </c>
      <c r="G560" s="2">
        <v>3864.0</v>
      </c>
      <c r="L560" s="2">
        <v>3864.0</v>
      </c>
      <c r="M560" s="2" t="s">
        <v>360</v>
      </c>
      <c r="N560" s="2" t="s">
        <v>361</v>
      </c>
      <c r="O560" s="2">
        <v>276.0</v>
      </c>
      <c r="P560" s="2" t="s">
        <v>372</v>
      </c>
    </row>
    <row r="561" ht="15.75" customHeight="1">
      <c r="A561" s="2" t="s">
        <v>372</v>
      </c>
      <c r="B561" s="2" t="s">
        <v>442</v>
      </c>
      <c r="C561" s="6" t="s">
        <v>32</v>
      </c>
      <c r="D561" s="32" t="s">
        <v>56</v>
      </c>
      <c r="G561" s="35">
        <v>2681.992444</v>
      </c>
      <c r="L561" s="2">
        <v>-5233.75</v>
      </c>
      <c r="M561" s="2" t="s">
        <v>360</v>
      </c>
      <c r="N561" s="2" t="s">
        <v>361</v>
      </c>
      <c r="O561" s="2">
        <v>281.0</v>
      </c>
      <c r="P561" s="2" t="s">
        <v>372</v>
      </c>
    </row>
    <row r="562" ht="15.75" customHeight="1">
      <c r="A562" s="2" t="s">
        <v>372</v>
      </c>
      <c r="B562" s="2" t="s">
        <v>442</v>
      </c>
      <c r="C562" s="6" t="s">
        <v>32</v>
      </c>
      <c r="D562" s="32" t="s">
        <v>103</v>
      </c>
      <c r="G562" s="35">
        <v>191.5708889</v>
      </c>
      <c r="L562" s="2">
        <v>-3274.32</v>
      </c>
      <c r="M562" s="2" t="s">
        <v>360</v>
      </c>
      <c r="N562" s="2" t="s">
        <v>361</v>
      </c>
      <c r="O562" s="2">
        <v>281.0</v>
      </c>
      <c r="P562" s="2" t="s">
        <v>372</v>
      </c>
    </row>
    <row r="563" ht="15.75" customHeight="1">
      <c r="A563" s="2" t="s">
        <v>372</v>
      </c>
      <c r="B563" s="2" t="s">
        <v>442</v>
      </c>
      <c r="C563" s="6" t="s">
        <v>21</v>
      </c>
      <c r="D563" s="32" t="s">
        <v>22</v>
      </c>
      <c r="G563" s="35">
        <v>3639.846889</v>
      </c>
      <c r="L563" s="2">
        <v>8508.07</v>
      </c>
      <c r="M563" s="2" t="s">
        <v>360</v>
      </c>
      <c r="N563" s="2" t="s">
        <v>361</v>
      </c>
      <c r="O563" s="2">
        <v>281.0</v>
      </c>
      <c r="P563" s="2" t="s">
        <v>372</v>
      </c>
    </row>
    <row r="564" ht="15.75" customHeight="1">
      <c r="A564" s="2" t="s">
        <v>372</v>
      </c>
      <c r="B564" s="2" t="s">
        <v>443</v>
      </c>
      <c r="C564" s="6" t="s">
        <v>32</v>
      </c>
      <c r="D564" s="32" t="s">
        <v>193</v>
      </c>
      <c r="G564" s="35">
        <v>510.8557037</v>
      </c>
      <c r="L564" s="2">
        <v>8620.69</v>
      </c>
      <c r="M564" s="2" t="s">
        <v>360</v>
      </c>
      <c r="N564" s="2" t="s">
        <v>361</v>
      </c>
      <c r="O564" s="2">
        <v>281.0</v>
      </c>
      <c r="P564" s="2" t="s">
        <v>372</v>
      </c>
    </row>
    <row r="565" ht="15.75" customHeight="1">
      <c r="A565" s="31" t="s">
        <v>368</v>
      </c>
      <c r="B565" s="2" t="s">
        <v>444</v>
      </c>
      <c r="C565" s="6" t="s">
        <v>445</v>
      </c>
      <c r="D565" s="6" t="s">
        <v>446</v>
      </c>
      <c r="G565" s="2">
        <v>46093.1</v>
      </c>
      <c r="L565" s="2">
        <v>46093.1</v>
      </c>
      <c r="M565" s="2" t="s">
        <v>360</v>
      </c>
      <c r="N565" s="2" t="s">
        <v>361</v>
      </c>
      <c r="O565" s="2">
        <v>282.0</v>
      </c>
      <c r="P565" s="2" t="s">
        <v>372</v>
      </c>
    </row>
    <row r="566" ht="15.75" customHeight="1">
      <c r="A566" s="2" t="s">
        <v>368</v>
      </c>
      <c r="B566" s="2" t="s">
        <v>447</v>
      </c>
      <c r="C566" s="2" t="s">
        <v>32</v>
      </c>
      <c r="G566" s="2">
        <v>7067.24</v>
      </c>
      <c r="L566" s="2">
        <v>7067.24</v>
      </c>
      <c r="M566" s="2" t="s">
        <v>448</v>
      </c>
      <c r="N566" s="2" t="s">
        <v>434</v>
      </c>
      <c r="O566" s="2">
        <v>106.0</v>
      </c>
      <c r="P566" s="2" t="s">
        <v>372</v>
      </c>
    </row>
    <row r="567" ht="15.75" customHeight="1">
      <c r="A567" s="2" t="s">
        <v>368</v>
      </c>
      <c r="B567" s="2" t="s">
        <v>447</v>
      </c>
      <c r="C567" s="2" t="s">
        <v>32</v>
      </c>
      <c r="G567" s="2">
        <v>3052.96</v>
      </c>
      <c r="L567" s="2">
        <v>3052.96</v>
      </c>
      <c r="M567" s="2" t="s">
        <v>449</v>
      </c>
      <c r="N567" s="2" t="s">
        <v>434</v>
      </c>
      <c r="O567" s="2">
        <v>220.0</v>
      </c>
      <c r="P567" s="2" t="s">
        <v>372</v>
      </c>
    </row>
    <row r="568" ht="15.75" customHeight="1">
      <c r="A568" s="2" t="s">
        <v>368</v>
      </c>
      <c r="B568" s="2" t="s">
        <v>447</v>
      </c>
      <c r="C568" s="2" t="s">
        <v>32</v>
      </c>
      <c r="G568" s="2">
        <v>14460.38</v>
      </c>
      <c r="L568" s="2">
        <v>14460.38</v>
      </c>
      <c r="M568" s="2" t="s">
        <v>449</v>
      </c>
      <c r="N568" s="2" t="s">
        <v>434</v>
      </c>
      <c r="O568" s="2">
        <v>235.0</v>
      </c>
      <c r="P568" s="2" t="s">
        <v>372</v>
      </c>
    </row>
    <row r="569" ht="15.75" customHeight="1">
      <c r="A569" s="2" t="s">
        <v>368</v>
      </c>
      <c r="B569" s="2" t="s">
        <v>447</v>
      </c>
      <c r="C569" s="2" t="s">
        <v>32</v>
      </c>
      <c r="G569" s="2">
        <v>28237.34</v>
      </c>
      <c r="L569" s="2">
        <v>28237.34</v>
      </c>
      <c r="M569" s="2" t="s">
        <v>449</v>
      </c>
      <c r="N569" s="2" t="s">
        <v>434</v>
      </c>
      <c r="O569" s="2">
        <v>236.0</v>
      </c>
      <c r="P569" s="2" t="s">
        <v>372</v>
      </c>
    </row>
    <row r="570" ht="15.75" customHeight="1">
      <c r="A570" s="2" t="s">
        <v>368</v>
      </c>
      <c r="B570" s="2" t="s">
        <v>447</v>
      </c>
      <c r="C570" s="2" t="s">
        <v>32</v>
      </c>
      <c r="G570" s="2">
        <v>6454.65</v>
      </c>
      <c r="L570" s="2">
        <v>6454.65</v>
      </c>
      <c r="M570" s="2" t="s">
        <v>450</v>
      </c>
      <c r="N570" s="2" t="s">
        <v>434</v>
      </c>
      <c r="O570" s="2">
        <v>237.0</v>
      </c>
      <c r="P570" s="2" t="s">
        <v>372</v>
      </c>
    </row>
    <row r="571" ht="15.75" customHeight="1">
      <c r="A571" s="2" t="s">
        <v>368</v>
      </c>
      <c r="B571" s="2" t="s">
        <v>451</v>
      </c>
      <c r="C571" s="2" t="s">
        <v>32</v>
      </c>
      <c r="G571" s="2">
        <v>2422.94</v>
      </c>
      <c r="L571" s="2">
        <v>2422.94</v>
      </c>
      <c r="M571" s="2" t="s">
        <v>450</v>
      </c>
      <c r="N571" s="2" t="s">
        <v>434</v>
      </c>
      <c r="O571" s="2">
        <v>238.0</v>
      </c>
      <c r="P571" s="2" t="s">
        <v>372</v>
      </c>
    </row>
    <row r="572" ht="15.75" customHeight="1">
      <c r="A572" s="2" t="s">
        <v>368</v>
      </c>
      <c r="B572" s="2" t="s">
        <v>452</v>
      </c>
      <c r="C572" s="2" t="s">
        <v>32</v>
      </c>
      <c r="G572" s="2">
        <v>86195.46</v>
      </c>
      <c r="L572" s="2">
        <v>86195.46</v>
      </c>
      <c r="M572" s="2" t="s">
        <v>453</v>
      </c>
      <c r="N572" s="2" t="s">
        <v>434</v>
      </c>
      <c r="O572" s="2">
        <v>241.0</v>
      </c>
      <c r="P572" s="2" t="s">
        <v>372</v>
      </c>
    </row>
    <row r="573" ht="15.75" customHeight="1">
      <c r="A573" s="31" t="s">
        <v>454</v>
      </c>
      <c r="B573" s="2" t="s">
        <v>455</v>
      </c>
      <c r="C573" s="6" t="s">
        <v>21</v>
      </c>
      <c r="D573" s="6" t="s">
        <v>22</v>
      </c>
      <c r="G573" s="2">
        <v>2478.51</v>
      </c>
      <c r="L573" s="2">
        <v>2478.51</v>
      </c>
      <c r="M573" s="2" t="s">
        <v>453</v>
      </c>
      <c r="N573" s="2" t="s">
        <v>434</v>
      </c>
      <c r="O573" s="2">
        <v>252.0</v>
      </c>
      <c r="P573" s="2" t="s">
        <v>372</v>
      </c>
    </row>
    <row r="574" ht="15.75" customHeight="1">
      <c r="A574" s="2" t="s">
        <v>454</v>
      </c>
      <c r="B574" s="2" t="s">
        <v>456</v>
      </c>
      <c r="C574" s="2" t="s">
        <v>21</v>
      </c>
      <c r="G574" s="2">
        <v>32000.0</v>
      </c>
      <c r="L574" s="2">
        <v>32000.0</v>
      </c>
      <c r="M574" s="2" t="s">
        <v>360</v>
      </c>
      <c r="N574" s="2" t="s">
        <v>361</v>
      </c>
      <c r="O574" s="2">
        <v>292.0</v>
      </c>
      <c r="P574" s="2" t="s">
        <v>457</v>
      </c>
    </row>
    <row r="575" ht="15.75" customHeight="1">
      <c r="A575" s="2" t="s">
        <v>458</v>
      </c>
      <c r="B575" s="2" t="s">
        <v>459</v>
      </c>
      <c r="C575" s="6" t="s">
        <v>32</v>
      </c>
      <c r="G575" s="2">
        <v>6378.42</v>
      </c>
      <c r="L575" s="2">
        <v>6378.42</v>
      </c>
      <c r="M575" s="2" t="s">
        <v>360</v>
      </c>
      <c r="N575" s="2" t="s">
        <v>361</v>
      </c>
      <c r="O575" s="2">
        <v>269.0</v>
      </c>
      <c r="P575" s="2" t="s">
        <v>458</v>
      </c>
    </row>
    <row r="576" ht="15.75" customHeight="1">
      <c r="A576" s="2" t="s">
        <v>458</v>
      </c>
      <c r="B576" s="2" t="s">
        <v>459</v>
      </c>
      <c r="C576" s="6" t="s">
        <v>32</v>
      </c>
      <c r="G576" s="2">
        <v>4212.0</v>
      </c>
      <c r="L576" s="2">
        <v>4212.0</v>
      </c>
      <c r="M576" s="2" t="s">
        <v>360</v>
      </c>
      <c r="N576" s="2" t="s">
        <v>361</v>
      </c>
      <c r="O576" s="2">
        <v>294.0</v>
      </c>
      <c r="P576" s="2" t="s">
        <v>458</v>
      </c>
    </row>
    <row r="577" ht="15.75" customHeight="1">
      <c r="A577" s="31" t="s">
        <v>460</v>
      </c>
      <c r="B577" s="2" t="s">
        <v>461</v>
      </c>
      <c r="C577" s="31" t="s">
        <v>21</v>
      </c>
      <c r="D577" s="6" t="s">
        <v>22</v>
      </c>
      <c r="G577" s="2">
        <v>14762.0</v>
      </c>
      <c r="L577" s="2">
        <v>14762.0</v>
      </c>
      <c r="M577" s="2" t="s">
        <v>360</v>
      </c>
      <c r="N577" s="2" t="s">
        <v>361</v>
      </c>
      <c r="O577" s="2">
        <v>294.0</v>
      </c>
      <c r="P577" s="2" t="s">
        <v>458</v>
      </c>
    </row>
    <row r="578" ht="15.75" customHeight="1">
      <c r="A578" s="2" t="s">
        <v>460</v>
      </c>
      <c r="B578" s="2" t="s">
        <v>461</v>
      </c>
      <c r="C578" s="6" t="s">
        <v>21</v>
      </c>
      <c r="D578" s="6" t="s">
        <v>22</v>
      </c>
      <c r="G578" s="2">
        <v>583.4</v>
      </c>
      <c r="L578" s="2">
        <v>583.4</v>
      </c>
      <c r="M578" s="2" t="s">
        <v>360</v>
      </c>
      <c r="N578" s="2" t="s">
        <v>361</v>
      </c>
      <c r="O578" s="2">
        <v>294.0</v>
      </c>
      <c r="P578" s="2" t="s">
        <v>458</v>
      </c>
    </row>
    <row r="579" ht="15.75" customHeight="1">
      <c r="A579" s="2" t="s">
        <v>460</v>
      </c>
      <c r="B579" s="2" t="s">
        <v>455</v>
      </c>
      <c r="C579" s="6" t="s">
        <v>21</v>
      </c>
      <c r="D579" s="6" t="s">
        <v>22</v>
      </c>
      <c r="G579" s="2">
        <v>7029.5</v>
      </c>
      <c r="L579" s="2">
        <v>7029.5</v>
      </c>
      <c r="M579" s="2" t="s">
        <v>360</v>
      </c>
      <c r="N579" s="2" t="s">
        <v>361</v>
      </c>
      <c r="O579" s="2">
        <v>294.0</v>
      </c>
      <c r="P579" s="2" t="s">
        <v>458</v>
      </c>
    </row>
    <row r="580" ht="15.75" customHeight="1">
      <c r="A580" s="2" t="s">
        <v>454</v>
      </c>
      <c r="B580" s="2" t="s">
        <v>462</v>
      </c>
      <c r="C580" s="8" t="s">
        <v>68</v>
      </c>
      <c r="G580" s="2">
        <v>400.0</v>
      </c>
      <c r="L580" s="2">
        <v>400.0</v>
      </c>
      <c r="M580" s="2" t="s">
        <v>463</v>
      </c>
      <c r="N580" s="2" t="s">
        <v>434</v>
      </c>
      <c r="O580" s="2">
        <v>4.0</v>
      </c>
      <c r="P580" s="2" t="s">
        <v>464</v>
      </c>
    </row>
    <row r="581" ht="15.75" customHeight="1">
      <c r="A581" s="2" t="s">
        <v>368</v>
      </c>
      <c r="B581" s="2" t="s">
        <v>382</v>
      </c>
      <c r="C581" s="2" t="s">
        <v>32</v>
      </c>
      <c r="G581" s="2">
        <v>272.02</v>
      </c>
      <c r="L581" s="2">
        <v>272.02</v>
      </c>
      <c r="M581" s="2" t="s">
        <v>463</v>
      </c>
      <c r="N581" s="2" t="s">
        <v>434</v>
      </c>
      <c r="O581" s="2">
        <v>200.0</v>
      </c>
      <c r="P581" s="2" t="s">
        <v>464</v>
      </c>
    </row>
    <row r="582" ht="15.75" customHeight="1">
      <c r="A582" s="2" t="s">
        <v>368</v>
      </c>
      <c r="B582" s="2" t="s">
        <v>465</v>
      </c>
      <c r="C582" s="2" t="s">
        <v>32</v>
      </c>
      <c r="G582" s="2">
        <v>0.01</v>
      </c>
      <c r="L582" s="2">
        <v>0.01</v>
      </c>
      <c r="M582" s="2" t="s">
        <v>466</v>
      </c>
      <c r="N582" s="2" t="s">
        <v>434</v>
      </c>
      <c r="O582" s="2">
        <v>27.0</v>
      </c>
      <c r="P582" s="2" t="s">
        <v>464</v>
      </c>
    </row>
    <row r="583" ht="15.75" customHeight="1">
      <c r="A583" s="2" t="s">
        <v>390</v>
      </c>
      <c r="B583" s="2" t="s">
        <v>467</v>
      </c>
      <c r="C583" s="2" t="s">
        <v>21</v>
      </c>
      <c r="G583" s="2">
        <v>14252.68</v>
      </c>
      <c r="L583" s="2">
        <v>14252.68</v>
      </c>
      <c r="M583" s="2" t="s">
        <v>466</v>
      </c>
      <c r="N583" s="2" t="s">
        <v>434</v>
      </c>
      <c r="O583" s="2">
        <v>28.0</v>
      </c>
      <c r="P583" s="2" t="s">
        <v>464</v>
      </c>
    </row>
    <row r="584" ht="15.75" customHeight="1">
      <c r="A584" s="2" t="s">
        <v>468</v>
      </c>
      <c r="B584" s="2" t="s">
        <v>467</v>
      </c>
      <c r="C584" s="2" t="s">
        <v>469</v>
      </c>
      <c r="G584" s="2">
        <v>1849.04</v>
      </c>
      <c r="L584" s="2">
        <v>1849.04</v>
      </c>
      <c r="M584" s="2" t="s">
        <v>436</v>
      </c>
      <c r="N584" s="2" t="s">
        <v>434</v>
      </c>
      <c r="O584" s="2">
        <v>78.0</v>
      </c>
      <c r="P584" s="2" t="s">
        <v>464</v>
      </c>
    </row>
    <row r="585" ht="15.75" customHeight="1">
      <c r="A585" s="2" t="s">
        <v>468</v>
      </c>
      <c r="B585" s="2" t="s">
        <v>451</v>
      </c>
      <c r="C585" s="2" t="s">
        <v>469</v>
      </c>
      <c r="G585" s="2">
        <v>428.0</v>
      </c>
      <c r="L585" s="2">
        <v>428.0</v>
      </c>
      <c r="M585" s="2" t="s">
        <v>470</v>
      </c>
      <c r="N585" s="2" t="s">
        <v>434</v>
      </c>
      <c r="O585" s="2">
        <v>95.0</v>
      </c>
      <c r="P585" s="2" t="s">
        <v>464</v>
      </c>
    </row>
    <row r="586" ht="15.75" customHeight="1">
      <c r="A586" s="2" t="s">
        <v>368</v>
      </c>
      <c r="B586" s="2" t="s">
        <v>467</v>
      </c>
      <c r="C586" s="2" t="s">
        <v>32</v>
      </c>
      <c r="G586" s="2">
        <v>1256.54</v>
      </c>
      <c r="L586" s="2">
        <v>1256.54</v>
      </c>
      <c r="M586" s="2" t="s">
        <v>449</v>
      </c>
      <c r="N586" s="2" t="s">
        <v>434</v>
      </c>
      <c r="O586" s="2">
        <v>234.0</v>
      </c>
      <c r="P586" s="2" t="s">
        <v>464</v>
      </c>
    </row>
    <row r="587" ht="15.75" customHeight="1">
      <c r="A587" s="2" t="s">
        <v>468</v>
      </c>
      <c r="B587" s="2" t="s">
        <v>471</v>
      </c>
      <c r="C587" s="2" t="s">
        <v>469</v>
      </c>
      <c r="G587" s="2">
        <v>4958.17</v>
      </c>
      <c r="L587" s="2">
        <v>4958.17</v>
      </c>
      <c r="M587" s="2" t="s">
        <v>450</v>
      </c>
      <c r="N587" s="2" t="s">
        <v>434</v>
      </c>
      <c r="O587" s="2">
        <v>222.0</v>
      </c>
      <c r="P587" s="2" t="s">
        <v>464</v>
      </c>
    </row>
    <row r="588" ht="15.75" customHeight="1">
      <c r="A588" s="2" t="s">
        <v>368</v>
      </c>
      <c r="B588" s="2" t="s">
        <v>472</v>
      </c>
      <c r="C588" s="2" t="s">
        <v>32</v>
      </c>
      <c r="G588" s="2">
        <v>1121.46</v>
      </c>
      <c r="L588" s="2">
        <v>1121.46</v>
      </c>
      <c r="M588" s="2" t="s">
        <v>473</v>
      </c>
      <c r="N588" s="2" t="s">
        <v>434</v>
      </c>
      <c r="O588" s="2">
        <v>242.0</v>
      </c>
      <c r="P588" s="2" t="s">
        <v>464</v>
      </c>
    </row>
    <row r="589" ht="15.75" customHeight="1">
      <c r="A589" s="2" t="s">
        <v>474</v>
      </c>
      <c r="B589" s="2" t="s">
        <v>472</v>
      </c>
      <c r="C589" s="6" t="s">
        <v>21</v>
      </c>
      <c r="D589" s="6" t="s">
        <v>22</v>
      </c>
      <c r="G589" s="2">
        <v>1614.2</v>
      </c>
      <c r="L589" s="2">
        <v>1614.2</v>
      </c>
      <c r="M589" s="2" t="s">
        <v>360</v>
      </c>
      <c r="N589" s="2" t="s">
        <v>361</v>
      </c>
      <c r="O589" s="2">
        <v>285.0</v>
      </c>
      <c r="P589" s="2" t="s">
        <v>474</v>
      </c>
    </row>
    <row r="590" ht="15.75" customHeight="1">
      <c r="A590" s="2" t="s">
        <v>474</v>
      </c>
      <c r="B590" s="2" t="s">
        <v>472</v>
      </c>
      <c r="C590" s="6" t="s">
        <v>21</v>
      </c>
      <c r="D590" s="6" t="s">
        <v>22</v>
      </c>
      <c r="G590" s="2">
        <v>8686.68</v>
      </c>
      <c r="L590" s="2">
        <v>8686.68</v>
      </c>
      <c r="M590" s="2" t="s">
        <v>360</v>
      </c>
      <c r="N590" s="2" t="s">
        <v>361</v>
      </c>
      <c r="O590" s="2">
        <v>285.0</v>
      </c>
      <c r="P590" s="2" t="s">
        <v>474</v>
      </c>
    </row>
    <row r="591" ht="15.75" customHeight="1">
      <c r="A591" s="2" t="s">
        <v>474</v>
      </c>
      <c r="B591" s="2" t="s">
        <v>472</v>
      </c>
      <c r="C591" s="6" t="s">
        <v>21</v>
      </c>
      <c r="D591" s="6" t="s">
        <v>22</v>
      </c>
      <c r="G591" s="2">
        <v>12420.34</v>
      </c>
      <c r="L591" s="2">
        <v>12420.34</v>
      </c>
      <c r="M591" s="2" t="s">
        <v>360</v>
      </c>
      <c r="N591" s="2" t="s">
        <v>361</v>
      </c>
      <c r="O591" s="2">
        <v>285.0</v>
      </c>
      <c r="P591" s="2" t="s">
        <v>474</v>
      </c>
    </row>
    <row r="592" ht="15.75" customHeight="1">
      <c r="A592" s="2" t="s">
        <v>474</v>
      </c>
      <c r="B592" s="2" t="s">
        <v>472</v>
      </c>
      <c r="C592" s="6" t="s">
        <v>21</v>
      </c>
      <c r="D592" s="6" t="s">
        <v>22</v>
      </c>
      <c r="G592" s="2">
        <v>14372.07</v>
      </c>
      <c r="L592" s="2">
        <v>14372.07</v>
      </c>
      <c r="M592" s="2" t="s">
        <v>360</v>
      </c>
      <c r="N592" s="2" t="s">
        <v>361</v>
      </c>
      <c r="O592" s="2">
        <v>285.0</v>
      </c>
      <c r="P592" s="2" t="s">
        <v>474</v>
      </c>
    </row>
    <row r="593" ht="15.75" customHeight="1">
      <c r="A593" s="2" t="s">
        <v>474</v>
      </c>
      <c r="B593" s="2" t="s">
        <v>475</v>
      </c>
      <c r="C593" s="6" t="s">
        <v>21</v>
      </c>
      <c r="D593" s="6" t="s">
        <v>22</v>
      </c>
      <c r="G593" s="2">
        <v>15416.65</v>
      </c>
      <c r="L593" s="2">
        <v>15416.65</v>
      </c>
      <c r="M593" s="2" t="s">
        <v>360</v>
      </c>
      <c r="N593" s="2" t="s">
        <v>361</v>
      </c>
      <c r="O593" s="2">
        <v>285.0</v>
      </c>
      <c r="P593" s="2" t="s">
        <v>474</v>
      </c>
    </row>
    <row r="594" ht="15.75" customHeight="1">
      <c r="A594" s="2" t="s">
        <v>476</v>
      </c>
      <c r="B594" s="2" t="s">
        <v>477</v>
      </c>
      <c r="C594" s="2" t="s">
        <v>21</v>
      </c>
      <c r="D594" s="6" t="s">
        <v>22</v>
      </c>
      <c r="G594" s="2">
        <v>8000.0</v>
      </c>
      <c r="L594" s="2">
        <v>8000.0</v>
      </c>
      <c r="M594" s="2" t="s">
        <v>360</v>
      </c>
      <c r="N594" s="2" t="s">
        <v>361</v>
      </c>
      <c r="O594" s="2">
        <v>278.0</v>
      </c>
      <c r="P594" s="2" t="s">
        <v>476</v>
      </c>
    </row>
    <row r="595" ht="15.75" customHeight="1">
      <c r="A595" s="2" t="s">
        <v>476</v>
      </c>
      <c r="B595" s="2" t="s">
        <v>478</v>
      </c>
      <c r="C595" s="2" t="s">
        <v>21</v>
      </c>
      <c r="D595" s="6" t="s">
        <v>22</v>
      </c>
      <c r="G595" s="2">
        <v>24124.7</v>
      </c>
      <c r="L595" s="2">
        <v>24124.7</v>
      </c>
      <c r="M595" s="2" t="s">
        <v>360</v>
      </c>
      <c r="N595" s="2" t="s">
        <v>361</v>
      </c>
      <c r="O595" s="2">
        <v>278.0</v>
      </c>
      <c r="P595" s="2" t="s">
        <v>476</v>
      </c>
    </row>
    <row r="596" ht="15.75" customHeight="1">
      <c r="A596" s="2" t="s">
        <v>479</v>
      </c>
      <c r="B596" s="2" t="s">
        <v>480</v>
      </c>
      <c r="C596" s="6" t="s">
        <v>21</v>
      </c>
      <c r="D596" s="6" t="s">
        <v>22</v>
      </c>
      <c r="G596" s="2">
        <v>8208.0</v>
      </c>
      <c r="L596" s="2">
        <v>8208.0</v>
      </c>
      <c r="M596" s="2" t="s">
        <v>360</v>
      </c>
      <c r="N596" s="2" t="s">
        <v>361</v>
      </c>
      <c r="O596" s="2">
        <v>278.0</v>
      </c>
      <c r="P596" s="2" t="s">
        <v>476</v>
      </c>
    </row>
    <row r="597" ht="15.75" customHeight="1">
      <c r="A597" s="2" t="s">
        <v>481</v>
      </c>
      <c r="B597" s="2" t="s">
        <v>480</v>
      </c>
      <c r="C597" s="4" t="s">
        <v>21</v>
      </c>
      <c r="D597" s="6" t="s">
        <v>22</v>
      </c>
      <c r="G597" s="2">
        <v>689.66</v>
      </c>
      <c r="L597" s="2">
        <v>689.66</v>
      </c>
      <c r="M597" s="2" t="s">
        <v>360</v>
      </c>
      <c r="N597" s="2" t="s">
        <v>361</v>
      </c>
      <c r="O597" s="2">
        <v>278.0</v>
      </c>
      <c r="P597" s="2" t="s">
        <v>476</v>
      </c>
    </row>
    <row r="598" ht="15.75" customHeight="1">
      <c r="A598" s="2" t="s">
        <v>481</v>
      </c>
      <c r="B598" s="2" t="s">
        <v>480</v>
      </c>
      <c r="C598" s="4" t="s">
        <v>21</v>
      </c>
      <c r="D598" s="6" t="s">
        <v>22</v>
      </c>
      <c r="G598" s="2">
        <v>900.0</v>
      </c>
      <c r="L598" s="2">
        <v>900.0</v>
      </c>
      <c r="M598" s="2" t="s">
        <v>360</v>
      </c>
      <c r="N598" s="2" t="s">
        <v>361</v>
      </c>
      <c r="O598" s="2">
        <v>278.0</v>
      </c>
      <c r="P598" s="2" t="s">
        <v>476</v>
      </c>
    </row>
    <row r="599" ht="15.75" customHeight="1">
      <c r="A599" s="2" t="s">
        <v>481</v>
      </c>
      <c r="B599" s="2" t="s">
        <v>480</v>
      </c>
      <c r="C599" s="4" t="s">
        <v>21</v>
      </c>
      <c r="D599" s="6" t="s">
        <v>22</v>
      </c>
      <c r="G599" s="2">
        <v>1000.0</v>
      </c>
      <c r="L599" s="2">
        <v>1000.0</v>
      </c>
      <c r="M599" s="2" t="s">
        <v>360</v>
      </c>
      <c r="N599" s="2" t="s">
        <v>361</v>
      </c>
      <c r="O599" s="2">
        <v>278.0</v>
      </c>
      <c r="P599" s="2" t="s">
        <v>476</v>
      </c>
    </row>
    <row r="600" ht="15.75" customHeight="1">
      <c r="A600" s="2" t="s">
        <v>481</v>
      </c>
      <c r="B600" s="2" t="s">
        <v>482</v>
      </c>
      <c r="C600" s="4" t="s">
        <v>21</v>
      </c>
      <c r="D600" s="6" t="s">
        <v>22</v>
      </c>
      <c r="G600" s="2">
        <v>1000.0</v>
      </c>
      <c r="L600" s="2">
        <v>1000.0</v>
      </c>
      <c r="M600" s="2" t="s">
        <v>360</v>
      </c>
      <c r="N600" s="2" t="s">
        <v>361</v>
      </c>
      <c r="O600" s="2">
        <v>278.0</v>
      </c>
      <c r="P600" s="2" t="s">
        <v>476</v>
      </c>
    </row>
    <row r="601" ht="15.75" customHeight="1">
      <c r="A601" s="2" t="s">
        <v>476</v>
      </c>
      <c r="B601" s="2" t="s">
        <v>482</v>
      </c>
      <c r="C601" s="2" t="s">
        <v>21</v>
      </c>
      <c r="D601" s="6" t="s">
        <v>22</v>
      </c>
      <c r="G601" s="2">
        <v>14000.0</v>
      </c>
      <c r="L601" s="2">
        <v>14000.0</v>
      </c>
      <c r="M601" s="2" t="s">
        <v>360</v>
      </c>
      <c r="N601" s="2" t="s">
        <v>361</v>
      </c>
      <c r="O601" s="2">
        <v>278.0</v>
      </c>
      <c r="P601" s="2" t="s">
        <v>476</v>
      </c>
    </row>
    <row r="602" ht="15.75" customHeight="1">
      <c r="A602" s="2" t="s">
        <v>476</v>
      </c>
      <c r="B602" s="2" t="s">
        <v>483</v>
      </c>
      <c r="C602" s="2" t="s">
        <v>21</v>
      </c>
      <c r="D602" s="6" t="s">
        <v>22</v>
      </c>
      <c r="G602" s="2">
        <v>18500.0</v>
      </c>
      <c r="L602" s="2">
        <v>18500.0</v>
      </c>
      <c r="M602" s="2" t="s">
        <v>360</v>
      </c>
      <c r="N602" s="2" t="s">
        <v>361</v>
      </c>
      <c r="O602" s="2">
        <v>278.0</v>
      </c>
      <c r="P602" s="2" t="s">
        <v>476</v>
      </c>
    </row>
    <row r="603" ht="15.75" customHeight="1">
      <c r="A603" s="2" t="s">
        <v>479</v>
      </c>
      <c r="B603" s="2" t="s">
        <v>483</v>
      </c>
      <c r="C603" s="6" t="s">
        <v>32</v>
      </c>
      <c r="D603" s="6" t="s">
        <v>56</v>
      </c>
      <c r="G603" s="2">
        <v>14595.06</v>
      </c>
      <c r="L603" s="2">
        <v>14595.06</v>
      </c>
      <c r="M603" s="2" t="s">
        <v>360</v>
      </c>
      <c r="N603" s="2" t="s">
        <v>361</v>
      </c>
      <c r="O603" s="2">
        <v>278.0</v>
      </c>
      <c r="P603" s="2" t="s">
        <v>476</v>
      </c>
    </row>
    <row r="604" ht="15.75" customHeight="1">
      <c r="A604" s="2" t="s">
        <v>479</v>
      </c>
      <c r="B604" s="2" t="s">
        <v>484</v>
      </c>
      <c r="C604" s="6" t="s">
        <v>21</v>
      </c>
      <c r="D604" s="6" t="s">
        <v>22</v>
      </c>
      <c r="G604" s="2">
        <v>14595.06</v>
      </c>
      <c r="L604" s="2">
        <v>14595.06</v>
      </c>
      <c r="M604" s="2" t="s">
        <v>360</v>
      </c>
      <c r="N604" s="2" t="s">
        <v>361</v>
      </c>
      <c r="O604" s="2">
        <v>278.0</v>
      </c>
      <c r="P604" s="2" t="s">
        <v>476</v>
      </c>
    </row>
    <row r="605" ht="15.75" customHeight="1">
      <c r="A605" s="2" t="s">
        <v>476</v>
      </c>
      <c r="B605" s="2" t="s">
        <v>484</v>
      </c>
      <c r="C605" s="2" t="s">
        <v>21</v>
      </c>
      <c r="D605" s="6" t="s">
        <v>22</v>
      </c>
      <c r="G605" s="2">
        <v>3097.23</v>
      </c>
      <c r="L605" s="2">
        <v>3097.23</v>
      </c>
      <c r="M605" s="2" t="s">
        <v>360</v>
      </c>
      <c r="N605" s="2" t="s">
        <v>361</v>
      </c>
      <c r="O605" s="2">
        <v>278.0</v>
      </c>
      <c r="P605" s="2" t="s">
        <v>476</v>
      </c>
    </row>
    <row r="606" ht="15.75" customHeight="1">
      <c r="A606" s="2" t="s">
        <v>476</v>
      </c>
      <c r="B606" s="2" t="s">
        <v>484</v>
      </c>
      <c r="C606" s="2" t="s">
        <v>21</v>
      </c>
      <c r="D606" s="6" t="s">
        <v>22</v>
      </c>
      <c r="G606" s="2">
        <v>4386.83</v>
      </c>
      <c r="L606" s="2">
        <v>4386.83</v>
      </c>
      <c r="M606" s="2" t="s">
        <v>360</v>
      </c>
      <c r="N606" s="2" t="s">
        <v>361</v>
      </c>
      <c r="O606" s="2">
        <v>278.0</v>
      </c>
      <c r="P606" s="2" t="s">
        <v>476</v>
      </c>
    </row>
    <row r="607" ht="15.75" customHeight="1">
      <c r="A607" s="2" t="s">
        <v>476</v>
      </c>
      <c r="B607" s="2" t="s">
        <v>485</v>
      </c>
      <c r="C607" s="2" t="s">
        <v>21</v>
      </c>
      <c r="D607" s="6" t="s">
        <v>22</v>
      </c>
      <c r="G607" s="2">
        <v>6000.0</v>
      </c>
      <c r="L607" s="2">
        <v>6000.0</v>
      </c>
      <c r="M607" s="2" t="s">
        <v>360</v>
      </c>
      <c r="N607" s="2" t="s">
        <v>361</v>
      </c>
      <c r="O607" s="2">
        <v>278.0</v>
      </c>
      <c r="P607" s="2" t="s">
        <v>476</v>
      </c>
    </row>
    <row r="608" ht="15.75" customHeight="1">
      <c r="A608" s="2" t="s">
        <v>476</v>
      </c>
      <c r="B608" s="2" t="s">
        <v>486</v>
      </c>
      <c r="C608" s="2" t="s">
        <v>21</v>
      </c>
      <c r="D608" s="6" t="s">
        <v>22</v>
      </c>
      <c r="G608" s="2">
        <v>6500.0</v>
      </c>
      <c r="L608" s="2">
        <v>6500.0</v>
      </c>
      <c r="M608" s="2" t="s">
        <v>360</v>
      </c>
      <c r="N608" s="2" t="s">
        <v>361</v>
      </c>
      <c r="O608" s="2">
        <v>278.0</v>
      </c>
      <c r="P608" s="2" t="s">
        <v>476</v>
      </c>
    </row>
    <row r="609" ht="15.75" customHeight="1">
      <c r="A609" s="2" t="s">
        <v>476</v>
      </c>
      <c r="B609" s="2" t="s">
        <v>487</v>
      </c>
      <c r="C609" s="2" t="s">
        <v>21</v>
      </c>
      <c r="D609" s="6" t="s">
        <v>22</v>
      </c>
      <c r="G609" s="2">
        <v>18000.0</v>
      </c>
      <c r="L609" s="2">
        <v>18000.0</v>
      </c>
      <c r="M609" s="2" t="s">
        <v>360</v>
      </c>
      <c r="N609" s="2" t="s">
        <v>361</v>
      </c>
      <c r="O609" s="2">
        <v>278.0</v>
      </c>
      <c r="P609" s="2" t="s">
        <v>476</v>
      </c>
    </row>
    <row r="610" ht="15.75" customHeight="1">
      <c r="A610" s="2" t="s">
        <v>476</v>
      </c>
      <c r="B610" s="2" t="s">
        <v>488</v>
      </c>
      <c r="C610" s="2" t="s">
        <v>21</v>
      </c>
      <c r="D610" s="6" t="s">
        <v>22</v>
      </c>
      <c r="G610" s="2">
        <v>13200.0</v>
      </c>
      <c r="L610" s="2">
        <v>13200.0</v>
      </c>
      <c r="M610" s="2" t="s">
        <v>360</v>
      </c>
      <c r="N610" s="2" t="s">
        <v>361</v>
      </c>
      <c r="O610" s="2">
        <v>278.0</v>
      </c>
      <c r="P610" s="2" t="s">
        <v>476</v>
      </c>
    </row>
    <row r="611" ht="15.75" customHeight="1">
      <c r="A611" s="2" t="s">
        <v>476</v>
      </c>
      <c r="B611" s="2" t="s">
        <v>488</v>
      </c>
      <c r="C611" s="2" t="s">
        <v>21</v>
      </c>
      <c r="D611" s="6" t="s">
        <v>22</v>
      </c>
      <c r="G611" s="2">
        <v>3500.0</v>
      </c>
      <c r="L611" s="2">
        <v>3500.0</v>
      </c>
      <c r="M611" s="2" t="s">
        <v>360</v>
      </c>
      <c r="N611" s="2" t="s">
        <v>361</v>
      </c>
      <c r="O611" s="2">
        <v>278.0</v>
      </c>
      <c r="P611" s="2" t="s">
        <v>476</v>
      </c>
    </row>
    <row r="612" ht="15.75" customHeight="1">
      <c r="A612" s="2" t="s">
        <v>476</v>
      </c>
      <c r="B612" s="2" t="s">
        <v>488</v>
      </c>
      <c r="C612" s="2" t="s">
        <v>21</v>
      </c>
      <c r="D612" s="6" t="s">
        <v>22</v>
      </c>
      <c r="G612" s="2">
        <v>7000.0</v>
      </c>
      <c r="L612" s="2">
        <v>7000.0</v>
      </c>
      <c r="M612" s="2" t="s">
        <v>360</v>
      </c>
      <c r="N612" s="2" t="s">
        <v>361</v>
      </c>
      <c r="O612" s="2">
        <v>278.0</v>
      </c>
      <c r="P612" s="2" t="s">
        <v>476</v>
      </c>
    </row>
    <row r="613" ht="15.75" customHeight="1">
      <c r="A613" s="2" t="s">
        <v>476</v>
      </c>
      <c r="B613" s="2" t="s">
        <v>489</v>
      </c>
      <c r="C613" s="2" t="s">
        <v>21</v>
      </c>
      <c r="D613" s="6" t="s">
        <v>22</v>
      </c>
      <c r="G613" s="2">
        <v>25250.0</v>
      </c>
      <c r="L613" s="2">
        <v>25250.0</v>
      </c>
      <c r="M613" s="2" t="s">
        <v>360</v>
      </c>
      <c r="N613" s="2" t="s">
        <v>361</v>
      </c>
      <c r="O613" s="2">
        <v>278.0</v>
      </c>
      <c r="P613" s="2" t="s">
        <v>476</v>
      </c>
    </row>
    <row r="614" ht="15.75" customHeight="1">
      <c r="A614" s="2" t="s">
        <v>490</v>
      </c>
      <c r="B614" s="2" t="s">
        <v>489</v>
      </c>
      <c r="C614" s="6" t="s">
        <v>21</v>
      </c>
      <c r="D614" s="6" t="s">
        <v>22</v>
      </c>
      <c r="G614" s="2">
        <v>446.09</v>
      </c>
      <c r="L614" s="2">
        <v>446.09</v>
      </c>
      <c r="M614" s="2" t="s">
        <v>360</v>
      </c>
      <c r="N614" s="2" t="s">
        <v>361</v>
      </c>
      <c r="O614" s="2">
        <v>278.0</v>
      </c>
      <c r="P614" s="2" t="s">
        <v>476</v>
      </c>
    </row>
    <row r="615" ht="15.75" customHeight="1">
      <c r="A615" s="2" t="s">
        <v>490</v>
      </c>
      <c r="B615" s="2" t="s">
        <v>491</v>
      </c>
      <c r="C615" s="6" t="s">
        <v>21</v>
      </c>
      <c r="D615" s="6" t="s">
        <v>22</v>
      </c>
      <c r="G615" s="2">
        <v>446.09</v>
      </c>
      <c r="L615" s="2">
        <v>446.09</v>
      </c>
      <c r="M615" s="2" t="s">
        <v>360</v>
      </c>
      <c r="N615" s="2" t="s">
        <v>361</v>
      </c>
      <c r="O615" s="2">
        <v>278.0</v>
      </c>
      <c r="P615" s="2" t="s">
        <v>476</v>
      </c>
    </row>
    <row r="616" ht="15.75" customHeight="1">
      <c r="A616" s="2" t="s">
        <v>476</v>
      </c>
      <c r="B616" s="2" t="s">
        <v>492</v>
      </c>
      <c r="C616" s="2" t="s">
        <v>21</v>
      </c>
      <c r="D616" s="6" t="s">
        <v>22</v>
      </c>
      <c r="G616" s="2">
        <v>1011.71</v>
      </c>
      <c r="L616" s="2">
        <v>1011.71</v>
      </c>
      <c r="M616" s="2" t="s">
        <v>360</v>
      </c>
      <c r="N616" s="2" t="s">
        <v>361</v>
      </c>
      <c r="O616" s="2">
        <v>278.0</v>
      </c>
      <c r="P616" s="2" t="s">
        <v>476</v>
      </c>
    </row>
    <row r="617" ht="15.75" customHeight="1">
      <c r="A617" s="2" t="s">
        <v>476</v>
      </c>
      <c r="B617" s="2" t="s">
        <v>492</v>
      </c>
      <c r="C617" s="2" t="s">
        <v>21</v>
      </c>
      <c r="D617" s="6" t="s">
        <v>22</v>
      </c>
      <c r="G617" s="2">
        <v>6500.0</v>
      </c>
      <c r="L617" s="2">
        <v>6500.0</v>
      </c>
      <c r="M617" s="2" t="s">
        <v>360</v>
      </c>
      <c r="N617" s="2" t="s">
        <v>361</v>
      </c>
      <c r="O617" s="2">
        <v>278.0</v>
      </c>
      <c r="P617" s="2" t="s">
        <v>476</v>
      </c>
    </row>
    <row r="618" ht="15.75" customHeight="1">
      <c r="A618" s="2" t="s">
        <v>476</v>
      </c>
      <c r="B618" s="2" t="s">
        <v>493</v>
      </c>
      <c r="C618" s="2" t="s">
        <v>21</v>
      </c>
      <c r="D618" s="6" t="s">
        <v>22</v>
      </c>
      <c r="G618" s="2">
        <v>40000.0</v>
      </c>
      <c r="L618" s="2">
        <v>40000.0</v>
      </c>
      <c r="M618" s="2" t="s">
        <v>360</v>
      </c>
      <c r="N618" s="2" t="s">
        <v>361</v>
      </c>
      <c r="O618" s="2">
        <v>278.0</v>
      </c>
      <c r="P618" s="2" t="s">
        <v>476</v>
      </c>
    </row>
    <row r="619" ht="15.75" customHeight="1">
      <c r="A619" s="2" t="s">
        <v>476</v>
      </c>
      <c r="B619" s="2" t="s">
        <v>494</v>
      </c>
      <c r="C619" s="2" t="s">
        <v>21</v>
      </c>
      <c r="D619" s="6" t="s">
        <v>22</v>
      </c>
      <c r="G619" s="2">
        <v>23500.0</v>
      </c>
      <c r="L619" s="2">
        <v>23500.0</v>
      </c>
      <c r="M619" s="2" t="s">
        <v>360</v>
      </c>
      <c r="N619" s="2" t="s">
        <v>361</v>
      </c>
      <c r="O619" s="2">
        <v>278.0</v>
      </c>
      <c r="P619" s="2" t="s">
        <v>476</v>
      </c>
    </row>
    <row r="620" ht="15.75" customHeight="1">
      <c r="A620" s="2" t="s">
        <v>481</v>
      </c>
      <c r="B620" s="2" t="s">
        <v>494</v>
      </c>
      <c r="C620" s="2" t="s">
        <v>32</v>
      </c>
      <c r="G620" s="2">
        <v>600.0</v>
      </c>
      <c r="L620" s="2">
        <v>600.0</v>
      </c>
      <c r="M620" s="2" t="s">
        <v>360</v>
      </c>
      <c r="N620" s="2" t="s">
        <v>361</v>
      </c>
      <c r="O620" s="2">
        <v>278.0</v>
      </c>
      <c r="P620" s="2" t="s">
        <v>476</v>
      </c>
    </row>
    <row r="621" ht="15.75" customHeight="1">
      <c r="A621" s="2" t="s">
        <v>481</v>
      </c>
      <c r="B621" s="2" t="s">
        <v>495</v>
      </c>
      <c r="C621" s="2" t="s">
        <v>32</v>
      </c>
      <c r="G621" s="2">
        <v>980.0</v>
      </c>
      <c r="L621" s="2">
        <v>980.0</v>
      </c>
      <c r="M621" s="2" t="s">
        <v>360</v>
      </c>
      <c r="N621" s="2" t="s">
        <v>361</v>
      </c>
      <c r="O621" s="2">
        <v>278.0</v>
      </c>
      <c r="P621" s="2" t="s">
        <v>476</v>
      </c>
    </row>
    <row r="622" ht="15.75" customHeight="1">
      <c r="A622" s="2" t="s">
        <v>476</v>
      </c>
      <c r="B622" s="2" t="s">
        <v>496</v>
      </c>
      <c r="C622" s="2" t="s">
        <v>21</v>
      </c>
      <c r="D622" s="6" t="s">
        <v>22</v>
      </c>
      <c r="G622" s="2">
        <v>23093.68</v>
      </c>
      <c r="L622" s="2">
        <v>23093.68</v>
      </c>
      <c r="M622" s="2" t="s">
        <v>360</v>
      </c>
      <c r="N622" s="2" t="s">
        <v>361</v>
      </c>
      <c r="O622" s="2">
        <v>278.0</v>
      </c>
      <c r="P622" s="2" t="s">
        <v>476</v>
      </c>
    </row>
    <row r="623" ht="15.75" customHeight="1">
      <c r="A623" s="2" t="s">
        <v>497</v>
      </c>
      <c r="B623" s="2" t="s">
        <v>498</v>
      </c>
      <c r="C623" s="6" t="s">
        <v>21</v>
      </c>
      <c r="D623" s="6" t="s">
        <v>22</v>
      </c>
      <c r="G623" s="2">
        <v>690.52</v>
      </c>
      <c r="L623" s="2">
        <v>690.52</v>
      </c>
      <c r="M623" s="2" t="s">
        <v>360</v>
      </c>
      <c r="N623" s="2" t="s">
        <v>361</v>
      </c>
      <c r="O623" s="2">
        <v>265.0</v>
      </c>
      <c r="P623" s="2" t="s">
        <v>497</v>
      </c>
    </row>
    <row r="624" ht="15.75" customHeight="1">
      <c r="A624" s="2" t="s">
        <v>365</v>
      </c>
      <c r="B624" s="2" t="s">
        <v>499</v>
      </c>
      <c r="C624" s="6" t="s">
        <v>32</v>
      </c>
      <c r="D624" s="6" t="s">
        <v>103</v>
      </c>
      <c r="G624" s="2">
        <v>314.69</v>
      </c>
      <c r="L624" s="2">
        <v>314.69</v>
      </c>
      <c r="M624" s="2" t="s">
        <v>360</v>
      </c>
      <c r="N624" s="2" t="s">
        <v>361</v>
      </c>
      <c r="O624" s="2">
        <v>289.0</v>
      </c>
      <c r="P624" s="2" t="s">
        <v>497</v>
      </c>
    </row>
    <row r="625" ht="15.75" customHeight="1">
      <c r="A625" s="2" t="s">
        <v>374</v>
      </c>
      <c r="B625" s="2" t="s">
        <v>500</v>
      </c>
      <c r="C625" s="6" t="s">
        <v>32</v>
      </c>
      <c r="D625" s="6" t="s">
        <v>48</v>
      </c>
      <c r="G625" s="2">
        <v>5500.0</v>
      </c>
      <c r="L625" s="2">
        <v>5500.0</v>
      </c>
      <c r="M625" s="2" t="s">
        <v>360</v>
      </c>
      <c r="N625" s="2" t="s">
        <v>361</v>
      </c>
      <c r="O625" s="2">
        <v>274.0</v>
      </c>
      <c r="P625" s="2" t="s">
        <v>374</v>
      </c>
    </row>
    <row r="626" ht="15.75" customHeight="1">
      <c r="A626" s="2" t="s">
        <v>374</v>
      </c>
      <c r="B626" s="2" t="s">
        <v>501</v>
      </c>
      <c r="C626" s="57" t="s">
        <v>32</v>
      </c>
      <c r="D626" s="58" t="s">
        <v>48</v>
      </c>
      <c r="G626" s="2">
        <v>2689.66</v>
      </c>
      <c r="L626" s="2">
        <v>2689.66</v>
      </c>
      <c r="M626" s="2" t="s">
        <v>360</v>
      </c>
      <c r="N626" s="2" t="s">
        <v>361</v>
      </c>
      <c r="O626" s="2">
        <v>274.0</v>
      </c>
      <c r="P626" s="2" t="s">
        <v>374</v>
      </c>
    </row>
    <row r="627" ht="15.75" customHeight="1">
      <c r="A627" s="2" t="s">
        <v>430</v>
      </c>
      <c r="B627" s="2" t="s">
        <v>502</v>
      </c>
      <c r="C627" s="29" t="s">
        <v>32</v>
      </c>
      <c r="D627" s="28"/>
      <c r="G627" s="2">
        <v>344.82</v>
      </c>
      <c r="L627" s="2">
        <v>344.82</v>
      </c>
      <c r="M627" s="2" t="s">
        <v>360</v>
      </c>
      <c r="N627" s="2" t="s">
        <v>361</v>
      </c>
      <c r="O627" s="2">
        <v>273.0</v>
      </c>
      <c r="P627" s="2" t="s">
        <v>430</v>
      </c>
    </row>
    <row r="628" ht="15.75" customHeight="1">
      <c r="A628" s="31" t="s">
        <v>403</v>
      </c>
      <c r="B628" s="2" t="s">
        <v>503</v>
      </c>
      <c r="C628" s="6" t="s">
        <v>32</v>
      </c>
      <c r="G628" s="2">
        <v>45000.0</v>
      </c>
      <c r="L628" s="2">
        <v>45000.0</v>
      </c>
      <c r="M628" s="2" t="s">
        <v>360</v>
      </c>
      <c r="N628" s="2" t="s">
        <v>361</v>
      </c>
      <c r="O628" s="2">
        <v>273.0</v>
      </c>
      <c r="P628" s="2" t="s">
        <v>430</v>
      </c>
    </row>
    <row r="629" ht="15.75" customHeight="1">
      <c r="A629" s="2" t="s">
        <v>504</v>
      </c>
      <c r="B629" s="2" t="s">
        <v>505</v>
      </c>
      <c r="G629" s="2">
        <v>-619202.69</v>
      </c>
      <c r="L629" s="2">
        <v>-619202.69</v>
      </c>
      <c r="M629" s="2" t="s">
        <v>506</v>
      </c>
      <c r="N629" s="2" t="s">
        <v>361</v>
      </c>
      <c r="O629" s="2">
        <v>303.0</v>
      </c>
      <c r="P629" s="2" t="s">
        <v>507</v>
      </c>
    </row>
    <row r="630" ht="15.75" customHeight="1">
      <c r="A630" s="2" t="s">
        <v>504</v>
      </c>
      <c r="B630" s="2" t="s">
        <v>505</v>
      </c>
      <c r="G630" s="2">
        <v>-33600.0</v>
      </c>
      <c r="L630" s="2">
        <v>-33600.0</v>
      </c>
      <c r="M630" s="2" t="s">
        <v>506</v>
      </c>
      <c r="N630" s="2" t="s">
        <v>361</v>
      </c>
      <c r="O630" s="2">
        <v>303.0</v>
      </c>
      <c r="P630" s="2" t="s">
        <v>507</v>
      </c>
    </row>
    <row r="631" ht="15.75" customHeight="1">
      <c r="A631" s="2" t="s">
        <v>479</v>
      </c>
      <c r="B631" s="2" t="s">
        <v>508</v>
      </c>
      <c r="C631" s="6" t="s">
        <v>32</v>
      </c>
      <c r="D631" s="33" t="s">
        <v>56</v>
      </c>
      <c r="G631" s="2">
        <v>67868.64</v>
      </c>
      <c r="L631" s="2">
        <v>67868.64</v>
      </c>
      <c r="M631" s="2" t="s">
        <v>360</v>
      </c>
      <c r="N631" s="2" t="s">
        <v>361</v>
      </c>
      <c r="O631" s="2">
        <v>267.0</v>
      </c>
      <c r="P631" s="2" t="s">
        <v>508</v>
      </c>
    </row>
    <row r="632" ht="22.5" customHeight="1">
      <c r="A632" s="2" t="s">
        <v>479</v>
      </c>
      <c r="B632" s="2" t="s">
        <v>399</v>
      </c>
      <c r="C632" s="6" t="s">
        <v>32</v>
      </c>
      <c r="D632" s="33" t="s">
        <v>56</v>
      </c>
      <c r="G632" s="2">
        <v>64130.0</v>
      </c>
      <c r="L632" s="2">
        <v>64130.0</v>
      </c>
      <c r="M632" s="2" t="s">
        <v>360</v>
      </c>
      <c r="N632" s="2" t="s">
        <v>361</v>
      </c>
      <c r="O632" s="2">
        <v>291.0</v>
      </c>
      <c r="P632" s="2" t="s">
        <v>508</v>
      </c>
    </row>
    <row r="633" ht="22.5" customHeight="1">
      <c r="A633" s="2" t="s">
        <v>509</v>
      </c>
      <c r="B633" s="2" t="s">
        <v>359</v>
      </c>
      <c r="G633" s="2">
        <v>6213.65</v>
      </c>
      <c r="L633" s="2">
        <v>6213.65</v>
      </c>
      <c r="M633" s="2" t="s">
        <v>360</v>
      </c>
      <c r="N633" s="2" t="s">
        <v>361</v>
      </c>
      <c r="O633" s="2">
        <v>502.0</v>
      </c>
      <c r="P633" s="2" t="s">
        <v>510</v>
      </c>
    </row>
    <row r="634" ht="22.5" customHeight="1">
      <c r="A634" s="31" t="s">
        <v>511</v>
      </c>
      <c r="B634" s="2" t="s">
        <v>359</v>
      </c>
      <c r="C634" s="6" t="s">
        <v>21</v>
      </c>
      <c r="D634" s="6" t="s">
        <v>22</v>
      </c>
      <c r="G634" s="2">
        <v>791.67</v>
      </c>
      <c r="L634" s="2">
        <v>791.67</v>
      </c>
      <c r="M634" s="2" t="s">
        <v>360</v>
      </c>
      <c r="N634" s="2" t="s">
        <v>361</v>
      </c>
      <c r="O634" s="2">
        <v>502.0</v>
      </c>
      <c r="P634" s="2" t="s">
        <v>511</v>
      </c>
    </row>
    <row r="635" ht="22.5" customHeight="1">
      <c r="A635" s="31" t="s">
        <v>512</v>
      </c>
      <c r="B635" s="2" t="s">
        <v>359</v>
      </c>
      <c r="C635" s="6" t="s">
        <v>32</v>
      </c>
      <c r="D635" s="32" t="s">
        <v>56</v>
      </c>
      <c r="G635" s="35">
        <v>2908.587111</v>
      </c>
      <c r="L635" s="2">
        <v>9349.03</v>
      </c>
      <c r="M635" s="2" t="s">
        <v>360</v>
      </c>
      <c r="N635" s="2" t="s">
        <v>361</v>
      </c>
      <c r="O635" s="2">
        <v>502.0</v>
      </c>
      <c r="P635" s="2" t="s">
        <v>513</v>
      </c>
    </row>
    <row r="636" ht="22.5" customHeight="1">
      <c r="A636" s="31" t="s">
        <v>512</v>
      </c>
      <c r="B636" s="2" t="s">
        <v>359</v>
      </c>
      <c r="C636" s="6" t="s">
        <v>32</v>
      </c>
      <c r="D636" s="32" t="s">
        <v>103</v>
      </c>
      <c r="G636" s="35">
        <v>207.7562222</v>
      </c>
      <c r="M636" s="2" t="s">
        <v>360</v>
      </c>
    </row>
    <row r="637" ht="22.5" customHeight="1">
      <c r="A637" s="31" t="s">
        <v>512</v>
      </c>
      <c r="B637" s="2" t="s">
        <v>359</v>
      </c>
      <c r="C637" s="6" t="s">
        <v>21</v>
      </c>
      <c r="D637" s="32" t="s">
        <v>22</v>
      </c>
      <c r="G637" s="35">
        <v>3947.368222</v>
      </c>
      <c r="M637" s="2" t="s">
        <v>360</v>
      </c>
    </row>
    <row r="638" ht="15.75" customHeight="1">
      <c r="A638" s="31" t="s">
        <v>512</v>
      </c>
      <c r="B638" s="2" t="s">
        <v>359</v>
      </c>
      <c r="C638" s="6" t="s">
        <v>32</v>
      </c>
      <c r="D638" s="32" t="s">
        <v>193</v>
      </c>
      <c r="G638" s="35">
        <v>554.0165926</v>
      </c>
      <c r="M638" s="2" t="s">
        <v>360</v>
      </c>
    </row>
    <row r="639" ht="15.75" customHeight="1">
      <c r="A639" s="31" t="s">
        <v>512</v>
      </c>
      <c r="B639" s="2" t="s">
        <v>359</v>
      </c>
      <c r="C639" s="6" t="s">
        <v>32</v>
      </c>
      <c r="D639" s="32" t="s">
        <v>39</v>
      </c>
      <c r="G639" s="35">
        <v>311.6343333</v>
      </c>
      <c r="M639" s="2" t="s">
        <v>360</v>
      </c>
    </row>
    <row r="640" ht="15.75" customHeight="1">
      <c r="A640" s="31" t="s">
        <v>512</v>
      </c>
      <c r="B640" s="2" t="s">
        <v>359</v>
      </c>
      <c r="C640" s="6" t="s">
        <v>32</v>
      </c>
      <c r="D640" s="32" t="s">
        <v>48</v>
      </c>
      <c r="G640" s="35">
        <v>1108.033185</v>
      </c>
      <c r="M640" s="2" t="s">
        <v>360</v>
      </c>
    </row>
    <row r="641" ht="15.75" customHeight="1">
      <c r="A641" s="31" t="s">
        <v>512</v>
      </c>
      <c r="B641" s="2" t="s">
        <v>359</v>
      </c>
      <c r="C641" s="6" t="s">
        <v>32</v>
      </c>
      <c r="D641" s="32" t="s">
        <v>118</v>
      </c>
      <c r="G641" s="35">
        <v>311.6343333</v>
      </c>
      <c r="M641" s="2" t="s">
        <v>360</v>
      </c>
    </row>
    <row r="642" ht="15.75" customHeight="1">
      <c r="A642" s="31" t="s">
        <v>356</v>
      </c>
      <c r="B642" s="31" t="s">
        <v>514</v>
      </c>
      <c r="C642" s="31" t="s">
        <v>68</v>
      </c>
      <c r="D642" s="31" t="s">
        <v>78</v>
      </c>
      <c r="E642" s="31"/>
      <c r="F642" s="31" t="s">
        <v>514</v>
      </c>
      <c r="G642" s="31">
        <v>1200.0</v>
      </c>
      <c r="H642" s="31"/>
      <c r="I642" s="31"/>
      <c r="J642" s="31"/>
      <c r="K642" s="31"/>
      <c r="L642" s="31"/>
      <c r="M642" s="31">
        <v>46082.0</v>
      </c>
      <c r="N642" s="31"/>
      <c r="O642" s="31"/>
      <c r="P642" s="31"/>
      <c r="Q642" s="31"/>
      <c r="R642" s="31"/>
      <c r="S642" s="31"/>
    </row>
    <row r="643" ht="15.75" customHeight="1">
      <c r="A643" s="31" t="s">
        <v>356</v>
      </c>
      <c r="B643" s="31"/>
      <c r="C643" s="31" t="s">
        <v>32</v>
      </c>
      <c r="D643" s="31" t="s">
        <v>118</v>
      </c>
      <c r="E643" s="31"/>
      <c r="F643" s="31"/>
      <c r="G643" s="31">
        <v>15357.2</v>
      </c>
      <c r="H643" s="31"/>
      <c r="I643" s="31"/>
      <c r="J643" s="31"/>
      <c r="K643" s="31"/>
      <c r="L643" s="31"/>
      <c r="M643" s="31">
        <v>46082.0</v>
      </c>
      <c r="N643" s="31"/>
      <c r="O643" s="31"/>
      <c r="P643" s="31"/>
      <c r="Q643" s="31"/>
      <c r="R643" s="31"/>
      <c r="S643" s="31"/>
    </row>
    <row r="644" ht="15.75" customHeight="1">
      <c r="A644" s="31" t="s">
        <v>515</v>
      </c>
      <c r="B644" s="31" t="s">
        <v>516</v>
      </c>
      <c r="C644" s="31" t="s">
        <v>21</v>
      </c>
      <c r="D644" s="31" t="s">
        <v>22</v>
      </c>
      <c r="E644" s="31"/>
      <c r="F644" s="31" t="s">
        <v>517</v>
      </c>
      <c r="G644" s="31">
        <v>101529.395</v>
      </c>
      <c r="H644" s="31"/>
      <c r="I644" s="31"/>
      <c r="J644" s="31"/>
      <c r="K644" s="31"/>
      <c r="L644" s="31"/>
      <c r="M644" s="31" t="s">
        <v>360</v>
      </c>
      <c r="N644" s="31"/>
      <c r="O644" s="31"/>
      <c r="P644" s="31"/>
      <c r="Q644" s="31"/>
      <c r="R644" s="31"/>
      <c r="S644" s="31"/>
    </row>
    <row r="645" ht="15.75" customHeight="1">
      <c r="A645" s="31" t="s">
        <v>515</v>
      </c>
      <c r="B645" s="31" t="s">
        <v>516</v>
      </c>
      <c r="C645" s="31" t="s">
        <v>32</v>
      </c>
      <c r="D645" s="31" t="s">
        <v>193</v>
      </c>
      <c r="E645" s="31"/>
      <c r="F645" s="31" t="s">
        <v>518</v>
      </c>
      <c r="G645" s="31">
        <v>101529.395</v>
      </c>
      <c r="H645" s="31"/>
      <c r="I645" s="31"/>
      <c r="J645" s="31"/>
      <c r="K645" s="31"/>
      <c r="L645" s="31"/>
      <c r="M645" s="31" t="s">
        <v>360</v>
      </c>
      <c r="N645" s="31"/>
      <c r="O645" s="31"/>
      <c r="P645" s="31"/>
      <c r="Q645" s="31"/>
      <c r="R645" s="31"/>
      <c r="S645" s="31"/>
    </row>
    <row r="646" ht="15.75" customHeight="1">
      <c r="A646" s="31" t="s">
        <v>412</v>
      </c>
      <c r="B646" s="31" t="s">
        <v>413</v>
      </c>
      <c r="C646" s="31" t="s">
        <v>32</v>
      </c>
      <c r="D646" s="31" t="s">
        <v>39</v>
      </c>
      <c r="E646" s="31"/>
      <c r="F646" s="31"/>
      <c r="G646" s="31">
        <v>87.51666667</v>
      </c>
      <c r="H646" s="31"/>
      <c r="I646" s="31"/>
      <c r="J646" s="31"/>
      <c r="K646" s="31"/>
      <c r="L646" s="31"/>
      <c r="M646" s="31" t="s">
        <v>360</v>
      </c>
      <c r="N646" s="31"/>
      <c r="O646" s="31"/>
      <c r="P646" s="31"/>
      <c r="Q646" s="31"/>
      <c r="R646" s="31"/>
      <c r="S646" s="31"/>
    </row>
    <row r="647" ht="15.75" customHeight="1">
      <c r="A647" s="31" t="s">
        <v>412</v>
      </c>
      <c r="B647" s="31" t="s">
        <v>411</v>
      </c>
      <c r="C647" s="31" t="s">
        <v>32</v>
      </c>
      <c r="D647" s="31" t="s">
        <v>48</v>
      </c>
      <c r="E647" s="31"/>
      <c r="F647" s="31"/>
      <c r="G647" s="31">
        <v>311.1703704</v>
      </c>
      <c r="H647" s="31"/>
      <c r="I647" s="31"/>
      <c r="J647" s="31"/>
      <c r="K647" s="31"/>
      <c r="L647" s="31"/>
      <c r="M647" s="31" t="s">
        <v>360</v>
      </c>
      <c r="N647" s="31"/>
      <c r="O647" s="31"/>
      <c r="P647" s="31"/>
      <c r="Q647" s="31"/>
      <c r="R647" s="31"/>
      <c r="S647" s="31"/>
    </row>
    <row r="648" ht="15.75" customHeight="1">
      <c r="A648" s="31" t="s">
        <v>412</v>
      </c>
      <c r="B648" s="31" t="s">
        <v>411</v>
      </c>
      <c r="C648" s="31" t="s">
        <v>32</v>
      </c>
      <c r="D648" s="31" t="s">
        <v>118</v>
      </c>
      <c r="E648" s="31"/>
      <c r="F648" s="31"/>
      <c r="G648" s="31">
        <v>87.51666667</v>
      </c>
      <c r="H648" s="31"/>
      <c r="I648" s="31"/>
      <c r="J648" s="31"/>
      <c r="K648" s="31"/>
      <c r="L648" s="31"/>
      <c r="M648" s="31" t="s">
        <v>360</v>
      </c>
      <c r="N648" s="31"/>
      <c r="O648" s="31"/>
      <c r="P648" s="31"/>
      <c r="Q648" s="31"/>
      <c r="R648" s="31"/>
      <c r="S648" s="31"/>
    </row>
    <row r="649" ht="15.75" customHeight="1">
      <c r="A649" s="31" t="s">
        <v>380</v>
      </c>
      <c r="B649" s="31" t="s">
        <v>389</v>
      </c>
      <c r="C649" s="31" t="s">
        <v>32</v>
      </c>
      <c r="D649" s="31" t="s">
        <v>118</v>
      </c>
      <c r="E649" s="31"/>
      <c r="F649" s="31"/>
      <c r="G649" s="31">
        <v>15600.0</v>
      </c>
      <c r="H649" s="31"/>
      <c r="I649" s="31"/>
      <c r="J649" s="31"/>
      <c r="K649" s="31"/>
      <c r="L649" s="31"/>
      <c r="M649" s="31" t="s">
        <v>360</v>
      </c>
      <c r="N649" s="31"/>
      <c r="O649" s="31"/>
      <c r="P649" s="31"/>
      <c r="Q649" s="31"/>
      <c r="R649" s="31"/>
      <c r="S649" s="31"/>
    </row>
    <row r="650" ht="15.75" customHeight="1">
      <c r="A650" s="31" t="s">
        <v>368</v>
      </c>
      <c r="B650" s="31" t="s">
        <v>462</v>
      </c>
      <c r="C650" s="31" t="s">
        <v>32</v>
      </c>
      <c r="D650" s="31"/>
      <c r="E650" s="31"/>
      <c r="F650" s="31"/>
      <c r="G650" s="31">
        <v>126798.61</v>
      </c>
      <c r="H650" s="31"/>
      <c r="I650" s="31"/>
      <c r="J650" s="31"/>
      <c r="K650" s="31"/>
      <c r="L650" s="31">
        <v>126798.61</v>
      </c>
      <c r="M650" s="31" t="s">
        <v>463</v>
      </c>
      <c r="N650" s="31" t="s">
        <v>434</v>
      </c>
      <c r="O650" s="31">
        <v>200.0</v>
      </c>
      <c r="P650" s="31" t="s">
        <v>519</v>
      </c>
      <c r="Q650" s="31"/>
      <c r="R650" s="31"/>
      <c r="S650" s="31"/>
    </row>
    <row r="651" ht="15.75" customHeight="1">
      <c r="A651" s="31" t="s">
        <v>520</v>
      </c>
      <c r="B651" s="31" t="s">
        <v>521</v>
      </c>
      <c r="C651" s="31" t="s">
        <v>68</v>
      </c>
      <c r="D651" s="31" t="s">
        <v>446</v>
      </c>
      <c r="E651" s="31"/>
      <c r="F651" s="31"/>
      <c r="G651" s="31">
        <v>5557.72</v>
      </c>
      <c r="H651" s="31"/>
      <c r="I651" s="31"/>
      <c r="J651" s="31"/>
      <c r="K651" s="31"/>
      <c r="L651" s="31">
        <v>5557.72</v>
      </c>
      <c r="M651" s="31" t="s">
        <v>360</v>
      </c>
      <c r="N651" s="31" t="s">
        <v>434</v>
      </c>
      <c r="O651" s="31">
        <v>300.0</v>
      </c>
      <c r="P651" s="31" t="s">
        <v>522</v>
      </c>
      <c r="Q651" s="31"/>
      <c r="R651" s="31"/>
      <c r="S651" s="31"/>
    </row>
    <row r="652" ht="15.75" customHeight="1">
      <c r="A652" s="31" t="s">
        <v>523</v>
      </c>
      <c r="B652" s="31" t="s">
        <v>359</v>
      </c>
      <c r="C652" s="31"/>
      <c r="D652" s="31"/>
      <c r="E652" s="31"/>
      <c r="F652" s="31"/>
      <c r="G652" s="31">
        <v>5539.44</v>
      </c>
      <c r="H652" s="31"/>
      <c r="I652" s="31"/>
      <c r="J652" s="31"/>
      <c r="K652" s="31"/>
      <c r="L652" s="31">
        <v>5539.44</v>
      </c>
      <c r="M652" s="31" t="s">
        <v>360</v>
      </c>
      <c r="N652" s="31" t="s">
        <v>361</v>
      </c>
      <c r="O652" s="31">
        <v>502.0</v>
      </c>
      <c r="P652" s="31" t="s">
        <v>524</v>
      </c>
      <c r="Q652" s="31"/>
      <c r="R652" s="31"/>
      <c r="S652" s="31"/>
    </row>
    <row r="653" ht="22.5" customHeight="1">
      <c r="A653" s="31" t="s">
        <v>523</v>
      </c>
      <c r="B653" s="31" t="s">
        <v>359</v>
      </c>
      <c r="C653" s="31"/>
      <c r="D653" s="31"/>
      <c r="E653" s="31"/>
      <c r="F653" s="31"/>
      <c r="G653" s="31">
        <v>5828.89</v>
      </c>
      <c r="H653" s="31"/>
      <c r="I653" s="31"/>
      <c r="J653" s="31"/>
      <c r="K653" s="31"/>
      <c r="L653" s="31">
        <v>5828.89</v>
      </c>
      <c r="M653" s="31" t="s">
        <v>360</v>
      </c>
      <c r="N653" s="31" t="s">
        <v>361</v>
      </c>
      <c r="O653" s="31">
        <v>502.0</v>
      </c>
      <c r="P653" s="31" t="s">
        <v>525</v>
      </c>
      <c r="Q653" s="31"/>
      <c r="R653" s="31"/>
      <c r="S653" s="31"/>
    </row>
    <row r="654" ht="22.5" customHeight="1">
      <c r="A654" s="31" t="s">
        <v>356</v>
      </c>
      <c r="B654" s="31" t="s">
        <v>526</v>
      </c>
      <c r="C654" s="31" t="s">
        <v>32</v>
      </c>
      <c r="D654" s="31" t="s">
        <v>48</v>
      </c>
      <c r="E654" s="31"/>
      <c r="F654" s="31" t="s">
        <v>526</v>
      </c>
      <c r="G654" s="31">
        <v>213.95</v>
      </c>
      <c r="H654" s="31"/>
      <c r="I654" s="31"/>
      <c r="J654" s="31"/>
      <c r="K654" s="31"/>
      <c r="L654" s="31"/>
      <c r="M654" s="31">
        <v>46082.0</v>
      </c>
      <c r="N654" s="31"/>
      <c r="O654" s="31"/>
      <c r="P654" s="31"/>
      <c r="Q654" s="31"/>
      <c r="R654" s="31"/>
      <c r="S654" s="31"/>
    </row>
    <row r="655" ht="22.5" customHeight="1">
      <c r="A655" s="2" t="s">
        <v>356</v>
      </c>
      <c r="B655" s="59" t="s">
        <v>527</v>
      </c>
      <c r="C655" s="60" t="s">
        <v>68</v>
      </c>
      <c r="D655" s="38" t="s">
        <v>166</v>
      </c>
      <c r="E655" s="25"/>
      <c r="F655" s="59" t="s">
        <v>527</v>
      </c>
      <c r="G655" s="61">
        <v>17314.97</v>
      </c>
      <c r="H655" s="28"/>
      <c r="I655" s="28"/>
      <c r="J655" s="28"/>
      <c r="K655" s="28"/>
      <c r="L655" s="29"/>
      <c r="M655" s="30">
        <v>46082.0</v>
      </c>
      <c r="N655" s="29"/>
      <c r="O655" s="29"/>
      <c r="P655" s="29"/>
      <c r="Q655" s="28"/>
      <c r="R655" s="28"/>
      <c r="S655" s="28"/>
    </row>
    <row r="656" ht="22.5" customHeight="1">
      <c r="A656" s="31" t="s">
        <v>356</v>
      </c>
      <c r="B656" s="31" t="s">
        <v>71</v>
      </c>
      <c r="C656" s="31" t="s">
        <v>68</v>
      </c>
      <c r="D656" s="31" t="s">
        <v>72</v>
      </c>
      <c r="E656" s="31"/>
      <c r="F656" s="31" t="s">
        <v>71</v>
      </c>
      <c r="G656" s="31">
        <v>10000.0</v>
      </c>
      <c r="H656" s="31"/>
      <c r="I656" s="31"/>
      <c r="J656" s="31"/>
      <c r="K656" s="31"/>
      <c r="L656" s="31"/>
      <c r="M656" s="31">
        <v>46082.0</v>
      </c>
      <c r="N656" s="31"/>
      <c r="O656" s="31"/>
      <c r="P656" s="31"/>
      <c r="Q656" s="31"/>
      <c r="R656" s="31"/>
      <c r="S656" s="31"/>
    </row>
    <row r="657" ht="22.5" customHeight="1">
      <c r="A657" s="31" t="s">
        <v>356</v>
      </c>
      <c r="B657" s="31" t="s">
        <v>528</v>
      </c>
      <c r="C657" s="31" t="s">
        <v>21</v>
      </c>
      <c r="D657" s="31" t="s">
        <v>56</v>
      </c>
      <c r="E657" s="31"/>
      <c r="F657" s="31" t="s">
        <v>528</v>
      </c>
      <c r="G657" s="31">
        <v>18699.28</v>
      </c>
      <c r="H657" s="31"/>
      <c r="I657" s="31"/>
      <c r="J657" s="31"/>
      <c r="K657" s="31"/>
      <c r="L657" s="31"/>
      <c r="M657" s="31">
        <v>46082.0</v>
      </c>
      <c r="N657" s="31"/>
      <c r="O657" s="31"/>
      <c r="P657" s="31"/>
      <c r="Q657" s="31"/>
      <c r="R657" s="31"/>
      <c r="S657" s="31"/>
    </row>
    <row r="658" ht="22.5" customHeight="1">
      <c r="A658" s="2" t="s">
        <v>356</v>
      </c>
      <c r="B658" s="62"/>
      <c r="C658" s="23" t="s">
        <v>32</v>
      </c>
      <c r="D658" s="24" t="s">
        <v>103</v>
      </c>
      <c r="E658" s="25"/>
      <c r="F658" s="63"/>
      <c r="G658" s="51">
        <v>19902.05</v>
      </c>
      <c r="H658" s="28"/>
      <c r="I658" s="28"/>
      <c r="J658" s="28"/>
      <c r="K658" s="28"/>
      <c r="L658" s="29"/>
      <c r="M658" s="30">
        <v>46082.0</v>
      </c>
      <c r="N658" s="29"/>
      <c r="O658" s="29"/>
      <c r="P658" s="29"/>
      <c r="Q658" s="28"/>
      <c r="R658" s="28"/>
      <c r="S658" s="28"/>
    </row>
    <row r="659" ht="22.5" customHeight="1">
      <c r="A659" s="31" t="s">
        <v>356</v>
      </c>
      <c r="B659" s="31" t="s">
        <v>529</v>
      </c>
      <c r="C659" s="31" t="s">
        <v>21</v>
      </c>
      <c r="D659" s="31" t="s">
        <v>56</v>
      </c>
      <c r="E659" s="31"/>
      <c r="F659" s="31" t="s">
        <v>529</v>
      </c>
      <c r="G659" s="31">
        <v>3192.01</v>
      </c>
      <c r="H659" s="31"/>
      <c r="I659" s="31"/>
      <c r="J659" s="31"/>
      <c r="K659" s="31"/>
      <c r="L659" s="31"/>
      <c r="M659" s="31">
        <v>46082.0</v>
      </c>
      <c r="N659" s="31"/>
      <c r="O659" s="31"/>
      <c r="P659" s="31"/>
      <c r="Q659" s="31"/>
      <c r="R659" s="31"/>
      <c r="S659" s="31"/>
    </row>
    <row r="660" ht="22.5" customHeight="1">
      <c r="A660" s="2" t="s">
        <v>356</v>
      </c>
      <c r="B660" s="37" t="s">
        <v>530</v>
      </c>
      <c r="C660" s="37" t="s">
        <v>21</v>
      </c>
      <c r="D660" s="38" t="s">
        <v>56</v>
      </c>
      <c r="E660" s="25"/>
      <c r="F660" s="38" t="s">
        <v>530</v>
      </c>
      <c r="G660" s="46">
        <v>197713.73</v>
      </c>
      <c r="H660" s="28"/>
      <c r="I660" s="28"/>
      <c r="J660" s="28"/>
      <c r="K660" s="28"/>
      <c r="L660" s="29"/>
      <c r="M660" s="30">
        <v>46082.0</v>
      </c>
      <c r="N660" s="29"/>
      <c r="O660" s="29"/>
      <c r="P660" s="29"/>
      <c r="Q660" s="28"/>
      <c r="R660" s="28"/>
      <c r="S660" s="28"/>
    </row>
    <row r="661" ht="22.5" customHeight="1">
      <c r="A661" s="2"/>
      <c r="B661" s="64"/>
      <c r="C661" s="64"/>
      <c r="D661" s="65"/>
      <c r="E661" s="25"/>
      <c r="F661" s="65"/>
      <c r="G661" s="66"/>
      <c r="H661" s="28"/>
      <c r="I661" s="28"/>
      <c r="J661" s="28"/>
      <c r="K661" s="28"/>
      <c r="L661" s="29"/>
      <c r="M661" s="30"/>
      <c r="N661" s="29"/>
      <c r="O661" s="29"/>
      <c r="P661" s="29"/>
      <c r="Q661" s="28"/>
      <c r="R661" s="28"/>
      <c r="S661" s="28"/>
    </row>
    <row r="662" ht="15.75" customHeight="1">
      <c r="A662" s="2"/>
      <c r="B662" s="64"/>
      <c r="C662" s="64"/>
      <c r="D662" s="65"/>
      <c r="E662" s="25"/>
      <c r="F662" s="65"/>
      <c r="G662" s="66"/>
      <c r="H662" s="28"/>
      <c r="I662" s="28"/>
      <c r="J662" s="28"/>
      <c r="K662" s="28"/>
      <c r="L662" s="29"/>
      <c r="M662" s="30"/>
      <c r="N662" s="29"/>
      <c r="O662" s="29"/>
      <c r="P662" s="29"/>
      <c r="Q662" s="28"/>
      <c r="R662" s="28"/>
      <c r="S662" s="28"/>
    </row>
    <row r="663" ht="15.75" customHeight="1">
      <c r="A663" s="2"/>
      <c r="B663" s="64"/>
      <c r="C663" s="64"/>
      <c r="D663" s="65"/>
      <c r="E663" s="25"/>
      <c r="F663" s="65"/>
      <c r="G663" s="66"/>
      <c r="H663" s="28"/>
      <c r="I663" s="28"/>
      <c r="J663" s="28"/>
      <c r="K663" s="28"/>
      <c r="L663" s="29"/>
      <c r="M663" s="30"/>
      <c r="N663" s="29"/>
      <c r="O663" s="29"/>
      <c r="P663" s="29"/>
      <c r="Q663" s="28"/>
      <c r="R663" s="28"/>
      <c r="S663" s="28"/>
    </row>
    <row r="664" ht="15.75" customHeight="1">
      <c r="A664" s="2"/>
      <c r="B664" s="64"/>
      <c r="C664" s="64"/>
      <c r="D664" s="65"/>
      <c r="E664" s="25"/>
      <c r="F664" s="65"/>
      <c r="G664" s="66"/>
      <c r="H664" s="28"/>
      <c r="I664" s="28"/>
      <c r="J664" s="28"/>
      <c r="K664" s="28"/>
      <c r="L664" s="29"/>
      <c r="M664" s="30"/>
      <c r="N664" s="29"/>
      <c r="O664" s="29"/>
      <c r="P664" s="29"/>
      <c r="Q664" s="28"/>
      <c r="R664" s="28"/>
      <c r="S664" s="28"/>
    </row>
    <row r="665" ht="15.75" customHeight="1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</row>
    <row r="666" ht="15.75" customHeight="1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</row>
    <row r="667" ht="15.75" customHeight="1">
      <c r="A667" s="67" t="s">
        <v>358</v>
      </c>
      <c r="B667" s="68" t="s">
        <v>359</v>
      </c>
      <c r="C667" s="69" t="s">
        <v>32</v>
      </c>
      <c r="D667" s="70" t="s">
        <v>103</v>
      </c>
      <c r="G667" s="69">
        <v>726.4037778</v>
      </c>
      <c r="M667" s="68" t="s">
        <v>360</v>
      </c>
    </row>
    <row r="668" ht="15.75" customHeight="1">
      <c r="A668" s="67" t="s">
        <v>358</v>
      </c>
      <c r="B668" s="68" t="s">
        <v>359</v>
      </c>
      <c r="C668" s="69" t="s">
        <v>32</v>
      </c>
      <c r="D668" s="70" t="s">
        <v>22</v>
      </c>
      <c r="G668" s="69">
        <v>13801.67178</v>
      </c>
      <c r="M668" s="68" t="s">
        <v>360</v>
      </c>
    </row>
    <row r="669" ht="15.75" customHeight="1">
      <c r="A669" s="67" t="s">
        <v>358</v>
      </c>
      <c r="B669" s="68" t="s">
        <v>359</v>
      </c>
      <c r="C669" s="69" t="s">
        <v>32</v>
      </c>
      <c r="D669" s="70" t="s">
        <v>193</v>
      </c>
      <c r="G669" s="69">
        <v>1937.076741</v>
      </c>
      <c r="M669" s="68" t="s">
        <v>360</v>
      </c>
    </row>
    <row r="670" ht="15.75" customHeight="1">
      <c r="A670" s="67" t="s">
        <v>358</v>
      </c>
      <c r="B670" s="68" t="s">
        <v>359</v>
      </c>
      <c r="C670" s="69" t="s">
        <v>32</v>
      </c>
      <c r="D670" s="70" t="s">
        <v>39</v>
      </c>
      <c r="G670" s="69">
        <v>1089.605667</v>
      </c>
      <c r="M670" s="68" t="s">
        <v>360</v>
      </c>
    </row>
    <row r="671" ht="15.75" customHeight="1">
      <c r="A671" s="67" t="s">
        <v>358</v>
      </c>
      <c r="B671" s="68" t="s">
        <v>359</v>
      </c>
      <c r="C671" s="69" t="s">
        <v>32</v>
      </c>
      <c r="D671" s="70" t="s">
        <v>48</v>
      </c>
      <c r="G671" s="69">
        <v>3874.153481</v>
      </c>
      <c r="M671" s="68" t="s">
        <v>360</v>
      </c>
    </row>
    <row r="672" ht="15.75" customHeight="1">
      <c r="A672" s="67" t="s">
        <v>358</v>
      </c>
      <c r="B672" s="68" t="s">
        <v>359</v>
      </c>
      <c r="C672" s="69" t="s">
        <v>32</v>
      </c>
      <c r="D672" s="70" t="s">
        <v>118</v>
      </c>
      <c r="G672" s="69">
        <v>1089.605667</v>
      </c>
      <c r="M672" s="68" t="s">
        <v>360</v>
      </c>
    </row>
    <row r="673" ht="15.75" customHeight="1">
      <c r="A673" s="68" t="s">
        <v>531</v>
      </c>
      <c r="B673" s="68" t="s">
        <v>532</v>
      </c>
      <c r="C673" s="68" t="s">
        <v>469</v>
      </c>
      <c r="D673" s="69" t="s">
        <v>72</v>
      </c>
      <c r="G673" s="68">
        <v>3700.28</v>
      </c>
      <c r="L673" s="68">
        <v>3700.28</v>
      </c>
      <c r="M673" s="68" t="s">
        <v>466</v>
      </c>
      <c r="N673" s="68" t="s">
        <v>434</v>
      </c>
      <c r="O673" s="68">
        <v>202.0</v>
      </c>
      <c r="P673" s="68" t="s">
        <v>533</v>
      </c>
    </row>
    <row r="674" ht="15.75" customHeight="1">
      <c r="A674" s="68" t="s">
        <v>531</v>
      </c>
      <c r="B674" s="68" t="s">
        <v>534</v>
      </c>
      <c r="C674" s="68" t="s">
        <v>469</v>
      </c>
      <c r="G674" s="68">
        <v>524.48</v>
      </c>
      <c r="L674" s="68">
        <v>524.48</v>
      </c>
      <c r="M674" s="68" t="s">
        <v>450</v>
      </c>
      <c r="N674" s="68" t="s">
        <v>434</v>
      </c>
      <c r="O674" s="68">
        <v>240.0</v>
      </c>
      <c r="P674" s="68" t="s">
        <v>533</v>
      </c>
    </row>
    <row r="675" ht="15.75" customHeight="1">
      <c r="A675" s="68" t="s">
        <v>531</v>
      </c>
      <c r="B675" s="68" t="s">
        <v>535</v>
      </c>
      <c r="C675" s="68" t="s">
        <v>469</v>
      </c>
      <c r="G675" s="68">
        <v>9948.99</v>
      </c>
      <c r="L675" s="68">
        <v>9948.99</v>
      </c>
      <c r="M675" s="68" t="s">
        <v>450</v>
      </c>
      <c r="N675" s="68" t="s">
        <v>361</v>
      </c>
      <c r="O675" s="68">
        <v>400.0</v>
      </c>
      <c r="P675" s="68" t="s">
        <v>533</v>
      </c>
    </row>
    <row r="676" ht="15.75" customHeight="1">
      <c r="A676" s="68" t="s">
        <v>531</v>
      </c>
      <c r="B676" s="68" t="s">
        <v>536</v>
      </c>
      <c r="C676" s="68" t="s">
        <v>469</v>
      </c>
      <c r="G676" s="68">
        <v>400.0</v>
      </c>
      <c r="L676" s="68">
        <v>400.0</v>
      </c>
      <c r="M676" s="68" t="s">
        <v>473</v>
      </c>
      <c r="N676" s="68" t="s">
        <v>434</v>
      </c>
      <c r="O676" s="68">
        <v>243.0</v>
      </c>
      <c r="P676" s="68" t="s">
        <v>533</v>
      </c>
    </row>
    <row r="677" ht="15.75" customHeight="1">
      <c r="A677" s="68" t="s">
        <v>531</v>
      </c>
      <c r="B677" s="68" t="s">
        <v>537</v>
      </c>
      <c r="C677" s="68" t="s">
        <v>469</v>
      </c>
      <c r="G677" s="68">
        <v>256.55</v>
      </c>
      <c r="L677" s="68">
        <v>256.55</v>
      </c>
      <c r="M677" s="68" t="s">
        <v>506</v>
      </c>
      <c r="N677" s="68" t="s">
        <v>434</v>
      </c>
      <c r="O677" s="68">
        <v>246.0</v>
      </c>
      <c r="P677" s="68" t="s">
        <v>533</v>
      </c>
    </row>
    <row r="678" ht="15.75" customHeight="1">
      <c r="A678" s="68" t="s">
        <v>531</v>
      </c>
      <c r="B678" s="68" t="s">
        <v>538</v>
      </c>
      <c r="C678" s="68" t="s">
        <v>469</v>
      </c>
      <c r="G678" s="68">
        <v>620.0</v>
      </c>
      <c r="L678" s="68">
        <v>620.0</v>
      </c>
      <c r="M678" s="68" t="s">
        <v>506</v>
      </c>
      <c r="N678" s="68" t="s">
        <v>434</v>
      </c>
      <c r="O678" s="68">
        <v>247.0</v>
      </c>
      <c r="P678" s="68" t="s">
        <v>533</v>
      </c>
    </row>
    <row r="679" ht="15.75" customHeight="1">
      <c r="A679" s="68" t="s">
        <v>392</v>
      </c>
      <c r="B679" s="68" t="s">
        <v>539</v>
      </c>
      <c r="C679" s="68" t="s">
        <v>21</v>
      </c>
      <c r="G679" s="68">
        <v>858.75</v>
      </c>
      <c r="L679" s="68">
        <v>858.75</v>
      </c>
      <c r="M679" s="68" t="s">
        <v>360</v>
      </c>
      <c r="N679" s="68" t="s">
        <v>361</v>
      </c>
      <c r="O679" s="68">
        <v>295.0</v>
      </c>
      <c r="P679" s="68" t="s">
        <v>540</v>
      </c>
    </row>
    <row r="680" ht="15.75" customHeight="1">
      <c r="A680" s="68" t="s">
        <v>392</v>
      </c>
      <c r="B680" s="68" t="s">
        <v>539</v>
      </c>
      <c r="C680" s="68" t="s">
        <v>21</v>
      </c>
      <c r="G680" s="68">
        <v>858.75</v>
      </c>
      <c r="L680" s="68">
        <v>858.75</v>
      </c>
      <c r="M680" s="68" t="s">
        <v>360</v>
      </c>
      <c r="N680" s="68" t="s">
        <v>361</v>
      </c>
      <c r="O680" s="68">
        <v>295.0</v>
      </c>
      <c r="P680" s="68" t="s">
        <v>540</v>
      </c>
    </row>
    <row r="681" ht="15.75" customHeight="1">
      <c r="A681" s="68" t="s">
        <v>392</v>
      </c>
      <c r="B681" s="68" t="s">
        <v>539</v>
      </c>
      <c r="C681" s="68" t="s">
        <v>21</v>
      </c>
      <c r="G681" s="68">
        <v>1202.25</v>
      </c>
      <c r="L681" s="68">
        <v>1202.25</v>
      </c>
      <c r="M681" s="68" t="s">
        <v>360</v>
      </c>
      <c r="N681" s="68" t="s">
        <v>361</v>
      </c>
      <c r="O681" s="68">
        <v>295.0</v>
      </c>
      <c r="P681" s="68" t="s">
        <v>540</v>
      </c>
    </row>
    <row r="682" ht="15.75" customHeight="1">
      <c r="A682" s="68" t="s">
        <v>392</v>
      </c>
      <c r="B682" s="68" t="s">
        <v>539</v>
      </c>
      <c r="C682" s="68" t="s">
        <v>21</v>
      </c>
      <c r="G682" s="68">
        <v>1374.0</v>
      </c>
      <c r="L682" s="68">
        <v>1374.0</v>
      </c>
      <c r="M682" s="68" t="s">
        <v>360</v>
      </c>
      <c r="N682" s="68" t="s">
        <v>361</v>
      </c>
      <c r="O682" s="68">
        <v>295.0</v>
      </c>
      <c r="P682" s="68" t="s">
        <v>540</v>
      </c>
    </row>
    <row r="683" ht="15.75" customHeight="1">
      <c r="A683" s="68" t="s">
        <v>356</v>
      </c>
      <c r="B683" s="71" t="s">
        <v>541</v>
      </c>
      <c r="C683" s="71" t="s">
        <v>32</v>
      </c>
      <c r="D683" s="72" t="s">
        <v>48</v>
      </c>
      <c r="E683" s="73"/>
      <c r="F683" s="72" t="s">
        <v>541</v>
      </c>
      <c r="G683" s="74">
        <v>1000.0</v>
      </c>
      <c r="L683" s="68"/>
      <c r="M683" s="68" t="s">
        <v>360</v>
      </c>
      <c r="N683" s="68"/>
      <c r="O683" s="68"/>
      <c r="P683" s="68"/>
    </row>
    <row r="684" ht="15.75" customHeight="1">
      <c r="A684" s="68" t="s">
        <v>356</v>
      </c>
      <c r="B684" s="75" t="s">
        <v>530</v>
      </c>
      <c r="C684" s="75" t="s">
        <v>21</v>
      </c>
      <c r="D684" s="76" t="s">
        <v>56</v>
      </c>
      <c r="E684" s="77"/>
      <c r="F684" s="76" t="s">
        <v>530</v>
      </c>
      <c r="G684" s="78">
        <v>1613.0</v>
      </c>
      <c r="L684" s="68"/>
      <c r="M684" s="68" t="s">
        <v>360</v>
      </c>
      <c r="N684" s="68"/>
      <c r="O684" s="68"/>
      <c r="P684" s="68"/>
    </row>
    <row r="685" ht="15.75" customHeight="1">
      <c r="A685" s="68" t="s">
        <v>356</v>
      </c>
      <c r="B685" s="79"/>
      <c r="C685" s="71" t="s">
        <v>32</v>
      </c>
      <c r="D685" s="72" t="s">
        <v>103</v>
      </c>
      <c r="E685" s="73"/>
      <c r="F685" s="80"/>
      <c r="G685" s="74">
        <v>27142.31</v>
      </c>
      <c r="L685" s="68"/>
      <c r="M685" s="68" t="s">
        <v>360</v>
      </c>
      <c r="N685" s="68"/>
      <c r="O685" s="68"/>
      <c r="P685" s="68"/>
    </row>
    <row r="686" ht="15.75" customHeight="1">
      <c r="A686" s="68" t="s">
        <v>356</v>
      </c>
      <c r="B686" s="81" t="s">
        <v>527</v>
      </c>
      <c r="C686" s="82" t="s">
        <v>68</v>
      </c>
      <c r="D686" s="76" t="s">
        <v>166</v>
      </c>
      <c r="E686" s="77"/>
      <c r="F686" s="81" t="s">
        <v>527</v>
      </c>
      <c r="G686" s="78">
        <v>21424.02</v>
      </c>
      <c r="L686" s="68"/>
      <c r="M686" s="68" t="s">
        <v>360</v>
      </c>
      <c r="N686" s="68"/>
      <c r="O686" s="68"/>
      <c r="P686" s="68"/>
    </row>
    <row r="687" ht="15.75" customHeight="1">
      <c r="A687" s="68" t="s">
        <v>356</v>
      </c>
      <c r="B687" s="71" t="s">
        <v>357</v>
      </c>
      <c r="C687" s="71" t="s">
        <v>32</v>
      </c>
      <c r="D687" s="72" t="s">
        <v>56</v>
      </c>
      <c r="E687" s="73"/>
      <c r="F687" s="72" t="s">
        <v>357</v>
      </c>
      <c r="G687" s="74">
        <v>21387.44</v>
      </c>
      <c r="H687" s="83"/>
      <c r="I687" s="83"/>
      <c r="J687" s="83"/>
      <c r="K687" s="83"/>
      <c r="L687" s="84"/>
      <c r="M687" s="68" t="s">
        <v>360</v>
      </c>
      <c r="N687" s="84"/>
      <c r="O687" s="84"/>
      <c r="P687" s="84"/>
      <c r="Q687" s="83"/>
      <c r="R687" s="83"/>
      <c r="S687" s="83"/>
    </row>
    <row r="688" ht="15.75" customHeight="1">
      <c r="A688" s="68" t="s">
        <v>356</v>
      </c>
      <c r="B688" s="81" t="s">
        <v>514</v>
      </c>
      <c r="C688" s="82" t="s">
        <v>68</v>
      </c>
      <c r="D688" s="76" t="s">
        <v>78</v>
      </c>
      <c r="E688" s="77"/>
      <c r="F688" s="81" t="s">
        <v>514</v>
      </c>
      <c r="G688" s="78">
        <v>1500.0</v>
      </c>
      <c r="H688" s="83"/>
      <c r="I688" s="83"/>
      <c r="J688" s="83"/>
      <c r="K688" s="83"/>
      <c r="L688" s="84"/>
      <c r="M688" s="68" t="s">
        <v>360</v>
      </c>
      <c r="N688" s="84"/>
      <c r="O688" s="84"/>
      <c r="P688" s="84"/>
      <c r="Q688" s="83"/>
      <c r="R688" s="83"/>
      <c r="S688" s="83"/>
    </row>
    <row r="689" ht="15.75" customHeight="1">
      <c r="A689" s="68" t="s">
        <v>356</v>
      </c>
      <c r="B689" s="79"/>
      <c r="C689" s="71" t="s">
        <v>32</v>
      </c>
      <c r="D689" s="72" t="s">
        <v>118</v>
      </c>
      <c r="E689" s="73"/>
      <c r="F689" s="80"/>
      <c r="G689" s="74">
        <v>35471.6</v>
      </c>
      <c r="H689" s="83"/>
      <c r="I689" s="83"/>
      <c r="J689" s="83"/>
      <c r="K689" s="83"/>
      <c r="L689" s="84"/>
      <c r="M689" s="68" t="s">
        <v>360</v>
      </c>
      <c r="N689" s="84"/>
      <c r="O689" s="84"/>
      <c r="P689" s="84"/>
      <c r="Q689" s="83"/>
      <c r="R689" s="83"/>
      <c r="S689" s="83"/>
    </row>
    <row r="690" ht="15.75" customHeight="1">
      <c r="A690" s="68" t="s">
        <v>356</v>
      </c>
      <c r="B690" s="85"/>
      <c r="C690" s="75" t="s">
        <v>32</v>
      </c>
      <c r="D690" s="76" t="s">
        <v>39</v>
      </c>
      <c r="E690" s="86"/>
      <c r="F690" s="87"/>
      <c r="G690" s="88">
        <v>0.0</v>
      </c>
      <c r="H690" s="83"/>
      <c r="I690" s="83"/>
      <c r="J690" s="83"/>
      <c r="K690" s="83"/>
      <c r="L690" s="84"/>
      <c r="M690" s="68" t="s">
        <v>360</v>
      </c>
      <c r="N690" s="84"/>
      <c r="O690" s="84"/>
      <c r="P690" s="84"/>
      <c r="Q690" s="83"/>
      <c r="R690" s="83"/>
      <c r="S690" s="83"/>
    </row>
    <row r="691" ht="15.75" customHeight="1">
      <c r="A691" s="68" t="s">
        <v>356</v>
      </c>
      <c r="B691" s="71" t="s">
        <v>526</v>
      </c>
      <c r="C691" s="71" t="s">
        <v>32</v>
      </c>
      <c r="D691" s="72" t="s">
        <v>48</v>
      </c>
      <c r="E691" s="86"/>
      <c r="F691" s="72" t="s">
        <v>526</v>
      </c>
      <c r="G691" s="74">
        <v>6818.35</v>
      </c>
      <c r="H691" s="83"/>
      <c r="I691" s="83"/>
      <c r="J691" s="83"/>
      <c r="K691" s="83"/>
      <c r="L691" s="84"/>
      <c r="M691" s="68" t="s">
        <v>360</v>
      </c>
      <c r="N691" s="84"/>
      <c r="O691" s="84"/>
      <c r="P691" s="84"/>
      <c r="Q691" s="83"/>
      <c r="R691" s="83"/>
      <c r="S691" s="83"/>
    </row>
    <row r="692" ht="15.75" customHeight="1">
      <c r="A692" s="68" t="s">
        <v>356</v>
      </c>
      <c r="B692" s="75" t="s">
        <v>71</v>
      </c>
      <c r="C692" s="82" t="s">
        <v>68</v>
      </c>
      <c r="D692" s="76" t="s">
        <v>72</v>
      </c>
      <c r="E692" s="86"/>
      <c r="F692" s="76" t="s">
        <v>71</v>
      </c>
      <c r="G692" s="78">
        <v>16040.27</v>
      </c>
      <c r="H692" s="83"/>
      <c r="I692" s="83"/>
      <c r="J692" s="83"/>
      <c r="K692" s="83"/>
      <c r="L692" s="84"/>
      <c r="M692" s="68" t="s">
        <v>360</v>
      </c>
      <c r="N692" s="84"/>
      <c r="O692" s="84"/>
      <c r="P692" s="84"/>
      <c r="Q692" s="83"/>
      <c r="R692" s="83"/>
      <c r="S692" s="83"/>
    </row>
    <row r="693" ht="15.75" customHeight="1">
      <c r="A693" s="68" t="s">
        <v>356</v>
      </c>
      <c r="B693" s="89"/>
      <c r="C693" s="90" t="s">
        <v>21</v>
      </c>
      <c r="D693" s="91" t="s">
        <v>22</v>
      </c>
      <c r="E693" s="92" t="s">
        <v>23</v>
      </c>
      <c r="F693" s="93"/>
      <c r="G693" s="94">
        <v>202390.83</v>
      </c>
      <c r="H693" s="83"/>
      <c r="I693" s="83"/>
      <c r="J693" s="83"/>
      <c r="K693" s="83"/>
      <c r="L693" s="84"/>
      <c r="M693" s="95">
        <v>46054.0</v>
      </c>
      <c r="N693" s="84"/>
      <c r="O693" s="84"/>
      <c r="P693" s="84"/>
      <c r="Q693" s="83"/>
      <c r="R693" s="83"/>
      <c r="S693" s="83"/>
    </row>
    <row r="694" ht="15.75" customHeight="1">
      <c r="A694" s="68" t="s">
        <v>356</v>
      </c>
      <c r="B694" s="96"/>
      <c r="C694" s="97" t="s">
        <v>21</v>
      </c>
      <c r="D694" s="98" t="s">
        <v>22</v>
      </c>
      <c r="E694" s="99" t="s">
        <v>63</v>
      </c>
      <c r="F694" s="100"/>
      <c r="G694" s="101">
        <v>316716.01</v>
      </c>
      <c r="H694" s="83"/>
      <c r="I694" s="83"/>
      <c r="J694" s="83"/>
      <c r="K694" s="83"/>
      <c r="L694" s="84"/>
      <c r="M694" s="95">
        <v>46054.0</v>
      </c>
      <c r="N694" s="84"/>
      <c r="O694" s="84"/>
      <c r="P694" s="84"/>
      <c r="Q694" s="83"/>
      <c r="R694" s="83"/>
      <c r="S694" s="83"/>
    </row>
    <row r="695" ht="15.75" customHeight="1">
      <c r="A695" s="68" t="s">
        <v>356</v>
      </c>
      <c r="B695" s="89"/>
      <c r="C695" s="90" t="s">
        <v>21</v>
      </c>
      <c r="D695" s="91" t="s">
        <v>22</v>
      </c>
      <c r="E695" s="92" t="s">
        <v>45</v>
      </c>
      <c r="F695" s="93"/>
      <c r="G695" s="94">
        <v>127369.76</v>
      </c>
      <c r="H695" s="83"/>
      <c r="I695" s="83"/>
      <c r="J695" s="83"/>
      <c r="K695" s="83"/>
      <c r="L695" s="84"/>
      <c r="M695" s="95">
        <v>46054.0</v>
      </c>
      <c r="N695" s="84"/>
      <c r="O695" s="84"/>
      <c r="P695" s="84"/>
      <c r="Q695" s="83"/>
      <c r="R695" s="83"/>
      <c r="S695" s="83"/>
    </row>
    <row r="696" ht="15.75" customHeight="1">
      <c r="A696" s="68" t="s">
        <v>356</v>
      </c>
      <c r="B696" s="96"/>
      <c r="C696" s="97" t="s">
        <v>21</v>
      </c>
      <c r="D696" s="98" t="s">
        <v>22</v>
      </c>
      <c r="E696" s="99" t="s">
        <v>398</v>
      </c>
      <c r="F696" s="100"/>
      <c r="G696" s="101">
        <v>40556.6</v>
      </c>
      <c r="H696" s="83"/>
      <c r="I696" s="83"/>
      <c r="J696" s="83"/>
      <c r="K696" s="83"/>
      <c r="L696" s="84"/>
      <c r="M696" s="95">
        <v>46054.0</v>
      </c>
      <c r="N696" s="84"/>
      <c r="O696" s="84"/>
      <c r="P696" s="84"/>
      <c r="Q696" s="83"/>
      <c r="R696" s="83"/>
      <c r="S696" s="83"/>
    </row>
    <row r="697" ht="15.75" customHeight="1">
      <c r="A697" s="68" t="s">
        <v>356</v>
      </c>
      <c r="B697" s="90" t="s">
        <v>399</v>
      </c>
      <c r="C697" s="90" t="s">
        <v>32</v>
      </c>
      <c r="D697" s="91" t="s">
        <v>56</v>
      </c>
      <c r="E697" s="86"/>
      <c r="F697" s="91" t="s">
        <v>399</v>
      </c>
      <c r="G697" s="102">
        <v>96311.02</v>
      </c>
      <c r="H697" s="83"/>
      <c r="I697" s="83"/>
      <c r="J697" s="83"/>
      <c r="K697" s="83"/>
      <c r="L697" s="84"/>
      <c r="M697" s="95">
        <v>46054.0</v>
      </c>
      <c r="N697" s="84"/>
      <c r="O697" s="84"/>
      <c r="P697" s="84"/>
      <c r="Q697" s="83"/>
      <c r="R697" s="83"/>
      <c r="S697" s="83"/>
    </row>
    <row r="698" ht="15.75" customHeight="1">
      <c r="A698" s="68" t="s">
        <v>356</v>
      </c>
      <c r="B698" s="97" t="s">
        <v>400</v>
      </c>
      <c r="C698" s="97" t="s">
        <v>21</v>
      </c>
      <c r="D698" s="98" t="s">
        <v>56</v>
      </c>
      <c r="E698" s="86"/>
      <c r="F698" s="98" t="s">
        <v>400</v>
      </c>
      <c r="G698" s="101">
        <v>17355.63</v>
      </c>
      <c r="H698" s="83"/>
      <c r="I698" s="83"/>
      <c r="J698" s="83"/>
      <c r="K698" s="83"/>
      <c r="L698" s="84"/>
      <c r="M698" s="95">
        <v>46054.0</v>
      </c>
      <c r="N698" s="84"/>
      <c r="O698" s="84"/>
      <c r="P698" s="84"/>
      <c r="Q698" s="83"/>
      <c r="R698" s="83"/>
      <c r="S698" s="83"/>
    </row>
    <row r="699" ht="15.75" customHeight="1">
      <c r="A699" s="68" t="s">
        <v>356</v>
      </c>
      <c r="B699" s="90" t="s">
        <v>541</v>
      </c>
      <c r="C699" s="90" t="s">
        <v>32</v>
      </c>
      <c r="D699" s="91" t="s">
        <v>48</v>
      </c>
      <c r="E699" s="86"/>
      <c r="F699" s="91" t="s">
        <v>541</v>
      </c>
      <c r="G699" s="103">
        <v>678.0</v>
      </c>
      <c r="H699" s="83"/>
      <c r="I699" s="83"/>
      <c r="J699" s="83"/>
      <c r="K699" s="83"/>
      <c r="L699" s="84"/>
      <c r="M699" s="95">
        <v>46054.0</v>
      </c>
      <c r="N699" s="84"/>
      <c r="O699" s="84"/>
      <c r="P699" s="84"/>
      <c r="Q699" s="83"/>
      <c r="R699" s="83"/>
      <c r="S699" s="83"/>
    </row>
    <row r="700" ht="15.75" customHeight="1">
      <c r="A700" s="68" t="s">
        <v>356</v>
      </c>
      <c r="B700" s="97" t="s">
        <v>530</v>
      </c>
      <c r="C700" s="97" t="s">
        <v>21</v>
      </c>
      <c r="D700" s="98" t="s">
        <v>56</v>
      </c>
      <c r="E700" s="86"/>
      <c r="F700" s="98" t="s">
        <v>530</v>
      </c>
      <c r="G700" s="101">
        <v>38775.95</v>
      </c>
      <c r="H700" s="83"/>
      <c r="I700" s="83"/>
      <c r="J700" s="83"/>
      <c r="K700" s="83"/>
      <c r="L700" s="84"/>
      <c r="M700" s="95">
        <v>46054.0</v>
      </c>
      <c r="N700" s="84"/>
      <c r="O700" s="84"/>
      <c r="P700" s="84"/>
      <c r="Q700" s="83"/>
      <c r="R700" s="83"/>
      <c r="S700" s="83"/>
    </row>
    <row r="701" ht="15.75" customHeight="1">
      <c r="A701" s="68" t="s">
        <v>356</v>
      </c>
      <c r="B701" s="104"/>
      <c r="C701" s="90" t="s">
        <v>32</v>
      </c>
      <c r="D701" s="91" t="s">
        <v>103</v>
      </c>
      <c r="E701" s="86"/>
      <c r="F701" s="105"/>
      <c r="G701" s="102">
        <v>17609.87</v>
      </c>
      <c r="H701" s="83"/>
      <c r="I701" s="83"/>
      <c r="J701" s="83"/>
      <c r="K701" s="83"/>
      <c r="L701" s="84"/>
      <c r="M701" s="95">
        <v>46054.0</v>
      </c>
      <c r="N701" s="84"/>
      <c r="O701" s="84"/>
      <c r="P701" s="84"/>
      <c r="Q701" s="83"/>
      <c r="R701" s="83"/>
      <c r="S701" s="83"/>
    </row>
    <row r="702" ht="15.75" customHeight="1">
      <c r="A702" s="68" t="s">
        <v>356</v>
      </c>
      <c r="B702" s="106" t="s">
        <v>527</v>
      </c>
      <c r="C702" s="107" t="s">
        <v>68</v>
      </c>
      <c r="D702" s="98" t="s">
        <v>166</v>
      </c>
      <c r="E702" s="86"/>
      <c r="F702" s="106" t="s">
        <v>527</v>
      </c>
      <c r="G702" s="101">
        <v>16778.89</v>
      </c>
      <c r="H702" s="83"/>
      <c r="I702" s="83"/>
      <c r="J702" s="83"/>
      <c r="K702" s="83"/>
      <c r="L702" s="84"/>
      <c r="M702" s="95">
        <v>46054.0</v>
      </c>
      <c r="N702" s="84"/>
      <c r="O702" s="84"/>
      <c r="P702" s="84"/>
      <c r="Q702" s="83"/>
      <c r="R702" s="83"/>
      <c r="S702" s="83"/>
    </row>
    <row r="703" ht="15.75" customHeight="1">
      <c r="A703" s="68" t="s">
        <v>356</v>
      </c>
      <c r="B703" s="108" t="s">
        <v>357</v>
      </c>
      <c r="C703" s="90" t="s">
        <v>32</v>
      </c>
      <c r="D703" s="91" t="s">
        <v>56</v>
      </c>
      <c r="E703" s="86"/>
      <c r="F703" s="109" t="s">
        <v>357</v>
      </c>
      <c r="G703" s="103">
        <v>22187.73</v>
      </c>
      <c r="H703" s="83"/>
      <c r="I703" s="83"/>
      <c r="J703" s="83"/>
      <c r="K703" s="83"/>
      <c r="L703" s="84"/>
      <c r="M703" s="95">
        <v>46054.0</v>
      </c>
      <c r="N703" s="84"/>
      <c r="O703" s="84"/>
      <c r="P703" s="84"/>
      <c r="Q703" s="83"/>
      <c r="R703" s="83"/>
      <c r="S703" s="83"/>
    </row>
    <row r="704" ht="15.75" customHeight="1">
      <c r="A704" s="68" t="s">
        <v>356</v>
      </c>
      <c r="B704" s="106" t="s">
        <v>514</v>
      </c>
      <c r="C704" s="107" t="s">
        <v>68</v>
      </c>
      <c r="D704" s="98" t="s">
        <v>78</v>
      </c>
      <c r="E704" s="86"/>
      <c r="F704" s="106" t="s">
        <v>514</v>
      </c>
      <c r="G704" s="110">
        <v>1300.0</v>
      </c>
      <c r="H704" s="83"/>
      <c r="I704" s="83"/>
      <c r="J704" s="83"/>
      <c r="K704" s="83"/>
      <c r="L704" s="84"/>
      <c r="M704" s="95">
        <v>46054.0</v>
      </c>
      <c r="N704" s="84"/>
      <c r="O704" s="84"/>
      <c r="P704" s="84"/>
      <c r="Q704" s="83"/>
      <c r="R704" s="83"/>
      <c r="S704" s="83"/>
    </row>
    <row r="705" ht="15.75" customHeight="1">
      <c r="A705" s="68" t="s">
        <v>356</v>
      </c>
      <c r="B705" s="89"/>
      <c r="C705" s="90" t="s">
        <v>32</v>
      </c>
      <c r="D705" s="91" t="s">
        <v>118</v>
      </c>
      <c r="E705" s="86"/>
      <c r="F705" s="93"/>
      <c r="G705" s="102">
        <v>9132.0</v>
      </c>
      <c r="H705" s="83"/>
      <c r="I705" s="83"/>
      <c r="J705" s="83"/>
      <c r="K705" s="83"/>
      <c r="L705" s="84"/>
      <c r="M705" s="95">
        <v>46054.0</v>
      </c>
      <c r="N705" s="84"/>
      <c r="O705" s="84"/>
      <c r="P705" s="84"/>
      <c r="Q705" s="83"/>
      <c r="R705" s="83"/>
      <c r="S705" s="83"/>
    </row>
    <row r="706" ht="15.75" customHeight="1">
      <c r="A706" s="68" t="s">
        <v>356</v>
      </c>
      <c r="B706" s="96"/>
      <c r="C706" s="97" t="s">
        <v>32</v>
      </c>
      <c r="D706" s="98" t="s">
        <v>39</v>
      </c>
      <c r="E706" s="86"/>
      <c r="F706" s="100"/>
      <c r="G706" s="110">
        <v>950.0</v>
      </c>
      <c r="H706" s="83"/>
      <c r="I706" s="83"/>
      <c r="J706" s="83"/>
      <c r="K706" s="83"/>
      <c r="L706" s="84"/>
      <c r="M706" s="95">
        <v>46054.0</v>
      </c>
      <c r="N706" s="84"/>
      <c r="O706" s="84"/>
      <c r="P706" s="84"/>
      <c r="Q706" s="83"/>
      <c r="R706" s="83"/>
      <c r="S706" s="83"/>
    </row>
    <row r="707" ht="15.75" customHeight="1">
      <c r="A707" s="68" t="s">
        <v>356</v>
      </c>
      <c r="B707" s="90" t="s">
        <v>526</v>
      </c>
      <c r="C707" s="90" t="s">
        <v>32</v>
      </c>
      <c r="D707" s="91" t="s">
        <v>48</v>
      </c>
      <c r="E707" s="86"/>
      <c r="F707" s="91" t="s">
        <v>526</v>
      </c>
      <c r="G707" s="102">
        <v>10200.83</v>
      </c>
      <c r="H707" s="83"/>
      <c r="I707" s="83"/>
      <c r="J707" s="83"/>
      <c r="K707" s="83"/>
      <c r="L707" s="84"/>
      <c r="M707" s="95">
        <v>46054.0</v>
      </c>
      <c r="N707" s="84"/>
      <c r="O707" s="84"/>
      <c r="P707" s="84"/>
      <c r="Q707" s="83"/>
      <c r="R707" s="83"/>
      <c r="S707" s="83"/>
    </row>
    <row r="708" ht="15.75" customHeight="1">
      <c r="A708" s="68" t="s">
        <v>356</v>
      </c>
      <c r="B708" s="111" t="s">
        <v>71</v>
      </c>
      <c r="C708" s="107" t="s">
        <v>68</v>
      </c>
      <c r="D708" s="98" t="s">
        <v>72</v>
      </c>
      <c r="E708" s="86"/>
      <c r="F708" s="112" t="s">
        <v>71</v>
      </c>
      <c r="G708" s="113">
        <v>10697.49</v>
      </c>
      <c r="H708" s="83"/>
      <c r="I708" s="83"/>
      <c r="J708" s="83"/>
      <c r="K708" s="83"/>
      <c r="L708" s="84"/>
      <c r="M708" s="95">
        <v>46054.0</v>
      </c>
      <c r="N708" s="84"/>
      <c r="O708" s="84"/>
      <c r="P708" s="84"/>
      <c r="Q708" s="83"/>
      <c r="R708" s="83"/>
      <c r="S708" s="83"/>
    </row>
    <row r="709" ht="15.75" customHeight="1">
      <c r="A709" s="68" t="s">
        <v>356</v>
      </c>
      <c r="B709" s="114" t="s">
        <v>542</v>
      </c>
      <c r="C709" s="90" t="s">
        <v>21</v>
      </c>
      <c r="D709" s="91" t="s">
        <v>56</v>
      </c>
      <c r="E709" s="86"/>
      <c r="F709" s="115" t="s">
        <v>542</v>
      </c>
      <c r="G709" s="102">
        <v>8691.08</v>
      </c>
      <c r="H709" s="83"/>
      <c r="I709" s="83"/>
      <c r="J709" s="83"/>
      <c r="K709" s="83"/>
      <c r="L709" s="84"/>
      <c r="M709" s="95">
        <v>46054.0</v>
      </c>
      <c r="N709" s="84"/>
      <c r="O709" s="84"/>
      <c r="P709" s="84"/>
      <c r="Q709" s="83"/>
      <c r="R709" s="83"/>
      <c r="S709" s="83"/>
    </row>
    <row r="710" ht="15.75" customHeight="1">
      <c r="A710" s="68" t="s">
        <v>356</v>
      </c>
      <c r="B710" s="97" t="s">
        <v>528</v>
      </c>
      <c r="C710" s="97" t="s">
        <v>21</v>
      </c>
      <c r="D710" s="98" t="s">
        <v>56</v>
      </c>
      <c r="E710" s="86"/>
      <c r="F710" s="98" t="s">
        <v>528</v>
      </c>
      <c r="G710" s="101">
        <v>3280.0</v>
      </c>
      <c r="H710" s="83"/>
      <c r="I710" s="83"/>
      <c r="J710" s="83"/>
      <c r="K710" s="83"/>
      <c r="L710" s="84"/>
      <c r="M710" s="95">
        <v>46054.0</v>
      </c>
      <c r="N710" s="84"/>
      <c r="O710" s="84"/>
      <c r="P710" s="84"/>
      <c r="Q710" s="83"/>
      <c r="R710" s="83"/>
      <c r="S710" s="83"/>
    </row>
    <row r="711" ht="15.75" customHeight="1">
      <c r="A711" s="68" t="s">
        <v>356</v>
      </c>
      <c r="B711" s="116" t="s">
        <v>543</v>
      </c>
      <c r="C711" s="107" t="s">
        <v>68</v>
      </c>
      <c r="D711" s="91" t="s">
        <v>72</v>
      </c>
      <c r="E711" s="86"/>
      <c r="F711" s="117" t="s">
        <v>543</v>
      </c>
      <c r="G711" s="102">
        <v>4999.6</v>
      </c>
      <c r="H711" s="83"/>
      <c r="I711" s="83"/>
      <c r="J711" s="83"/>
      <c r="K711" s="83"/>
      <c r="L711" s="84"/>
      <c r="M711" s="95">
        <v>46054.0</v>
      </c>
      <c r="N711" s="84"/>
      <c r="O711" s="84"/>
      <c r="P711" s="84"/>
      <c r="Q711" s="83"/>
      <c r="R711" s="83"/>
      <c r="S711" s="83"/>
    </row>
    <row r="712" ht="15.75" customHeight="1">
      <c r="A712" s="68" t="s">
        <v>356</v>
      </c>
      <c r="B712" s="89"/>
      <c r="C712" s="90" t="s">
        <v>21</v>
      </c>
      <c r="D712" s="91" t="s">
        <v>22</v>
      </c>
      <c r="E712" s="92" t="s">
        <v>23</v>
      </c>
      <c r="F712" s="93"/>
      <c r="G712" s="94">
        <v>283775.9</v>
      </c>
      <c r="H712" s="83"/>
      <c r="I712" s="83"/>
      <c r="J712" s="83"/>
      <c r="K712" s="83"/>
      <c r="L712" s="84"/>
      <c r="M712" s="95">
        <v>46082.0</v>
      </c>
      <c r="N712" s="84"/>
      <c r="O712" s="84"/>
      <c r="P712" s="84"/>
      <c r="Q712" s="83"/>
      <c r="R712" s="83"/>
      <c r="S712" s="83"/>
    </row>
    <row r="713">
      <c r="A713" s="68" t="s">
        <v>356</v>
      </c>
      <c r="B713" s="118" t="s">
        <v>544</v>
      </c>
      <c r="C713" s="97" t="s">
        <v>21</v>
      </c>
      <c r="D713" s="98" t="s">
        <v>22</v>
      </c>
      <c r="E713" s="99" t="s">
        <v>23</v>
      </c>
      <c r="F713" s="119" t="s">
        <v>544</v>
      </c>
      <c r="G713" s="120">
        <v>4455.9</v>
      </c>
      <c r="H713" s="83"/>
      <c r="I713" s="83"/>
      <c r="J713" s="83"/>
      <c r="K713" s="83"/>
      <c r="L713" s="84"/>
      <c r="M713" s="95">
        <v>46082.0</v>
      </c>
      <c r="N713" s="84"/>
      <c r="O713" s="84"/>
      <c r="P713" s="84"/>
      <c r="Q713" s="83"/>
      <c r="R713" s="83"/>
      <c r="S713" s="83"/>
    </row>
    <row r="714" ht="15.75" customHeight="1">
      <c r="A714" s="68" t="s">
        <v>356</v>
      </c>
      <c r="B714" s="89"/>
      <c r="C714" s="90" t="s">
        <v>21</v>
      </c>
      <c r="D714" s="91" t="s">
        <v>22</v>
      </c>
      <c r="E714" s="92" t="s">
        <v>63</v>
      </c>
      <c r="F714" s="93"/>
      <c r="G714" s="102">
        <v>378872.83</v>
      </c>
      <c r="H714" s="83"/>
      <c r="I714" s="83"/>
      <c r="J714" s="83"/>
      <c r="K714" s="83"/>
      <c r="L714" s="84"/>
      <c r="M714" s="95">
        <v>46082.0</v>
      </c>
      <c r="N714" s="84"/>
      <c r="O714" s="84"/>
      <c r="P714" s="84"/>
      <c r="Q714" s="83"/>
      <c r="R714" s="83"/>
      <c r="S714" s="83"/>
    </row>
    <row r="715">
      <c r="A715" s="68" t="s">
        <v>356</v>
      </c>
      <c r="B715" s="96"/>
      <c r="C715" s="97" t="s">
        <v>21</v>
      </c>
      <c r="D715" s="98" t="s">
        <v>22</v>
      </c>
      <c r="E715" s="99" t="s">
        <v>45</v>
      </c>
      <c r="F715" s="100"/>
      <c r="G715" s="121">
        <v>210345.66</v>
      </c>
      <c r="H715" s="83"/>
      <c r="I715" s="83"/>
      <c r="J715" s="83"/>
      <c r="K715" s="83"/>
      <c r="L715" s="84"/>
      <c r="M715" s="95">
        <v>46082.0</v>
      </c>
      <c r="N715" s="84"/>
      <c r="O715" s="84"/>
      <c r="P715" s="84"/>
      <c r="Q715" s="83"/>
      <c r="R715" s="83"/>
      <c r="S715" s="83"/>
    </row>
    <row r="716" ht="15.75" customHeight="1">
      <c r="A716" s="68" t="s">
        <v>356</v>
      </c>
      <c r="B716" s="89"/>
      <c r="C716" s="90" t="s">
        <v>21</v>
      </c>
      <c r="D716" s="91" t="s">
        <v>22</v>
      </c>
      <c r="E716" s="92" t="s">
        <v>398</v>
      </c>
      <c r="F716" s="93"/>
      <c r="G716" s="102">
        <v>120956.97</v>
      </c>
      <c r="H716" s="83"/>
      <c r="I716" s="83"/>
      <c r="J716" s="83"/>
      <c r="K716" s="83"/>
      <c r="L716" s="84"/>
      <c r="M716" s="95">
        <v>46082.0</v>
      </c>
      <c r="N716" s="84"/>
      <c r="O716" s="84"/>
      <c r="P716" s="84"/>
      <c r="Q716" s="83"/>
      <c r="R716" s="83"/>
      <c r="S716" s="83"/>
    </row>
    <row r="717" ht="15.75" customHeight="1">
      <c r="A717" s="68" t="s">
        <v>356</v>
      </c>
      <c r="B717" s="97" t="s">
        <v>399</v>
      </c>
      <c r="C717" s="97" t="s">
        <v>32</v>
      </c>
      <c r="D717" s="98" t="s">
        <v>56</v>
      </c>
      <c r="E717" s="86"/>
      <c r="F717" s="98" t="s">
        <v>399</v>
      </c>
      <c r="G717" s="101">
        <v>71283.97</v>
      </c>
      <c r="H717" s="83"/>
      <c r="I717" s="83"/>
      <c r="J717" s="83"/>
      <c r="K717" s="83"/>
      <c r="L717" s="84"/>
      <c r="M717" s="95">
        <v>46082.0</v>
      </c>
      <c r="N717" s="84"/>
      <c r="O717" s="84"/>
      <c r="P717" s="84"/>
      <c r="Q717" s="83"/>
      <c r="R717" s="83"/>
      <c r="S717" s="83"/>
    </row>
    <row r="718">
      <c r="A718" s="68" t="s">
        <v>356</v>
      </c>
      <c r="B718" s="90" t="s">
        <v>400</v>
      </c>
      <c r="C718" s="90" t="s">
        <v>21</v>
      </c>
      <c r="D718" s="91" t="s">
        <v>56</v>
      </c>
      <c r="E718" s="86"/>
      <c r="F718" s="91" t="s">
        <v>400</v>
      </c>
      <c r="G718" s="102">
        <v>122883.41</v>
      </c>
      <c r="H718" s="83"/>
      <c r="I718" s="83"/>
      <c r="J718" s="83"/>
      <c r="K718" s="83"/>
      <c r="L718" s="84"/>
      <c r="M718" s="95">
        <v>46082.0</v>
      </c>
      <c r="N718" s="84"/>
      <c r="O718" s="84"/>
      <c r="P718" s="84"/>
      <c r="Q718" s="83"/>
      <c r="R718" s="83"/>
      <c r="S718" s="83"/>
    </row>
    <row r="719" ht="15.75" customHeight="1">
      <c r="A719" s="68" t="s">
        <v>356</v>
      </c>
      <c r="B719" s="97" t="s">
        <v>541</v>
      </c>
      <c r="C719" s="97" t="s">
        <v>32</v>
      </c>
      <c r="D719" s="98" t="s">
        <v>48</v>
      </c>
      <c r="E719" s="86"/>
      <c r="F719" s="98" t="s">
        <v>541</v>
      </c>
      <c r="G719" s="101">
        <v>15305.85</v>
      </c>
      <c r="H719" s="83"/>
      <c r="I719" s="83"/>
      <c r="J719" s="83"/>
      <c r="K719" s="83"/>
      <c r="L719" s="84"/>
      <c r="M719" s="95">
        <v>46082.0</v>
      </c>
      <c r="N719" s="84"/>
      <c r="O719" s="84"/>
      <c r="P719" s="84"/>
      <c r="Q719" s="83"/>
      <c r="R719" s="83"/>
      <c r="S719" s="83"/>
    </row>
    <row r="721" ht="15.75" customHeight="1"/>
    <row r="722" ht="15.75" customHeight="1"/>
    <row r="723" ht="15.75" customHeight="1"/>
    <row r="724" ht="15.75" customHeight="1"/>
    <row r="725" ht="15.75" customHeight="1"/>
    <row r="727" ht="15.75" customHeight="1"/>
    <row r="730">
      <c r="A730" s="67" t="s">
        <v>509</v>
      </c>
      <c r="B730" s="67" t="s">
        <v>545</v>
      </c>
      <c r="C730" s="67"/>
      <c r="D730" s="67"/>
      <c r="E730" s="67"/>
      <c r="F730" s="67"/>
      <c r="G730" s="67">
        <v>31802.26</v>
      </c>
      <c r="H730" s="67"/>
      <c r="I730" s="67"/>
      <c r="J730" s="67"/>
      <c r="K730" s="67"/>
      <c r="L730" s="67">
        <v>31802.26</v>
      </c>
      <c r="M730" s="67" t="s">
        <v>463</v>
      </c>
      <c r="N730" s="67" t="s">
        <v>434</v>
      </c>
      <c r="O730" s="67">
        <v>7.0</v>
      </c>
      <c r="P730" s="67" t="s">
        <v>519</v>
      </c>
      <c r="Q730" s="67"/>
      <c r="R730" s="67"/>
      <c r="S730" s="67"/>
    </row>
    <row r="731" ht="15.75" customHeight="1"/>
    <row r="732" ht="15.75" customHeight="1">
      <c r="A732" s="67" t="s">
        <v>368</v>
      </c>
      <c r="B732" s="67" t="s">
        <v>444</v>
      </c>
      <c r="C732" s="67" t="s">
        <v>32</v>
      </c>
      <c r="D732" s="67"/>
      <c r="E732" s="67"/>
      <c r="F732" s="67"/>
      <c r="G732" s="67">
        <v>44066.6</v>
      </c>
      <c r="H732" s="67"/>
      <c r="I732" s="67"/>
      <c r="J732" s="67"/>
      <c r="K732" s="67"/>
      <c r="L732" s="67">
        <v>44066.6</v>
      </c>
      <c r="M732" s="67" t="s">
        <v>448</v>
      </c>
      <c r="N732" s="67" t="s">
        <v>434</v>
      </c>
      <c r="O732" s="67">
        <v>106.0</v>
      </c>
      <c r="P732" s="67" t="s">
        <v>519</v>
      </c>
      <c r="Q732" s="67"/>
      <c r="R732" s="67"/>
      <c r="S732" s="67"/>
    </row>
    <row r="733" ht="15.75" customHeight="1">
      <c r="A733" s="67" t="s">
        <v>509</v>
      </c>
      <c r="B733" s="67" t="s">
        <v>545</v>
      </c>
      <c r="C733" s="67"/>
      <c r="D733" s="67"/>
      <c r="E733" s="67"/>
      <c r="F733" s="67"/>
      <c r="G733" s="67">
        <v>78740.0</v>
      </c>
      <c r="H733" s="67"/>
      <c r="I733" s="67"/>
      <c r="J733" s="67"/>
      <c r="K733" s="67"/>
      <c r="L733" s="67">
        <v>78740.0</v>
      </c>
      <c r="M733" s="67" t="s">
        <v>463</v>
      </c>
      <c r="N733" s="67" t="s">
        <v>434</v>
      </c>
      <c r="O733" s="67">
        <v>7.0</v>
      </c>
      <c r="P733" s="67" t="s">
        <v>533</v>
      </c>
      <c r="Q733" s="67"/>
      <c r="R733" s="67"/>
      <c r="S733" s="67"/>
    </row>
    <row r="734" ht="15.75" customHeight="1">
      <c r="A734" s="67"/>
      <c r="B734" s="67"/>
      <c r="C734" s="67"/>
      <c r="D734" s="67"/>
      <c r="E734" s="67"/>
      <c r="F734" s="67"/>
      <c r="G734" s="67"/>
      <c r="H734" s="67"/>
      <c r="I734" s="67"/>
      <c r="J734" s="67"/>
      <c r="K734" s="67"/>
      <c r="L734" s="67"/>
      <c r="M734" s="67"/>
      <c r="N734" s="67"/>
      <c r="O734" s="67"/>
      <c r="P734" s="67"/>
      <c r="Q734" s="67"/>
      <c r="R734" s="67"/>
      <c r="S734" s="67"/>
    </row>
    <row r="735" ht="15.75" customHeight="1">
      <c r="A735" s="67"/>
      <c r="B735" s="67"/>
      <c r="C735" s="67"/>
      <c r="D735" s="67"/>
      <c r="E735" s="67"/>
      <c r="F735" s="67"/>
      <c r="G735" s="67"/>
      <c r="H735" s="67"/>
      <c r="I735" s="67"/>
      <c r="J735" s="67"/>
      <c r="K735" s="67"/>
      <c r="L735" s="67"/>
      <c r="M735" s="67"/>
      <c r="N735" s="67"/>
      <c r="O735" s="67"/>
      <c r="P735" s="67"/>
      <c r="Q735" s="67"/>
      <c r="R735" s="67"/>
      <c r="S735" s="67"/>
    </row>
    <row r="736" ht="15.75" customHeight="1">
      <c r="A736" s="67"/>
      <c r="B736" s="67"/>
      <c r="C736" s="67"/>
      <c r="D736" s="67"/>
      <c r="E736" s="67"/>
      <c r="F736" s="67"/>
      <c r="G736" s="67"/>
      <c r="H736" s="67"/>
      <c r="I736" s="67"/>
      <c r="J736" s="67"/>
      <c r="K736" s="67"/>
      <c r="L736" s="67"/>
      <c r="M736" s="67"/>
      <c r="N736" s="67"/>
      <c r="O736" s="67"/>
      <c r="P736" s="67"/>
      <c r="Q736" s="67"/>
      <c r="R736" s="67"/>
      <c r="S736" s="67"/>
    </row>
    <row r="737" ht="15.75" customHeight="1"/>
    <row r="738" ht="15.75" customHeight="1">
      <c r="A738" s="67"/>
      <c r="B738" s="67"/>
      <c r="C738" s="67"/>
      <c r="D738" s="67"/>
      <c r="E738" s="67"/>
      <c r="F738" s="67"/>
      <c r="G738" s="67"/>
      <c r="H738" s="67"/>
      <c r="I738" s="67"/>
      <c r="J738" s="67"/>
      <c r="K738" s="67"/>
      <c r="L738" s="67"/>
      <c r="M738" s="67"/>
      <c r="N738" s="67"/>
      <c r="O738" s="67"/>
      <c r="P738" s="67"/>
      <c r="Q738" s="67"/>
      <c r="R738" s="67"/>
      <c r="S738" s="67"/>
    </row>
    <row r="739" ht="15.75" customHeight="1"/>
    <row r="740" ht="15.75" customHeight="1"/>
    <row r="741" ht="15.75" customHeight="1"/>
    <row r="742" ht="15.75" customHeight="1">
      <c r="A742" s="67"/>
      <c r="B742" s="67"/>
      <c r="C742" s="67"/>
      <c r="D742" s="67"/>
      <c r="E742" s="67"/>
      <c r="F742" s="67"/>
      <c r="G742" s="67"/>
      <c r="H742" s="67"/>
      <c r="I742" s="67"/>
      <c r="J742" s="67"/>
      <c r="K742" s="67"/>
      <c r="L742" s="67"/>
      <c r="M742" s="67"/>
      <c r="N742" s="67"/>
      <c r="O742" s="67"/>
      <c r="P742" s="67"/>
      <c r="Q742" s="67"/>
      <c r="R742" s="67"/>
      <c r="S742" s="67"/>
    </row>
    <row r="743" ht="15.75" customHeight="1">
      <c r="A743" s="67"/>
      <c r="B743" s="67"/>
      <c r="C743" s="67"/>
      <c r="D743" s="67"/>
      <c r="E743" s="67"/>
      <c r="F743" s="67"/>
      <c r="G743" s="67"/>
      <c r="H743" s="67"/>
      <c r="I743" s="67"/>
      <c r="J743" s="67"/>
      <c r="K743" s="67"/>
      <c r="L743" s="67"/>
      <c r="M743" s="67"/>
      <c r="N743" s="67"/>
      <c r="O743" s="67"/>
      <c r="P743" s="67"/>
      <c r="Q743" s="67"/>
      <c r="R743" s="67"/>
      <c r="S743" s="67"/>
    </row>
    <row r="744" ht="15.75" customHeight="1">
      <c r="A744" s="67"/>
      <c r="B744" s="67"/>
      <c r="C744" s="67"/>
      <c r="D744" s="67"/>
      <c r="E744" s="67"/>
      <c r="F744" s="67"/>
      <c r="G744" s="67"/>
      <c r="H744" s="67"/>
      <c r="I744" s="67"/>
      <c r="J744" s="67"/>
      <c r="K744" s="67"/>
      <c r="L744" s="67"/>
      <c r="M744" s="67"/>
      <c r="N744" s="67"/>
      <c r="O744" s="67"/>
      <c r="P744" s="67"/>
      <c r="Q744" s="67"/>
      <c r="R744" s="67"/>
      <c r="S744" s="67"/>
    </row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</sheetData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34.86"/>
  </cols>
  <sheetData>
    <row r="1">
      <c r="A1" s="122"/>
      <c r="B1" s="70" t="s">
        <v>546</v>
      </c>
      <c r="C1" s="70"/>
      <c r="D1" s="70"/>
      <c r="E1" s="70"/>
      <c r="G1" s="70"/>
      <c r="H1" s="70" t="s">
        <v>547</v>
      </c>
      <c r="I1" s="70"/>
      <c r="J1" s="70"/>
      <c r="K1" s="70"/>
    </row>
    <row r="2">
      <c r="A2" s="70"/>
      <c r="B2" s="70"/>
      <c r="C2" s="70"/>
      <c r="D2" s="70"/>
      <c r="E2" s="70"/>
      <c r="G2" s="70"/>
      <c r="H2" s="70"/>
      <c r="I2" s="70"/>
      <c r="J2" s="70"/>
      <c r="K2" s="70"/>
    </row>
    <row r="3">
      <c r="A3" s="70"/>
      <c r="B3" s="123" t="s">
        <v>548</v>
      </c>
      <c r="C3" s="123" t="s">
        <v>549</v>
      </c>
      <c r="D3" s="123" t="s">
        <v>550</v>
      </c>
      <c r="E3" s="70"/>
      <c r="G3" s="70"/>
      <c r="H3" s="123" t="s">
        <v>548</v>
      </c>
      <c r="I3" s="123" t="s">
        <v>549</v>
      </c>
      <c r="J3" s="123" t="s">
        <v>550</v>
      </c>
      <c r="K3" s="70"/>
    </row>
    <row r="4">
      <c r="A4" s="124">
        <v>1.0</v>
      </c>
      <c r="B4" s="123" t="s">
        <v>67</v>
      </c>
      <c r="C4" s="125">
        <v>5988.68</v>
      </c>
      <c r="D4" s="123" t="s">
        <v>551</v>
      </c>
      <c r="E4" s="70"/>
      <c r="G4" s="124">
        <v>1.0</v>
      </c>
      <c r="H4" s="123" t="s">
        <v>67</v>
      </c>
      <c r="I4" s="125">
        <v>5988.68</v>
      </c>
      <c r="J4" s="123" t="s">
        <v>551</v>
      </c>
      <c r="K4" s="70"/>
    </row>
    <row r="5">
      <c r="A5" s="124">
        <v>2.0</v>
      </c>
      <c r="B5" s="126" t="s">
        <v>70</v>
      </c>
      <c r="C5" s="125">
        <v>12874.48</v>
      </c>
      <c r="D5" s="123" t="s">
        <v>552</v>
      </c>
      <c r="E5" s="70"/>
      <c r="G5" s="124">
        <v>2.0</v>
      </c>
      <c r="H5" s="123" t="s">
        <v>70</v>
      </c>
      <c r="I5" s="125">
        <v>7253.28</v>
      </c>
      <c r="J5" s="123" t="s">
        <v>552</v>
      </c>
      <c r="K5" s="70"/>
    </row>
    <row r="6">
      <c r="A6" s="124">
        <v>3.0</v>
      </c>
      <c r="B6" s="123" t="s">
        <v>73</v>
      </c>
      <c r="C6" s="125">
        <v>6499.95</v>
      </c>
      <c r="D6" s="123" t="s">
        <v>553</v>
      </c>
      <c r="E6" s="70"/>
      <c r="G6" s="124">
        <v>3.0</v>
      </c>
      <c r="H6" s="123" t="s">
        <v>73</v>
      </c>
      <c r="I6" s="125">
        <v>6499.95</v>
      </c>
      <c r="J6" s="123" t="s">
        <v>553</v>
      </c>
      <c r="K6" s="70"/>
    </row>
    <row r="7">
      <c r="A7" s="124">
        <v>4.0</v>
      </c>
      <c r="B7" s="123" t="s">
        <v>191</v>
      </c>
      <c r="C7" s="125">
        <v>6499.95</v>
      </c>
      <c r="D7" s="123" t="s">
        <v>554</v>
      </c>
      <c r="E7" s="70"/>
      <c r="G7" s="124">
        <v>4.0</v>
      </c>
      <c r="H7" s="123" t="s">
        <v>191</v>
      </c>
      <c r="I7" s="125">
        <v>6499.95</v>
      </c>
      <c r="J7" s="123" t="s">
        <v>554</v>
      </c>
      <c r="K7" s="70"/>
    </row>
    <row r="8">
      <c r="A8" s="124">
        <v>5.0</v>
      </c>
      <c r="B8" s="123" t="s">
        <v>74</v>
      </c>
      <c r="C8" s="125">
        <v>6499.95</v>
      </c>
      <c r="D8" s="123" t="s">
        <v>553</v>
      </c>
      <c r="E8" s="70"/>
      <c r="G8" s="124">
        <v>5.0</v>
      </c>
      <c r="H8" s="123" t="s">
        <v>74</v>
      </c>
      <c r="I8" s="125">
        <v>6499.95</v>
      </c>
      <c r="J8" s="123" t="s">
        <v>553</v>
      </c>
      <c r="K8" s="70"/>
    </row>
    <row r="9">
      <c r="A9" s="124">
        <v>6.0</v>
      </c>
      <c r="B9" s="123" t="s">
        <v>555</v>
      </c>
      <c r="C9" s="125">
        <v>13123.05</v>
      </c>
      <c r="D9" s="123" t="s">
        <v>556</v>
      </c>
      <c r="E9" s="70"/>
      <c r="G9" s="124">
        <v>6.0</v>
      </c>
      <c r="H9" s="123" t="s">
        <v>555</v>
      </c>
      <c r="I9" s="125">
        <v>13123.05</v>
      </c>
      <c r="J9" s="123" t="s">
        <v>556</v>
      </c>
      <c r="K9" s="70"/>
    </row>
    <row r="10">
      <c r="A10" s="124">
        <v>7.0</v>
      </c>
      <c r="B10" s="123" t="s">
        <v>557</v>
      </c>
      <c r="C10" s="125">
        <v>6499.95</v>
      </c>
      <c r="D10" s="123" t="s">
        <v>558</v>
      </c>
      <c r="E10" s="70"/>
      <c r="G10" s="124">
        <v>7.0</v>
      </c>
      <c r="H10" s="123" t="s">
        <v>557</v>
      </c>
      <c r="I10" s="125">
        <v>6499.95</v>
      </c>
      <c r="J10" s="123" t="s">
        <v>558</v>
      </c>
      <c r="K10" s="70"/>
    </row>
    <row r="11">
      <c r="A11" s="124">
        <v>8.0</v>
      </c>
      <c r="B11" s="123" t="s">
        <v>75</v>
      </c>
      <c r="C11" s="125">
        <v>8109.55</v>
      </c>
      <c r="D11" s="123" t="s">
        <v>558</v>
      </c>
      <c r="E11" s="70"/>
      <c r="G11" s="124">
        <v>8.0</v>
      </c>
      <c r="H11" s="123" t="s">
        <v>75</v>
      </c>
      <c r="I11" s="125">
        <v>8109.55</v>
      </c>
      <c r="J11" s="123" t="s">
        <v>558</v>
      </c>
      <c r="K11" s="70"/>
    </row>
    <row r="12">
      <c r="A12" s="124">
        <v>9.0</v>
      </c>
      <c r="B12" s="126" t="s">
        <v>76</v>
      </c>
      <c r="C12" s="125">
        <v>5192.95</v>
      </c>
      <c r="D12" s="123" t="s">
        <v>559</v>
      </c>
      <c r="E12" s="70"/>
      <c r="G12" s="124">
        <v>9.0</v>
      </c>
      <c r="H12" s="123" t="s">
        <v>76</v>
      </c>
      <c r="I12" s="125">
        <v>0.0</v>
      </c>
      <c r="J12" s="123" t="s">
        <v>559</v>
      </c>
      <c r="K12" s="70"/>
    </row>
    <row r="13">
      <c r="A13" s="124">
        <v>10.0</v>
      </c>
      <c r="B13" s="123"/>
      <c r="C13" s="127">
        <f>SUM(C4:C12)</f>
        <v>71288.51</v>
      </c>
      <c r="D13" s="123"/>
      <c r="E13" s="70"/>
      <c r="G13" s="70"/>
      <c r="H13" s="70"/>
      <c r="I13" s="128">
        <f>SUM(I4:I12)</f>
        <v>60474.36</v>
      </c>
      <c r="J13" s="70"/>
      <c r="K13" s="70"/>
    </row>
    <row r="14">
      <c r="A14" s="124">
        <v>11.0</v>
      </c>
      <c r="B14" s="123"/>
      <c r="C14" s="123"/>
      <c r="D14" s="123"/>
      <c r="E14" s="70"/>
      <c r="G14" s="70"/>
      <c r="H14" s="70"/>
      <c r="I14" s="129"/>
      <c r="J14" s="70"/>
      <c r="K14" s="70"/>
    </row>
    <row r="15">
      <c r="A15" s="70"/>
      <c r="B15" s="70"/>
      <c r="C15" s="70"/>
      <c r="D15" s="70"/>
      <c r="E15" s="70"/>
    </row>
    <row r="16">
      <c r="A16" s="70"/>
      <c r="B16" s="70" t="s">
        <v>560</v>
      </c>
      <c r="C16" s="70"/>
      <c r="D16" s="70"/>
      <c r="E16" s="70"/>
      <c r="G16" s="70"/>
      <c r="H16" s="70" t="s">
        <v>561</v>
      </c>
      <c r="I16" s="70"/>
      <c r="J16" s="70"/>
      <c r="K16" s="70"/>
    </row>
    <row r="17">
      <c r="B17" s="70"/>
      <c r="C17" s="70"/>
      <c r="D17" s="70"/>
      <c r="E17" s="70"/>
      <c r="G17" s="70"/>
      <c r="H17" s="70"/>
      <c r="I17" s="70"/>
      <c r="J17" s="70"/>
      <c r="K17" s="70"/>
    </row>
    <row r="18">
      <c r="B18" s="123" t="s">
        <v>548</v>
      </c>
      <c r="C18" s="123" t="s">
        <v>549</v>
      </c>
      <c r="D18" s="123" t="s">
        <v>550</v>
      </c>
      <c r="E18" s="70"/>
      <c r="G18" s="70"/>
      <c r="H18" s="70"/>
      <c r="I18" s="70"/>
      <c r="J18" s="70"/>
      <c r="K18" s="70"/>
    </row>
    <row r="19">
      <c r="B19" s="123" t="s">
        <v>67</v>
      </c>
      <c r="C19" s="125">
        <v>5989.43</v>
      </c>
      <c r="D19" s="123" t="s">
        <v>551</v>
      </c>
      <c r="E19" s="70"/>
      <c r="G19" s="70"/>
      <c r="H19" s="123" t="s">
        <v>548</v>
      </c>
      <c r="I19" s="123" t="s">
        <v>549</v>
      </c>
      <c r="J19" s="123" t="s">
        <v>550</v>
      </c>
      <c r="K19" s="70"/>
    </row>
    <row r="20">
      <c r="B20" s="123" t="s">
        <v>70</v>
      </c>
      <c r="C20" s="125">
        <v>0.0</v>
      </c>
      <c r="D20" s="123" t="s">
        <v>552</v>
      </c>
      <c r="E20" s="70"/>
      <c r="G20" s="124">
        <v>1.0</v>
      </c>
      <c r="H20" s="123" t="s">
        <v>67</v>
      </c>
      <c r="I20" s="125">
        <v>5989.43</v>
      </c>
      <c r="J20" s="123" t="s">
        <v>551</v>
      </c>
      <c r="K20" s="70"/>
    </row>
    <row r="21">
      <c r="B21" s="123" t="s">
        <v>73</v>
      </c>
      <c r="C21" s="125">
        <v>6499.95</v>
      </c>
      <c r="D21" s="123" t="s">
        <v>553</v>
      </c>
      <c r="E21" s="70"/>
      <c r="G21" s="124">
        <v>2.0</v>
      </c>
      <c r="H21" s="123" t="s">
        <v>70</v>
      </c>
      <c r="I21" s="125">
        <v>0.0</v>
      </c>
      <c r="J21" s="123" t="s">
        <v>552</v>
      </c>
      <c r="K21" s="70"/>
    </row>
    <row r="22">
      <c r="B22" s="123" t="s">
        <v>191</v>
      </c>
      <c r="C22" s="125">
        <v>6499.95</v>
      </c>
      <c r="D22" s="123" t="s">
        <v>554</v>
      </c>
      <c r="E22" s="70"/>
      <c r="G22" s="124">
        <v>3.0</v>
      </c>
      <c r="H22" s="123" t="s">
        <v>73</v>
      </c>
      <c r="I22" s="125">
        <v>6499.95</v>
      </c>
      <c r="J22" s="123" t="s">
        <v>553</v>
      </c>
      <c r="K22" s="70"/>
    </row>
    <row r="23">
      <c r="B23" s="123" t="s">
        <v>74</v>
      </c>
      <c r="C23" s="125">
        <v>6499.95</v>
      </c>
      <c r="D23" s="123" t="s">
        <v>553</v>
      </c>
      <c r="E23" s="70"/>
      <c r="G23" s="124">
        <v>4.0</v>
      </c>
      <c r="H23" s="123" t="s">
        <v>191</v>
      </c>
      <c r="I23" s="125">
        <v>6499.95</v>
      </c>
      <c r="J23" s="123" t="s">
        <v>554</v>
      </c>
      <c r="K23" s="70"/>
    </row>
    <row r="24">
      <c r="B24" s="123" t="s">
        <v>555</v>
      </c>
      <c r="C24" s="125">
        <v>13123.8</v>
      </c>
      <c r="D24" s="123" t="s">
        <v>556</v>
      </c>
      <c r="E24" s="70"/>
      <c r="G24" s="124">
        <v>5.0</v>
      </c>
      <c r="H24" s="123" t="s">
        <v>74</v>
      </c>
      <c r="I24" s="125">
        <v>6499.95</v>
      </c>
      <c r="J24" s="123" t="s">
        <v>553</v>
      </c>
      <c r="K24" s="70"/>
    </row>
    <row r="25">
      <c r="B25" s="123" t="s">
        <v>557</v>
      </c>
      <c r="C25" s="125">
        <v>6499.95</v>
      </c>
      <c r="D25" s="123" t="s">
        <v>558</v>
      </c>
      <c r="E25" s="70"/>
      <c r="G25" s="124">
        <v>6.0</v>
      </c>
      <c r="H25" s="123" t="s">
        <v>555</v>
      </c>
      <c r="I25" s="125">
        <v>13123.8</v>
      </c>
      <c r="J25" s="123" t="s">
        <v>556</v>
      </c>
      <c r="K25" s="70"/>
    </row>
    <row r="26">
      <c r="B26" s="123" t="s">
        <v>75</v>
      </c>
      <c r="C26" s="125">
        <v>11000.07</v>
      </c>
      <c r="D26" s="123" t="s">
        <v>558</v>
      </c>
      <c r="E26" s="70"/>
      <c r="G26" s="124">
        <v>7.0</v>
      </c>
      <c r="H26" s="123" t="s">
        <v>557</v>
      </c>
      <c r="I26" s="125">
        <v>6499.95</v>
      </c>
      <c r="J26" s="123" t="s">
        <v>558</v>
      </c>
      <c r="K26" s="70"/>
    </row>
    <row r="27">
      <c r="B27" s="123" t="s">
        <v>76</v>
      </c>
      <c r="C27" s="125">
        <v>5193.7</v>
      </c>
      <c r="D27" s="123" t="s">
        <v>559</v>
      </c>
      <c r="E27" s="70"/>
      <c r="G27" s="124">
        <v>8.0</v>
      </c>
      <c r="H27" s="123" t="s">
        <v>75</v>
      </c>
      <c r="I27" s="125">
        <v>11000.07</v>
      </c>
      <c r="J27" s="123" t="s">
        <v>558</v>
      </c>
      <c r="K27" s="70"/>
    </row>
    <row r="28">
      <c r="B28" s="70"/>
      <c r="C28" s="128">
        <f>SUM(C19:C27)</f>
        <v>61306.8</v>
      </c>
      <c r="D28" s="70"/>
      <c r="E28" s="70"/>
      <c r="G28" s="124">
        <v>9.0</v>
      </c>
      <c r="H28" s="123" t="s">
        <v>76</v>
      </c>
      <c r="I28" s="125">
        <v>6988.79</v>
      </c>
      <c r="J28" s="123" t="s">
        <v>559</v>
      </c>
      <c r="K28" s="70"/>
    </row>
    <row r="29">
      <c r="G29" s="124">
        <v>10.0</v>
      </c>
      <c r="H29" s="130" t="s">
        <v>562</v>
      </c>
      <c r="I29" s="125">
        <v>1575.2</v>
      </c>
      <c r="J29" s="123" t="s">
        <v>559</v>
      </c>
      <c r="K29" s="70"/>
    </row>
    <row r="30">
      <c r="G30" s="124">
        <v>11.0</v>
      </c>
      <c r="H30" s="130" t="s">
        <v>563</v>
      </c>
      <c r="I30" s="125">
        <v>1575.2</v>
      </c>
      <c r="J30" s="123" t="s">
        <v>559</v>
      </c>
      <c r="K30" s="70"/>
    </row>
    <row r="31">
      <c r="G31" s="124">
        <v>12.0</v>
      </c>
      <c r="H31" s="130" t="s">
        <v>564</v>
      </c>
      <c r="I31" s="125">
        <v>1575.2</v>
      </c>
      <c r="J31" s="123" t="s">
        <v>559</v>
      </c>
      <c r="K31" s="70"/>
    </row>
    <row r="32">
      <c r="G32" s="124">
        <v>13.0</v>
      </c>
      <c r="H32" s="130" t="s">
        <v>565</v>
      </c>
      <c r="I32" s="125">
        <v>1575.2</v>
      </c>
      <c r="J32" s="123" t="s">
        <v>559</v>
      </c>
      <c r="K32" s="70"/>
    </row>
    <row r="33">
      <c r="G33" s="124">
        <v>14.0</v>
      </c>
      <c r="H33" s="130" t="s">
        <v>566</v>
      </c>
      <c r="I33" s="125">
        <v>1575.2</v>
      </c>
      <c r="J33" s="123" t="s">
        <v>559</v>
      </c>
      <c r="K33" s="70"/>
    </row>
    <row r="34">
      <c r="G34" s="124">
        <v>15.0</v>
      </c>
      <c r="H34" s="130" t="s">
        <v>567</v>
      </c>
      <c r="I34" s="125">
        <v>1575.2</v>
      </c>
      <c r="J34" s="123" t="s">
        <v>559</v>
      </c>
      <c r="K34" s="70"/>
    </row>
    <row r="35">
      <c r="G35" s="124">
        <v>16.0</v>
      </c>
      <c r="H35" s="130" t="s">
        <v>568</v>
      </c>
      <c r="I35" s="125">
        <v>1575.2</v>
      </c>
      <c r="J35" s="123" t="s">
        <v>559</v>
      </c>
      <c r="K35" s="70"/>
    </row>
    <row r="36">
      <c r="G36" s="124">
        <v>17.0</v>
      </c>
      <c r="H36" s="130" t="s">
        <v>569</v>
      </c>
      <c r="I36" s="125">
        <v>1575.2</v>
      </c>
      <c r="J36" s="123" t="s">
        <v>559</v>
      </c>
      <c r="K36" s="70"/>
    </row>
    <row r="37">
      <c r="G37" s="70"/>
      <c r="H37" s="70"/>
      <c r="I37" s="128">
        <f>SUM(I20:I36)</f>
        <v>75703.49</v>
      </c>
      <c r="J37" s="70"/>
      <c r="K37" s="70"/>
    </row>
    <row r="41">
      <c r="A41" s="70"/>
      <c r="B41" s="70" t="s">
        <v>570</v>
      </c>
      <c r="C41" s="70"/>
      <c r="D41" s="70"/>
      <c r="E41" s="70"/>
      <c r="G41" s="70"/>
      <c r="H41" s="70"/>
      <c r="I41" s="70"/>
      <c r="J41" s="70"/>
    </row>
    <row r="42">
      <c r="A42" s="70"/>
      <c r="B42" s="70"/>
      <c r="C42" s="70"/>
      <c r="D42" s="70"/>
      <c r="E42" s="70"/>
      <c r="G42" s="70"/>
      <c r="H42" s="123" t="s">
        <v>548</v>
      </c>
      <c r="I42" s="123" t="s">
        <v>549</v>
      </c>
      <c r="J42" s="123" t="s">
        <v>550</v>
      </c>
    </row>
    <row r="43">
      <c r="A43" s="70"/>
      <c r="B43" s="70"/>
      <c r="C43" s="70"/>
      <c r="D43" s="70"/>
      <c r="E43" s="70"/>
      <c r="G43" s="124">
        <v>1.0</v>
      </c>
      <c r="H43" s="123" t="s">
        <v>67</v>
      </c>
      <c r="I43" s="125">
        <v>5989.43</v>
      </c>
      <c r="J43" s="123" t="s">
        <v>551</v>
      </c>
    </row>
    <row r="44">
      <c r="A44" s="70"/>
      <c r="B44" s="123" t="s">
        <v>548</v>
      </c>
      <c r="C44" s="123" t="s">
        <v>549</v>
      </c>
      <c r="D44" s="123" t="s">
        <v>550</v>
      </c>
      <c r="E44" s="70"/>
      <c r="G44" s="124">
        <v>2.0</v>
      </c>
      <c r="H44" s="123" t="s">
        <v>70</v>
      </c>
      <c r="I44" s="125">
        <v>0.0</v>
      </c>
      <c r="J44" s="123" t="s">
        <v>552</v>
      </c>
    </row>
    <row r="45">
      <c r="A45" s="124">
        <v>1.0</v>
      </c>
      <c r="B45" s="123" t="s">
        <v>67</v>
      </c>
      <c r="C45" s="125">
        <v>5989.43</v>
      </c>
      <c r="D45" s="123" t="s">
        <v>551</v>
      </c>
      <c r="E45" s="70"/>
      <c r="G45" s="124">
        <v>3.0</v>
      </c>
      <c r="H45" s="123" t="s">
        <v>73</v>
      </c>
      <c r="I45" s="125">
        <v>6499.95</v>
      </c>
      <c r="J45" s="123" t="s">
        <v>553</v>
      </c>
      <c r="L45" s="131">
        <f>C116*2</f>
        <v>9451.2</v>
      </c>
    </row>
    <row r="46">
      <c r="A46" s="124">
        <v>2.0</v>
      </c>
      <c r="B46" s="123" t="s">
        <v>70</v>
      </c>
      <c r="C46" s="125">
        <v>0.0</v>
      </c>
      <c r="D46" s="123" t="s">
        <v>552</v>
      </c>
      <c r="E46" s="70"/>
      <c r="G46" s="124">
        <v>4.0</v>
      </c>
      <c r="H46" s="123" t="s">
        <v>191</v>
      </c>
      <c r="I46" s="125">
        <v>6499.95</v>
      </c>
      <c r="J46" s="123" t="s">
        <v>554</v>
      </c>
    </row>
    <row r="47">
      <c r="A47" s="124">
        <v>3.0</v>
      </c>
      <c r="B47" s="123" t="s">
        <v>73</v>
      </c>
      <c r="C47" s="125">
        <v>6499.95</v>
      </c>
      <c r="D47" s="123" t="s">
        <v>553</v>
      </c>
      <c r="E47" s="70"/>
      <c r="G47" s="124">
        <v>5.0</v>
      </c>
      <c r="H47" s="123" t="s">
        <v>74</v>
      </c>
      <c r="I47" s="125">
        <v>6499.95</v>
      </c>
      <c r="J47" s="123" t="s">
        <v>553</v>
      </c>
    </row>
    <row r="48">
      <c r="A48" s="124">
        <v>4.0</v>
      </c>
      <c r="B48" s="123" t="s">
        <v>191</v>
      </c>
      <c r="C48" s="125">
        <v>6499.95</v>
      </c>
      <c r="D48" s="123" t="s">
        <v>554</v>
      </c>
      <c r="E48" s="70"/>
      <c r="G48" s="124">
        <v>6.0</v>
      </c>
      <c r="H48" s="123" t="s">
        <v>555</v>
      </c>
      <c r="I48" s="125">
        <v>13123.8</v>
      </c>
      <c r="J48" s="123" t="s">
        <v>556</v>
      </c>
    </row>
    <row r="49">
      <c r="A49" s="124">
        <v>5.0</v>
      </c>
      <c r="B49" s="123" t="s">
        <v>74</v>
      </c>
      <c r="C49" s="125">
        <v>6499.95</v>
      </c>
      <c r="D49" s="123" t="s">
        <v>553</v>
      </c>
      <c r="E49" s="70"/>
      <c r="G49" s="124">
        <v>7.0</v>
      </c>
      <c r="H49" s="123" t="s">
        <v>557</v>
      </c>
      <c r="I49" s="125">
        <v>6499.95</v>
      </c>
      <c r="J49" s="123" t="s">
        <v>558</v>
      </c>
    </row>
    <row r="50">
      <c r="A50" s="124">
        <v>6.0</v>
      </c>
      <c r="B50" s="123" t="s">
        <v>555</v>
      </c>
      <c r="C50" s="125">
        <v>13123.8</v>
      </c>
      <c r="D50" s="123" t="s">
        <v>556</v>
      </c>
      <c r="E50" s="70"/>
      <c r="G50" s="124">
        <v>8.0</v>
      </c>
      <c r="H50" s="123" t="s">
        <v>75</v>
      </c>
      <c r="I50" s="125">
        <v>11000.07</v>
      </c>
      <c r="J50" s="123" t="s">
        <v>558</v>
      </c>
    </row>
    <row r="51">
      <c r="A51" s="124">
        <v>7.0</v>
      </c>
      <c r="B51" s="123" t="s">
        <v>557</v>
      </c>
      <c r="C51" s="125">
        <v>6499.95</v>
      </c>
      <c r="D51" s="123" t="s">
        <v>558</v>
      </c>
      <c r="E51" s="70"/>
      <c r="G51" s="124">
        <v>9.0</v>
      </c>
      <c r="H51" s="123" t="s">
        <v>76</v>
      </c>
      <c r="I51" s="125">
        <v>6988.79</v>
      </c>
      <c r="J51" s="123" t="s">
        <v>559</v>
      </c>
    </row>
    <row r="52">
      <c r="A52" s="124">
        <v>8.0</v>
      </c>
      <c r="B52" s="123" t="s">
        <v>75</v>
      </c>
      <c r="C52" s="125">
        <v>11000.07</v>
      </c>
      <c r="D52" s="123" t="s">
        <v>558</v>
      </c>
      <c r="E52" s="70"/>
      <c r="G52" s="124">
        <v>10.0</v>
      </c>
      <c r="H52" s="130" t="s">
        <v>562</v>
      </c>
      <c r="I52" s="125">
        <v>4725.6</v>
      </c>
      <c r="J52" s="123" t="s">
        <v>559</v>
      </c>
    </row>
    <row r="53">
      <c r="A53" s="124">
        <v>9.0</v>
      </c>
      <c r="B53" s="123" t="s">
        <v>76</v>
      </c>
      <c r="C53" s="125">
        <v>6988.79</v>
      </c>
      <c r="D53" s="123" t="s">
        <v>559</v>
      </c>
      <c r="E53" s="70"/>
      <c r="G53" s="124">
        <v>11.0</v>
      </c>
      <c r="H53" s="130" t="s">
        <v>563</v>
      </c>
      <c r="I53" s="125">
        <v>4725.6</v>
      </c>
      <c r="J53" s="123" t="s">
        <v>559</v>
      </c>
    </row>
    <row r="54">
      <c r="A54" s="124">
        <v>10.0</v>
      </c>
      <c r="B54" s="130" t="s">
        <v>562</v>
      </c>
      <c r="C54" s="125">
        <v>5218.19</v>
      </c>
      <c r="D54" s="123" t="s">
        <v>559</v>
      </c>
      <c r="E54" s="70"/>
      <c r="G54" s="124">
        <v>12.0</v>
      </c>
      <c r="H54" s="130" t="s">
        <v>564</v>
      </c>
      <c r="I54" s="125">
        <v>4725.6</v>
      </c>
      <c r="J54" s="123" t="s">
        <v>559</v>
      </c>
    </row>
    <row r="55">
      <c r="A55" s="124">
        <v>11.0</v>
      </c>
      <c r="B55" s="130" t="s">
        <v>563</v>
      </c>
      <c r="C55" s="125">
        <v>5218.19</v>
      </c>
      <c r="D55" s="123" t="s">
        <v>559</v>
      </c>
      <c r="E55" s="70"/>
      <c r="G55" s="124">
        <v>13.0</v>
      </c>
      <c r="H55" s="130" t="s">
        <v>565</v>
      </c>
      <c r="I55" s="125">
        <v>4725.6</v>
      </c>
      <c r="J55" s="123" t="s">
        <v>559</v>
      </c>
    </row>
    <row r="56">
      <c r="A56" s="124">
        <v>12.0</v>
      </c>
      <c r="B56" s="130" t="s">
        <v>564</v>
      </c>
      <c r="C56" s="125">
        <v>5218.19</v>
      </c>
      <c r="D56" s="123" t="s">
        <v>559</v>
      </c>
      <c r="E56" s="70"/>
      <c r="G56" s="124">
        <v>14.0</v>
      </c>
      <c r="H56" s="130" t="s">
        <v>566</v>
      </c>
      <c r="I56" s="125">
        <v>4725.6</v>
      </c>
      <c r="J56" s="123" t="s">
        <v>559</v>
      </c>
    </row>
    <row r="57">
      <c r="A57" s="124">
        <v>13.0</v>
      </c>
      <c r="B57" s="130" t="s">
        <v>565</v>
      </c>
      <c r="C57" s="125">
        <v>5218.19</v>
      </c>
      <c r="D57" s="123" t="s">
        <v>559</v>
      </c>
      <c r="E57" s="70"/>
      <c r="G57" s="124">
        <v>15.0</v>
      </c>
      <c r="H57" s="130" t="s">
        <v>567</v>
      </c>
      <c r="I57" s="125">
        <v>4725.6</v>
      </c>
      <c r="J57" s="123" t="s">
        <v>559</v>
      </c>
    </row>
    <row r="58">
      <c r="A58" s="124">
        <v>14.0</v>
      </c>
      <c r="B58" s="130" t="s">
        <v>566</v>
      </c>
      <c r="C58" s="125">
        <v>5218.19</v>
      </c>
      <c r="D58" s="123" t="s">
        <v>559</v>
      </c>
      <c r="E58" s="70"/>
      <c r="G58" s="124">
        <v>16.0</v>
      </c>
      <c r="H58" s="130" t="s">
        <v>568</v>
      </c>
      <c r="I58" s="125">
        <v>4725.6</v>
      </c>
      <c r="J58" s="123" t="s">
        <v>559</v>
      </c>
    </row>
    <row r="59">
      <c r="A59" s="124">
        <v>15.0</v>
      </c>
      <c r="B59" s="130" t="s">
        <v>567</v>
      </c>
      <c r="C59" s="125">
        <v>5218.19</v>
      </c>
      <c r="D59" s="123" t="s">
        <v>559</v>
      </c>
      <c r="E59" s="70"/>
      <c r="G59" s="124">
        <v>17.0</v>
      </c>
      <c r="H59" s="130" t="s">
        <v>569</v>
      </c>
      <c r="I59" s="125">
        <v>4725.6</v>
      </c>
      <c r="J59" s="123" t="s">
        <v>559</v>
      </c>
    </row>
    <row r="60">
      <c r="A60" s="124">
        <v>16.0</v>
      </c>
      <c r="B60" s="130" t="s">
        <v>568</v>
      </c>
      <c r="C60" s="125">
        <v>5218.19</v>
      </c>
      <c r="D60" s="123" t="s">
        <v>559</v>
      </c>
      <c r="E60" s="70"/>
      <c r="G60" s="124">
        <v>18.0</v>
      </c>
      <c r="H60" s="123" t="s">
        <v>571</v>
      </c>
      <c r="I60" s="125">
        <v>4725.6</v>
      </c>
      <c r="J60" s="123" t="s">
        <v>559</v>
      </c>
    </row>
    <row r="61">
      <c r="A61" s="124">
        <v>17.0</v>
      </c>
      <c r="B61" s="130" t="s">
        <v>569</v>
      </c>
      <c r="C61" s="125">
        <f>I59</f>
        <v>4725.6</v>
      </c>
      <c r="D61" s="123" t="s">
        <v>559</v>
      </c>
      <c r="E61" s="70"/>
      <c r="G61" s="124">
        <v>19.0</v>
      </c>
      <c r="H61" s="123" t="s">
        <v>572</v>
      </c>
      <c r="I61" s="125">
        <v>4725.6</v>
      </c>
      <c r="J61" s="123" t="s">
        <v>559</v>
      </c>
    </row>
    <row r="62">
      <c r="A62" s="124">
        <v>18.0</v>
      </c>
      <c r="B62" s="123" t="s">
        <v>571</v>
      </c>
      <c r="C62" s="125">
        <v>4725.6</v>
      </c>
      <c r="D62" s="123" t="s">
        <v>559</v>
      </c>
      <c r="E62" s="70"/>
      <c r="G62" s="124">
        <v>20.0</v>
      </c>
      <c r="H62" s="123" t="s">
        <v>573</v>
      </c>
      <c r="I62" s="125">
        <v>4725.6</v>
      </c>
      <c r="J62" s="123" t="s">
        <v>559</v>
      </c>
      <c r="L62" s="132">
        <f t="shared" ref="L62:L79" si="1">C62+I60</f>
        <v>9451.2</v>
      </c>
    </row>
    <row r="63">
      <c r="A63" s="124">
        <v>19.0</v>
      </c>
      <c r="B63" s="123" t="s">
        <v>572</v>
      </c>
      <c r="C63" s="125">
        <v>4725.6</v>
      </c>
      <c r="D63" s="123" t="s">
        <v>559</v>
      </c>
      <c r="E63" s="70"/>
      <c r="G63" s="124">
        <v>21.0</v>
      </c>
      <c r="H63" s="123" t="s">
        <v>574</v>
      </c>
      <c r="I63" s="125">
        <v>4725.6</v>
      </c>
      <c r="J63" s="123" t="s">
        <v>559</v>
      </c>
      <c r="L63" s="132">
        <f t="shared" si="1"/>
        <v>9451.2</v>
      </c>
    </row>
    <row r="64">
      <c r="A64" s="124">
        <v>20.0</v>
      </c>
      <c r="B64" s="123" t="s">
        <v>573</v>
      </c>
      <c r="C64" s="125">
        <v>4725.6</v>
      </c>
      <c r="D64" s="123" t="s">
        <v>559</v>
      </c>
      <c r="E64" s="70"/>
      <c r="G64" s="124">
        <v>22.0</v>
      </c>
      <c r="H64" s="123" t="s">
        <v>575</v>
      </c>
      <c r="I64" s="125">
        <v>4725.6</v>
      </c>
      <c r="J64" s="123" t="s">
        <v>559</v>
      </c>
      <c r="L64" s="132">
        <f t="shared" si="1"/>
        <v>9451.2</v>
      </c>
    </row>
    <row r="65">
      <c r="A65" s="124">
        <v>21.0</v>
      </c>
      <c r="B65" s="123" t="s">
        <v>574</v>
      </c>
      <c r="C65" s="125">
        <v>4725.6</v>
      </c>
      <c r="D65" s="123" t="s">
        <v>559</v>
      </c>
      <c r="E65" s="70"/>
      <c r="G65" s="124">
        <v>23.0</v>
      </c>
      <c r="H65" s="123" t="s">
        <v>46</v>
      </c>
      <c r="I65" s="125">
        <v>4725.6</v>
      </c>
      <c r="J65" s="123" t="s">
        <v>559</v>
      </c>
      <c r="L65" s="132">
        <f t="shared" si="1"/>
        <v>9451.2</v>
      </c>
    </row>
    <row r="66">
      <c r="A66" s="124">
        <v>22.0</v>
      </c>
      <c r="B66" s="123" t="s">
        <v>575</v>
      </c>
      <c r="C66" s="125">
        <v>4725.6</v>
      </c>
      <c r="D66" s="123" t="s">
        <v>559</v>
      </c>
      <c r="E66" s="70"/>
      <c r="G66" s="124">
        <v>24.0</v>
      </c>
      <c r="H66" s="123" t="s">
        <v>175</v>
      </c>
      <c r="I66" s="125">
        <v>4725.6</v>
      </c>
      <c r="J66" s="123" t="s">
        <v>559</v>
      </c>
      <c r="L66" s="131">
        <f t="shared" si="1"/>
        <v>9451.2</v>
      </c>
    </row>
    <row r="67">
      <c r="A67" s="124">
        <v>23.0</v>
      </c>
      <c r="B67" s="123" t="s">
        <v>46</v>
      </c>
      <c r="C67" s="125">
        <v>4725.6</v>
      </c>
      <c r="D67" s="123" t="s">
        <v>559</v>
      </c>
      <c r="E67" s="70"/>
      <c r="G67" s="124">
        <v>25.0</v>
      </c>
      <c r="H67" s="123" t="s">
        <v>256</v>
      </c>
      <c r="I67" s="125">
        <v>4725.6</v>
      </c>
      <c r="J67" s="123" t="s">
        <v>559</v>
      </c>
      <c r="L67" s="131">
        <f t="shared" si="1"/>
        <v>9451.2</v>
      </c>
    </row>
    <row r="68">
      <c r="A68" s="124">
        <v>24.0</v>
      </c>
      <c r="B68" s="123" t="s">
        <v>175</v>
      </c>
      <c r="C68" s="125">
        <v>4725.6</v>
      </c>
      <c r="D68" s="123" t="s">
        <v>559</v>
      </c>
      <c r="E68" s="70"/>
      <c r="G68" s="124">
        <v>26.0</v>
      </c>
      <c r="H68" s="123" t="s">
        <v>576</v>
      </c>
      <c r="I68" s="125">
        <v>4725.6</v>
      </c>
      <c r="J68" s="123" t="s">
        <v>559</v>
      </c>
      <c r="L68" s="131">
        <f t="shared" si="1"/>
        <v>9451.2</v>
      </c>
    </row>
    <row r="69">
      <c r="A69" s="124">
        <v>25.0</v>
      </c>
      <c r="B69" s="123" t="s">
        <v>256</v>
      </c>
      <c r="C69" s="125">
        <v>4725.6</v>
      </c>
      <c r="D69" s="123" t="s">
        <v>559</v>
      </c>
      <c r="E69" s="70"/>
      <c r="G69" s="124">
        <v>27.0</v>
      </c>
      <c r="H69" s="123" t="s">
        <v>114</v>
      </c>
      <c r="I69" s="125">
        <v>4725.6</v>
      </c>
      <c r="J69" s="123" t="s">
        <v>559</v>
      </c>
      <c r="L69" s="131">
        <f t="shared" si="1"/>
        <v>9451.2</v>
      </c>
    </row>
    <row r="70">
      <c r="A70" s="124">
        <v>26.0</v>
      </c>
      <c r="B70" s="123" t="s">
        <v>576</v>
      </c>
      <c r="C70" s="125">
        <v>4725.6</v>
      </c>
      <c r="D70" s="123" t="s">
        <v>559</v>
      </c>
      <c r="E70" s="70"/>
      <c r="G70" s="124">
        <v>28.0</v>
      </c>
      <c r="H70" s="123" t="s">
        <v>577</v>
      </c>
      <c r="I70" s="125">
        <v>4725.6</v>
      </c>
      <c r="J70" s="123" t="s">
        <v>559</v>
      </c>
      <c r="L70" s="131">
        <f t="shared" si="1"/>
        <v>9451.2</v>
      </c>
    </row>
    <row r="71">
      <c r="A71" s="124">
        <v>27.0</v>
      </c>
      <c r="B71" s="123" t="s">
        <v>114</v>
      </c>
      <c r="C71" s="125">
        <v>4725.6</v>
      </c>
      <c r="D71" s="123" t="s">
        <v>559</v>
      </c>
      <c r="E71" s="70"/>
      <c r="G71" s="124">
        <v>29.0</v>
      </c>
      <c r="H71" s="123" t="s">
        <v>262</v>
      </c>
      <c r="I71" s="125">
        <v>4725.6</v>
      </c>
      <c r="J71" s="123" t="s">
        <v>559</v>
      </c>
      <c r="L71" s="131">
        <f t="shared" si="1"/>
        <v>9451.2</v>
      </c>
    </row>
    <row r="72">
      <c r="A72" s="124">
        <v>28.0</v>
      </c>
      <c r="B72" s="123" t="s">
        <v>577</v>
      </c>
      <c r="C72" s="125">
        <v>4725.6</v>
      </c>
      <c r="D72" s="123" t="s">
        <v>559</v>
      </c>
      <c r="E72" s="70"/>
      <c r="G72" s="124">
        <v>30.0</v>
      </c>
      <c r="H72" s="123" t="s">
        <v>578</v>
      </c>
      <c r="I72" s="125">
        <v>4725.6</v>
      </c>
      <c r="J72" s="123" t="s">
        <v>559</v>
      </c>
      <c r="L72" s="131">
        <f t="shared" si="1"/>
        <v>9451.2</v>
      </c>
    </row>
    <row r="73">
      <c r="A73" s="124">
        <v>29.0</v>
      </c>
      <c r="B73" s="123" t="s">
        <v>262</v>
      </c>
      <c r="C73" s="125">
        <v>4725.6</v>
      </c>
      <c r="D73" s="123" t="s">
        <v>559</v>
      </c>
      <c r="E73" s="70"/>
      <c r="G73" s="124">
        <v>31.0</v>
      </c>
      <c r="H73" s="123" t="s">
        <v>169</v>
      </c>
      <c r="I73" s="125">
        <v>4725.6</v>
      </c>
      <c r="J73" s="123" t="s">
        <v>559</v>
      </c>
      <c r="L73" s="131">
        <f t="shared" si="1"/>
        <v>9451.2</v>
      </c>
    </row>
    <row r="74">
      <c r="A74" s="124">
        <v>30.0</v>
      </c>
      <c r="B74" s="123" t="s">
        <v>578</v>
      </c>
      <c r="C74" s="125">
        <v>1890.24</v>
      </c>
      <c r="D74" s="123" t="s">
        <v>559</v>
      </c>
      <c r="E74" s="70"/>
      <c r="G74" s="124">
        <v>32.0</v>
      </c>
      <c r="H74" s="123" t="s">
        <v>355</v>
      </c>
      <c r="I74" s="125">
        <v>4725.6</v>
      </c>
      <c r="J74" s="123" t="s">
        <v>559</v>
      </c>
      <c r="L74" s="131">
        <f t="shared" si="1"/>
        <v>6615.84</v>
      </c>
    </row>
    <row r="75">
      <c r="A75" s="124">
        <v>31.0</v>
      </c>
      <c r="B75" s="123" t="s">
        <v>169</v>
      </c>
      <c r="C75" s="125">
        <v>1890.24</v>
      </c>
      <c r="D75" s="123" t="s">
        <v>559</v>
      </c>
      <c r="E75" s="70"/>
      <c r="G75" s="124">
        <v>33.0</v>
      </c>
      <c r="H75" s="123" t="s">
        <v>579</v>
      </c>
      <c r="I75" s="125">
        <v>4725.6</v>
      </c>
      <c r="J75" s="123" t="s">
        <v>559</v>
      </c>
      <c r="L75" s="131">
        <f t="shared" si="1"/>
        <v>6615.84</v>
      </c>
    </row>
    <row r="76">
      <c r="A76" s="124">
        <v>32.0</v>
      </c>
      <c r="B76" s="123" t="s">
        <v>355</v>
      </c>
      <c r="C76" s="125">
        <v>1890.24</v>
      </c>
      <c r="D76" s="123" t="s">
        <v>559</v>
      </c>
      <c r="E76" s="70"/>
      <c r="G76" s="124">
        <v>34.0</v>
      </c>
      <c r="H76" s="123" t="s">
        <v>580</v>
      </c>
      <c r="I76" s="125">
        <v>4725.6</v>
      </c>
      <c r="J76" s="123" t="s">
        <v>559</v>
      </c>
      <c r="L76" s="131">
        <f t="shared" si="1"/>
        <v>6615.84</v>
      </c>
    </row>
    <row r="77">
      <c r="A77" s="124">
        <v>33.0</v>
      </c>
      <c r="B77" s="123" t="s">
        <v>579</v>
      </c>
      <c r="C77" s="125">
        <v>1890.24</v>
      </c>
      <c r="D77" s="123" t="s">
        <v>559</v>
      </c>
      <c r="E77" s="70"/>
      <c r="G77" s="124">
        <v>35.0</v>
      </c>
      <c r="H77" s="123" t="s">
        <v>61</v>
      </c>
      <c r="I77" s="125">
        <v>4725.6</v>
      </c>
      <c r="J77" s="123" t="s">
        <v>559</v>
      </c>
      <c r="L77" s="131">
        <f t="shared" si="1"/>
        <v>6615.84</v>
      </c>
    </row>
    <row r="78">
      <c r="A78" s="124">
        <v>34.0</v>
      </c>
      <c r="B78" s="123" t="s">
        <v>580</v>
      </c>
      <c r="C78" s="125">
        <v>1890.24</v>
      </c>
      <c r="D78" s="123" t="s">
        <v>559</v>
      </c>
      <c r="E78" s="70"/>
      <c r="G78" s="124">
        <v>36.0</v>
      </c>
      <c r="H78" s="123" t="s">
        <v>337</v>
      </c>
      <c r="I78" s="125">
        <v>4725.6</v>
      </c>
      <c r="J78" s="123" t="s">
        <v>559</v>
      </c>
      <c r="L78" s="131">
        <f t="shared" si="1"/>
        <v>6615.84</v>
      </c>
    </row>
    <row r="79">
      <c r="A79" s="124">
        <v>35.0</v>
      </c>
      <c r="B79" s="123" t="s">
        <v>61</v>
      </c>
      <c r="C79" s="125">
        <v>1890.24</v>
      </c>
      <c r="D79" s="123" t="s">
        <v>559</v>
      </c>
      <c r="E79" s="70"/>
      <c r="G79" s="124">
        <v>37.0</v>
      </c>
      <c r="H79" s="123" t="s">
        <v>581</v>
      </c>
      <c r="I79" s="125">
        <v>4725.6</v>
      </c>
      <c r="J79" s="123" t="s">
        <v>559</v>
      </c>
      <c r="L79" s="131">
        <f t="shared" si="1"/>
        <v>6615.84</v>
      </c>
    </row>
    <row r="80">
      <c r="A80" s="70"/>
      <c r="B80" s="70"/>
      <c r="C80" s="128">
        <f>SUM(C45:C79)</f>
        <v>172403.46</v>
      </c>
      <c r="D80" s="70"/>
      <c r="E80" s="70"/>
      <c r="G80" s="124">
        <v>38.0</v>
      </c>
      <c r="H80" s="123" t="s">
        <v>211</v>
      </c>
      <c r="I80" s="125">
        <v>4725.6</v>
      </c>
      <c r="J80" s="123" t="s">
        <v>559</v>
      </c>
      <c r="L80" s="131">
        <f>I78</f>
        <v>4725.6</v>
      </c>
    </row>
    <row r="81">
      <c r="A81" s="70"/>
      <c r="B81" s="70"/>
      <c r="C81" s="70"/>
      <c r="D81" s="70"/>
      <c r="E81" s="70"/>
      <c r="G81" s="124">
        <v>39.0</v>
      </c>
      <c r="H81" s="123" t="s">
        <v>54</v>
      </c>
      <c r="I81" s="125">
        <v>4725.6</v>
      </c>
      <c r="J81" s="123" t="s">
        <v>559</v>
      </c>
      <c r="L81" s="131">
        <f t="shared" ref="L81:L88" si="2">C81+I79</f>
        <v>4725.6</v>
      </c>
    </row>
    <row r="82">
      <c r="G82" s="124">
        <v>40.0</v>
      </c>
      <c r="H82" s="123" t="s">
        <v>304</v>
      </c>
      <c r="I82" s="125">
        <v>4725.6</v>
      </c>
      <c r="J82" s="123" t="s">
        <v>559</v>
      </c>
      <c r="L82" s="131">
        <f t="shared" si="2"/>
        <v>4725.6</v>
      </c>
    </row>
    <row r="83">
      <c r="G83" s="124">
        <v>41.0</v>
      </c>
      <c r="H83" s="123" t="s">
        <v>582</v>
      </c>
      <c r="I83" s="125">
        <v>4725.6</v>
      </c>
      <c r="J83" s="123" t="s">
        <v>559</v>
      </c>
      <c r="L83" s="131">
        <f t="shared" si="2"/>
        <v>4725.6</v>
      </c>
    </row>
    <row r="84">
      <c r="G84" s="124">
        <v>42.0</v>
      </c>
      <c r="H84" s="123" t="s">
        <v>583</v>
      </c>
      <c r="I84" s="125">
        <v>2205.28</v>
      </c>
      <c r="J84" s="123" t="s">
        <v>559</v>
      </c>
      <c r="L84" s="131">
        <f t="shared" si="2"/>
        <v>4725.6</v>
      </c>
    </row>
    <row r="85">
      <c r="G85" s="124">
        <v>43.0</v>
      </c>
      <c r="H85" s="123" t="s">
        <v>584</v>
      </c>
      <c r="I85" s="125">
        <v>2205.28</v>
      </c>
      <c r="J85" s="123" t="s">
        <v>559</v>
      </c>
      <c r="L85" s="131">
        <f t="shared" si="2"/>
        <v>4725.6</v>
      </c>
    </row>
    <row r="86">
      <c r="G86" s="124">
        <v>44.0</v>
      </c>
      <c r="H86" s="123" t="s">
        <v>236</v>
      </c>
      <c r="I86" s="125">
        <v>630.08</v>
      </c>
      <c r="J86" s="123" t="s">
        <v>559</v>
      </c>
      <c r="L86" s="131">
        <f t="shared" si="2"/>
        <v>2205.28</v>
      </c>
    </row>
    <row r="87">
      <c r="G87" s="70"/>
      <c r="H87" s="70"/>
      <c r="I87" s="128">
        <f>SUM(I43:I86)</f>
        <v>219361.73</v>
      </c>
      <c r="J87" s="70"/>
      <c r="L87" s="131">
        <f t="shared" si="2"/>
        <v>2205.28</v>
      </c>
    </row>
    <row r="88">
      <c r="G88" s="70"/>
      <c r="H88" s="70"/>
      <c r="I88" s="70"/>
      <c r="J88" s="70"/>
      <c r="L88" s="131">
        <f t="shared" si="2"/>
        <v>630.08</v>
      </c>
    </row>
    <row r="89">
      <c r="G89" s="70"/>
      <c r="H89" s="70"/>
      <c r="I89" s="70"/>
      <c r="J89" s="70"/>
    </row>
    <row r="94">
      <c r="A94" s="70"/>
      <c r="B94" s="70" t="s">
        <v>585</v>
      </c>
      <c r="C94" s="70"/>
      <c r="D94" s="70"/>
      <c r="E94" s="70"/>
      <c r="G94" s="70"/>
      <c r="H94" s="70" t="s">
        <v>586</v>
      </c>
      <c r="I94" s="70"/>
      <c r="J94" s="70"/>
    </row>
    <row r="95">
      <c r="A95" s="70"/>
      <c r="B95" s="70"/>
      <c r="C95" s="70"/>
      <c r="D95" s="70"/>
      <c r="E95" s="70"/>
      <c r="G95" s="70"/>
      <c r="H95" s="70"/>
      <c r="I95" s="70"/>
      <c r="J95" s="70"/>
    </row>
    <row r="96">
      <c r="A96" s="70"/>
      <c r="B96" s="123" t="s">
        <v>548</v>
      </c>
      <c r="C96" s="123" t="s">
        <v>549</v>
      </c>
      <c r="D96" s="123" t="s">
        <v>550</v>
      </c>
      <c r="E96" s="70"/>
      <c r="G96" s="70"/>
      <c r="H96" s="123" t="s">
        <v>548</v>
      </c>
      <c r="I96" s="123" t="s">
        <v>549</v>
      </c>
      <c r="J96" s="123" t="s">
        <v>550</v>
      </c>
    </row>
    <row r="97">
      <c r="A97" s="124">
        <v>1.0</v>
      </c>
      <c r="B97" s="123" t="s">
        <v>67</v>
      </c>
      <c r="C97" s="125">
        <v>5989.43</v>
      </c>
      <c r="D97" s="123" t="s">
        <v>551</v>
      </c>
      <c r="E97" s="70"/>
      <c r="G97" s="124">
        <v>1.0</v>
      </c>
      <c r="H97" s="123" t="s">
        <v>67</v>
      </c>
      <c r="I97" s="125">
        <v>5989.43</v>
      </c>
      <c r="J97" s="123" t="s">
        <v>551</v>
      </c>
    </row>
    <row r="98">
      <c r="A98" s="124">
        <v>2.0</v>
      </c>
      <c r="B98" s="123" t="s">
        <v>70</v>
      </c>
      <c r="C98" s="125">
        <v>0.0</v>
      </c>
      <c r="D98" s="123" t="s">
        <v>552</v>
      </c>
      <c r="E98" s="70"/>
      <c r="G98" s="124">
        <v>2.0</v>
      </c>
      <c r="H98" s="123" t="s">
        <v>70</v>
      </c>
      <c r="I98" s="125">
        <v>0.0</v>
      </c>
      <c r="J98" s="123" t="s">
        <v>552</v>
      </c>
    </row>
    <row r="99">
      <c r="A99" s="124">
        <v>3.0</v>
      </c>
      <c r="B99" s="123" t="s">
        <v>73</v>
      </c>
      <c r="C99" s="125">
        <v>6499.95</v>
      </c>
      <c r="D99" s="123" t="s">
        <v>553</v>
      </c>
      <c r="E99" s="70"/>
      <c r="G99" s="124">
        <v>3.0</v>
      </c>
      <c r="H99" s="123" t="s">
        <v>73</v>
      </c>
      <c r="I99" s="125">
        <v>6499.95</v>
      </c>
      <c r="J99" s="123" t="s">
        <v>553</v>
      </c>
    </row>
    <row r="100">
      <c r="A100" s="124">
        <v>4.0</v>
      </c>
      <c r="B100" s="123" t="s">
        <v>191</v>
      </c>
      <c r="C100" s="125">
        <v>6499.95</v>
      </c>
      <c r="D100" s="123" t="s">
        <v>554</v>
      </c>
      <c r="E100" s="70"/>
      <c r="G100" s="124">
        <v>4.0</v>
      </c>
      <c r="H100" s="123" t="s">
        <v>191</v>
      </c>
      <c r="I100" s="125">
        <v>6499.95</v>
      </c>
      <c r="J100" s="123" t="s">
        <v>554</v>
      </c>
    </row>
    <row r="101">
      <c r="A101" s="124">
        <v>5.0</v>
      </c>
      <c r="B101" s="123" t="s">
        <v>74</v>
      </c>
      <c r="C101" s="125">
        <v>6499.95</v>
      </c>
      <c r="D101" s="123" t="s">
        <v>553</v>
      </c>
      <c r="E101" s="70"/>
      <c r="G101" s="124">
        <v>5.0</v>
      </c>
      <c r="H101" s="123" t="s">
        <v>74</v>
      </c>
      <c r="I101" s="125">
        <v>6499.95</v>
      </c>
      <c r="J101" s="123" t="s">
        <v>553</v>
      </c>
    </row>
    <row r="102">
      <c r="A102" s="124">
        <v>6.0</v>
      </c>
      <c r="B102" s="123" t="s">
        <v>555</v>
      </c>
      <c r="C102" s="125">
        <v>13123.8</v>
      </c>
      <c r="D102" s="123" t="s">
        <v>556</v>
      </c>
      <c r="E102" s="70"/>
      <c r="G102" s="124">
        <v>6.0</v>
      </c>
      <c r="H102" s="123" t="s">
        <v>555</v>
      </c>
      <c r="I102" s="125">
        <v>13123.8</v>
      </c>
      <c r="J102" s="123" t="s">
        <v>556</v>
      </c>
    </row>
    <row r="103">
      <c r="A103" s="124">
        <v>7.0</v>
      </c>
      <c r="B103" s="123" t="s">
        <v>557</v>
      </c>
      <c r="C103" s="125">
        <v>6499.95</v>
      </c>
      <c r="D103" s="123" t="s">
        <v>558</v>
      </c>
      <c r="E103" s="70"/>
      <c r="G103" s="124">
        <v>7.0</v>
      </c>
      <c r="H103" s="123" t="s">
        <v>557</v>
      </c>
      <c r="I103" s="125">
        <v>6499.95</v>
      </c>
      <c r="J103" s="123" t="s">
        <v>558</v>
      </c>
    </row>
    <row r="104">
      <c r="A104" s="124">
        <v>8.0</v>
      </c>
      <c r="B104" s="123" t="s">
        <v>75</v>
      </c>
      <c r="C104" s="125">
        <v>11000.07</v>
      </c>
      <c r="D104" s="123" t="s">
        <v>558</v>
      </c>
      <c r="E104" s="70"/>
      <c r="G104" s="124">
        <v>8.0</v>
      </c>
      <c r="H104" s="123" t="s">
        <v>75</v>
      </c>
      <c r="I104" s="125">
        <v>11000.07</v>
      </c>
      <c r="J104" s="123" t="s">
        <v>558</v>
      </c>
    </row>
    <row r="105">
      <c r="A105" s="124">
        <v>9.0</v>
      </c>
      <c r="B105" s="123" t="s">
        <v>76</v>
      </c>
      <c r="C105" s="125">
        <v>6988.79</v>
      </c>
      <c r="D105" s="123" t="s">
        <v>559</v>
      </c>
      <c r="E105" s="70"/>
      <c r="G105" s="124">
        <v>9.0</v>
      </c>
      <c r="H105" s="123" t="s">
        <v>76</v>
      </c>
      <c r="I105" s="125">
        <v>6988.79</v>
      </c>
      <c r="J105" s="123" t="s">
        <v>559</v>
      </c>
    </row>
    <row r="106">
      <c r="A106" s="124">
        <v>10.0</v>
      </c>
      <c r="B106" s="130" t="s">
        <v>562</v>
      </c>
      <c r="C106" s="125">
        <v>4725.6</v>
      </c>
      <c r="D106" s="123" t="s">
        <v>559</v>
      </c>
      <c r="E106" s="70"/>
      <c r="G106" s="124">
        <v>10.0</v>
      </c>
      <c r="H106" s="130" t="s">
        <v>562</v>
      </c>
      <c r="I106" s="125">
        <v>4725.6</v>
      </c>
      <c r="J106" s="123" t="s">
        <v>559</v>
      </c>
    </row>
    <row r="107">
      <c r="A107" s="124">
        <v>11.0</v>
      </c>
      <c r="B107" s="130" t="s">
        <v>563</v>
      </c>
      <c r="C107" s="125">
        <v>4725.6</v>
      </c>
      <c r="D107" s="123" t="s">
        <v>559</v>
      </c>
      <c r="E107" s="70"/>
      <c r="G107" s="124">
        <v>11.0</v>
      </c>
      <c r="H107" s="130" t="s">
        <v>563</v>
      </c>
      <c r="I107" s="125">
        <v>4725.6</v>
      </c>
      <c r="J107" s="123" t="s">
        <v>559</v>
      </c>
    </row>
    <row r="108">
      <c r="A108" s="124">
        <v>12.0</v>
      </c>
      <c r="B108" s="130" t="s">
        <v>564</v>
      </c>
      <c r="C108" s="125">
        <v>4725.6</v>
      </c>
      <c r="D108" s="123" t="s">
        <v>559</v>
      </c>
      <c r="E108" s="70"/>
      <c r="G108" s="124">
        <v>12.0</v>
      </c>
      <c r="H108" s="130" t="s">
        <v>564</v>
      </c>
      <c r="I108" s="125">
        <v>4725.6</v>
      </c>
      <c r="J108" s="123" t="s">
        <v>559</v>
      </c>
    </row>
    <row r="109">
      <c r="A109" s="124">
        <v>13.0</v>
      </c>
      <c r="B109" s="130" t="s">
        <v>565</v>
      </c>
      <c r="C109" s="125">
        <v>4725.6</v>
      </c>
      <c r="D109" s="123" t="s">
        <v>559</v>
      </c>
      <c r="E109" s="70"/>
      <c r="G109" s="124">
        <v>13.0</v>
      </c>
      <c r="H109" s="130" t="s">
        <v>565</v>
      </c>
      <c r="I109" s="125">
        <v>4725.6</v>
      </c>
      <c r="J109" s="123" t="s">
        <v>559</v>
      </c>
    </row>
    <row r="110">
      <c r="A110" s="124">
        <v>14.0</v>
      </c>
      <c r="B110" s="130" t="s">
        <v>566</v>
      </c>
      <c r="C110" s="125">
        <v>4725.6</v>
      </c>
      <c r="D110" s="123" t="s">
        <v>559</v>
      </c>
      <c r="E110" s="70"/>
      <c r="G110" s="124">
        <v>14.0</v>
      </c>
      <c r="H110" s="130" t="s">
        <v>566</v>
      </c>
      <c r="I110" s="125">
        <v>4725.6</v>
      </c>
      <c r="J110" s="123" t="s">
        <v>559</v>
      </c>
    </row>
    <row r="111">
      <c r="A111" s="124">
        <v>15.0</v>
      </c>
      <c r="B111" s="130" t="s">
        <v>567</v>
      </c>
      <c r="C111" s="125">
        <v>4725.6</v>
      </c>
      <c r="D111" s="123" t="s">
        <v>559</v>
      </c>
      <c r="E111" s="70"/>
      <c r="G111" s="124">
        <v>15.0</v>
      </c>
      <c r="H111" s="130" t="s">
        <v>567</v>
      </c>
      <c r="I111" s="125">
        <v>4725.6</v>
      </c>
      <c r="J111" s="123" t="s">
        <v>559</v>
      </c>
    </row>
    <row r="112">
      <c r="A112" s="124">
        <v>16.0</v>
      </c>
      <c r="B112" s="130" t="s">
        <v>568</v>
      </c>
      <c r="C112" s="125">
        <v>4725.6</v>
      </c>
      <c r="D112" s="123" t="s">
        <v>559</v>
      </c>
      <c r="E112" s="70"/>
      <c r="G112" s="124">
        <v>16.0</v>
      </c>
      <c r="H112" s="130" t="s">
        <v>568</v>
      </c>
      <c r="I112" s="125">
        <v>4725.6</v>
      </c>
      <c r="J112" s="123" t="s">
        <v>559</v>
      </c>
    </row>
    <row r="113">
      <c r="A113" s="124">
        <v>17.0</v>
      </c>
      <c r="B113" s="130" t="s">
        <v>569</v>
      </c>
      <c r="C113" s="125">
        <v>4725.6</v>
      </c>
      <c r="D113" s="123" t="s">
        <v>559</v>
      </c>
      <c r="E113" s="70"/>
      <c r="G113" s="124">
        <v>17.0</v>
      </c>
      <c r="H113" s="130" t="s">
        <v>569</v>
      </c>
      <c r="I113" s="125">
        <v>4725.6</v>
      </c>
      <c r="J113" s="123" t="s">
        <v>559</v>
      </c>
    </row>
    <row r="114">
      <c r="A114" s="124">
        <v>18.0</v>
      </c>
      <c r="B114" s="123" t="s">
        <v>571</v>
      </c>
      <c r="C114" s="125">
        <v>4725.6</v>
      </c>
      <c r="D114" s="123" t="s">
        <v>559</v>
      </c>
      <c r="E114" s="70"/>
      <c r="G114" s="124">
        <v>18.0</v>
      </c>
      <c r="H114" s="123" t="s">
        <v>571</v>
      </c>
      <c r="I114" s="125">
        <v>4725.6</v>
      </c>
      <c r="J114" s="123" t="s">
        <v>559</v>
      </c>
      <c r="L114" s="131">
        <f t="shared" ref="L114:L143" si="3">C114+I114</f>
        <v>9451.2</v>
      </c>
    </row>
    <row r="115">
      <c r="A115" s="124">
        <v>19.0</v>
      </c>
      <c r="B115" s="123" t="s">
        <v>572</v>
      </c>
      <c r="C115" s="125">
        <v>4725.6</v>
      </c>
      <c r="D115" s="123" t="s">
        <v>559</v>
      </c>
      <c r="E115" s="70"/>
      <c r="G115" s="124">
        <v>19.0</v>
      </c>
      <c r="H115" s="123" t="s">
        <v>572</v>
      </c>
      <c r="I115" s="125">
        <v>4725.6</v>
      </c>
      <c r="J115" s="123" t="s">
        <v>559</v>
      </c>
      <c r="L115" s="131">
        <f t="shared" si="3"/>
        <v>9451.2</v>
      </c>
    </row>
    <row r="116">
      <c r="A116" s="124">
        <v>20.0</v>
      </c>
      <c r="B116" s="123" t="s">
        <v>573</v>
      </c>
      <c r="C116" s="125">
        <v>4725.6</v>
      </c>
      <c r="D116" s="123" t="s">
        <v>559</v>
      </c>
      <c r="E116" s="70"/>
      <c r="G116" s="124">
        <v>20.0</v>
      </c>
      <c r="H116" s="123" t="s">
        <v>573</v>
      </c>
      <c r="I116" s="125">
        <v>4725.6</v>
      </c>
      <c r="J116" s="123" t="s">
        <v>559</v>
      </c>
      <c r="L116" s="131">
        <f t="shared" si="3"/>
        <v>9451.2</v>
      </c>
    </row>
    <row r="117">
      <c r="A117" s="124">
        <v>21.0</v>
      </c>
      <c r="B117" s="123" t="s">
        <v>574</v>
      </c>
      <c r="C117" s="125">
        <v>4725.6</v>
      </c>
      <c r="D117" s="123" t="s">
        <v>559</v>
      </c>
      <c r="E117" s="70"/>
      <c r="G117" s="124">
        <v>21.0</v>
      </c>
      <c r="H117" s="123" t="s">
        <v>574</v>
      </c>
      <c r="I117" s="125">
        <v>4725.6</v>
      </c>
      <c r="J117" s="123" t="s">
        <v>559</v>
      </c>
      <c r="L117" s="131">
        <f t="shared" si="3"/>
        <v>9451.2</v>
      </c>
    </row>
    <row r="118">
      <c r="A118" s="124">
        <v>22.0</v>
      </c>
      <c r="B118" s="123" t="s">
        <v>575</v>
      </c>
      <c r="C118" s="125">
        <v>4725.6</v>
      </c>
      <c r="D118" s="123" t="s">
        <v>559</v>
      </c>
      <c r="E118" s="70"/>
      <c r="G118" s="124">
        <v>22.0</v>
      </c>
      <c r="H118" s="123" t="s">
        <v>575</v>
      </c>
      <c r="I118" s="125">
        <v>4725.6</v>
      </c>
      <c r="J118" s="123" t="s">
        <v>559</v>
      </c>
      <c r="L118" s="131">
        <f t="shared" si="3"/>
        <v>9451.2</v>
      </c>
    </row>
    <row r="119">
      <c r="A119" s="124">
        <v>23.0</v>
      </c>
      <c r="B119" s="123" t="s">
        <v>46</v>
      </c>
      <c r="C119" s="125">
        <v>1854.6</v>
      </c>
      <c r="D119" s="123" t="s">
        <v>559</v>
      </c>
      <c r="E119" s="70"/>
      <c r="G119" s="124">
        <v>23.0</v>
      </c>
      <c r="H119" s="123" t="s">
        <v>46</v>
      </c>
      <c r="I119" s="125">
        <v>1854.6</v>
      </c>
      <c r="J119" s="123" t="s">
        <v>559</v>
      </c>
      <c r="L119" s="131">
        <f t="shared" si="3"/>
        <v>3709.2</v>
      </c>
    </row>
    <row r="120">
      <c r="A120" s="124">
        <v>24.0</v>
      </c>
      <c r="B120" s="123" t="s">
        <v>175</v>
      </c>
      <c r="C120" s="125">
        <v>4725.6</v>
      </c>
      <c r="D120" s="123" t="s">
        <v>559</v>
      </c>
      <c r="E120" s="70"/>
      <c r="G120" s="124">
        <v>24.0</v>
      </c>
      <c r="H120" s="123" t="s">
        <v>175</v>
      </c>
      <c r="I120" s="125">
        <v>4725.6</v>
      </c>
      <c r="J120" s="123" t="s">
        <v>559</v>
      </c>
      <c r="L120" s="131">
        <f t="shared" si="3"/>
        <v>9451.2</v>
      </c>
    </row>
    <row r="121">
      <c r="A121" s="124">
        <v>25.0</v>
      </c>
      <c r="B121" s="123" t="s">
        <v>256</v>
      </c>
      <c r="C121" s="125">
        <v>4725.6</v>
      </c>
      <c r="D121" s="123" t="s">
        <v>559</v>
      </c>
      <c r="E121" s="70"/>
      <c r="G121" s="124">
        <v>25.0</v>
      </c>
      <c r="H121" s="123" t="s">
        <v>256</v>
      </c>
      <c r="I121" s="125">
        <v>4725.6</v>
      </c>
      <c r="J121" s="123" t="s">
        <v>559</v>
      </c>
      <c r="L121" s="131">
        <f t="shared" si="3"/>
        <v>9451.2</v>
      </c>
    </row>
    <row r="122">
      <c r="A122" s="124">
        <v>26.0</v>
      </c>
      <c r="B122" s="123" t="s">
        <v>576</v>
      </c>
      <c r="C122" s="125">
        <v>4725.6</v>
      </c>
      <c r="D122" s="123" t="s">
        <v>559</v>
      </c>
      <c r="E122" s="70"/>
      <c r="G122" s="124">
        <v>26.0</v>
      </c>
      <c r="H122" s="123" t="s">
        <v>576</v>
      </c>
      <c r="I122" s="125">
        <v>4725.6</v>
      </c>
      <c r="J122" s="123" t="s">
        <v>559</v>
      </c>
      <c r="L122" s="131">
        <f t="shared" si="3"/>
        <v>9451.2</v>
      </c>
    </row>
    <row r="123">
      <c r="A123" s="124">
        <v>27.0</v>
      </c>
      <c r="B123" s="123" t="s">
        <v>114</v>
      </c>
      <c r="C123" s="125">
        <v>4725.6</v>
      </c>
      <c r="D123" s="123" t="s">
        <v>559</v>
      </c>
      <c r="E123" s="70"/>
      <c r="G123" s="124">
        <v>27.0</v>
      </c>
      <c r="H123" s="123" t="s">
        <v>114</v>
      </c>
      <c r="I123" s="125">
        <v>4725.6</v>
      </c>
      <c r="J123" s="123" t="s">
        <v>559</v>
      </c>
      <c r="L123" s="131">
        <f t="shared" si="3"/>
        <v>9451.2</v>
      </c>
    </row>
    <row r="124">
      <c r="A124" s="124">
        <v>28.0</v>
      </c>
      <c r="B124" s="123" t="s">
        <v>577</v>
      </c>
      <c r="C124" s="125">
        <v>4725.6</v>
      </c>
      <c r="D124" s="123" t="s">
        <v>559</v>
      </c>
      <c r="E124" s="70"/>
      <c r="G124" s="124">
        <v>28.0</v>
      </c>
      <c r="H124" s="123" t="s">
        <v>577</v>
      </c>
      <c r="I124" s="125">
        <v>4725.6</v>
      </c>
      <c r="J124" s="123" t="s">
        <v>559</v>
      </c>
      <c r="L124" s="131">
        <f t="shared" si="3"/>
        <v>9451.2</v>
      </c>
    </row>
    <row r="125">
      <c r="A125" s="124">
        <v>29.0</v>
      </c>
      <c r="B125" s="123" t="s">
        <v>262</v>
      </c>
      <c r="C125" s="125">
        <v>4725.6</v>
      </c>
      <c r="D125" s="123" t="s">
        <v>559</v>
      </c>
      <c r="E125" s="70"/>
      <c r="G125" s="124">
        <v>29.0</v>
      </c>
      <c r="H125" s="123" t="s">
        <v>262</v>
      </c>
      <c r="I125" s="125">
        <v>4725.6</v>
      </c>
      <c r="J125" s="123" t="s">
        <v>559</v>
      </c>
      <c r="L125" s="131">
        <f t="shared" si="3"/>
        <v>9451.2</v>
      </c>
    </row>
    <row r="126">
      <c r="A126" s="124">
        <v>30.0</v>
      </c>
      <c r="B126" s="123" t="s">
        <v>578</v>
      </c>
      <c r="C126" s="125">
        <v>4725.6</v>
      </c>
      <c r="D126" s="123" t="s">
        <v>559</v>
      </c>
      <c r="E126" s="70"/>
      <c r="G126" s="124">
        <v>30.0</v>
      </c>
      <c r="H126" s="123" t="s">
        <v>578</v>
      </c>
      <c r="I126" s="125">
        <v>4725.6</v>
      </c>
      <c r="J126" s="123" t="s">
        <v>559</v>
      </c>
      <c r="L126" s="131">
        <f t="shared" si="3"/>
        <v>9451.2</v>
      </c>
    </row>
    <row r="127">
      <c r="A127" s="124">
        <v>31.0</v>
      </c>
      <c r="B127" s="123" t="s">
        <v>169</v>
      </c>
      <c r="C127" s="125">
        <v>4725.6</v>
      </c>
      <c r="D127" s="123" t="s">
        <v>559</v>
      </c>
      <c r="E127" s="70"/>
      <c r="G127" s="124">
        <v>31.0</v>
      </c>
      <c r="H127" s="123" t="s">
        <v>169</v>
      </c>
      <c r="I127" s="125">
        <v>1575.2</v>
      </c>
      <c r="J127" s="123" t="s">
        <v>559</v>
      </c>
      <c r="L127" s="131">
        <f t="shared" si="3"/>
        <v>6300.8</v>
      </c>
    </row>
    <row r="128">
      <c r="A128" s="124">
        <v>32.0</v>
      </c>
      <c r="B128" s="123" t="s">
        <v>355</v>
      </c>
      <c r="C128" s="125">
        <v>4725.6</v>
      </c>
      <c r="D128" s="123" t="s">
        <v>559</v>
      </c>
      <c r="E128" s="70"/>
      <c r="G128" s="124">
        <v>32.0</v>
      </c>
      <c r="H128" s="123" t="s">
        <v>355</v>
      </c>
      <c r="I128" s="125">
        <v>4725.6</v>
      </c>
      <c r="J128" s="123" t="s">
        <v>559</v>
      </c>
      <c r="L128" s="131">
        <f t="shared" si="3"/>
        <v>9451.2</v>
      </c>
    </row>
    <row r="129">
      <c r="A129" s="124">
        <v>33.0</v>
      </c>
      <c r="B129" s="123" t="s">
        <v>579</v>
      </c>
      <c r="C129" s="125">
        <v>4725.6</v>
      </c>
      <c r="D129" s="123" t="s">
        <v>559</v>
      </c>
      <c r="E129" s="70"/>
      <c r="G129" s="124">
        <v>33.0</v>
      </c>
      <c r="H129" s="123" t="s">
        <v>579</v>
      </c>
      <c r="I129" s="125">
        <v>4725.6</v>
      </c>
      <c r="J129" s="123" t="s">
        <v>559</v>
      </c>
      <c r="L129" s="131">
        <f t="shared" si="3"/>
        <v>9451.2</v>
      </c>
    </row>
    <row r="130">
      <c r="A130" s="124">
        <v>34.0</v>
      </c>
      <c r="B130" s="123" t="s">
        <v>580</v>
      </c>
      <c r="C130" s="125">
        <v>4725.6</v>
      </c>
      <c r="D130" s="123" t="s">
        <v>559</v>
      </c>
      <c r="E130" s="70"/>
      <c r="G130" s="124">
        <v>34.0</v>
      </c>
      <c r="H130" s="123" t="s">
        <v>580</v>
      </c>
      <c r="I130" s="125">
        <v>4725.6</v>
      </c>
      <c r="J130" s="123" t="s">
        <v>559</v>
      </c>
      <c r="L130" s="131">
        <f t="shared" si="3"/>
        <v>9451.2</v>
      </c>
    </row>
    <row r="131">
      <c r="A131" s="124">
        <v>35.0</v>
      </c>
      <c r="B131" s="123" t="s">
        <v>61</v>
      </c>
      <c r="C131" s="125">
        <v>2139.9</v>
      </c>
      <c r="D131" s="123" t="s">
        <v>559</v>
      </c>
      <c r="E131" s="70"/>
      <c r="G131" s="124">
        <v>35.0</v>
      </c>
      <c r="H131" s="123" t="s">
        <v>61</v>
      </c>
      <c r="I131" s="125">
        <v>2139.9</v>
      </c>
      <c r="J131" s="123" t="s">
        <v>559</v>
      </c>
      <c r="L131" s="131">
        <f t="shared" si="3"/>
        <v>4279.8</v>
      </c>
    </row>
    <row r="132">
      <c r="A132" s="124">
        <v>36.0</v>
      </c>
      <c r="B132" s="133" t="s">
        <v>337</v>
      </c>
      <c r="C132" s="125">
        <v>2395.96</v>
      </c>
      <c r="D132" s="123" t="s">
        <v>559</v>
      </c>
      <c r="E132" s="70"/>
      <c r="G132" s="124">
        <v>36.0</v>
      </c>
      <c r="H132" s="134" t="s">
        <v>337</v>
      </c>
      <c r="I132" s="125">
        <v>2395.96</v>
      </c>
      <c r="J132" s="123" t="s">
        <v>559</v>
      </c>
      <c r="L132" s="131">
        <f t="shared" si="3"/>
        <v>4791.92</v>
      </c>
    </row>
    <row r="133">
      <c r="A133" s="124">
        <v>37.0</v>
      </c>
      <c r="B133" s="133" t="s">
        <v>581</v>
      </c>
      <c r="C133" s="125">
        <v>4725.6</v>
      </c>
      <c r="D133" s="123" t="s">
        <v>559</v>
      </c>
      <c r="E133" s="70"/>
      <c r="G133" s="124">
        <v>37.0</v>
      </c>
      <c r="H133" s="134" t="s">
        <v>581</v>
      </c>
      <c r="I133" s="125">
        <v>4725.6</v>
      </c>
      <c r="J133" s="123" t="s">
        <v>559</v>
      </c>
      <c r="L133" s="131">
        <f t="shared" si="3"/>
        <v>9451.2</v>
      </c>
    </row>
    <row r="134">
      <c r="A134" s="124">
        <v>38.0</v>
      </c>
      <c r="B134" s="133" t="s">
        <v>211</v>
      </c>
      <c r="C134" s="125">
        <v>4725.6</v>
      </c>
      <c r="D134" s="123" t="s">
        <v>559</v>
      </c>
      <c r="E134" s="70"/>
      <c r="G134" s="124">
        <v>38.0</v>
      </c>
      <c r="H134" s="134" t="s">
        <v>211</v>
      </c>
      <c r="I134" s="125">
        <v>4725.6</v>
      </c>
      <c r="J134" s="123" t="s">
        <v>559</v>
      </c>
      <c r="L134" s="131">
        <f t="shared" si="3"/>
        <v>9451.2</v>
      </c>
    </row>
    <row r="135">
      <c r="A135" s="124">
        <v>39.0</v>
      </c>
      <c r="B135" s="133" t="s">
        <v>54</v>
      </c>
      <c r="C135" s="125">
        <v>4725.6</v>
      </c>
      <c r="D135" s="123" t="s">
        <v>559</v>
      </c>
      <c r="E135" s="70"/>
      <c r="G135" s="124">
        <v>39.0</v>
      </c>
      <c r="H135" s="134" t="s">
        <v>54</v>
      </c>
      <c r="I135" s="125">
        <v>4725.6</v>
      </c>
      <c r="J135" s="123" t="s">
        <v>559</v>
      </c>
      <c r="L135" s="131">
        <f t="shared" si="3"/>
        <v>9451.2</v>
      </c>
    </row>
    <row r="136">
      <c r="A136" s="124">
        <v>40.0</v>
      </c>
      <c r="B136" s="133" t="s">
        <v>304</v>
      </c>
      <c r="C136" s="125">
        <v>4725.6</v>
      </c>
      <c r="D136" s="123" t="s">
        <v>559</v>
      </c>
      <c r="E136" s="70"/>
      <c r="G136" s="124">
        <v>40.0</v>
      </c>
      <c r="H136" s="134" t="s">
        <v>582</v>
      </c>
      <c r="I136" s="125">
        <v>4725.6</v>
      </c>
      <c r="J136" s="123" t="s">
        <v>559</v>
      </c>
      <c r="L136" s="131">
        <f t="shared" si="3"/>
        <v>9451.2</v>
      </c>
    </row>
    <row r="137">
      <c r="A137" s="124">
        <v>41.0</v>
      </c>
      <c r="B137" s="133" t="s">
        <v>582</v>
      </c>
      <c r="C137" s="125">
        <v>4725.6</v>
      </c>
      <c r="D137" s="123" t="s">
        <v>559</v>
      </c>
      <c r="E137" s="70"/>
      <c r="G137" s="124">
        <v>41.0</v>
      </c>
      <c r="H137" s="134" t="s">
        <v>583</v>
      </c>
      <c r="I137" s="125">
        <v>4725.6</v>
      </c>
      <c r="J137" s="123" t="s">
        <v>559</v>
      </c>
      <c r="L137" s="131">
        <f t="shared" si="3"/>
        <v>9451.2</v>
      </c>
    </row>
    <row r="138">
      <c r="A138" s="124">
        <v>42.0</v>
      </c>
      <c r="B138" s="133" t="s">
        <v>583</v>
      </c>
      <c r="C138" s="125">
        <v>4725.6</v>
      </c>
      <c r="D138" s="123" t="s">
        <v>559</v>
      </c>
      <c r="E138" s="70"/>
      <c r="G138" s="124">
        <v>42.0</v>
      </c>
      <c r="H138" s="134" t="s">
        <v>584</v>
      </c>
      <c r="I138" s="125">
        <v>4725.6</v>
      </c>
      <c r="J138" s="123" t="s">
        <v>559</v>
      </c>
      <c r="L138" s="131">
        <f t="shared" si="3"/>
        <v>9451.2</v>
      </c>
    </row>
    <row r="139">
      <c r="A139" s="124">
        <v>43.0</v>
      </c>
      <c r="B139" s="133" t="s">
        <v>584</v>
      </c>
      <c r="C139" s="125">
        <v>4725.6</v>
      </c>
      <c r="D139" s="123" t="s">
        <v>559</v>
      </c>
      <c r="E139" s="70"/>
      <c r="G139" s="124">
        <v>43.0</v>
      </c>
      <c r="H139" s="134" t="s">
        <v>236</v>
      </c>
      <c r="I139" s="125">
        <v>4725.6</v>
      </c>
      <c r="J139" s="123" t="s">
        <v>559</v>
      </c>
      <c r="L139" s="131">
        <f t="shared" si="3"/>
        <v>9451.2</v>
      </c>
    </row>
    <row r="140">
      <c r="A140" s="124">
        <v>44.0</v>
      </c>
      <c r="B140" s="133" t="s">
        <v>236</v>
      </c>
      <c r="C140" s="125">
        <v>4725.6</v>
      </c>
      <c r="D140" s="123" t="s">
        <v>559</v>
      </c>
      <c r="E140" s="70"/>
      <c r="G140" s="124">
        <v>44.0</v>
      </c>
      <c r="H140" s="134" t="s">
        <v>239</v>
      </c>
      <c r="I140" s="125">
        <v>4725.6</v>
      </c>
      <c r="J140" s="123" t="s">
        <v>559</v>
      </c>
      <c r="L140" s="131">
        <f t="shared" si="3"/>
        <v>9451.2</v>
      </c>
    </row>
    <row r="141">
      <c r="A141" s="124">
        <v>45.0</v>
      </c>
      <c r="B141" s="133" t="s">
        <v>239</v>
      </c>
      <c r="C141" s="125">
        <v>3150.4</v>
      </c>
      <c r="D141" s="123" t="s">
        <v>559</v>
      </c>
      <c r="E141" s="70"/>
      <c r="G141" s="124">
        <v>45.0</v>
      </c>
      <c r="H141" s="123" t="s">
        <v>240</v>
      </c>
      <c r="I141" s="125">
        <v>4725.6</v>
      </c>
      <c r="J141" s="123" t="s">
        <v>559</v>
      </c>
      <c r="L141" s="131">
        <f t="shared" si="3"/>
        <v>7876</v>
      </c>
    </row>
    <row r="142">
      <c r="A142" s="70"/>
      <c r="B142" s="70"/>
      <c r="C142" s="128">
        <f>SUM(C97:C141)</f>
        <v>223861.95</v>
      </c>
      <c r="D142" s="70"/>
      <c r="E142" s="70"/>
      <c r="G142" s="124">
        <v>46.0</v>
      </c>
      <c r="H142" s="123" t="s">
        <v>241</v>
      </c>
      <c r="I142" s="125">
        <v>4725.6</v>
      </c>
      <c r="J142" s="123" t="s">
        <v>559</v>
      </c>
      <c r="L142" s="131">
        <f t="shared" si="3"/>
        <v>228587.55</v>
      </c>
    </row>
    <row r="143">
      <c r="A143" s="70"/>
      <c r="B143" s="70"/>
      <c r="C143" s="70"/>
      <c r="D143" s="70"/>
      <c r="E143" s="70"/>
      <c r="G143" s="124">
        <v>47.0</v>
      </c>
      <c r="H143" s="123" t="s">
        <v>242</v>
      </c>
      <c r="I143" s="125">
        <v>1260.16</v>
      </c>
      <c r="J143" s="123" t="s">
        <v>559</v>
      </c>
      <c r="L143" s="131">
        <f t="shared" si="3"/>
        <v>1260.16</v>
      </c>
    </row>
    <row r="144">
      <c r="A144" s="70"/>
      <c r="B144" s="70"/>
      <c r="C144" s="70"/>
      <c r="D144" s="70"/>
      <c r="E144" s="70"/>
      <c r="G144" s="70"/>
      <c r="H144" s="70"/>
      <c r="I144" s="128">
        <f>SUM(I97:I143)</f>
        <v>228272.51</v>
      </c>
      <c r="J144" s="70"/>
    </row>
    <row r="145">
      <c r="A145" s="70"/>
      <c r="B145" s="70"/>
      <c r="C145" s="70"/>
      <c r="D145" s="70"/>
      <c r="E145" s="70"/>
      <c r="G145" s="70"/>
      <c r="H145" s="70"/>
      <c r="I145" s="70"/>
      <c r="J145" s="70"/>
    </row>
    <row r="146">
      <c r="A146" s="70"/>
      <c r="B146" s="70"/>
      <c r="C146" s="70"/>
      <c r="D146" s="70"/>
      <c r="E146" s="70"/>
      <c r="G146" s="70"/>
      <c r="H146" s="70"/>
      <c r="I146" s="70"/>
      <c r="J146" s="70"/>
    </row>
    <row r="147">
      <c r="A147" s="70"/>
      <c r="B147" s="70"/>
      <c r="C147" s="70"/>
      <c r="D147" s="70"/>
      <c r="E147" s="70"/>
      <c r="G147" s="70"/>
      <c r="H147" s="70"/>
      <c r="I147" s="70"/>
      <c r="J147" s="70"/>
    </row>
    <row r="148">
      <c r="A148" s="70"/>
      <c r="B148" s="70"/>
      <c r="C148" s="70"/>
      <c r="D148" s="70"/>
      <c r="E148" s="70"/>
      <c r="G148" s="70"/>
      <c r="H148" s="70"/>
      <c r="I148" s="70"/>
      <c r="J148" s="70"/>
    </row>
    <row r="149">
      <c r="A149" s="70"/>
      <c r="B149" s="70"/>
      <c r="C149" s="70"/>
      <c r="D149" s="70"/>
      <c r="E149" s="70"/>
      <c r="G149" s="70"/>
      <c r="H149" s="70"/>
      <c r="I149" s="70"/>
      <c r="J149" s="70"/>
    </row>
    <row r="150">
      <c r="A150" s="70"/>
      <c r="B150" s="70"/>
      <c r="C150" s="70"/>
      <c r="D150" s="70"/>
      <c r="E150" s="70"/>
    </row>
    <row r="151">
      <c r="A151" s="70"/>
      <c r="B151" s="70"/>
      <c r="C151" s="70"/>
      <c r="D151" s="70"/>
      <c r="E151" s="70"/>
    </row>
    <row r="152">
      <c r="A152" s="70"/>
      <c r="B152" s="70"/>
      <c r="C152" s="70"/>
      <c r="D152" s="70"/>
      <c r="E152" s="70"/>
    </row>
    <row r="153">
      <c r="A153" s="70"/>
      <c r="B153" s="70"/>
      <c r="C153" s="70"/>
      <c r="D153" s="70"/>
      <c r="E153" s="70"/>
    </row>
    <row r="154">
      <c r="A154" s="70"/>
      <c r="B154" s="70"/>
      <c r="C154" s="70"/>
      <c r="D154" s="70"/>
      <c r="E154" s="70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2026-05-12T18:51:18Z</dcterms:created>
  <dc:creator>openpyxl</dc:creator>
</cp:coreProperties>
</file>