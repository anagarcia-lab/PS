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respaldo otros egresos" sheetId="2" r:id="rId5"/>
    <sheet state="visible" name="respaldo sueldos y salarios" sheetId="3" r:id="rId6"/>
    <sheet state="visible" name="Hoja 1" sheetId="4" r:id="rId7"/>
    <sheet state="visible" name="Sheet2" sheetId="5" r:id="rId8"/>
  </sheets>
  <definedNames>
    <definedName hidden="1" localSheetId="0" name="_xlnm._FilterDatabase">Sheet1!$A$1:$S$726</definedName>
    <definedName hidden="1" localSheetId="2" name="_xlnm._FilterDatabase">'respaldo sueldos y salarios'!$A$1:$S$476</definedName>
    <definedName hidden="1" localSheetId="4" name="_xlnm._FilterDatabase">Sheet2!$A$1:$S$654</definedName>
  </definedNames>
  <calcPr/>
  <extLst>
    <ext uri="GoogleSheetsCustomDataVersion2">
      <go:sheetsCustomData xmlns:go="http://customooxmlschemas.google.com/" r:id="rId9" roundtripDataChecksum="uJJHT60hOftyhe5jZaKP34IUhF1Yo+qGqKpY0cvhGt8="/>
    </ext>
  </extLst>
</workbook>
</file>

<file path=xl/sharedStrings.xml><?xml version="1.0" encoding="utf-8"?>
<sst xmlns="http://schemas.openxmlformats.org/spreadsheetml/2006/main" count="15015" uniqueCount="712">
  <si>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</si>
  <si>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</si>
  <si>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</si>
  <si>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</si>
  <si>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</si>
  <si>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</si>
  <si>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</si>
  <si>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</si>
  <si>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</si>
  <si>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</si>
  <si>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</si>
  <si>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Cargos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</si>
  <si>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</si>
  <si>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</si>
  <si>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</si>
  <si>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</si>
  <si>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</si>
  <si>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</si>
  <si>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</si>
  <si>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</si>
  <si>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</si>
  <si>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</si>
  <si>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</si>
  <si>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</si>
  <si>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</si>
  <si>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</si>
  <si>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</si>
  <si>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</si>
  <si>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</si>
  <si>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</si>
  <si>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</si>
  <si>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</si>
  <si>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</si>
  <si>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</si>
  <si>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</si>
  <si>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</si>
  <si>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</si>
  <si>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</si>
  <si>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</si>
  <si>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</si>
  <si>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</si>
  <si>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</si>
  <si>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</si>
  <si>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</si>
  <si>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</si>
  <si>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</si>
  <si>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</si>
  <si>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</si>
  <si>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</si>
  <si>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</si>
  <si>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</si>
  <si>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</si>
  <si>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</si>
  <si>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</si>
  <si>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</si>
  <si>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</si>
  <si>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</si>
  <si>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</si>
  <si>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</si>
  <si>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</si>
  <si>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</si>
  <si>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</si>
  <si>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</si>
  <si>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</si>
  <si>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</si>
  <si>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</si>
  <si>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</si>
  <si>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</si>
  <si>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</si>
  <si>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</si>
  <si>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</si>
  <si>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</si>
  <si>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</si>
  <si>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</si>
  <si>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</si>
  <si>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</si>
  <si>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</si>
  <si>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</si>
  <si>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</si>
  <si>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</si>
  <si>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</si>
  <si>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</si>
  <si>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</si>
  <si>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</si>
  <si>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</si>
  <si>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</si>
  <si>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</si>
  <si>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</si>
  <si>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</si>
  <si>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</si>
  <si>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</si>
  <si>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</si>
  <si>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</si>
  <si>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</si>
  <si>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</si>
  <si>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</si>
  <si>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</si>
  <si>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</si>
  <si>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</si>
  <si>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</si>
  <si>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</si>
  <si>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</si>
  <si>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</si>
  <si>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</si>
  <si>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</si>
  <si>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</si>
  <si>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</si>
  <si>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</si>
  <si>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</si>
  <si>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</si>
  <si>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</si>
  <si>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</si>
  <si>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</si>
  <si>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</si>
  <si>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</si>
  <si>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</si>
  <si>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</si>
  <si>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</si>
  <si>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</si>
  <si>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</si>
  <si>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</si>
  <si>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</si>
  <si>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</si>
  <si>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</si>
  <si>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</si>
  <si>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</si>
  <si>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</si>
  <si>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</si>
  <si>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</si>
  <si>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</si>
  <si>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</si>
  <si>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</si>
  <si>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</si>
  <si>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</si>
  <si>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</si>
  <si>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</si>
  <si>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</si>
  <si>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</si>
  <si>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</si>
  <si>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</si>
  <si>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</si>
  <si>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</si>
  <si>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</si>
  <si>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</si>
  <si>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</si>
  <si>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</si>
  <si>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</si>
  <si>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</si>
  <si>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</si>
  <si>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</si>
  <si>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</si>
  <si>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</si>
  <si>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</si>
  <si>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</si>
  <si>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</si>
  <si>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</si>
  <si>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</si>
  <si>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</si>
  <si>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</si>
  <si>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</si>
  <si>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</si>
  <si>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</si>
  <si>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</si>
  <si>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</si>
  <si>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</si>
  <si>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</si>
  <si>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</si>
  <si>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</si>
  <si>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</si>
  <si>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</si>
  <si>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</si>
  <si>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</si>
  <si>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</si>
  <si>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</si>
  <si>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</si>
  <si>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</si>
  <si>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</si>
  <si>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</si>
  <si>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</si>
  <si>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</si>
  <si>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</si>
  <si>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</si>
  <si>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</si>
  <si>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</si>
  <si>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</si>
  <si>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</si>
  <si>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</si>
  <si>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</si>
  <si>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</si>
  <si>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</si>
  <si>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</si>
  <si>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</si>
  <si>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</si>
  <si>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</si>
  <si>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</si>
  <si>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</si>
  <si>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</si>
  <si>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</si>
  <si>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</si>
  <si>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</si>
  <si>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</si>
  <si>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</si>
  <si>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</si>
  <si>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</si>
  <si>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</si>
  <si>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</si>
  <si>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</si>
  <si>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</si>
  <si>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</si>
  <si>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</si>
  <si>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</si>
  <si>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</si>
  <si>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</si>
  <si>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</si>
  <si>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</si>
  <si>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</si>
  <si>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</si>
  <si>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</si>
  <si>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</si>
  <si>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</si>
  <si>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</si>
  <si>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</si>
  <si>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</si>
  <si>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</si>
  <si>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</si>
  <si>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</si>
  <si>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</si>
  <si>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</si>
  <si>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</si>
  <si>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</si>
  <si>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</si>
  <si>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</si>
  <si>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</si>
  <si>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</si>
  <si>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</si>
  <si>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</si>
  <si>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</si>
  <si>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</si>
  <si>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</si>
  <si>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</si>
  <si>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</si>
  <si>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</si>
  <si>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</si>
  <si>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</si>
  <si>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</si>
  <si>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</si>
  <si>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</si>
  <si>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</si>
  <si>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</si>
  <si>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</si>
  <si>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</si>
  <si>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</si>
  <si>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</si>
  <si>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</si>
  <si>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</si>
  <si>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</si>
  <si>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</si>
  <si>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</si>
  <si>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</si>
  <si>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</si>
  <si>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</si>
  <si>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</si>
  <si>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</si>
  <si>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</si>
  <si>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</si>
  <si>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</si>
  <si>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</si>
  <si>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</si>
  <si>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</si>
  <si>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</si>
  <si>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</si>
  <si>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</si>
  <si>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</si>
  <si>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</si>
  <si>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</si>
  <si>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</si>
  <si>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</si>
  <si>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</si>
  <si>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</si>
  <si>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</si>
  <si>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</si>
  <si>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</si>
  <si>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</si>
  <si>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</si>
  <si>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</si>
  <si>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</si>
  <si>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</si>
  <si>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</si>
  <si>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</si>
  <si>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</si>
  <si>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</si>
  <si>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</si>
  <si>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</si>
  <si>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</si>
  <si>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</si>
  <si>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</si>
  <si>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</si>
  <si>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</si>
  <si>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</si>
  <si>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</si>
  <si>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</si>
  <si>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</si>
  <si>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</si>
  <si>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</si>
  <si>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</si>
  <si>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</si>
  <si>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</si>
  <si>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</si>
  <si>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</si>
  <si>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</si>
  <si>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</si>
  <si>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</si>
  <si>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</si>
  <si>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</si>
  <si>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</si>
  <si>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</si>
  <si>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</si>
  <si>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</si>
  <si>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</si>
  <si>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</si>
  <si>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</si>
  <si>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</si>
  <si>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</si>
  <si>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</si>
  <si>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</si>
  <si>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</si>
  <si>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</si>
  <si>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</si>
  <si>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</si>
  <si>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</si>
  <si>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</si>
  <si>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</si>
  <si>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</si>
  <si>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</si>
  <si>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</si>
  <si>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</si>
  <si>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</si>
  <si>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</si>
  <si>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</si>
  <si>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</si>
  <si>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</si>
  <si>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</si>
  <si>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</si>
  <si>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</si>
  <si>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</si>
  <si>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</si>
  <si>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</si>
  <si>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</si>
  <si>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</si>
  <si>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</si>
  <si>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</si>
  <si>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</si>
  <si>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</si>
  <si>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</si>
  <si>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</si>
  <si>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</si>
  <si>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</si>
  <si>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</si>
  <si>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</si>
  <si>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</si>
  <si>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</si>
  <si>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</si>
  <si>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</si>
  <si>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</si>
  <si>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</si>
  <si>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</si>
  <si>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</si>
  <si>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</si>
  <si>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</si>
  <si>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</si>
  <si>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</si>
  <si>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</si>
  <si>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</si>
  <si>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</si>
  <si>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</si>
  <si>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</si>
  <si>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</si>
  <si>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</si>
  <si>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</si>
  <si>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</si>
  <si>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</si>
  <si>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</si>
  <si>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</si>
  <si>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</si>
  <si>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</si>
  <si>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</si>
  <si>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</si>
  <si>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</si>
  <si>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</si>
  <si>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</si>
  <si>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</si>
  <si>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</si>
  <si>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</si>
  <si>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</si>
  <si>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</si>
  <si>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</si>
  <si>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</si>
  <si>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</si>
  <si>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</si>
  <si>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</si>
  <si>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</si>
  <si>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</si>
  <si>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</si>
  <si>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</si>
  <si>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</si>
  <si>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</si>
  <si>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</si>
  <si>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</si>
  <si>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</si>
  <si>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</si>
  <si>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</si>
  <si>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</si>
  <si>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</si>
  <si>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</si>
  <si>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</si>
  <si>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</si>
  <si>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</si>
  <si>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</si>
  <si>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</si>
  <si>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</si>
  <si>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</si>
  <si>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</si>
  <si>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</si>
  <si>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</si>
  <si>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</si>
  <si>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</si>
  <si>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</si>
  <si>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</si>
  <si>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</si>
  <si>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</si>
  <si>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</si>
  <si>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</si>
  <si>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</si>
  <si>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</si>
  <si>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</si>
  <si>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</si>
  <si>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</si>
  <si>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</si>
  <si>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</si>
  <si>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</si>
  <si>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</si>
  <si>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</si>
  <si>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</si>
  <si>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</si>
  <si>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</si>
  <si>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</si>
  <si>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</si>
  <si>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</si>
  <si>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</si>
  <si>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</si>
  <si>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</si>
  <si>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</si>
  <si>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</si>
  <si>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</si>
  <si>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</si>
  <si>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</si>
  <si>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</si>
  <si>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</si>
  <si>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</si>
  <si>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</si>
  <si>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</si>
  <si>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</si>
  <si>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</si>
  <si>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</si>
  <si>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</si>
  <si>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</si>
  <si>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</si>
  <si>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</si>
  <si>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</si>
  <si>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</si>
  <si>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</si>
  <si>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</si>
  <si>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</si>
  <si>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</si>
  <si>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</si>
  <si>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</si>
  <si>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</si>
  <si>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</si>
  <si>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</si>
  <si>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</si>
  <si>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</si>
  <si>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</si>
  <si>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</si>
  <si>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</si>
  <si>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</si>
  <si>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</si>
  <si>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</si>
  <si>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</si>
  <si>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MULTICATEGORIA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</si>
  <si>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</si>
  <si>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</si>
  <si>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</si>
  <si>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</si>
  <si>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</si>
  <si>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</si>
  <si>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</si>
  <si>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</si>
  <si>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</si>
  <si>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</si>
  <si>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</si>
  <si>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</si>
  <si>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</si>
  <si>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</si>
  <si>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</si>
  <si>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</si>
  <si>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</si>
  <si>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</si>
  <si>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</si>
  <si>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</si>
  <si>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</si>
  <si>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</si>
  <si>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</si>
  <si>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</si>
  <si>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</si>
  <si>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</si>
  <si>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</si>
  <si>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</si>
  <si>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</si>
  <si>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</si>
  <si>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</si>
  <si>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</si>
  <si>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</si>
  <si>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</si>
  <si>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</si>
  <si>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</si>
  <si>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</si>
  <si>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</si>
  <si>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</si>
  <si>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</si>
  <si>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</si>
  <si>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</si>
  <si>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</si>
  <si>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</si>
  <si>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</si>
  <si>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</si>
  <si>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</si>
  <si>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</si>
  <si>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</si>
  <si>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</si>
  <si>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</si>
  <si>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</si>
  <si>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</si>
  <si>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</si>
  <si>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</si>
  <si>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</si>
  <si>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</si>
  <si>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</si>
  <si>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</si>
  <si>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</si>
  <si>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</si>
  <si>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</si>
  <si>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</si>
  <si>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</si>
  <si>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</si>
  <si>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</si>
  <si>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</si>
  <si>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</si>
  <si>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</si>
  <si>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</si>
  <si>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</si>
  <si>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</si>
  <si>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</si>
  <si>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</si>
  <si>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</si>
  <si>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</si>
  <si>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</si>
  <si>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</si>
  <si>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</si>
  <si>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</si>
  <si>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</si>
  <si>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ISN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</si>
  <si>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</si>
  <si>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</si>
  <si>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</si>
  <si>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</si>
  <si>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</si>
  <si>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</si>
  <si>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</si>
  <si>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</si>
  <si>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</si>
  <si>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</si>
  <si>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</si>
  <si>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</si>
  <si>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</si>
  <si>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</si>
  <si>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</si>
  <si>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</si>
  <si>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</si>
  <si>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</si>
  <si>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</si>
  <si>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</si>
  <si>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</si>
  <si>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</si>
  <si>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</si>
  <si>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</si>
  <si>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</si>
  <si>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</si>
  <si>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</si>
  <si>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</si>
  <si>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</si>
  <si>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</si>
  <si>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</si>
  <si>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</si>
  <si>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</si>
  <si>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</si>
  <si>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</si>
  <si>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</si>
  <si>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</si>
  <si>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</si>
  <si>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</si>
  <si>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</si>
  <si>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</si>
  <si>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</si>
  <si>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</si>
  <si>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</si>
  <si>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</si>
  <si>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</si>
  <si>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</si>
  <si>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</si>
  <si>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</si>
  <si>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</si>
  <si>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</si>
  <si>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</si>
  <si>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</si>
  <si>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</si>
  <si>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</si>
  <si>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</si>
  <si>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</si>
  <si>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</si>
  <si>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</si>
  <si>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</si>
  <si>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</si>
  <si>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</si>
  <si>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</si>
  <si>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</si>
  <si>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</si>
  <si>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</si>
  <si>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</si>
  <si>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</si>
  <si>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</si>
  <si>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</si>
  <si>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</si>
  <si>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</si>
  <si>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</si>
  <si>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</si>
  <si>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</si>
  <si>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</si>
  <si>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</si>
  <si>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</si>
  <si>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</si>
  <si>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</si>
  <si>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</si>
  <si>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</si>
  <si>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</si>
  <si>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</si>
  <si>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</si>
  <si>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</si>
  <si>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</si>
  <si>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</si>
  <si>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</si>
  <si>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</si>
  <si>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</si>
  <si>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</si>
  <si>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</si>
  <si>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</si>
  <si>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</si>
  <si>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</si>
  <si>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</si>
  <si>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</si>
  <si>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</si>
  <si>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</si>
  <si>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</si>
  <si>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</si>
  <si>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</si>
  <si>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</si>
  <si>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</si>
  <si>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</si>
  <si>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</si>
  <si>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</si>
  <si>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</si>
  <si>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</si>
  <si>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</si>
  <si>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</si>
  <si>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</si>
  <si>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</si>
  <si>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</si>
  <si>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</si>
  <si>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</si>
  <si>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</si>
  <si>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</si>
  <si>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</si>
  <si>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</si>
  <si>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</si>
  <si>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</si>
  <si>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</si>
  <si>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</si>
  <si>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</si>
  <si>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</si>
  <si>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</si>
  <si>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</si>
  <si>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</si>
  <si>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</si>
  <si>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</si>
  <si>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</si>
  <si>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</si>
  <si>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</si>
  <si>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</si>
  <si>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</si>
  <si>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</si>
  <si>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</si>
  <si>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BBVAUSD ND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</si>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</sst>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4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1" numFmtId="0" xfId="0" applyAlignment="1" applyFont="1">
      <alignment readingOrder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0" fillId="0" fontId="1" numFmtId="0" xfId="0" applyFont="1"/>
    <xf borderId="3" fillId="0" fontId="4" numFmtId="0" xfId="0" applyAlignment="1" applyBorder="1" applyFont="1">
      <alignment horizontal="center" vertical="top"/>
    </xf>
    <xf borderId="3" fillId="6" fontId="4" numFmtId="0" xfId="0" applyAlignment="1" applyBorder="1" applyFill="1" applyFont="1">
      <alignment horizontal="center" vertical="top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6" fontId="5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3" fillId="0" fontId="2" numFmtId="164" xfId="0" applyAlignment="1" applyBorder="1" applyFont="1" applyNumberFormat="1">
      <alignment horizontal="right" vertical="bottom"/>
    </xf>
    <xf borderId="3" fillId="7" fontId="2" numFmtId="0" xfId="0" applyAlignment="1" applyBorder="1" applyFill="1" applyFont="1">
      <alignment vertical="bottom"/>
    </xf>
    <xf borderId="3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3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3" fillId="8" fontId="2" numFmtId="0" xfId="0" applyAlignment="1" applyBorder="1" applyFill="1" applyFont="1">
      <alignment vertical="bottom"/>
    </xf>
    <xf borderId="3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S726" displayName="Tabla_1" name="Tabla_1" id="1">
  <autoFilter ref="$A$1:$S$72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S196" displayName="Tabla_2" name="Tabla_2" id="2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3.xml><?xml version="1.0" encoding="utf-8"?>
<table xmlns="http://schemas.openxmlformats.org/spreadsheetml/2006/main" ref="A1:S476" displayName="Tabla_3" name="Tabla_3" id="3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4.xml><?xml version="1.0" encoding="utf-8"?>
<table xmlns="http://schemas.openxmlformats.org/spreadsheetml/2006/main" headerRowCount="0" ref="B508:C555" displayName="Table_1" name="Table_1" id="4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12269.305252</v>
      </c>
      <c r="H2" s="2" t="s">
        <v>25</v>
      </c>
    </row>
    <row r="3" ht="22.5" customHeight="1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3">
        <v>12620.029999999999</v>
      </c>
      <c r="H3" s="2" t="s">
        <v>26</v>
      </c>
    </row>
    <row r="4" ht="22.5" customHeight="1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3">
        <v>10861.391037000001</v>
      </c>
      <c r="H4" s="2" t="s">
        <v>27</v>
      </c>
    </row>
    <row r="5" ht="22.5" customHeight="1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3">
        <v>10842.303</v>
      </c>
      <c r="H5" s="4" t="s">
        <v>28</v>
      </c>
    </row>
    <row r="6" ht="22.5" customHeight="1">
      <c r="A6" s="2" t="s">
        <v>19</v>
      </c>
      <c r="B6" s="2" t="s">
        <v>29</v>
      </c>
      <c r="C6" s="2" t="s">
        <v>21</v>
      </c>
      <c r="D6" s="2" t="s">
        <v>22</v>
      </c>
      <c r="E6" s="2" t="s">
        <v>23</v>
      </c>
      <c r="F6" s="2" t="s">
        <v>30</v>
      </c>
      <c r="G6" s="2">
        <v>24075.34956</v>
      </c>
      <c r="H6" s="2" t="s">
        <v>26</v>
      </c>
    </row>
    <row r="7" ht="22.5" customHeight="1">
      <c r="A7" s="2" t="s">
        <v>19</v>
      </c>
      <c r="B7" s="2" t="s">
        <v>29</v>
      </c>
      <c r="C7" s="2" t="s">
        <v>21</v>
      </c>
      <c r="D7" s="2" t="s">
        <v>22</v>
      </c>
      <c r="E7" s="2" t="s">
        <v>23</v>
      </c>
      <c r="F7" s="2" t="s">
        <v>30</v>
      </c>
      <c r="G7" s="2">
        <v>14312.5067</v>
      </c>
      <c r="H7" s="2" t="s">
        <v>27</v>
      </c>
    </row>
    <row r="8" ht="22.5" customHeight="1">
      <c r="A8" s="2" t="s">
        <v>19</v>
      </c>
      <c r="B8" s="2" t="s">
        <v>31</v>
      </c>
      <c r="C8" s="2" t="s">
        <v>32</v>
      </c>
      <c r="D8" s="2" t="s">
        <v>33</v>
      </c>
      <c r="F8" s="2" t="s">
        <v>34</v>
      </c>
      <c r="G8" s="2">
        <v>14378.847582</v>
      </c>
      <c r="H8" s="2" t="s">
        <v>25</v>
      </c>
    </row>
    <row r="9" ht="22.5" customHeight="1">
      <c r="A9" s="2" t="s">
        <v>19</v>
      </c>
      <c r="B9" s="2" t="s">
        <v>31</v>
      </c>
      <c r="C9" s="2" t="s">
        <v>32</v>
      </c>
      <c r="D9" s="2" t="s">
        <v>33</v>
      </c>
      <c r="F9" s="2" t="s">
        <v>34</v>
      </c>
      <c r="G9" s="2">
        <v>15993.282958</v>
      </c>
      <c r="H9" s="2" t="s">
        <v>26</v>
      </c>
    </row>
    <row r="10" ht="22.5" customHeight="1">
      <c r="A10" s="2" t="s">
        <v>19</v>
      </c>
      <c r="B10" s="2" t="s">
        <v>31</v>
      </c>
      <c r="C10" s="2" t="s">
        <v>32</v>
      </c>
      <c r="D10" s="2" t="s">
        <v>33</v>
      </c>
      <c r="F10" s="2" t="s">
        <v>34</v>
      </c>
      <c r="G10" s="2">
        <v>15770.15378</v>
      </c>
      <c r="H10" s="2" t="s">
        <v>27</v>
      </c>
    </row>
    <row r="11" ht="22.5" customHeight="1">
      <c r="A11" s="2" t="s">
        <v>19</v>
      </c>
      <c r="B11" s="2" t="s">
        <v>35</v>
      </c>
      <c r="C11" s="2" t="s">
        <v>21</v>
      </c>
      <c r="D11" s="2" t="s">
        <v>22</v>
      </c>
      <c r="E11" s="2" t="s">
        <v>36</v>
      </c>
      <c r="F11" s="2" t="s">
        <v>37</v>
      </c>
      <c r="G11" s="2">
        <v>13779.069051</v>
      </c>
      <c r="H11" s="2" t="s">
        <v>26</v>
      </c>
    </row>
    <row r="12" ht="22.5" customHeight="1">
      <c r="A12" s="2" t="s">
        <v>19</v>
      </c>
      <c r="B12" s="2" t="s">
        <v>35</v>
      </c>
      <c r="C12" s="2" t="s">
        <v>21</v>
      </c>
      <c r="D12" s="2" t="s">
        <v>22</v>
      </c>
      <c r="E12" s="2" t="s">
        <v>36</v>
      </c>
      <c r="F12" s="2" t="s">
        <v>37</v>
      </c>
      <c r="G12" s="2">
        <v>13493.097092</v>
      </c>
      <c r="H12" s="2" t="s">
        <v>27</v>
      </c>
    </row>
    <row r="13" ht="22.5" customHeight="1">
      <c r="A13" s="2" t="s">
        <v>19</v>
      </c>
      <c r="B13" s="2" t="s">
        <v>35</v>
      </c>
      <c r="C13" s="2" t="s">
        <v>21</v>
      </c>
      <c r="D13" s="2" t="s">
        <v>22</v>
      </c>
      <c r="E13" s="2" t="s">
        <v>36</v>
      </c>
      <c r="F13" s="2" t="s">
        <v>37</v>
      </c>
      <c r="G13" s="2">
        <v>13751.39405</v>
      </c>
      <c r="H13" s="2" t="s">
        <v>25</v>
      </c>
    </row>
    <row r="14" ht="22.5" customHeight="1">
      <c r="A14" s="2" t="s">
        <v>19</v>
      </c>
      <c r="B14" s="2" t="s">
        <v>38</v>
      </c>
      <c r="C14" s="2" t="s">
        <v>32</v>
      </c>
      <c r="D14" s="2" t="s">
        <v>39</v>
      </c>
      <c r="F14" s="2" t="s">
        <v>40</v>
      </c>
      <c r="G14" s="2">
        <v>19234.552952</v>
      </c>
      <c r="H14" s="2" t="s">
        <v>25</v>
      </c>
    </row>
    <row r="15" ht="22.5" customHeight="1">
      <c r="A15" s="2" t="s">
        <v>19</v>
      </c>
      <c r="B15" s="2" t="s">
        <v>38</v>
      </c>
      <c r="C15" s="2" t="s">
        <v>32</v>
      </c>
      <c r="D15" s="2" t="s">
        <v>39</v>
      </c>
      <c r="F15" s="2" t="s">
        <v>40</v>
      </c>
      <c r="G15" s="2">
        <v>23356.67895</v>
      </c>
      <c r="H15" s="2" t="s">
        <v>26</v>
      </c>
    </row>
    <row r="16" ht="22.5" customHeight="1">
      <c r="A16" s="2" t="s">
        <v>19</v>
      </c>
      <c r="B16" s="2" t="s">
        <v>38</v>
      </c>
      <c r="C16" s="2" t="s">
        <v>32</v>
      </c>
      <c r="D16" s="2" t="s">
        <v>39</v>
      </c>
      <c r="F16" s="2" t="s">
        <v>40</v>
      </c>
      <c r="G16" s="2">
        <v>18896.20395</v>
      </c>
      <c r="H16" s="2" t="s">
        <v>27</v>
      </c>
    </row>
    <row r="17" ht="22.5" customHeight="1">
      <c r="A17" s="2" t="s">
        <v>19</v>
      </c>
      <c r="B17" s="2" t="s">
        <v>41</v>
      </c>
      <c r="C17" s="2" t="s">
        <v>21</v>
      </c>
      <c r="D17" s="2" t="s">
        <v>22</v>
      </c>
      <c r="E17" s="2" t="s">
        <v>42</v>
      </c>
      <c r="F17" s="2" t="s">
        <v>43</v>
      </c>
      <c r="G17" s="2">
        <v>11487.986067</v>
      </c>
      <c r="H17" s="2" t="s">
        <v>26</v>
      </c>
    </row>
    <row r="18" ht="22.5" customHeight="1">
      <c r="A18" s="2" t="s">
        <v>19</v>
      </c>
      <c r="B18" s="2" t="s">
        <v>41</v>
      </c>
      <c r="C18" s="2" t="s">
        <v>21</v>
      </c>
      <c r="D18" s="2" t="s">
        <v>22</v>
      </c>
      <c r="E18" s="2" t="s">
        <v>42</v>
      </c>
      <c r="F18" s="2" t="s">
        <v>43</v>
      </c>
      <c r="G18" s="2">
        <v>17785.736044</v>
      </c>
      <c r="H18" s="2" t="s">
        <v>27</v>
      </c>
    </row>
    <row r="19" ht="22.5" customHeight="1">
      <c r="A19" s="2" t="s">
        <v>19</v>
      </c>
      <c r="B19" s="2" t="s">
        <v>41</v>
      </c>
      <c r="C19" s="2" t="s">
        <v>21</v>
      </c>
      <c r="D19" s="2" t="s">
        <v>22</v>
      </c>
      <c r="E19" s="2" t="s">
        <v>42</v>
      </c>
      <c r="F19" s="2" t="s">
        <v>43</v>
      </c>
      <c r="G19" s="2">
        <v>18125.363418</v>
      </c>
      <c r="H19" s="2" t="s">
        <v>25</v>
      </c>
    </row>
    <row r="20" ht="22.5" customHeight="1">
      <c r="A20" s="2" t="s">
        <v>19</v>
      </c>
      <c r="B20" s="2" t="s">
        <v>44</v>
      </c>
      <c r="C20" s="2" t="s">
        <v>21</v>
      </c>
      <c r="D20" s="2" t="s">
        <v>22</v>
      </c>
      <c r="E20" s="2" t="s">
        <v>45</v>
      </c>
      <c r="F20" s="2" t="s">
        <v>46</v>
      </c>
      <c r="G20" s="2">
        <v>19431.20395</v>
      </c>
      <c r="H20" s="2" t="s">
        <v>27</v>
      </c>
    </row>
    <row r="21" ht="22.5" customHeight="1">
      <c r="A21" s="2" t="s">
        <v>19</v>
      </c>
      <c r="B21" s="2" t="s">
        <v>44</v>
      </c>
      <c r="C21" s="2" t="s">
        <v>21</v>
      </c>
      <c r="D21" s="2" t="s">
        <v>22</v>
      </c>
      <c r="E21" s="2" t="s">
        <v>45</v>
      </c>
      <c r="F21" s="2" t="s">
        <v>46</v>
      </c>
      <c r="G21" s="2">
        <v>19779.552952</v>
      </c>
      <c r="H21" s="2" t="s">
        <v>25</v>
      </c>
    </row>
    <row r="22" ht="22.5" customHeight="1">
      <c r="A22" s="2" t="s">
        <v>19</v>
      </c>
      <c r="B22" s="2" t="s">
        <v>44</v>
      </c>
      <c r="C22" s="2" t="s">
        <v>21</v>
      </c>
      <c r="D22" s="2" t="s">
        <v>22</v>
      </c>
      <c r="E22" s="2" t="s">
        <v>45</v>
      </c>
      <c r="F22" s="2" t="s">
        <v>46</v>
      </c>
      <c r="G22" s="3">
        <v>15802.44</v>
      </c>
      <c r="H22" s="2" t="s">
        <v>26</v>
      </c>
    </row>
    <row r="23" ht="22.5" customHeight="1">
      <c r="A23" s="2" t="s">
        <v>19</v>
      </c>
      <c r="B23" s="2" t="s">
        <v>44</v>
      </c>
      <c r="C23" s="2" t="s">
        <v>21</v>
      </c>
      <c r="D23" s="2" t="s">
        <v>22</v>
      </c>
      <c r="E23" s="2" t="s">
        <v>45</v>
      </c>
      <c r="F23" s="2" t="s">
        <v>46</v>
      </c>
      <c r="G23" s="3">
        <v>10060.439999999999</v>
      </c>
      <c r="H23" s="4" t="s">
        <v>28</v>
      </c>
    </row>
    <row r="24" ht="22.5" customHeight="1">
      <c r="A24" s="2" t="s">
        <v>19</v>
      </c>
      <c r="B24" s="2" t="s">
        <v>47</v>
      </c>
      <c r="C24" s="2" t="s">
        <v>32</v>
      </c>
      <c r="D24" s="2" t="s">
        <v>48</v>
      </c>
      <c r="F24" s="2" t="s">
        <v>49</v>
      </c>
      <c r="G24" s="2">
        <v>18848.225941</v>
      </c>
      <c r="H24" s="2" t="s">
        <v>27</v>
      </c>
    </row>
    <row r="25" ht="22.5" customHeight="1">
      <c r="A25" s="2" t="s">
        <v>19</v>
      </c>
      <c r="B25" s="2" t="s">
        <v>47</v>
      </c>
      <c r="C25" s="2" t="s">
        <v>32</v>
      </c>
      <c r="D25" s="2" t="s">
        <v>48</v>
      </c>
      <c r="F25" s="2" t="s">
        <v>49</v>
      </c>
      <c r="G25" s="2">
        <v>19080.558312</v>
      </c>
      <c r="H25" s="2" t="s">
        <v>26</v>
      </c>
    </row>
    <row r="26" ht="22.5" customHeight="1">
      <c r="A26" s="2" t="s">
        <v>19</v>
      </c>
      <c r="B26" s="2" t="s">
        <v>47</v>
      </c>
      <c r="C26" s="2" t="s">
        <v>32</v>
      </c>
      <c r="D26" s="2" t="s">
        <v>48</v>
      </c>
      <c r="F26" s="2" t="s">
        <v>49</v>
      </c>
      <c r="G26" s="2">
        <v>19207.062778</v>
      </c>
      <c r="H26" s="2" t="s">
        <v>25</v>
      </c>
    </row>
    <row r="27" ht="22.5" customHeight="1">
      <c r="A27" s="2" t="s">
        <v>19</v>
      </c>
      <c r="B27" s="2" t="s">
        <v>50</v>
      </c>
      <c r="C27" s="2" t="s">
        <v>32</v>
      </c>
      <c r="D27" s="2" t="s">
        <v>39</v>
      </c>
      <c r="F27" s="2" t="s">
        <v>51</v>
      </c>
      <c r="G27" s="2">
        <v>20193.28296</v>
      </c>
      <c r="H27" s="2" t="s">
        <v>26</v>
      </c>
    </row>
    <row r="28" ht="22.5" customHeight="1">
      <c r="A28" s="2" t="s">
        <v>19</v>
      </c>
      <c r="B28" s="2" t="s">
        <v>50</v>
      </c>
      <c r="C28" s="2" t="s">
        <v>32</v>
      </c>
      <c r="D28" s="2" t="s">
        <v>39</v>
      </c>
      <c r="F28" s="2" t="s">
        <v>51</v>
      </c>
      <c r="G28" s="2">
        <v>20050.153784</v>
      </c>
      <c r="H28" s="2" t="s">
        <v>27</v>
      </c>
    </row>
    <row r="29" ht="22.5" customHeight="1">
      <c r="A29" s="2" t="s">
        <v>19</v>
      </c>
      <c r="B29" s="2" t="s">
        <v>50</v>
      </c>
      <c r="C29" s="2" t="s">
        <v>32</v>
      </c>
      <c r="D29" s="2" t="s">
        <v>39</v>
      </c>
      <c r="F29" s="2" t="s">
        <v>51</v>
      </c>
      <c r="G29" s="2">
        <v>20427.17472</v>
      </c>
      <c r="H29" s="2" t="s">
        <v>25</v>
      </c>
    </row>
    <row r="30" ht="22.5" customHeight="1">
      <c r="A30" s="2" t="s">
        <v>19</v>
      </c>
      <c r="B30" s="2" t="s">
        <v>52</v>
      </c>
      <c r="C30" s="2" t="s">
        <v>21</v>
      </c>
      <c r="D30" s="2" t="s">
        <v>22</v>
      </c>
      <c r="E30" s="2" t="s">
        <v>53</v>
      </c>
      <c r="F30" s="2" t="s">
        <v>54</v>
      </c>
      <c r="G30" s="2">
        <v>8107.360929</v>
      </c>
      <c r="H30" s="2" t="s">
        <v>27</v>
      </c>
    </row>
    <row r="31" ht="22.5" customHeight="1">
      <c r="A31" s="2" t="s">
        <v>19</v>
      </c>
      <c r="B31" s="2" t="s">
        <v>52</v>
      </c>
      <c r="C31" s="2" t="s">
        <v>21</v>
      </c>
      <c r="D31" s="2" t="s">
        <v>22</v>
      </c>
      <c r="E31" s="2" t="s">
        <v>53</v>
      </c>
      <c r="F31" s="2" t="s">
        <v>54</v>
      </c>
      <c r="G31" s="3">
        <v>20303.010580000002</v>
      </c>
      <c r="H31" s="2" t="s">
        <v>26</v>
      </c>
    </row>
    <row r="32" ht="22.5" customHeight="1">
      <c r="A32" s="2" t="s">
        <v>19</v>
      </c>
      <c r="B32" s="2" t="s">
        <v>52</v>
      </c>
      <c r="C32" s="2" t="s">
        <v>21</v>
      </c>
      <c r="D32" s="2" t="s">
        <v>22</v>
      </c>
      <c r="E32" s="2" t="s">
        <v>53</v>
      </c>
      <c r="F32" s="2" t="s">
        <v>54</v>
      </c>
      <c r="G32" s="3">
        <v>18427.440000000002</v>
      </c>
      <c r="H32" s="4" t="s">
        <v>28</v>
      </c>
    </row>
    <row r="33" ht="22.5" customHeight="1">
      <c r="A33" s="2" t="s">
        <v>19</v>
      </c>
      <c r="B33" s="2" t="s">
        <v>55</v>
      </c>
      <c r="C33" s="2" t="s">
        <v>21</v>
      </c>
      <c r="D33" s="2" t="s">
        <v>56</v>
      </c>
      <c r="F33" s="2" t="s">
        <v>57</v>
      </c>
      <c r="G33" s="2">
        <v>13202.829051</v>
      </c>
      <c r="H33" s="2" t="s">
        <v>26</v>
      </c>
    </row>
    <row r="34" ht="22.5" customHeight="1">
      <c r="A34" s="2" t="s">
        <v>19</v>
      </c>
      <c r="B34" s="2" t="s">
        <v>55</v>
      </c>
      <c r="C34" s="2" t="s">
        <v>21</v>
      </c>
      <c r="D34" s="2" t="s">
        <v>56</v>
      </c>
      <c r="F34" s="2" t="s">
        <v>57</v>
      </c>
      <c r="G34" s="2">
        <v>10059.743257</v>
      </c>
      <c r="H34" s="2" t="s">
        <v>27</v>
      </c>
    </row>
    <row r="35" ht="22.5" customHeight="1">
      <c r="A35" s="2" t="s">
        <v>19</v>
      </c>
      <c r="B35" s="2" t="s">
        <v>55</v>
      </c>
      <c r="C35" s="2" t="s">
        <v>21</v>
      </c>
      <c r="D35" s="2" t="s">
        <v>56</v>
      </c>
      <c r="F35" s="2" t="s">
        <v>57</v>
      </c>
      <c r="G35" s="2">
        <v>7350.0</v>
      </c>
      <c r="H35" s="2" t="s">
        <v>25</v>
      </c>
    </row>
    <row r="36" ht="22.5" customHeight="1">
      <c r="A36" s="2" t="s">
        <v>19</v>
      </c>
      <c r="B36" s="2" t="s">
        <v>58</v>
      </c>
      <c r="C36" s="2" t="s">
        <v>21</v>
      </c>
      <c r="D36" s="2" t="s">
        <v>22</v>
      </c>
      <c r="E36" s="4" t="s">
        <v>23</v>
      </c>
      <c r="F36" s="2" t="s">
        <v>59</v>
      </c>
      <c r="G36" s="3">
        <v>15770.03</v>
      </c>
      <c r="H36" s="2" t="s">
        <v>26</v>
      </c>
    </row>
    <row r="37" ht="22.5" customHeight="1">
      <c r="A37" s="2" t="s">
        <v>19</v>
      </c>
      <c r="B37" s="2" t="s">
        <v>58</v>
      </c>
      <c r="C37" s="2" t="s">
        <v>21</v>
      </c>
      <c r="D37" s="2" t="s">
        <v>22</v>
      </c>
      <c r="E37" s="4" t="s">
        <v>23</v>
      </c>
      <c r="F37" s="2" t="s">
        <v>59</v>
      </c>
      <c r="G37" s="3">
        <v>14071.391037000001</v>
      </c>
      <c r="H37" s="2" t="s">
        <v>27</v>
      </c>
    </row>
    <row r="38" ht="22.5" customHeight="1">
      <c r="A38" s="2" t="s">
        <v>19</v>
      </c>
      <c r="B38" s="2" t="s">
        <v>58</v>
      </c>
      <c r="C38" s="2" t="s">
        <v>21</v>
      </c>
      <c r="D38" s="2" t="s">
        <v>22</v>
      </c>
      <c r="E38" s="4" t="s">
        <v>23</v>
      </c>
      <c r="F38" s="2" t="s">
        <v>59</v>
      </c>
      <c r="G38" s="2">
        <v>3209.170779</v>
      </c>
      <c r="H38" s="2" t="s">
        <v>25</v>
      </c>
    </row>
    <row r="39" ht="22.5" customHeight="1">
      <c r="A39" s="2" t="s">
        <v>19</v>
      </c>
      <c r="B39" s="2" t="s">
        <v>58</v>
      </c>
      <c r="C39" s="2" t="s">
        <v>21</v>
      </c>
      <c r="D39" s="2" t="s">
        <v>22</v>
      </c>
      <c r="E39" s="4" t="s">
        <v>23</v>
      </c>
      <c r="F39" s="2" t="s">
        <v>59</v>
      </c>
      <c r="G39" s="3">
        <v>15277.44</v>
      </c>
      <c r="H39" s="4" t="s">
        <v>28</v>
      </c>
    </row>
    <row r="40" ht="22.5" customHeight="1">
      <c r="A40" s="2" t="s">
        <v>19</v>
      </c>
      <c r="B40" s="2" t="s">
        <v>60</v>
      </c>
      <c r="C40" s="2" t="s">
        <v>21</v>
      </c>
      <c r="D40" s="2" t="s">
        <v>22</v>
      </c>
      <c r="E40" s="2" t="s">
        <v>42</v>
      </c>
      <c r="F40" s="2" t="s">
        <v>61</v>
      </c>
      <c r="G40" s="2">
        <v>17823.580152</v>
      </c>
      <c r="H40" s="2" t="s">
        <v>27</v>
      </c>
    </row>
    <row r="41" ht="22.5" customHeight="1">
      <c r="A41" s="2" t="s">
        <v>19</v>
      </c>
      <c r="B41" s="2" t="s">
        <v>60</v>
      </c>
      <c r="C41" s="2" t="s">
        <v>21</v>
      </c>
      <c r="D41" s="2" t="s">
        <v>22</v>
      </c>
      <c r="E41" s="2" t="s">
        <v>42</v>
      </c>
      <c r="F41" s="2" t="s">
        <v>61</v>
      </c>
      <c r="G41" s="2">
        <v>18141.678181</v>
      </c>
      <c r="H41" s="2" t="s">
        <v>25</v>
      </c>
    </row>
    <row r="42" ht="22.5" customHeight="1">
      <c r="A42" s="2" t="s">
        <v>19</v>
      </c>
      <c r="B42" s="2" t="s">
        <v>60</v>
      </c>
      <c r="C42" s="2" t="s">
        <v>21</v>
      </c>
      <c r="D42" s="2" t="s">
        <v>22</v>
      </c>
      <c r="E42" s="2" t="s">
        <v>42</v>
      </c>
      <c r="F42" s="2" t="s">
        <v>61</v>
      </c>
      <c r="G42" s="3">
        <v>10866.0195</v>
      </c>
      <c r="H42" s="2" t="s">
        <v>26</v>
      </c>
    </row>
    <row r="43" ht="22.5" customHeight="1">
      <c r="A43" s="2" t="s">
        <v>19</v>
      </c>
      <c r="B43" s="2" t="s">
        <v>60</v>
      </c>
      <c r="C43" s="2" t="s">
        <v>21</v>
      </c>
      <c r="D43" s="2" t="s">
        <v>22</v>
      </c>
      <c r="E43" s="2" t="s">
        <v>42</v>
      </c>
      <c r="F43" s="2" t="s">
        <v>61</v>
      </c>
      <c r="G43" s="3">
        <v>7247.5095</v>
      </c>
      <c r="H43" s="4" t="s">
        <v>28</v>
      </c>
    </row>
    <row r="44" ht="22.5" customHeight="1">
      <c r="A44" s="2" t="s">
        <v>19</v>
      </c>
      <c r="B44" s="2" t="s">
        <v>62</v>
      </c>
      <c r="C44" s="2" t="s">
        <v>21</v>
      </c>
      <c r="D44" s="2" t="s">
        <v>22</v>
      </c>
      <c r="E44" s="2" t="s">
        <v>63</v>
      </c>
      <c r="F44" s="2" t="s">
        <v>64</v>
      </c>
      <c r="G44" s="2">
        <v>16006.678947</v>
      </c>
      <c r="H44" s="2" t="s">
        <v>26</v>
      </c>
    </row>
    <row r="45" ht="22.5" customHeight="1">
      <c r="A45" s="2" t="s">
        <v>19</v>
      </c>
      <c r="B45" s="2" t="s">
        <v>62</v>
      </c>
      <c r="C45" s="2" t="s">
        <v>21</v>
      </c>
      <c r="D45" s="2" t="s">
        <v>22</v>
      </c>
      <c r="E45" s="2" t="s">
        <v>63</v>
      </c>
      <c r="F45" s="2" t="s">
        <v>64</v>
      </c>
      <c r="G45" s="2">
        <v>15686.20395</v>
      </c>
      <c r="H45" s="2" t="s">
        <v>27</v>
      </c>
    </row>
    <row r="46" ht="22.5" customHeight="1">
      <c r="A46" s="2" t="s">
        <v>19</v>
      </c>
      <c r="B46" s="2" t="s">
        <v>62</v>
      </c>
      <c r="C46" s="2" t="s">
        <v>21</v>
      </c>
      <c r="D46" s="2" t="s">
        <v>22</v>
      </c>
      <c r="E46" s="2" t="s">
        <v>63</v>
      </c>
      <c r="F46" s="2" t="s">
        <v>64</v>
      </c>
      <c r="G46" s="2">
        <v>15964.552952</v>
      </c>
      <c r="H46" s="2" t="s">
        <v>25</v>
      </c>
    </row>
    <row r="47" ht="22.5" customHeight="1">
      <c r="A47" s="2" t="s">
        <v>19</v>
      </c>
      <c r="B47" s="2" t="s">
        <v>65</v>
      </c>
      <c r="C47" s="2" t="s">
        <v>21</v>
      </c>
      <c r="D47" s="2" t="s">
        <v>22</v>
      </c>
      <c r="E47" s="2" t="s">
        <v>23</v>
      </c>
      <c r="F47" s="2" t="s">
        <v>66</v>
      </c>
      <c r="G47" s="2">
        <v>14885.846693</v>
      </c>
      <c r="H47" s="2" t="s">
        <v>25</v>
      </c>
    </row>
    <row r="48" ht="22.5" customHeight="1">
      <c r="A48" s="2" t="s">
        <v>19</v>
      </c>
      <c r="B48" s="2" t="s">
        <v>65</v>
      </c>
      <c r="C48" s="2" t="s">
        <v>21</v>
      </c>
      <c r="D48" s="2" t="s">
        <v>22</v>
      </c>
      <c r="E48" s="2" t="s">
        <v>23</v>
      </c>
      <c r="F48" s="2" t="s">
        <v>66</v>
      </c>
      <c r="G48" s="2">
        <v>17068.442615</v>
      </c>
      <c r="H48" s="2" t="s">
        <v>26</v>
      </c>
    </row>
    <row r="49" ht="22.5" customHeight="1">
      <c r="A49" s="2" t="s">
        <v>19</v>
      </c>
      <c r="B49" s="2" t="s">
        <v>65</v>
      </c>
      <c r="C49" s="2" t="s">
        <v>21</v>
      </c>
      <c r="D49" s="2" t="s">
        <v>22</v>
      </c>
      <c r="E49" s="2" t="s">
        <v>23</v>
      </c>
      <c r="F49" s="2" t="s">
        <v>66</v>
      </c>
      <c r="G49" s="2">
        <v>16766.51173</v>
      </c>
      <c r="H49" s="2" t="s">
        <v>27</v>
      </c>
    </row>
    <row r="50" ht="22.5" customHeight="1">
      <c r="A50" s="2" t="s">
        <v>19</v>
      </c>
      <c r="B50" s="5" t="s">
        <v>67</v>
      </c>
      <c r="C50" s="4" t="s">
        <v>68</v>
      </c>
      <c r="D50" s="4" t="s">
        <v>69</v>
      </c>
      <c r="F50" s="5" t="s">
        <v>67</v>
      </c>
      <c r="G50" s="3">
        <v>143227.36</v>
      </c>
      <c r="H50" s="2" t="s">
        <v>25</v>
      </c>
    </row>
    <row r="51" ht="22.5" customHeight="1">
      <c r="A51" s="2" t="s">
        <v>19</v>
      </c>
      <c r="B51" s="5" t="s">
        <v>67</v>
      </c>
      <c r="C51" s="4" t="s">
        <v>68</v>
      </c>
      <c r="D51" s="4" t="s">
        <v>69</v>
      </c>
      <c r="F51" s="5" t="s">
        <v>67</v>
      </c>
      <c r="G51" s="3">
        <v>143228.86</v>
      </c>
      <c r="H51" s="4" t="s">
        <v>27</v>
      </c>
    </row>
    <row r="52" ht="22.5" customHeight="1">
      <c r="A52" s="2" t="s">
        <v>19</v>
      </c>
      <c r="B52" s="5" t="s">
        <v>67</v>
      </c>
      <c r="C52" s="4" t="s">
        <v>68</v>
      </c>
      <c r="D52" s="4" t="s">
        <v>69</v>
      </c>
      <c r="F52" s="5" t="s">
        <v>67</v>
      </c>
      <c r="G52" s="3">
        <v>143228.86</v>
      </c>
      <c r="H52" s="4" t="s">
        <v>26</v>
      </c>
    </row>
    <row r="53" ht="22.5" customHeight="1">
      <c r="A53" s="2" t="s">
        <v>19</v>
      </c>
      <c r="B53" s="5" t="s">
        <v>67</v>
      </c>
      <c r="C53" s="4" t="s">
        <v>68</v>
      </c>
      <c r="D53" s="4" t="s">
        <v>69</v>
      </c>
      <c r="F53" s="5" t="s">
        <v>67</v>
      </c>
      <c r="G53" s="3">
        <v>143228.86</v>
      </c>
      <c r="H53" s="4" t="s">
        <v>28</v>
      </c>
    </row>
    <row r="54" ht="22.5" customHeight="1">
      <c r="A54" s="2" t="s">
        <v>19</v>
      </c>
      <c r="B54" s="5" t="s">
        <v>70</v>
      </c>
      <c r="C54" s="4" t="s">
        <v>21</v>
      </c>
      <c r="D54" s="4" t="s">
        <v>22</v>
      </c>
      <c r="F54" s="5" t="s">
        <v>70</v>
      </c>
      <c r="G54" s="3">
        <v>20127.76</v>
      </c>
      <c r="H54" s="2" t="s">
        <v>25</v>
      </c>
    </row>
    <row r="55" ht="22.5" customHeight="1">
      <c r="A55" s="2" t="s">
        <v>19</v>
      </c>
      <c r="B55" s="4" t="s">
        <v>71</v>
      </c>
      <c r="C55" s="4" t="s">
        <v>68</v>
      </c>
      <c r="D55" s="4" t="s">
        <v>72</v>
      </c>
      <c r="F55" s="5" t="s">
        <v>73</v>
      </c>
      <c r="G55" s="6">
        <v>12999.9</v>
      </c>
      <c r="H55" s="2" t="s">
        <v>25</v>
      </c>
    </row>
    <row r="56" ht="22.5" customHeight="1">
      <c r="A56" s="2" t="s">
        <v>19</v>
      </c>
      <c r="B56" s="4" t="s">
        <v>71</v>
      </c>
      <c r="C56" s="4" t="s">
        <v>68</v>
      </c>
      <c r="D56" s="4" t="s">
        <v>72</v>
      </c>
      <c r="F56" s="5" t="s">
        <v>73</v>
      </c>
      <c r="G56" s="3">
        <v>12999.9</v>
      </c>
      <c r="H56" s="4" t="s">
        <v>27</v>
      </c>
    </row>
    <row r="57" ht="22.5" customHeight="1">
      <c r="A57" s="2" t="s">
        <v>19</v>
      </c>
      <c r="B57" s="4" t="s">
        <v>71</v>
      </c>
      <c r="C57" s="4" t="s">
        <v>68</v>
      </c>
      <c r="D57" s="4" t="s">
        <v>72</v>
      </c>
      <c r="F57" s="5" t="s">
        <v>73</v>
      </c>
      <c r="G57" s="3">
        <v>12999.9</v>
      </c>
      <c r="H57" s="4" t="s">
        <v>26</v>
      </c>
    </row>
    <row r="58" ht="22.5" customHeight="1">
      <c r="A58" s="2" t="s">
        <v>19</v>
      </c>
      <c r="B58" s="4" t="s">
        <v>71</v>
      </c>
      <c r="C58" s="4" t="s">
        <v>68</v>
      </c>
      <c r="D58" s="4" t="s">
        <v>72</v>
      </c>
      <c r="F58" s="5" t="s">
        <v>73</v>
      </c>
      <c r="G58" s="3">
        <v>12999.9</v>
      </c>
      <c r="H58" s="4" t="s">
        <v>28</v>
      </c>
    </row>
    <row r="59" ht="22.5" customHeight="1">
      <c r="A59" s="2" t="s">
        <v>19</v>
      </c>
      <c r="B59" s="4" t="s">
        <v>71</v>
      </c>
      <c r="C59" s="4" t="s">
        <v>68</v>
      </c>
      <c r="D59" s="4" t="s">
        <v>72</v>
      </c>
      <c r="F59" s="5" t="s">
        <v>74</v>
      </c>
      <c r="G59" s="3">
        <v>12999.9</v>
      </c>
      <c r="H59" s="2" t="s">
        <v>25</v>
      </c>
    </row>
    <row r="60" ht="22.5" customHeight="1">
      <c r="A60" s="2" t="s">
        <v>19</v>
      </c>
      <c r="B60" s="4" t="s">
        <v>71</v>
      </c>
      <c r="C60" s="4" t="s">
        <v>68</v>
      </c>
      <c r="D60" s="4" t="s">
        <v>72</v>
      </c>
      <c r="F60" s="5" t="s">
        <v>74</v>
      </c>
      <c r="G60" s="3">
        <v>12999.9</v>
      </c>
      <c r="H60" s="4" t="s">
        <v>27</v>
      </c>
    </row>
    <row r="61" ht="22.5" customHeight="1">
      <c r="A61" s="2" t="s">
        <v>19</v>
      </c>
      <c r="B61" s="4" t="s">
        <v>71</v>
      </c>
      <c r="C61" s="4" t="s">
        <v>68</v>
      </c>
      <c r="D61" s="4" t="s">
        <v>72</v>
      </c>
      <c r="F61" s="5" t="s">
        <v>74</v>
      </c>
      <c r="G61" s="3">
        <v>12999.9</v>
      </c>
      <c r="H61" s="4" t="s">
        <v>26</v>
      </c>
    </row>
    <row r="62" ht="22.5" customHeight="1">
      <c r="A62" s="2" t="s">
        <v>19</v>
      </c>
      <c r="B62" s="4" t="s">
        <v>71</v>
      </c>
      <c r="C62" s="4" t="s">
        <v>68</v>
      </c>
      <c r="D62" s="4" t="s">
        <v>72</v>
      </c>
      <c r="F62" s="5" t="s">
        <v>74</v>
      </c>
      <c r="G62" s="3">
        <v>12999.9</v>
      </c>
      <c r="H62" s="4" t="s">
        <v>28</v>
      </c>
    </row>
    <row r="63" ht="22.5" customHeight="1">
      <c r="A63" s="2" t="s">
        <v>19</v>
      </c>
      <c r="B63" s="5" t="s">
        <v>75</v>
      </c>
      <c r="C63" s="4" t="s">
        <v>32</v>
      </c>
      <c r="D63" s="4" t="s">
        <v>48</v>
      </c>
      <c r="F63" s="5" t="s">
        <v>75</v>
      </c>
      <c r="G63" s="3">
        <v>16219.1</v>
      </c>
      <c r="H63" s="2" t="s">
        <v>25</v>
      </c>
    </row>
    <row r="64" ht="22.5" customHeight="1">
      <c r="A64" s="2" t="s">
        <v>19</v>
      </c>
      <c r="B64" s="5" t="s">
        <v>75</v>
      </c>
      <c r="C64" s="4" t="s">
        <v>32</v>
      </c>
      <c r="D64" s="4" t="s">
        <v>48</v>
      </c>
      <c r="F64" s="5" t="s">
        <v>75</v>
      </c>
      <c r="G64" s="3">
        <v>22000.14</v>
      </c>
      <c r="H64" s="4" t="s">
        <v>27</v>
      </c>
    </row>
    <row r="65" ht="22.5" customHeight="1">
      <c r="A65" s="2" t="s">
        <v>19</v>
      </c>
      <c r="B65" s="5" t="s">
        <v>75</v>
      </c>
      <c r="C65" s="4" t="s">
        <v>32</v>
      </c>
      <c r="D65" s="4" t="s">
        <v>48</v>
      </c>
      <c r="F65" s="5" t="s">
        <v>75</v>
      </c>
      <c r="G65" s="3">
        <v>22000.14</v>
      </c>
      <c r="H65" s="4" t="s">
        <v>26</v>
      </c>
    </row>
    <row r="66" ht="22.5" customHeight="1">
      <c r="A66" s="2" t="s">
        <v>19</v>
      </c>
      <c r="B66" s="5" t="s">
        <v>75</v>
      </c>
      <c r="C66" s="4" t="s">
        <v>32</v>
      </c>
      <c r="D66" s="4" t="s">
        <v>48</v>
      </c>
      <c r="F66" s="5" t="s">
        <v>75</v>
      </c>
      <c r="G66" s="3">
        <v>22000.14</v>
      </c>
      <c r="H66" s="4" t="s">
        <v>28</v>
      </c>
    </row>
    <row r="67" ht="22.5" customHeight="1">
      <c r="A67" s="2" t="s">
        <v>19</v>
      </c>
      <c r="B67" s="5" t="s">
        <v>76</v>
      </c>
      <c r="C67" s="4" t="s">
        <v>21</v>
      </c>
      <c r="D67" s="4" t="s">
        <v>22</v>
      </c>
      <c r="F67" s="5" t="s">
        <v>76</v>
      </c>
      <c r="G67" s="3">
        <v>5192.95</v>
      </c>
      <c r="H67" s="2" t="s">
        <v>25</v>
      </c>
    </row>
    <row r="68" ht="22.5" customHeight="1">
      <c r="A68" s="2" t="s">
        <v>19</v>
      </c>
      <c r="B68" s="5" t="s">
        <v>76</v>
      </c>
      <c r="C68" s="4" t="s">
        <v>21</v>
      </c>
      <c r="D68" s="4" t="s">
        <v>22</v>
      </c>
      <c r="F68" s="5" t="s">
        <v>76</v>
      </c>
      <c r="G68" s="3">
        <v>12182.49</v>
      </c>
      <c r="H68" s="4" t="s">
        <v>27</v>
      </c>
    </row>
    <row r="69" ht="22.5" customHeight="1">
      <c r="A69" s="2" t="s">
        <v>19</v>
      </c>
      <c r="B69" s="5" t="s">
        <v>76</v>
      </c>
      <c r="C69" s="4" t="s">
        <v>21</v>
      </c>
      <c r="D69" s="4" t="s">
        <v>22</v>
      </c>
      <c r="F69" s="5" t="s">
        <v>76</v>
      </c>
      <c r="G69" s="3">
        <v>13977.58</v>
      </c>
      <c r="H69" s="4" t="s">
        <v>26</v>
      </c>
    </row>
    <row r="70" ht="22.5" customHeight="1">
      <c r="A70" s="2" t="s">
        <v>19</v>
      </c>
      <c r="B70" s="5" t="s">
        <v>76</v>
      </c>
      <c r="C70" s="4" t="s">
        <v>21</v>
      </c>
      <c r="D70" s="4" t="s">
        <v>22</v>
      </c>
      <c r="F70" s="5" t="s">
        <v>76</v>
      </c>
      <c r="G70" s="3">
        <v>13977.58</v>
      </c>
      <c r="H70" s="4" t="s">
        <v>28</v>
      </c>
    </row>
    <row r="71" ht="22.5" customHeight="1">
      <c r="A71" s="2" t="s">
        <v>19</v>
      </c>
      <c r="B71" s="2" t="s">
        <v>77</v>
      </c>
      <c r="C71" s="2" t="s">
        <v>32</v>
      </c>
      <c r="D71" s="2" t="s">
        <v>78</v>
      </c>
      <c r="F71" s="2" t="s">
        <v>79</v>
      </c>
      <c r="G71" s="2">
        <v>30450.0</v>
      </c>
      <c r="H71" s="2" t="s">
        <v>25</v>
      </c>
    </row>
    <row r="72" ht="22.5" customHeight="1">
      <c r="A72" s="2" t="s">
        <v>19</v>
      </c>
      <c r="B72" s="2" t="s">
        <v>77</v>
      </c>
      <c r="C72" s="2" t="s">
        <v>32</v>
      </c>
      <c r="D72" s="2" t="s">
        <v>78</v>
      </c>
      <c r="F72" s="2" t="s">
        <v>79</v>
      </c>
      <c r="G72" s="2">
        <v>30450.0</v>
      </c>
      <c r="H72" s="2" t="s">
        <v>26</v>
      </c>
    </row>
    <row r="73" ht="22.5" customHeight="1">
      <c r="A73" s="2" t="s">
        <v>19</v>
      </c>
      <c r="B73" s="2" t="s">
        <v>77</v>
      </c>
      <c r="C73" s="2" t="s">
        <v>32</v>
      </c>
      <c r="D73" s="2" t="s">
        <v>78</v>
      </c>
      <c r="F73" s="2" t="s">
        <v>79</v>
      </c>
      <c r="G73" s="2">
        <v>30450.0</v>
      </c>
      <c r="H73" s="2" t="s">
        <v>27</v>
      </c>
    </row>
    <row r="74" ht="22.5" customHeight="1">
      <c r="A74" s="2" t="s">
        <v>19</v>
      </c>
      <c r="B74" s="2" t="s">
        <v>80</v>
      </c>
      <c r="C74" s="2" t="s">
        <v>32</v>
      </c>
      <c r="D74" s="2" t="s">
        <v>56</v>
      </c>
      <c r="F74" s="2" t="s">
        <v>81</v>
      </c>
      <c r="G74" s="2">
        <v>23583.237293</v>
      </c>
      <c r="H74" s="2" t="s">
        <v>26</v>
      </c>
    </row>
    <row r="75" ht="22.5" customHeight="1">
      <c r="A75" s="2" t="s">
        <v>19</v>
      </c>
      <c r="B75" s="2" t="s">
        <v>80</v>
      </c>
      <c r="C75" s="2" t="s">
        <v>32</v>
      </c>
      <c r="D75" s="2" t="s">
        <v>56</v>
      </c>
      <c r="F75" s="2" t="s">
        <v>81</v>
      </c>
      <c r="G75" s="2">
        <v>13045.633175</v>
      </c>
      <c r="H75" s="2" t="s">
        <v>27</v>
      </c>
    </row>
    <row r="76" ht="22.5" customHeight="1">
      <c r="A76" s="2" t="s">
        <v>19</v>
      </c>
      <c r="B76" s="2" t="s">
        <v>80</v>
      </c>
      <c r="C76" s="2" t="s">
        <v>32</v>
      </c>
      <c r="D76" s="2" t="s">
        <v>56</v>
      </c>
      <c r="F76" s="2" t="s">
        <v>81</v>
      </c>
      <c r="G76" s="2">
        <v>13291.944052</v>
      </c>
      <c r="H76" s="2" t="s">
        <v>25</v>
      </c>
    </row>
    <row r="77" ht="22.5" customHeight="1">
      <c r="A77" s="2" t="s">
        <v>19</v>
      </c>
      <c r="B77" s="2" t="s">
        <v>82</v>
      </c>
      <c r="C77" s="2" t="s">
        <v>21</v>
      </c>
      <c r="D77" s="2" t="s">
        <v>56</v>
      </c>
      <c r="F77" s="2" t="s">
        <v>83</v>
      </c>
      <c r="G77" s="2">
        <v>16300.94857</v>
      </c>
      <c r="H77" s="2" t="s">
        <v>27</v>
      </c>
    </row>
    <row r="78" ht="22.5" customHeight="1">
      <c r="A78" s="2" t="s">
        <v>19</v>
      </c>
      <c r="B78" s="2" t="s">
        <v>82</v>
      </c>
      <c r="C78" s="2" t="s">
        <v>21</v>
      </c>
      <c r="D78" s="2" t="s">
        <v>56</v>
      </c>
      <c r="F78" s="2" t="s">
        <v>83</v>
      </c>
      <c r="G78" s="2">
        <v>16669.545683</v>
      </c>
      <c r="H78" s="2" t="s">
        <v>25</v>
      </c>
    </row>
    <row r="79" ht="22.5" customHeight="1">
      <c r="A79" s="2" t="s">
        <v>19</v>
      </c>
      <c r="B79" s="2" t="s">
        <v>82</v>
      </c>
      <c r="C79" s="2" t="s">
        <v>21</v>
      </c>
      <c r="D79" s="2" t="s">
        <v>56</v>
      </c>
      <c r="F79" s="2" t="s">
        <v>83</v>
      </c>
      <c r="G79" s="2">
        <v>16518.122589</v>
      </c>
      <c r="H79" s="2" t="s">
        <v>26</v>
      </c>
    </row>
    <row r="80" ht="22.5" customHeight="1">
      <c r="A80" s="2" t="s">
        <v>19</v>
      </c>
      <c r="B80" s="2" t="s">
        <v>84</v>
      </c>
      <c r="C80" s="2" t="s">
        <v>32</v>
      </c>
      <c r="D80" s="2" t="s">
        <v>48</v>
      </c>
      <c r="F80" s="2" t="s">
        <v>85</v>
      </c>
      <c r="G80" s="2">
        <v>18843.097092</v>
      </c>
      <c r="H80" s="2" t="s">
        <v>27</v>
      </c>
    </row>
    <row r="81" ht="22.5" customHeight="1">
      <c r="A81" s="2" t="s">
        <v>19</v>
      </c>
      <c r="B81" s="2" t="s">
        <v>84</v>
      </c>
      <c r="C81" s="2" t="s">
        <v>32</v>
      </c>
      <c r="D81" s="2" t="s">
        <v>48</v>
      </c>
      <c r="F81" s="2" t="s">
        <v>85</v>
      </c>
      <c r="G81" s="2">
        <v>15931.39405</v>
      </c>
      <c r="H81" s="2" t="s">
        <v>25</v>
      </c>
    </row>
    <row r="82" ht="22.5" customHeight="1">
      <c r="A82" s="2" t="s">
        <v>19</v>
      </c>
      <c r="B82" s="2" t="s">
        <v>84</v>
      </c>
      <c r="C82" s="2" t="s">
        <v>32</v>
      </c>
      <c r="D82" s="2" t="s">
        <v>48</v>
      </c>
      <c r="F82" s="2" t="s">
        <v>85</v>
      </c>
      <c r="G82" s="2">
        <v>19074.754614</v>
      </c>
      <c r="H82" s="2" t="s">
        <v>26</v>
      </c>
    </row>
    <row r="83" ht="22.5" customHeight="1">
      <c r="A83" s="2" t="s">
        <v>19</v>
      </c>
      <c r="B83" s="2" t="s">
        <v>86</v>
      </c>
      <c r="C83" s="2" t="s">
        <v>32</v>
      </c>
      <c r="D83" s="2" t="s">
        <v>39</v>
      </c>
      <c r="F83" s="2" t="s">
        <v>87</v>
      </c>
      <c r="G83" s="2">
        <v>14165.15378</v>
      </c>
      <c r="H83" s="2" t="s">
        <v>27</v>
      </c>
    </row>
    <row r="84" ht="22.5" customHeight="1">
      <c r="A84" s="2" t="s">
        <v>19</v>
      </c>
      <c r="B84" s="2" t="s">
        <v>86</v>
      </c>
      <c r="C84" s="2" t="s">
        <v>32</v>
      </c>
      <c r="D84" s="2" t="s">
        <v>39</v>
      </c>
      <c r="F84" s="2" t="s">
        <v>87</v>
      </c>
      <c r="G84" s="2">
        <v>14432.174718</v>
      </c>
      <c r="H84" s="2" t="s">
        <v>25</v>
      </c>
    </row>
    <row r="85" ht="22.5" customHeight="1">
      <c r="A85" s="2" t="s">
        <v>19</v>
      </c>
      <c r="B85" s="2" t="s">
        <v>86</v>
      </c>
      <c r="C85" s="2" t="s">
        <v>32</v>
      </c>
      <c r="D85" s="2" t="s">
        <v>39</v>
      </c>
      <c r="F85" s="2" t="s">
        <v>87</v>
      </c>
      <c r="G85" s="2">
        <v>14418.282958</v>
      </c>
      <c r="H85" s="2" t="s">
        <v>26</v>
      </c>
    </row>
    <row r="86" ht="22.5" customHeight="1">
      <c r="A86" s="2" t="s">
        <v>19</v>
      </c>
      <c r="B86" s="2" t="s">
        <v>88</v>
      </c>
      <c r="C86" s="2" t="s">
        <v>21</v>
      </c>
      <c r="D86" s="2" t="s">
        <v>22</v>
      </c>
      <c r="E86" s="2" t="s">
        <v>45</v>
      </c>
      <c r="F86" s="2" t="s">
        <v>89</v>
      </c>
      <c r="G86" s="2">
        <v>15633.097092</v>
      </c>
      <c r="H86" s="2" t="s">
        <v>27</v>
      </c>
    </row>
    <row r="87" ht="22.5" customHeight="1">
      <c r="A87" s="2" t="s">
        <v>19</v>
      </c>
      <c r="B87" s="2" t="s">
        <v>88</v>
      </c>
      <c r="C87" s="2" t="s">
        <v>21</v>
      </c>
      <c r="D87" s="2" t="s">
        <v>22</v>
      </c>
      <c r="E87" s="2" t="s">
        <v>45</v>
      </c>
      <c r="F87" s="2" t="s">
        <v>89</v>
      </c>
      <c r="G87" s="2">
        <v>3181.752788</v>
      </c>
      <c r="H87" s="2" t="s">
        <v>25</v>
      </c>
    </row>
    <row r="88" ht="22.5" customHeight="1">
      <c r="A88" s="2" t="s">
        <v>19</v>
      </c>
      <c r="B88" s="2" t="s">
        <v>88</v>
      </c>
      <c r="C88" s="2" t="s">
        <v>21</v>
      </c>
      <c r="D88" s="2" t="s">
        <v>22</v>
      </c>
      <c r="E88" s="2" t="s">
        <v>45</v>
      </c>
      <c r="F88" s="2" t="s">
        <v>89</v>
      </c>
      <c r="G88" s="2">
        <v>15924.754614</v>
      </c>
      <c r="H88" s="2" t="s">
        <v>26</v>
      </c>
    </row>
    <row r="89" ht="22.5" customHeight="1">
      <c r="A89" s="2" t="s">
        <v>19</v>
      </c>
      <c r="B89" s="2" t="s">
        <v>90</v>
      </c>
      <c r="C89" s="2" t="s">
        <v>21</v>
      </c>
      <c r="D89" s="2" t="s">
        <v>22</v>
      </c>
      <c r="E89" s="2" t="s">
        <v>45</v>
      </c>
      <c r="F89" s="2" t="s">
        <v>91</v>
      </c>
      <c r="G89" s="2">
        <v>17051.678181</v>
      </c>
      <c r="H89" s="2" t="s">
        <v>25</v>
      </c>
    </row>
    <row r="90" ht="22.5" customHeight="1">
      <c r="A90" s="2" t="s">
        <v>19</v>
      </c>
      <c r="B90" s="2" t="s">
        <v>90</v>
      </c>
      <c r="C90" s="2" t="s">
        <v>21</v>
      </c>
      <c r="D90" s="2" t="s">
        <v>22</v>
      </c>
      <c r="E90" s="2" t="s">
        <v>45</v>
      </c>
      <c r="F90" s="2" t="s">
        <v>91</v>
      </c>
      <c r="G90" s="2">
        <v>8493.071037</v>
      </c>
      <c r="H90" s="2" t="s">
        <v>27</v>
      </c>
    </row>
    <row r="91" ht="22.5" customHeight="1">
      <c r="A91" s="2" t="s">
        <v>19</v>
      </c>
      <c r="B91" s="2" t="s">
        <v>92</v>
      </c>
      <c r="C91" s="2" t="s">
        <v>21</v>
      </c>
      <c r="D91" s="2" t="s">
        <v>22</v>
      </c>
      <c r="E91" s="2" t="s">
        <v>93</v>
      </c>
      <c r="F91" s="2" t="s">
        <v>94</v>
      </c>
      <c r="G91" s="2">
        <v>14652.097092</v>
      </c>
      <c r="H91" s="2" t="s">
        <v>27</v>
      </c>
    </row>
    <row r="92" ht="22.5" customHeight="1">
      <c r="A92" s="2" t="s">
        <v>19</v>
      </c>
      <c r="B92" s="2" t="s">
        <v>92</v>
      </c>
      <c r="C92" s="2" t="s">
        <v>21</v>
      </c>
      <c r="D92" s="2" t="s">
        <v>22</v>
      </c>
      <c r="E92" s="2" t="s">
        <v>93</v>
      </c>
      <c r="F92" s="2" t="s">
        <v>94</v>
      </c>
      <c r="G92" s="2">
        <v>13969.39405</v>
      </c>
      <c r="H92" s="2" t="s">
        <v>25</v>
      </c>
    </row>
    <row r="93" ht="22.5" customHeight="1">
      <c r="A93" s="2" t="s">
        <v>19</v>
      </c>
      <c r="B93" s="2" t="s">
        <v>92</v>
      </c>
      <c r="C93" s="2" t="s">
        <v>21</v>
      </c>
      <c r="D93" s="2" t="s">
        <v>22</v>
      </c>
      <c r="E93" s="2" t="s">
        <v>93</v>
      </c>
      <c r="F93" s="2" t="s">
        <v>94</v>
      </c>
      <c r="G93" s="2">
        <v>15924.754614</v>
      </c>
      <c r="H93" s="2" t="s">
        <v>26</v>
      </c>
    </row>
    <row r="94" ht="22.5" customHeight="1">
      <c r="A94" s="2" t="s">
        <v>19</v>
      </c>
      <c r="B94" s="2" t="s">
        <v>95</v>
      </c>
      <c r="C94" s="2" t="s">
        <v>68</v>
      </c>
      <c r="D94" s="2" t="s">
        <v>56</v>
      </c>
      <c r="F94" s="2" t="s">
        <v>96</v>
      </c>
      <c r="G94" s="2">
        <v>17571.832089</v>
      </c>
      <c r="H94" s="2" t="s">
        <v>26</v>
      </c>
    </row>
    <row r="95" ht="22.5" customHeight="1">
      <c r="A95" s="2" t="s">
        <v>19</v>
      </c>
      <c r="B95" s="2" t="s">
        <v>95</v>
      </c>
      <c r="C95" s="2" t="s">
        <v>68</v>
      </c>
      <c r="D95" s="2" t="s">
        <v>56</v>
      </c>
      <c r="F95" s="2" t="s">
        <v>96</v>
      </c>
      <c r="G95" s="2">
        <v>17355.964058</v>
      </c>
      <c r="H95" s="2" t="s">
        <v>27</v>
      </c>
    </row>
    <row r="96" ht="22.5" customHeight="1">
      <c r="A96" s="2" t="s">
        <v>19</v>
      </c>
      <c r="B96" s="2" t="s">
        <v>95</v>
      </c>
      <c r="C96" s="2" t="s">
        <v>68</v>
      </c>
      <c r="D96" s="2" t="s">
        <v>56</v>
      </c>
      <c r="F96" s="2" t="s">
        <v>96</v>
      </c>
      <c r="G96" s="2">
        <v>17763.364907</v>
      </c>
      <c r="H96" s="2" t="s">
        <v>25</v>
      </c>
    </row>
    <row r="97" ht="22.5" customHeight="1">
      <c r="A97" s="2" t="s">
        <v>19</v>
      </c>
      <c r="B97" s="2" t="s">
        <v>97</v>
      </c>
      <c r="C97" s="2" t="s">
        <v>21</v>
      </c>
      <c r="D97" s="2" t="s">
        <v>22</v>
      </c>
      <c r="E97" s="2" t="s">
        <v>98</v>
      </c>
      <c r="F97" s="2" t="s">
        <v>99</v>
      </c>
      <c r="G97" s="2">
        <v>26433.84557</v>
      </c>
      <c r="H97" s="2" t="s">
        <v>26</v>
      </c>
    </row>
    <row r="98" ht="22.5" customHeight="1">
      <c r="A98" s="2" t="s">
        <v>19</v>
      </c>
      <c r="B98" s="2" t="s">
        <v>97</v>
      </c>
      <c r="C98" s="2" t="s">
        <v>21</v>
      </c>
      <c r="D98" s="2" t="s">
        <v>22</v>
      </c>
      <c r="E98" s="2" t="s">
        <v>98</v>
      </c>
      <c r="F98" s="2" t="s">
        <v>99</v>
      </c>
      <c r="G98" s="2">
        <v>18888.877198</v>
      </c>
      <c r="H98" s="2" t="s">
        <v>27</v>
      </c>
    </row>
    <row r="99" ht="22.5" customHeight="1">
      <c r="A99" s="2" t="s">
        <v>19</v>
      </c>
      <c r="B99" s="2" t="s">
        <v>97</v>
      </c>
      <c r="C99" s="2" t="s">
        <v>21</v>
      </c>
      <c r="D99" s="2" t="s">
        <v>22</v>
      </c>
      <c r="E99" s="2" t="s">
        <v>98</v>
      </c>
      <c r="F99" s="2" t="s">
        <v>99</v>
      </c>
      <c r="G99" s="2">
        <v>20299.69469</v>
      </c>
      <c r="H99" s="2" t="s">
        <v>25</v>
      </c>
    </row>
    <row r="100" ht="22.5" customHeight="1">
      <c r="A100" s="2" t="s">
        <v>19</v>
      </c>
      <c r="B100" s="2" t="s">
        <v>100</v>
      </c>
      <c r="C100" s="2" t="s">
        <v>21</v>
      </c>
      <c r="D100" s="2" t="s">
        <v>22</v>
      </c>
      <c r="F100" s="2" t="s">
        <v>101</v>
      </c>
      <c r="G100" s="2">
        <v>16929.069051</v>
      </c>
      <c r="H100" s="2" t="s">
        <v>26</v>
      </c>
    </row>
    <row r="101" ht="22.5" customHeight="1">
      <c r="A101" s="2" t="s">
        <v>19</v>
      </c>
      <c r="B101" s="2" t="s">
        <v>100</v>
      </c>
      <c r="C101" s="2" t="s">
        <v>21</v>
      </c>
      <c r="D101" s="2" t="s">
        <v>22</v>
      </c>
      <c r="F101" s="2" t="s">
        <v>101</v>
      </c>
      <c r="G101" s="2">
        <v>4494.62529</v>
      </c>
      <c r="H101" s="2" t="s">
        <v>27</v>
      </c>
    </row>
    <row r="102" ht="22.5" customHeight="1">
      <c r="A102" s="2" t="s">
        <v>19</v>
      </c>
      <c r="B102" s="2" t="s">
        <v>102</v>
      </c>
      <c r="C102" s="2" t="s">
        <v>32</v>
      </c>
      <c r="D102" s="2" t="s">
        <v>103</v>
      </c>
      <c r="F102" s="2" t="s">
        <v>104</v>
      </c>
      <c r="G102" s="2">
        <v>19146.252292</v>
      </c>
      <c r="H102" s="2" t="s">
        <v>26</v>
      </c>
    </row>
    <row r="103" ht="22.5" customHeight="1">
      <c r="A103" s="2" t="s">
        <v>19</v>
      </c>
      <c r="B103" s="2" t="s">
        <v>102</v>
      </c>
      <c r="C103" s="2" t="s">
        <v>32</v>
      </c>
      <c r="D103" s="2" t="s">
        <v>103</v>
      </c>
      <c r="F103" s="2" t="s">
        <v>104</v>
      </c>
      <c r="G103" s="2">
        <v>15198.144052</v>
      </c>
      <c r="H103" s="2" t="s">
        <v>25</v>
      </c>
    </row>
    <row r="104" ht="22.5" customHeight="1">
      <c r="A104" s="2" t="s">
        <v>19</v>
      </c>
      <c r="B104" s="2" t="s">
        <v>102</v>
      </c>
      <c r="C104" s="2" t="s">
        <v>32</v>
      </c>
      <c r="D104" s="2" t="s">
        <v>103</v>
      </c>
      <c r="F104" s="2" t="s">
        <v>104</v>
      </c>
      <c r="G104" s="2">
        <v>17892.853175</v>
      </c>
      <c r="H104" s="2" t="s">
        <v>27</v>
      </c>
    </row>
    <row r="105" ht="22.5" customHeight="1">
      <c r="A105" s="2" t="s">
        <v>19</v>
      </c>
      <c r="B105" s="2" t="s">
        <v>105</v>
      </c>
      <c r="C105" s="2" t="s">
        <v>21</v>
      </c>
      <c r="D105" s="2" t="s">
        <v>22</v>
      </c>
      <c r="F105" s="2" t="s">
        <v>106</v>
      </c>
      <c r="G105" s="2">
        <v>7350.0</v>
      </c>
      <c r="H105" s="2" t="s">
        <v>25</v>
      </c>
    </row>
    <row r="106" ht="22.5" customHeight="1">
      <c r="A106" s="2" t="s">
        <v>19</v>
      </c>
      <c r="B106" s="2" t="s">
        <v>105</v>
      </c>
      <c r="C106" s="2" t="s">
        <v>21</v>
      </c>
      <c r="D106" s="2" t="s">
        <v>22</v>
      </c>
      <c r="F106" s="2" t="s">
        <v>106</v>
      </c>
      <c r="G106" s="2">
        <v>3675.0</v>
      </c>
      <c r="H106" s="2" t="s">
        <v>26</v>
      </c>
    </row>
    <row r="107" ht="22.5" customHeight="1">
      <c r="A107" s="2" t="s">
        <v>19</v>
      </c>
      <c r="B107" s="2" t="s">
        <v>105</v>
      </c>
      <c r="C107" s="2" t="s">
        <v>21</v>
      </c>
      <c r="D107" s="2" t="s">
        <v>22</v>
      </c>
      <c r="F107" s="2" t="s">
        <v>106</v>
      </c>
      <c r="G107" s="2">
        <v>7350.0</v>
      </c>
      <c r="H107" s="2" t="s">
        <v>27</v>
      </c>
    </row>
    <row r="108" ht="22.5" customHeight="1">
      <c r="A108" s="2" t="s">
        <v>19</v>
      </c>
      <c r="B108" s="2" t="s">
        <v>107</v>
      </c>
      <c r="C108" s="2" t="s">
        <v>32</v>
      </c>
      <c r="D108" s="2" t="s">
        <v>48</v>
      </c>
      <c r="F108" s="2" t="s">
        <v>108</v>
      </c>
      <c r="G108" s="2">
        <v>20297.06278</v>
      </c>
      <c r="H108" s="2" t="s">
        <v>25</v>
      </c>
    </row>
    <row r="109" ht="22.5" customHeight="1">
      <c r="A109" s="2" t="s">
        <v>19</v>
      </c>
      <c r="B109" s="2" t="s">
        <v>107</v>
      </c>
      <c r="C109" s="2" t="s">
        <v>32</v>
      </c>
      <c r="D109" s="2" t="s">
        <v>48</v>
      </c>
      <c r="F109" s="2" t="s">
        <v>108</v>
      </c>
      <c r="G109" s="2">
        <v>20130.558316</v>
      </c>
      <c r="H109" s="2" t="s">
        <v>26</v>
      </c>
    </row>
    <row r="110" ht="22.5" customHeight="1">
      <c r="A110" s="2" t="s">
        <v>19</v>
      </c>
      <c r="B110" s="2" t="s">
        <v>107</v>
      </c>
      <c r="C110" s="2" t="s">
        <v>32</v>
      </c>
      <c r="D110" s="2" t="s">
        <v>48</v>
      </c>
      <c r="F110" s="2" t="s">
        <v>108</v>
      </c>
      <c r="G110" s="2">
        <v>19918.225945</v>
      </c>
      <c r="H110" s="2" t="s">
        <v>27</v>
      </c>
    </row>
    <row r="111" ht="22.5" customHeight="1">
      <c r="A111" s="2" t="s">
        <v>19</v>
      </c>
      <c r="B111" s="2" t="s">
        <v>109</v>
      </c>
      <c r="C111" s="2" t="s">
        <v>21</v>
      </c>
      <c r="D111" s="2" t="s">
        <v>22</v>
      </c>
      <c r="E111" s="2" t="s">
        <v>53</v>
      </c>
      <c r="F111" s="2" t="s">
        <v>110</v>
      </c>
      <c r="G111" s="2">
        <v>16974.754614</v>
      </c>
      <c r="H111" s="2" t="s">
        <v>26</v>
      </c>
    </row>
    <row r="112" ht="22.5" customHeight="1">
      <c r="A112" s="2" t="s">
        <v>19</v>
      </c>
      <c r="B112" s="2" t="s">
        <v>109</v>
      </c>
      <c r="C112" s="2" t="s">
        <v>21</v>
      </c>
      <c r="D112" s="2" t="s">
        <v>22</v>
      </c>
      <c r="E112" s="2" t="s">
        <v>53</v>
      </c>
      <c r="F112" s="2" t="s">
        <v>110</v>
      </c>
      <c r="G112" s="2">
        <v>13884.567962</v>
      </c>
      <c r="H112" s="2" t="s">
        <v>27</v>
      </c>
    </row>
    <row r="113" ht="22.5" customHeight="1">
      <c r="A113" s="2" t="s">
        <v>19</v>
      </c>
      <c r="B113" s="2" t="s">
        <v>111</v>
      </c>
      <c r="C113" s="2" t="s">
        <v>21</v>
      </c>
      <c r="D113" s="2" t="s">
        <v>22</v>
      </c>
      <c r="E113" s="2" t="s">
        <v>53</v>
      </c>
      <c r="F113" s="2" t="s">
        <v>112</v>
      </c>
      <c r="G113" s="2">
        <v>15635.661516</v>
      </c>
      <c r="H113" s="2" t="s">
        <v>27</v>
      </c>
    </row>
    <row r="114" ht="22.5" customHeight="1">
      <c r="A114" s="2" t="s">
        <v>19</v>
      </c>
      <c r="B114" s="2" t="s">
        <v>111</v>
      </c>
      <c r="C114" s="2" t="s">
        <v>21</v>
      </c>
      <c r="D114" s="2" t="s">
        <v>22</v>
      </c>
      <c r="E114" s="2" t="s">
        <v>53</v>
      </c>
      <c r="F114" s="2" t="s">
        <v>112</v>
      </c>
      <c r="G114" s="2">
        <v>15934.228414</v>
      </c>
      <c r="H114" s="2" t="s">
        <v>25</v>
      </c>
    </row>
    <row r="115" ht="22.5" customHeight="1">
      <c r="A115" s="2" t="s">
        <v>19</v>
      </c>
      <c r="B115" s="2" t="s">
        <v>111</v>
      </c>
      <c r="C115" s="2" t="s">
        <v>21</v>
      </c>
      <c r="D115" s="2" t="s">
        <v>22</v>
      </c>
      <c r="E115" s="2" t="s">
        <v>53</v>
      </c>
      <c r="F115" s="2" t="s">
        <v>112</v>
      </c>
      <c r="G115" s="2">
        <v>15927.656463</v>
      </c>
      <c r="H115" s="2" t="s">
        <v>26</v>
      </c>
    </row>
    <row r="116" ht="22.5" customHeight="1">
      <c r="A116" s="2" t="s">
        <v>19</v>
      </c>
      <c r="B116" s="2" t="s">
        <v>113</v>
      </c>
      <c r="C116" s="2" t="s">
        <v>32</v>
      </c>
      <c r="D116" s="2" t="s">
        <v>56</v>
      </c>
      <c r="F116" s="2" t="s">
        <v>114</v>
      </c>
      <c r="G116" s="2">
        <v>23200.97604</v>
      </c>
      <c r="H116" s="2" t="s">
        <v>27</v>
      </c>
    </row>
    <row r="117" ht="22.5" customHeight="1">
      <c r="A117" s="2" t="s">
        <v>19</v>
      </c>
      <c r="B117" s="2" t="s">
        <v>113</v>
      </c>
      <c r="C117" s="2" t="s">
        <v>32</v>
      </c>
      <c r="D117" s="2" t="s">
        <v>56</v>
      </c>
      <c r="F117" s="2" t="s">
        <v>114</v>
      </c>
      <c r="G117" s="2">
        <v>22655.84342</v>
      </c>
      <c r="H117" s="2" t="s">
        <v>25</v>
      </c>
    </row>
    <row r="118" ht="22.5" customHeight="1">
      <c r="A118" s="2" t="s">
        <v>19</v>
      </c>
      <c r="B118" s="2" t="s">
        <v>113</v>
      </c>
      <c r="C118" s="2" t="s">
        <v>32</v>
      </c>
      <c r="D118" s="2" t="s">
        <v>56</v>
      </c>
      <c r="F118" s="2" t="s">
        <v>114</v>
      </c>
      <c r="G118" s="3">
        <v>20527.440000000002</v>
      </c>
      <c r="H118" s="2" t="s">
        <v>26</v>
      </c>
    </row>
    <row r="119" ht="22.5" customHeight="1">
      <c r="A119" s="2" t="s">
        <v>19</v>
      </c>
      <c r="B119" s="2" t="s">
        <v>113</v>
      </c>
      <c r="C119" s="2" t="s">
        <v>32</v>
      </c>
      <c r="D119" s="2" t="s">
        <v>56</v>
      </c>
      <c r="F119" s="2" t="s">
        <v>114</v>
      </c>
      <c r="G119" s="3">
        <v>20527.440000000002</v>
      </c>
      <c r="H119" s="4" t="s">
        <v>28</v>
      </c>
    </row>
    <row r="120" ht="22.5" customHeight="1">
      <c r="A120" s="2" t="s">
        <v>19</v>
      </c>
      <c r="B120" s="2" t="s">
        <v>115</v>
      </c>
      <c r="C120" s="2" t="s">
        <v>21</v>
      </c>
      <c r="D120" s="2" t="s">
        <v>22</v>
      </c>
      <c r="F120" s="2" t="s">
        <v>116</v>
      </c>
      <c r="G120" s="2">
        <v>10128.07104</v>
      </c>
      <c r="H120" s="2" t="s">
        <v>27</v>
      </c>
    </row>
    <row r="121" ht="22.5" customHeight="1">
      <c r="A121" s="2" t="s">
        <v>19</v>
      </c>
      <c r="B121" s="2" t="s">
        <v>115</v>
      </c>
      <c r="C121" s="2" t="s">
        <v>21</v>
      </c>
      <c r="D121" s="2" t="s">
        <v>22</v>
      </c>
      <c r="F121" s="2" t="s">
        <v>116</v>
      </c>
      <c r="G121" s="2">
        <v>20321.67818</v>
      </c>
      <c r="H121" s="2" t="s">
        <v>25</v>
      </c>
    </row>
    <row r="122" ht="22.5" customHeight="1">
      <c r="A122" s="2" t="s">
        <v>19</v>
      </c>
      <c r="B122" s="2" t="s">
        <v>117</v>
      </c>
      <c r="C122" s="2" t="s">
        <v>32</v>
      </c>
      <c r="D122" s="2" t="s">
        <v>118</v>
      </c>
      <c r="F122" s="2" t="s">
        <v>119</v>
      </c>
      <c r="G122" s="3">
        <v>34524.9</v>
      </c>
      <c r="H122" s="2" t="s">
        <v>27</v>
      </c>
    </row>
    <row r="123" ht="22.5" customHeight="1">
      <c r="A123" s="2" t="s">
        <v>19</v>
      </c>
      <c r="B123" s="2" t="s">
        <v>117</v>
      </c>
      <c r="C123" s="2" t="s">
        <v>32</v>
      </c>
      <c r="D123" s="2" t="s">
        <v>118</v>
      </c>
      <c r="F123" s="2" t="s">
        <v>119</v>
      </c>
      <c r="G123" s="3">
        <v>34524.9</v>
      </c>
      <c r="H123" s="2" t="s">
        <v>26</v>
      </c>
    </row>
    <row r="124" ht="22.5" customHeight="1">
      <c r="A124" s="2" t="s">
        <v>19</v>
      </c>
      <c r="B124" s="2" t="s">
        <v>117</v>
      </c>
      <c r="C124" s="2" t="s">
        <v>32</v>
      </c>
      <c r="D124" s="2" t="s">
        <v>118</v>
      </c>
      <c r="F124" s="2" t="s">
        <v>119</v>
      </c>
      <c r="G124" s="3">
        <v>34524.9</v>
      </c>
      <c r="H124" s="2" t="s">
        <v>25</v>
      </c>
    </row>
    <row r="125" ht="22.5" customHeight="1">
      <c r="A125" s="2" t="s">
        <v>19</v>
      </c>
      <c r="B125" s="2" t="s">
        <v>117</v>
      </c>
      <c r="C125" s="2" t="s">
        <v>32</v>
      </c>
      <c r="D125" s="2" t="s">
        <v>118</v>
      </c>
      <c r="F125" s="2" t="s">
        <v>119</v>
      </c>
      <c r="G125" s="3">
        <v>34524.9</v>
      </c>
      <c r="H125" s="4" t="s">
        <v>28</v>
      </c>
    </row>
    <row r="126" ht="22.5" customHeight="1">
      <c r="A126" s="2" t="s">
        <v>19</v>
      </c>
      <c r="B126" s="2" t="s">
        <v>120</v>
      </c>
      <c r="C126" s="2" t="s">
        <v>21</v>
      </c>
      <c r="D126" s="2" t="s">
        <v>22</v>
      </c>
      <c r="E126" s="2" t="s">
        <v>23</v>
      </c>
      <c r="F126" s="2" t="s">
        <v>121</v>
      </c>
      <c r="G126" s="3">
        <v>14368.28</v>
      </c>
      <c r="H126" s="2" t="s">
        <v>26</v>
      </c>
    </row>
    <row r="127" ht="22.5" customHeight="1">
      <c r="A127" s="2" t="s">
        <v>19</v>
      </c>
      <c r="B127" s="2" t="s">
        <v>120</v>
      </c>
      <c r="C127" s="2" t="s">
        <v>21</v>
      </c>
      <c r="D127" s="2" t="s">
        <v>22</v>
      </c>
      <c r="E127" s="2" t="s">
        <v>23</v>
      </c>
      <c r="F127" s="2" t="s">
        <v>121</v>
      </c>
      <c r="G127" s="3">
        <v>13001.391037000001</v>
      </c>
      <c r="H127" s="2" t="s">
        <v>27</v>
      </c>
    </row>
    <row r="128" ht="22.5" customHeight="1">
      <c r="A128" s="2" t="s">
        <v>19</v>
      </c>
      <c r="B128" s="2" t="s">
        <v>120</v>
      </c>
      <c r="C128" s="2" t="s">
        <v>21</v>
      </c>
      <c r="D128" s="2" t="s">
        <v>22</v>
      </c>
      <c r="E128" s="2" t="s">
        <v>23</v>
      </c>
      <c r="F128" s="2" t="s">
        <v>121</v>
      </c>
      <c r="G128" s="2">
        <v>11540.051364</v>
      </c>
      <c r="H128" s="2" t="s">
        <v>25</v>
      </c>
    </row>
    <row r="129" ht="22.5" customHeight="1">
      <c r="A129" s="2" t="s">
        <v>19</v>
      </c>
      <c r="B129" s="2" t="s">
        <v>120</v>
      </c>
      <c r="C129" s="2" t="s">
        <v>21</v>
      </c>
      <c r="D129" s="2" t="s">
        <v>22</v>
      </c>
      <c r="E129" s="2" t="s">
        <v>23</v>
      </c>
      <c r="F129" s="2" t="s">
        <v>121</v>
      </c>
      <c r="G129" s="3">
        <v>13513.4925</v>
      </c>
      <c r="H129" s="4" t="s">
        <v>28</v>
      </c>
    </row>
    <row r="130" ht="22.5" customHeight="1">
      <c r="A130" s="2" t="s">
        <v>19</v>
      </c>
      <c r="B130" s="2" t="s">
        <v>122</v>
      </c>
      <c r="C130" s="2" t="s">
        <v>32</v>
      </c>
      <c r="D130" s="2" t="s">
        <v>48</v>
      </c>
      <c r="F130" s="2" t="s">
        <v>123</v>
      </c>
      <c r="G130" s="2">
        <v>16555.654738</v>
      </c>
      <c r="H130" s="2" t="s">
        <v>26</v>
      </c>
    </row>
    <row r="131" ht="22.5" customHeight="1">
      <c r="A131" s="2" t="s">
        <v>19</v>
      </c>
      <c r="B131" s="2" t="s">
        <v>122</v>
      </c>
      <c r="C131" s="2" t="s">
        <v>32</v>
      </c>
      <c r="D131" s="2" t="s">
        <v>48</v>
      </c>
      <c r="F131" s="2" t="s">
        <v>123</v>
      </c>
      <c r="G131" s="2">
        <v>17783.171619</v>
      </c>
      <c r="H131" s="2" t="s">
        <v>27</v>
      </c>
    </row>
    <row r="132" ht="22.5" customHeight="1">
      <c r="A132" s="2" t="s">
        <v>19</v>
      </c>
      <c r="B132" s="2" t="s">
        <v>122</v>
      </c>
      <c r="C132" s="2" t="s">
        <v>32</v>
      </c>
      <c r="D132" s="2" t="s">
        <v>48</v>
      </c>
      <c r="F132" s="2" t="s">
        <v>123</v>
      </c>
      <c r="G132" s="2">
        <v>18122.529054</v>
      </c>
      <c r="H132" s="2" t="s">
        <v>25</v>
      </c>
    </row>
    <row r="133" ht="22.5" customHeight="1">
      <c r="A133" s="2" t="s">
        <v>19</v>
      </c>
      <c r="B133" s="2" t="s">
        <v>124</v>
      </c>
      <c r="C133" s="2" t="s">
        <v>21</v>
      </c>
      <c r="D133" s="2" t="s">
        <v>22</v>
      </c>
      <c r="E133" s="2" t="s">
        <v>42</v>
      </c>
      <c r="F133" s="2" t="s">
        <v>125</v>
      </c>
      <c r="G133" s="2">
        <v>13205.68591</v>
      </c>
      <c r="H133" s="2" t="s">
        <v>26</v>
      </c>
    </row>
    <row r="134" ht="22.5" customHeight="1">
      <c r="A134" s="2" t="s">
        <v>19</v>
      </c>
      <c r="B134" s="2" t="s">
        <v>124</v>
      </c>
      <c r="C134" s="2" t="s">
        <v>21</v>
      </c>
      <c r="D134" s="2" t="s">
        <v>22</v>
      </c>
      <c r="E134" s="2" t="s">
        <v>42</v>
      </c>
      <c r="F134" s="2" t="s">
        <v>125</v>
      </c>
      <c r="G134" s="2">
        <v>12908.441516</v>
      </c>
      <c r="H134" s="2" t="s">
        <v>27</v>
      </c>
    </row>
    <row r="135" ht="22.5" customHeight="1">
      <c r="A135" s="2" t="s">
        <v>19</v>
      </c>
      <c r="B135" s="2" t="s">
        <v>124</v>
      </c>
      <c r="C135" s="2" t="s">
        <v>21</v>
      </c>
      <c r="D135" s="2" t="s">
        <v>22</v>
      </c>
      <c r="E135" s="2" t="s">
        <v>42</v>
      </c>
      <c r="F135" s="2" t="s">
        <v>125</v>
      </c>
      <c r="G135" s="2">
        <v>13156.028414</v>
      </c>
      <c r="H135" s="2" t="s">
        <v>25</v>
      </c>
    </row>
    <row r="136" ht="22.5" customHeight="1">
      <c r="A136" s="2" t="s">
        <v>19</v>
      </c>
      <c r="B136" s="2" t="s">
        <v>126</v>
      </c>
      <c r="C136" s="2" t="s">
        <v>32</v>
      </c>
      <c r="D136" s="2" t="s">
        <v>48</v>
      </c>
      <c r="F136" s="2" t="s">
        <v>127</v>
      </c>
      <c r="G136" s="2">
        <v>15924.754614</v>
      </c>
      <c r="H136" s="2" t="s">
        <v>26</v>
      </c>
    </row>
    <row r="137" ht="22.5" customHeight="1">
      <c r="A137" s="2" t="s">
        <v>19</v>
      </c>
      <c r="B137" s="2" t="s">
        <v>126</v>
      </c>
      <c r="C137" s="2" t="s">
        <v>32</v>
      </c>
      <c r="D137" s="2" t="s">
        <v>48</v>
      </c>
      <c r="F137" s="2" t="s">
        <v>127</v>
      </c>
      <c r="G137" s="2">
        <v>7699.68742</v>
      </c>
      <c r="H137" s="2" t="s">
        <v>27</v>
      </c>
    </row>
    <row r="138" ht="22.5" customHeight="1">
      <c r="A138" s="2" t="s">
        <v>19</v>
      </c>
      <c r="B138" s="2" t="s">
        <v>128</v>
      </c>
      <c r="C138" s="2" t="s">
        <v>21</v>
      </c>
      <c r="D138" s="2" t="s">
        <v>22</v>
      </c>
      <c r="E138" s="2" t="s">
        <v>23</v>
      </c>
      <c r="F138" s="2" t="s">
        <v>129</v>
      </c>
      <c r="G138" s="3">
        <v>18920.03</v>
      </c>
      <c r="H138" s="2" t="s">
        <v>26</v>
      </c>
    </row>
    <row r="139" ht="22.5" customHeight="1">
      <c r="A139" s="2" t="s">
        <v>19</v>
      </c>
      <c r="B139" s="2" t="s">
        <v>128</v>
      </c>
      <c r="C139" s="2" t="s">
        <v>21</v>
      </c>
      <c r="D139" s="2" t="s">
        <v>22</v>
      </c>
      <c r="E139" s="2" t="s">
        <v>23</v>
      </c>
      <c r="F139" s="2" t="s">
        <v>129</v>
      </c>
      <c r="G139" s="2">
        <v>20790.280388</v>
      </c>
      <c r="H139" s="2" t="s">
        <v>27</v>
      </c>
    </row>
    <row r="140" ht="22.5" customHeight="1">
      <c r="A140" s="2" t="s">
        <v>19</v>
      </c>
      <c r="B140" s="2" t="s">
        <v>128</v>
      </c>
      <c r="C140" s="2" t="s">
        <v>21</v>
      </c>
      <c r="D140" s="2" t="s">
        <v>22</v>
      </c>
      <c r="E140" s="2" t="s">
        <v>23</v>
      </c>
      <c r="F140" s="2" t="s">
        <v>129</v>
      </c>
      <c r="G140" s="2">
        <v>22501.67818</v>
      </c>
      <c r="H140" s="2" t="s">
        <v>25</v>
      </c>
    </row>
    <row r="141" ht="22.5" customHeight="1">
      <c r="A141" s="2" t="s">
        <v>19</v>
      </c>
      <c r="B141" s="2" t="s">
        <v>128</v>
      </c>
      <c r="C141" s="2" t="s">
        <v>21</v>
      </c>
      <c r="D141" s="2" t="s">
        <v>22</v>
      </c>
      <c r="E141" s="2" t="s">
        <v>23</v>
      </c>
      <c r="F141" s="2" t="s">
        <v>129</v>
      </c>
      <c r="G141" s="3">
        <v>18427.440000000002</v>
      </c>
      <c r="H141" s="4" t="s">
        <v>28</v>
      </c>
    </row>
    <row r="142" ht="22.5" customHeight="1">
      <c r="A142" s="2" t="s">
        <v>19</v>
      </c>
      <c r="B142" s="2" t="s">
        <v>130</v>
      </c>
      <c r="C142" s="2" t="s">
        <v>21</v>
      </c>
      <c r="D142" s="2" t="s">
        <v>22</v>
      </c>
      <c r="F142" s="2" t="s">
        <v>131</v>
      </c>
      <c r="G142" s="2">
        <v>12571.67402</v>
      </c>
      <c r="H142" s="2" t="s">
        <v>25</v>
      </c>
    </row>
    <row r="143" ht="22.5" customHeight="1">
      <c r="A143" s="2" t="s">
        <v>19</v>
      </c>
      <c r="B143" s="2" t="s">
        <v>132</v>
      </c>
      <c r="C143" s="2" t="s">
        <v>21</v>
      </c>
      <c r="D143" s="2" t="s">
        <v>56</v>
      </c>
      <c r="F143" s="2" t="s">
        <v>133</v>
      </c>
      <c r="G143" s="2">
        <v>7350.0</v>
      </c>
      <c r="H143" s="2" t="s">
        <v>25</v>
      </c>
    </row>
    <row r="144" ht="22.5" customHeight="1">
      <c r="A144" s="2" t="s">
        <v>19</v>
      </c>
      <c r="B144" s="2" t="s">
        <v>132</v>
      </c>
      <c r="C144" s="2" t="s">
        <v>21</v>
      </c>
      <c r="D144" s="2" t="s">
        <v>56</v>
      </c>
      <c r="F144" s="2" t="s">
        <v>133</v>
      </c>
      <c r="G144" s="3">
        <v>6615.84</v>
      </c>
      <c r="H144" s="2" t="s">
        <v>26</v>
      </c>
    </row>
    <row r="145" ht="22.5" customHeight="1">
      <c r="A145" s="2" t="s">
        <v>19</v>
      </c>
      <c r="B145" s="2" t="s">
        <v>132</v>
      </c>
      <c r="C145" s="2" t="s">
        <v>21</v>
      </c>
      <c r="D145" s="2" t="s">
        <v>56</v>
      </c>
      <c r="F145" s="2" t="s">
        <v>133</v>
      </c>
      <c r="G145" s="2">
        <v>10059.743257</v>
      </c>
      <c r="H145" s="2" t="s">
        <v>27</v>
      </c>
    </row>
    <row r="146" ht="22.5" customHeight="1">
      <c r="A146" s="2" t="s">
        <v>19</v>
      </c>
      <c r="B146" s="2" t="s">
        <v>132</v>
      </c>
      <c r="C146" s="2" t="s">
        <v>21</v>
      </c>
      <c r="D146" s="2" t="s">
        <v>56</v>
      </c>
      <c r="F146" s="2" t="s">
        <v>133</v>
      </c>
      <c r="G146" s="3">
        <v>9451.2</v>
      </c>
      <c r="H146" s="4" t="s">
        <v>28</v>
      </c>
    </row>
    <row r="147" ht="22.5" customHeight="1">
      <c r="A147" s="2" t="s">
        <v>19</v>
      </c>
      <c r="B147" s="2" t="s">
        <v>134</v>
      </c>
      <c r="C147" s="2" t="s">
        <v>21</v>
      </c>
      <c r="D147" s="2" t="s">
        <v>56</v>
      </c>
      <c r="F147" s="2" t="s">
        <v>135</v>
      </c>
      <c r="G147" s="2">
        <v>24665.36342</v>
      </c>
      <c r="H147" s="2" t="s">
        <v>25</v>
      </c>
    </row>
    <row r="148" ht="22.5" customHeight="1">
      <c r="A148" s="2" t="s">
        <v>19</v>
      </c>
      <c r="B148" s="2" t="s">
        <v>134</v>
      </c>
      <c r="C148" s="2" t="s">
        <v>21</v>
      </c>
      <c r="D148" s="2" t="s">
        <v>56</v>
      </c>
      <c r="F148" s="2" t="s">
        <v>135</v>
      </c>
      <c r="G148" s="2">
        <v>24293.14929</v>
      </c>
      <c r="H148" s="2" t="s">
        <v>26</v>
      </c>
    </row>
    <row r="149" ht="22.5" customHeight="1">
      <c r="A149" s="2" t="s">
        <v>19</v>
      </c>
      <c r="B149" s="2" t="s">
        <v>134</v>
      </c>
      <c r="C149" s="2" t="s">
        <v>21</v>
      </c>
      <c r="D149" s="2" t="s">
        <v>56</v>
      </c>
      <c r="F149" s="2" t="s">
        <v>135</v>
      </c>
      <c r="G149" s="2">
        <v>24205.73604</v>
      </c>
      <c r="H149" s="2" t="s">
        <v>27</v>
      </c>
    </row>
    <row r="150" ht="22.5" customHeight="1">
      <c r="A150" s="2" t="s">
        <v>19</v>
      </c>
      <c r="B150" s="2" t="s">
        <v>136</v>
      </c>
      <c r="C150" s="2" t="s">
        <v>21</v>
      </c>
      <c r="D150" s="2" t="s">
        <v>22</v>
      </c>
      <c r="E150" s="2" t="s">
        <v>23</v>
      </c>
      <c r="F150" s="2" t="s">
        <v>137</v>
      </c>
      <c r="G150" s="2">
        <v>18141.678181</v>
      </c>
      <c r="H150" s="2" t="s">
        <v>25</v>
      </c>
    </row>
    <row r="151" ht="22.5" customHeight="1">
      <c r="A151" s="2" t="s">
        <v>19</v>
      </c>
      <c r="B151" s="2" t="s">
        <v>136</v>
      </c>
      <c r="C151" s="2" t="s">
        <v>21</v>
      </c>
      <c r="D151" s="2" t="s">
        <v>22</v>
      </c>
      <c r="E151" s="2" t="s">
        <v>23</v>
      </c>
      <c r="F151" s="2" t="s">
        <v>137</v>
      </c>
      <c r="G151" s="3">
        <v>14227.44</v>
      </c>
      <c r="H151" s="2" t="s">
        <v>26</v>
      </c>
    </row>
    <row r="152" ht="22.5" customHeight="1">
      <c r="A152" s="2" t="s">
        <v>19</v>
      </c>
      <c r="B152" s="2" t="s">
        <v>136</v>
      </c>
      <c r="C152" s="2" t="s">
        <v>21</v>
      </c>
      <c r="D152" s="2" t="s">
        <v>22</v>
      </c>
      <c r="E152" s="2" t="s">
        <v>23</v>
      </c>
      <c r="F152" s="2" t="s">
        <v>137</v>
      </c>
      <c r="G152" s="3">
        <v>14227.44</v>
      </c>
      <c r="H152" s="4" t="s">
        <v>28</v>
      </c>
    </row>
    <row r="153" ht="22.5" customHeight="1">
      <c r="A153" s="2" t="s">
        <v>19</v>
      </c>
      <c r="B153" s="2" t="s">
        <v>136</v>
      </c>
      <c r="C153" s="2" t="s">
        <v>21</v>
      </c>
      <c r="D153" s="2" t="s">
        <v>22</v>
      </c>
      <c r="E153" s="2" t="s">
        <v>23</v>
      </c>
      <c r="F153" s="2" t="s">
        <v>137</v>
      </c>
      <c r="G153" s="2">
        <v>17823.581037</v>
      </c>
      <c r="H153" s="2" t="s">
        <v>27</v>
      </c>
    </row>
    <row r="154" ht="22.5" customHeight="1">
      <c r="A154" s="2" t="s">
        <v>19</v>
      </c>
      <c r="B154" s="2" t="s">
        <v>138</v>
      </c>
      <c r="C154" s="2" t="s">
        <v>21</v>
      </c>
      <c r="D154" s="2" t="s">
        <v>22</v>
      </c>
      <c r="E154" s="2" t="s">
        <v>45</v>
      </c>
      <c r="F154" s="2" t="s">
        <v>139</v>
      </c>
      <c r="G154" s="2">
        <v>18141.678181</v>
      </c>
      <c r="H154" s="2" t="s">
        <v>25</v>
      </c>
    </row>
    <row r="155" ht="22.5" customHeight="1">
      <c r="A155" s="2" t="s">
        <v>19</v>
      </c>
      <c r="B155" s="2" t="s">
        <v>138</v>
      </c>
      <c r="C155" s="2" t="s">
        <v>21</v>
      </c>
      <c r="D155" s="2" t="s">
        <v>22</v>
      </c>
      <c r="E155" s="2" t="s">
        <v>45</v>
      </c>
      <c r="F155" s="2" t="s">
        <v>139</v>
      </c>
      <c r="G155" s="3">
        <v>15802.44</v>
      </c>
      <c r="H155" s="2" t="s">
        <v>26</v>
      </c>
    </row>
    <row r="156" ht="22.5" customHeight="1">
      <c r="A156" s="2" t="s">
        <v>19</v>
      </c>
      <c r="B156" s="2" t="s">
        <v>138</v>
      </c>
      <c r="C156" s="2" t="s">
        <v>21</v>
      </c>
      <c r="D156" s="2" t="s">
        <v>22</v>
      </c>
      <c r="E156" s="2" t="s">
        <v>45</v>
      </c>
      <c r="F156" s="2" t="s">
        <v>139</v>
      </c>
      <c r="G156" s="2">
        <v>19428.580152</v>
      </c>
      <c r="H156" s="2" t="s">
        <v>27</v>
      </c>
    </row>
    <row r="157" ht="22.5" customHeight="1">
      <c r="A157" s="2" t="s">
        <v>19</v>
      </c>
      <c r="B157" s="2" t="s">
        <v>138</v>
      </c>
      <c r="C157" s="2" t="s">
        <v>21</v>
      </c>
      <c r="D157" s="2" t="s">
        <v>22</v>
      </c>
      <c r="E157" s="2" t="s">
        <v>45</v>
      </c>
      <c r="F157" s="2" t="s">
        <v>139</v>
      </c>
      <c r="G157" s="3">
        <v>15802.44</v>
      </c>
      <c r="H157" s="4" t="s">
        <v>28</v>
      </c>
    </row>
    <row r="158" ht="22.5" customHeight="1">
      <c r="A158" s="2" t="s">
        <v>19</v>
      </c>
      <c r="B158" s="2" t="s">
        <v>140</v>
      </c>
      <c r="C158" s="2" t="s">
        <v>21</v>
      </c>
      <c r="D158" s="2" t="s">
        <v>56</v>
      </c>
      <c r="F158" s="2" t="s">
        <v>141</v>
      </c>
      <c r="G158" s="2">
        <v>13208.291322</v>
      </c>
      <c r="H158" s="2" t="s">
        <v>25</v>
      </c>
    </row>
    <row r="159" ht="22.5" customHeight="1">
      <c r="A159" s="2" t="s">
        <v>19</v>
      </c>
      <c r="B159" s="2" t="s">
        <v>140</v>
      </c>
      <c r="C159" s="2" t="s">
        <v>21</v>
      </c>
      <c r="D159" s="2" t="s">
        <v>56</v>
      </c>
      <c r="F159" s="2" t="s">
        <v>141</v>
      </c>
      <c r="G159" s="2">
        <v>12955.727005</v>
      </c>
      <c r="H159" s="2" t="s">
        <v>27</v>
      </c>
    </row>
    <row r="160" ht="22.5" customHeight="1">
      <c r="A160" s="2" t="s">
        <v>19</v>
      </c>
      <c r="B160" s="2" t="s">
        <v>140</v>
      </c>
      <c r="C160" s="2" t="s">
        <v>21</v>
      </c>
      <c r="D160" s="2" t="s">
        <v>56</v>
      </c>
      <c r="F160" s="2" t="s">
        <v>141</v>
      </c>
      <c r="G160" s="2">
        <v>13202.829051</v>
      </c>
      <c r="H160" s="2" t="s">
        <v>26</v>
      </c>
    </row>
    <row r="161" ht="22.5" customHeight="1">
      <c r="A161" s="2" t="s">
        <v>19</v>
      </c>
      <c r="B161" s="2" t="s">
        <v>142</v>
      </c>
      <c r="C161" s="2" t="s">
        <v>21</v>
      </c>
      <c r="D161" s="2" t="s">
        <v>22</v>
      </c>
      <c r="E161" s="2" t="s">
        <v>143</v>
      </c>
      <c r="F161" s="2" t="s">
        <v>144</v>
      </c>
      <c r="G161" s="2">
        <v>14563.097092</v>
      </c>
      <c r="H161" s="2" t="s">
        <v>27</v>
      </c>
    </row>
    <row r="162" ht="22.5" customHeight="1">
      <c r="A162" s="2" t="s">
        <v>19</v>
      </c>
      <c r="B162" s="2" t="s">
        <v>142</v>
      </c>
      <c r="C162" s="2" t="s">
        <v>21</v>
      </c>
      <c r="D162" s="2" t="s">
        <v>22</v>
      </c>
      <c r="E162" s="2" t="s">
        <v>143</v>
      </c>
      <c r="F162" s="2" t="s">
        <v>144</v>
      </c>
      <c r="G162" s="2">
        <v>14841.39405</v>
      </c>
      <c r="H162" s="2" t="s">
        <v>25</v>
      </c>
    </row>
    <row r="163" ht="22.5" customHeight="1">
      <c r="A163" s="2" t="s">
        <v>19</v>
      </c>
      <c r="B163" s="2" t="s">
        <v>142</v>
      </c>
      <c r="C163" s="2" t="s">
        <v>21</v>
      </c>
      <c r="D163" s="2" t="s">
        <v>22</v>
      </c>
      <c r="E163" s="2" t="s">
        <v>143</v>
      </c>
      <c r="F163" s="2" t="s">
        <v>144</v>
      </c>
      <c r="G163" s="2">
        <v>14874.754614</v>
      </c>
      <c r="H163" s="2" t="s">
        <v>26</v>
      </c>
    </row>
    <row r="164" ht="22.5" customHeight="1">
      <c r="A164" s="2" t="s">
        <v>19</v>
      </c>
      <c r="B164" s="2" t="s">
        <v>145</v>
      </c>
      <c r="C164" s="2" t="s">
        <v>21</v>
      </c>
      <c r="D164" s="2" t="s">
        <v>22</v>
      </c>
      <c r="E164" s="2" t="s">
        <v>23</v>
      </c>
      <c r="F164" s="2" t="s">
        <v>146</v>
      </c>
      <c r="G164" s="2">
        <v>13884.567962</v>
      </c>
      <c r="H164" s="2" t="s">
        <v>27</v>
      </c>
    </row>
    <row r="165" ht="22.5" customHeight="1">
      <c r="A165" s="2" t="s">
        <v>19</v>
      </c>
      <c r="B165" s="2" t="s">
        <v>145</v>
      </c>
      <c r="C165" s="2" t="s">
        <v>21</v>
      </c>
      <c r="D165" s="2" t="s">
        <v>22</v>
      </c>
      <c r="E165" s="2" t="s">
        <v>23</v>
      </c>
      <c r="F165" s="2" t="s">
        <v>146</v>
      </c>
      <c r="G165" s="2">
        <v>16974.754614</v>
      </c>
      <c r="H165" s="2" t="s">
        <v>26</v>
      </c>
    </row>
    <row r="166" ht="22.5" customHeight="1">
      <c r="A166" s="2" t="s">
        <v>19</v>
      </c>
      <c r="B166" s="2" t="s">
        <v>147</v>
      </c>
      <c r="C166" s="2" t="s">
        <v>21</v>
      </c>
      <c r="D166" s="2" t="s">
        <v>22</v>
      </c>
      <c r="E166" s="2" t="s">
        <v>23</v>
      </c>
      <c r="F166" s="2" t="s">
        <v>148</v>
      </c>
      <c r="G166" s="2">
        <v>21033.58015</v>
      </c>
      <c r="H166" s="2" t="s">
        <v>27</v>
      </c>
    </row>
    <row r="167" ht="22.5" customHeight="1">
      <c r="A167" s="2" t="s">
        <v>19</v>
      </c>
      <c r="B167" s="2" t="s">
        <v>147</v>
      </c>
      <c r="C167" s="2" t="s">
        <v>21</v>
      </c>
      <c r="D167" s="2" t="s">
        <v>22</v>
      </c>
      <c r="E167" s="2" t="s">
        <v>23</v>
      </c>
      <c r="F167" s="2" t="s">
        <v>148</v>
      </c>
      <c r="G167" s="2">
        <v>21411.67818</v>
      </c>
      <c r="H167" s="2" t="s">
        <v>25</v>
      </c>
    </row>
    <row r="168" ht="22.5" customHeight="1">
      <c r="A168" s="2" t="s">
        <v>19</v>
      </c>
      <c r="B168" s="2" t="s">
        <v>147</v>
      </c>
      <c r="C168" s="2" t="s">
        <v>21</v>
      </c>
      <c r="D168" s="2" t="s">
        <v>22</v>
      </c>
      <c r="E168" s="2" t="s">
        <v>23</v>
      </c>
      <c r="F168" s="2" t="s">
        <v>148</v>
      </c>
      <c r="G168" s="2">
        <v>21253.68456</v>
      </c>
      <c r="H168" s="2" t="s">
        <v>26</v>
      </c>
    </row>
    <row r="169" ht="22.5" customHeight="1">
      <c r="A169" s="2" t="s">
        <v>19</v>
      </c>
      <c r="B169" s="2" t="s">
        <v>149</v>
      </c>
      <c r="C169" s="4" t="s">
        <v>21</v>
      </c>
      <c r="D169" s="2" t="s">
        <v>22</v>
      </c>
      <c r="E169" s="2" t="s">
        <v>23</v>
      </c>
      <c r="F169" s="2" t="s">
        <v>150</v>
      </c>
      <c r="G169" s="2">
        <v>26544.05659</v>
      </c>
      <c r="H169" s="2" t="s">
        <v>26</v>
      </c>
    </row>
    <row r="170" ht="22.5" customHeight="1">
      <c r="A170" s="2" t="s">
        <v>19</v>
      </c>
      <c r="B170" s="2" t="s">
        <v>149</v>
      </c>
      <c r="C170" s="4" t="s">
        <v>21</v>
      </c>
      <c r="D170" s="2" t="s">
        <v>22</v>
      </c>
      <c r="E170" s="2" t="s">
        <v>23</v>
      </c>
      <c r="F170" s="2" t="s">
        <v>150</v>
      </c>
      <c r="G170" s="2">
        <v>25031.60342</v>
      </c>
      <c r="H170" s="2" t="s">
        <v>25</v>
      </c>
    </row>
    <row r="171" ht="22.5" customHeight="1">
      <c r="A171" s="2" t="s">
        <v>19</v>
      </c>
      <c r="B171" s="2" t="s">
        <v>149</v>
      </c>
      <c r="C171" s="4" t="s">
        <v>21</v>
      </c>
      <c r="D171" s="2" t="s">
        <v>22</v>
      </c>
      <c r="E171" s="2" t="s">
        <v>23</v>
      </c>
      <c r="F171" s="2" t="s">
        <v>150</v>
      </c>
      <c r="G171" s="2">
        <v>24558.95604</v>
      </c>
      <c r="H171" s="2" t="s">
        <v>27</v>
      </c>
    </row>
    <row r="172" ht="22.5" customHeight="1">
      <c r="A172" s="2" t="s">
        <v>19</v>
      </c>
      <c r="B172" s="2" t="s">
        <v>151</v>
      </c>
      <c r="C172" s="4" t="s">
        <v>21</v>
      </c>
      <c r="D172" s="2" t="s">
        <v>22</v>
      </c>
      <c r="E172" s="2" t="s">
        <v>53</v>
      </c>
      <c r="F172" s="2" t="s">
        <v>152</v>
      </c>
      <c r="G172" s="2">
        <v>24203.17162</v>
      </c>
      <c r="H172" s="2" t="s">
        <v>27</v>
      </c>
    </row>
    <row r="173" ht="22.5" customHeight="1">
      <c r="A173" s="2" t="s">
        <v>19</v>
      </c>
      <c r="B173" s="2" t="s">
        <v>151</v>
      </c>
      <c r="C173" s="4" t="s">
        <v>21</v>
      </c>
      <c r="D173" s="2" t="s">
        <v>22</v>
      </c>
      <c r="E173" s="2" t="s">
        <v>53</v>
      </c>
      <c r="F173" s="2" t="s">
        <v>152</v>
      </c>
      <c r="G173" s="2">
        <v>24662.52906</v>
      </c>
      <c r="H173" s="2" t="s">
        <v>25</v>
      </c>
    </row>
    <row r="174" ht="22.5" customHeight="1">
      <c r="A174" s="2" t="s">
        <v>19</v>
      </c>
      <c r="B174" s="2" t="s">
        <v>151</v>
      </c>
      <c r="C174" s="4" t="s">
        <v>21</v>
      </c>
      <c r="D174" s="2" t="s">
        <v>22</v>
      </c>
      <c r="E174" s="2" t="s">
        <v>53</v>
      </c>
      <c r="F174" s="2" t="s">
        <v>152</v>
      </c>
      <c r="G174" s="2">
        <v>24290.29243</v>
      </c>
      <c r="H174" s="2" t="s">
        <v>26</v>
      </c>
    </row>
    <row r="175" ht="22.5" customHeight="1">
      <c r="A175" s="2" t="s">
        <v>19</v>
      </c>
      <c r="B175" s="2" t="s">
        <v>153</v>
      </c>
      <c r="C175" s="2" t="s">
        <v>21</v>
      </c>
      <c r="D175" s="2" t="s">
        <v>22</v>
      </c>
      <c r="E175" s="2" t="s">
        <v>23</v>
      </c>
      <c r="F175" s="2" t="s">
        <v>154</v>
      </c>
      <c r="G175" s="2">
        <v>17823.580152</v>
      </c>
      <c r="H175" s="2" t="s">
        <v>27</v>
      </c>
    </row>
    <row r="176" ht="22.5" customHeight="1">
      <c r="A176" s="2" t="s">
        <v>19</v>
      </c>
      <c r="B176" s="2" t="s">
        <v>153</v>
      </c>
      <c r="C176" s="2" t="s">
        <v>21</v>
      </c>
      <c r="D176" s="2" t="s">
        <v>22</v>
      </c>
      <c r="E176" s="2" t="s">
        <v>23</v>
      </c>
      <c r="F176" s="2" t="s">
        <v>154</v>
      </c>
      <c r="G176" s="2">
        <v>17456.613181</v>
      </c>
      <c r="H176" s="2" t="s">
        <v>25</v>
      </c>
    </row>
    <row r="177" ht="22.5" customHeight="1">
      <c r="A177" s="2" t="s">
        <v>19</v>
      </c>
      <c r="B177" s="2" t="s">
        <v>153</v>
      </c>
      <c r="C177" s="2" t="s">
        <v>21</v>
      </c>
      <c r="D177" s="2" t="s">
        <v>22</v>
      </c>
      <c r="E177" s="2" t="s">
        <v>23</v>
      </c>
      <c r="F177" s="2" t="s">
        <v>154</v>
      </c>
      <c r="G177" s="3">
        <v>14227.44</v>
      </c>
      <c r="H177" s="4" t="s">
        <v>28</v>
      </c>
    </row>
    <row r="178" ht="22.5" customHeight="1">
      <c r="A178" s="2" t="s">
        <v>19</v>
      </c>
      <c r="B178" s="2" t="s">
        <v>153</v>
      </c>
      <c r="C178" s="2" t="s">
        <v>21</v>
      </c>
      <c r="D178" s="2" t="s">
        <v>22</v>
      </c>
      <c r="E178" s="2" t="s">
        <v>23</v>
      </c>
      <c r="F178" s="2" t="s">
        <v>154</v>
      </c>
      <c r="G178" s="3">
        <v>14227.44</v>
      </c>
      <c r="H178" s="2" t="s">
        <v>26</v>
      </c>
    </row>
    <row r="179" ht="22.5" customHeight="1">
      <c r="A179" s="2" t="s">
        <v>19</v>
      </c>
      <c r="B179" s="2" t="s">
        <v>155</v>
      </c>
      <c r="C179" s="2" t="s">
        <v>32</v>
      </c>
      <c r="D179" s="2" t="s">
        <v>48</v>
      </c>
      <c r="F179" s="2" t="s">
        <v>156</v>
      </c>
      <c r="G179" s="2">
        <v>20063.457943</v>
      </c>
      <c r="H179" s="2" t="s">
        <v>27</v>
      </c>
    </row>
    <row r="180" ht="22.5" customHeight="1">
      <c r="A180" s="2" t="s">
        <v>19</v>
      </c>
      <c r="B180" s="2" t="s">
        <v>155</v>
      </c>
      <c r="C180" s="2" t="s">
        <v>32</v>
      </c>
      <c r="D180" s="2" t="s">
        <v>48</v>
      </c>
      <c r="F180" s="2" t="s">
        <v>156</v>
      </c>
      <c r="G180" s="2">
        <v>20207.91754</v>
      </c>
      <c r="H180" s="2" t="s">
        <v>26</v>
      </c>
    </row>
    <row r="181" ht="22.5" customHeight="1">
      <c r="A181" s="2" t="s">
        <v>19</v>
      </c>
      <c r="B181" s="2" t="s">
        <v>155</v>
      </c>
      <c r="C181" s="2" t="s">
        <v>32</v>
      </c>
      <c r="D181" s="2" t="s">
        <v>48</v>
      </c>
      <c r="F181" s="2" t="s">
        <v>156</v>
      </c>
      <c r="G181" s="2">
        <v>20441.8093</v>
      </c>
      <c r="H181" s="2" t="s">
        <v>25</v>
      </c>
    </row>
    <row r="182" ht="22.5" customHeight="1">
      <c r="A182" s="2" t="s">
        <v>19</v>
      </c>
      <c r="B182" s="2" t="s">
        <v>157</v>
      </c>
      <c r="C182" s="2" t="s">
        <v>21</v>
      </c>
      <c r="D182" s="2" t="s">
        <v>22</v>
      </c>
      <c r="E182" s="2" t="s">
        <v>93</v>
      </c>
      <c r="F182" s="2" t="s">
        <v>158</v>
      </c>
      <c r="G182" s="2">
        <v>13493.097092</v>
      </c>
      <c r="H182" s="2" t="s">
        <v>27</v>
      </c>
    </row>
    <row r="183" ht="22.5" customHeight="1">
      <c r="A183" s="2" t="s">
        <v>19</v>
      </c>
      <c r="B183" s="2" t="s">
        <v>157</v>
      </c>
      <c r="C183" s="2" t="s">
        <v>21</v>
      </c>
      <c r="D183" s="2" t="s">
        <v>22</v>
      </c>
      <c r="E183" s="2" t="s">
        <v>93</v>
      </c>
      <c r="F183" s="2" t="s">
        <v>158</v>
      </c>
      <c r="G183" s="2">
        <v>13751.39405</v>
      </c>
      <c r="H183" s="2" t="s">
        <v>25</v>
      </c>
    </row>
    <row r="184" ht="22.5" customHeight="1">
      <c r="A184" s="2" t="s">
        <v>19</v>
      </c>
      <c r="B184" s="2" t="s">
        <v>157</v>
      </c>
      <c r="C184" s="2" t="s">
        <v>21</v>
      </c>
      <c r="D184" s="2" t="s">
        <v>22</v>
      </c>
      <c r="E184" s="2" t="s">
        <v>93</v>
      </c>
      <c r="F184" s="2" t="s">
        <v>158</v>
      </c>
      <c r="G184" s="2">
        <v>13779.069051</v>
      </c>
      <c r="H184" s="2" t="s">
        <v>26</v>
      </c>
    </row>
    <row r="185" ht="22.5" customHeight="1">
      <c r="A185" s="2" t="s">
        <v>19</v>
      </c>
      <c r="B185" s="2" t="s">
        <v>159</v>
      </c>
      <c r="C185" s="2" t="s">
        <v>21</v>
      </c>
      <c r="D185" s="2" t="s">
        <v>22</v>
      </c>
      <c r="E185" s="2" t="s">
        <v>23</v>
      </c>
      <c r="F185" s="2" t="s">
        <v>160</v>
      </c>
      <c r="G185" s="3">
        <v>19510.715549</v>
      </c>
      <c r="H185" s="2" t="s">
        <v>27</v>
      </c>
    </row>
    <row r="186" ht="22.5" customHeight="1">
      <c r="A186" s="2" t="s">
        <v>19</v>
      </c>
      <c r="B186" s="2" t="s">
        <v>159</v>
      </c>
      <c r="C186" s="2" t="s">
        <v>21</v>
      </c>
      <c r="D186" s="2" t="s">
        <v>22</v>
      </c>
      <c r="E186" s="2" t="s">
        <v>23</v>
      </c>
      <c r="F186" s="2" t="s">
        <v>160</v>
      </c>
      <c r="G186" s="3">
        <v>17062.58</v>
      </c>
      <c r="H186" s="2" t="s">
        <v>26</v>
      </c>
    </row>
    <row r="187" ht="22.5" customHeight="1">
      <c r="A187" s="2" t="s">
        <v>19</v>
      </c>
      <c r="B187" s="2" t="s">
        <v>159</v>
      </c>
      <c r="C187" s="2" t="s">
        <v>21</v>
      </c>
      <c r="D187" s="2" t="s">
        <v>22</v>
      </c>
      <c r="E187" s="2" t="s">
        <v>23</v>
      </c>
      <c r="F187" s="2" t="s">
        <v>160</v>
      </c>
      <c r="G187" s="2">
        <v>20989.3887</v>
      </c>
      <c r="H187" s="2" t="s">
        <v>25</v>
      </c>
    </row>
    <row r="188" ht="22.5" customHeight="1">
      <c r="A188" s="2" t="s">
        <v>19</v>
      </c>
      <c r="B188" s="2" t="s">
        <v>159</v>
      </c>
      <c r="C188" s="2" t="s">
        <v>21</v>
      </c>
      <c r="D188" s="2" t="s">
        <v>22</v>
      </c>
      <c r="E188" s="2" t="s">
        <v>23</v>
      </c>
      <c r="F188" s="2" t="s">
        <v>160</v>
      </c>
      <c r="G188" s="3">
        <v>16128.8955</v>
      </c>
      <c r="H188" s="4" t="s">
        <v>28</v>
      </c>
    </row>
    <row r="189" ht="22.5" customHeight="1">
      <c r="A189" s="2" t="s">
        <v>19</v>
      </c>
      <c r="B189" s="2" t="s">
        <v>161</v>
      </c>
      <c r="C189" s="2" t="s">
        <v>21</v>
      </c>
      <c r="D189" s="2" t="s">
        <v>22</v>
      </c>
      <c r="F189" s="2" t="s">
        <v>162</v>
      </c>
      <c r="G189" s="2">
        <v>22103.58015</v>
      </c>
      <c r="H189" s="2" t="s">
        <v>27</v>
      </c>
    </row>
    <row r="190" ht="22.5" customHeight="1">
      <c r="A190" s="2" t="s">
        <v>19</v>
      </c>
      <c r="B190" s="2" t="s">
        <v>161</v>
      </c>
      <c r="C190" s="2" t="s">
        <v>21</v>
      </c>
      <c r="D190" s="2" t="s">
        <v>22</v>
      </c>
      <c r="F190" s="2" t="s">
        <v>162</v>
      </c>
      <c r="G190" s="2">
        <v>8223.170779</v>
      </c>
      <c r="H190" s="2" t="s">
        <v>25</v>
      </c>
    </row>
    <row r="191" ht="22.5" customHeight="1">
      <c r="A191" s="2" t="s">
        <v>19</v>
      </c>
      <c r="B191" s="2" t="s">
        <v>163</v>
      </c>
      <c r="C191" s="2" t="s">
        <v>21</v>
      </c>
      <c r="D191" s="2" t="s">
        <v>22</v>
      </c>
      <c r="E191" s="2" t="s">
        <v>45</v>
      </c>
      <c r="F191" s="2" t="s">
        <v>164</v>
      </c>
      <c r="G191" s="2">
        <v>12956.360152</v>
      </c>
      <c r="H191" s="2" t="s">
        <v>27</v>
      </c>
    </row>
    <row r="192" ht="22.5" customHeight="1">
      <c r="A192" s="2" t="s">
        <v>19</v>
      </c>
      <c r="B192" s="2" t="s">
        <v>163</v>
      </c>
      <c r="C192" s="2" t="s">
        <v>21</v>
      </c>
      <c r="D192" s="2" t="s">
        <v>22</v>
      </c>
      <c r="E192" s="2" t="s">
        <v>45</v>
      </c>
      <c r="F192" s="2" t="s">
        <v>164</v>
      </c>
      <c r="G192" s="2">
        <v>13183.478181</v>
      </c>
      <c r="H192" s="2" t="s">
        <v>25</v>
      </c>
    </row>
    <row r="193" ht="22.5" customHeight="1">
      <c r="A193" s="2" t="s">
        <v>19</v>
      </c>
      <c r="B193" s="2" t="s">
        <v>163</v>
      </c>
      <c r="C193" s="2" t="s">
        <v>21</v>
      </c>
      <c r="D193" s="2" t="s">
        <v>22</v>
      </c>
      <c r="E193" s="2" t="s">
        <v>45</v>
      </c>
      <c r="F193" s="2" t="s">
        <v>164</v>
      </c>
      <c r="G193" s="2">
        <v>13327.44456</v>
      </c>
      <c r="H193" s="2" t="s">
        <v>26</v>
      </c>
    </row>
    <row r="194" ht="22.5" customHeight="1">
      <c r="A194" s="2" t="s">
        <v>19</v>
      </c>
      <c r="B194" s="2" t="s">
        <v>165</v>
      </c>
      <c r="C194" s="2" t="s">
        <v>68</v>
      </c>
      <c r="D194" s="2" t="s">
        <v>166</v>
      </c>
      <c r="F194" s="2" t="s">
        <v>167</v>
      </c>
      <c r="G194" s="2">
        <v>28041.74439</v>
      </c>
      <c r="H194" s="2" t="s">
        <v>25</v>
      </c>
    </row>
    <row r="195" ht="22.5" customHeight="1">
      <c r="A195" s="2" t="s">
        <v>19</v>
      </c>
      <c r="B195" s="2" t="s">
        <v>165</v>
      </c>
      <c r="C195" s="2" t="s">
        <v>68</v>
      </c>
      <c r="D195" s="2" t="s">
        <v>166</v>
      </c>
      <c r="F195" s="2" t="s">
        <v>167</v>
      </c>
      <c r="G195" s="2">
        <v>27445.13804</v>
      </c>
      <c r="H195" s="2" t="s">
        <v>26</v>
      </c>
    </row>
    <row r="196" ht="22.5" customHeight="1">
      <c r="A196" s="2" t="s">
        <v>19</v>
      </c>
      <c r="B196" s="2" t="s">
        <v>165</v>
      </c>
      <c r="C196" s="2" t="s">
        <v>68</v>
      </c>
      <c r="D196" s="2" t="s">
        <v>166</v>
      </c>
      <c r="F196" s="2" t="s">
        <v>167</v>
      </c>
      <c r="G196" s="2">
        <v>29183.312</v>
      </c>
      <c r="H196" s="2" t="s">
        <v>27</v>
      </c>
    </row>
    <row r="197" ht="22.5" customHeight="1">
      <c r="A197" s="2" t="s">
        <v>19</v>
      </c>
      <c r="B197" s="2" t="s">
        <v>168</v>
      </c>
      <c r="C197" s="2" t="s">
        <v>21</v>
      </c>
      <c r="D197" s="2" t="s">
        <v>22</v>
      </c>
      <c r="E197" s="2" t="s">
        <v>23</v>
      </c>
      <c r="F197" s="2" t="s">
        <v>169</v>
      </c>
      <c r="G197" s="2">
        <v>15614.330722</v>
      </c>
      <c r="H197" s="2" t="s">
        <v>25</v>
      </c>
    </row>
    <row r="198" ht="22.5" customHeight="1">
      <c r="A198" s="2" t="s">
        <v>19</v>
      </c>
      <c r="B198" s="2" t="s">
        <v>168</v>
      </c>
      <c r="C198" s="2" t="s">
        <v>21</v>
      </c>
      <c r="D198" s="2" t="s">
        <v>22</v>
      </c>
      <c r="E198" s="2" t="s">
        <v>23</v>
      </c>
      <c r="F198" s="2" t="s">
        <v>169</v>
      </c>
      <c r="G198" s="3">
        <v>7953.96</v>
      </c>
      <c r="H198" s="2" t="s">
        <v>26</v>
      </c>
    </row>
    <row r="199" ht="22.5" customHeight="1">
      <c r="A199" s="2" t="s">
        <v>19</v>
      </c>
      <c r="B199" s="2" t="s">
        <v>168</v>
      </c>
      <c r="C199" s="2" t="s">
        <v>21</v>
      </c>
      <c r="D199" s="2" t="s">
        <v>22</v>
      </c>
      <c r="E199" s="2" t="s">
        <v>23</v>
      </c>
      <c r="F199" s="2" t="s">
        <v>169</v>
      </c>
      <c r="G199" s="2">
        <v>15688.827749</v>
      </c>
      <c r="H199" s="2" t="s">
        <v>27</v>
      </c>
    </row>
    <row r="200" ht="22.5" customHeight="1">
      <c r="A200" s="2" t="s">
        <v>19</v>
      </c>
      <c r="B200" s="2" t="s">
        <v>168</v>
      </c>
      <c r="C200" s="2" t="s">
        <v>21</v>
      </c>
      <c r="D200" s="2" t="s">
        <v>22</v>
      </c>
      <c r="E200" s="2" t="s">
        <v>23</v>
      </c>
      <c r="F200" s="2" t="s">
        <v>169</v>
      </c>
      <c r="G200" s="3">
        <v>6300.8</v>
      </c>
      <c r="H200" s="4" t="s">
        <v>28</v>
      </c>
    </row>
    <row r="201" ht="22.5" customHeight="1">
      <c r="A201" s="2" t="s">
        <v>19</v>
      </c>
      <c r="B201" s="2" t="s">
        <v>170</v>
      </c>
      <c r="C201" s="2" t="s">
        <v>32</v>
      </c>
      <c r="D201" s="2" t="s">
        <v>56</v>
      </c>
      <c r="F201" s="2" t="s">
        <v>171</v>
      </c>
      <c r="G201" s="2">
        <v>7353.691922</v>
      </c>
      <c r="H201" s="2" t="s">
        <v>25</v>
      </c>
    </row>
    <row r="202" ht="22.5" customHeight="1">
      <c r="A202" s="2" t="s">
        <v>19</v>
      </c>
      <c r="B202" s="2" t="s">
        <v>170</v>
      </c>
      <c r="C202" s="2" t="s">
        <v>32</v>
      </c>
      <c r="D202" s="2" t="s">
        <v>56</v>
      </c>
      <c r="F202" s="2" t="s">
        <v>171</v>
      </c>
      <c r="G202" s="3">
        <v>12538.329216</v>
      </c>
      <c r="H202" s="2" t="s">
        <v>26</v>
      </c>
    </row>
    <row r="203" ht="22.5" customHeight="1">
      <c r="A203" s="2" t="s">
        <v>19</v>
      </c>
      <c r="B203" s="2" t="s">
        <v>170</v>
      </c>
      <c r="C203" s="2" t="s">
        <v>32</v>
      </c>
      <c r="D203" s="2" t="s">
        <v>56</v>
      </c>
      <c r="F203" s="2" t="s">
        <v>171</v>
      </c>
      <c r="G203" s="2">
        <v>16763.887932</v>
      </c>
      <c r="H203" s="2" t="s">
        <v>27</v>
      </c>
    </row>
    <row r="204" ht="22.5" customHeight="1">
      <c r="A204" s="2" t="s">
        <v>19</v>
      </c>
      <c r="B204" s="2" t="s">
        <v>170</v>
      </c>
      <c r="C204" s="2" t="s">
        <v>32</v>
      </c>
      <c r="D204" s="2" t="s">
        <v>56</v>
      </c>
      <c r="F204" s="2" t="s">
        <v>171</v>
      </c>
      <c r="G204" s="3">
        <v>13177.44</v>
      </c>
      <c r="H204" s="4" t="s">
        <v>28</v>
      </c>
    </row>
    <row r="205" ht="22.5" customHeight="1">
      <c r="A205" s="2" t="s">
        <v>19</v>
      </c>
      <c r="B205" s="2" t="s">
        <v>172</v>
      </c>
      <c r="C205" s="2" t="s">
        <v>21</v>
      </c>
      <c r="D205" s="2" t="s">
        <v>22</v>
      </c>
      <c r="E205" s="2" t="s">
        <v>98</v>
      </c>
      <c r="F205" s="2" t="s">
        <v>173</v>
      </c>
      <c r="G205" s="2">
        <v>15927.656463</v>
      </c>
      <c r="H205" s="2" t="s">
        <v>26</v>
      </c>
    </row>
    <row r="206" ht="22.5" customHeight="1">
      <c r="A206" s="2" t="s">
        <v>19</v>
      </c>
      <c r="B206" s="2" t="s">
        <v>172</v>
      </c>
      <c r="C206" s="2" t="s">
        <v>21</v>
      </c>
      <c r="D206" s="2" t="s">
        <v>22</v>
      </c>
      <c r="E206" s="2" t="s">
        <v>98</v>
      </c>
      <c r="F206" s="2" t="s">
        <v>173</v>
      </c>
      <c r="G206" s="2">
        <v>15635.661516</v>
      </c>
      <c r="H206" s="2" t="s">
        <v>27</v>
      </c>
    </row>
    <row r="207" ht="22.5" customHeight="1">
      <c r="A207" s="2" t="s">
        <v>19</v>
      </c>
      <c r="B207" s="2" t="s">
        <v>172</v>
      </c>
      <c r="C207" s="2" t="s">
        <v>21</v>
      </c>
      <c r="D207" s="2" t="s">
        <v>22</v>
      </c>
      <c r="E207" s="2" t="s">
        <v>98</v>
      </c>
      <c r="F207" s="2" t="s">
        <v>173</v>
      </c>
      <c r="G207" s="2">
        <v>15934.228414</v>
      </c>
      <c r="H207" s="2" t="s">
        <v>25</v>
      </c>
    </row>
    <row r="208" ht="22.5" customHeight="1">
      <c r="A208" s="2" t="s">
        <v>19</v>
      </c>
      <c r="B208" s="2" t="s">
        <v>174</v>
      </c>
      <c r="C208" s="2" t="s">
        <v>21</v>
      </c>
      <c r="D208" s="2" t="s">
        <v>22</v>
      </c>
      <c r="E208" s="2" t="s">
        <v>63</v>
      </c>
      <c r="F208" s="2" t="s">
        <v>175</v>
      </c>
      <c r="G208" s="2">
        <v>15967.427722</v>
      </c>
      <c r="H208" s="2" t="s">
        <v>25</v>
      </c>
    </row>
    <row r="209" ht="22.5" customHeight="1">
      <c r="A209" s="2" t="s">
        <v>19</v>
      </c>
      <c r="B209" s="2" t="s">
        <v>174</v>
      </c>
      <c r="C209" s="2" t="s">
        <v>21</v>
      </c>
      <c r="D209" s="2" t="s">
        <v>22</v>
      </c>
      <c r="E209" s="2" t="s">
        <v>63</v>
      </c>
      <c r="F209" s="2" t="s">
        <v>175</v>
      </c>
      <c r="G209" s="3">
        <v>12127.44</v>
      </c>
      <c r="H209" s="2" t="s">
        <v>26</v>
      </c>
    </row>
    <row r="210" ht="22.5" customHeight="1">
      <c r="A210" s="2" t="s">
        <v>19</v>
      </c>
      <c r="B210" s="2" t="s">
        <v>174</v>
      </c>
      <c r="C210" s="2" t="s">
        <v>21</v>
      </c>
      <c r="D210" s="2" t="s">
        <v>22</v>
      </c>
      <c r="E210" s="2" t="s">
        <v>63</v>
      </c>
      <c r="F210" s="2" t="s">
        <v>175</v>
      </c>
      <c r="G210" s="2">
        <v>15688.827749</v>
      </c>
      <c r="H210" s="2" t="s">
        <v>27</v>
      </c>
    </row>
    <row r="211" ht="22.5" customHeight="1">
      <c r="A211" s="2" t="s">
        <v>19</v>
      </c>
      <c r="B211" s="2" t="s">
        <v>174</v>
      </c>
      <c r="C211" s="2" t="s">
        <v>21</v>
      </c>
      <c r="D211" s="2" t="s">
        <v>22</v>
      </c>
      <c r="E211" s="2" t="s">
        <v>63</v>
      </c>
      <c r="F211" s="2" t="s">
        <v>175</v>
      </c>
      <c r="G211" s="3">
        <v>12127.44</v>
      </c>
      <c r="H211" s="4" t="s">
        <v>28</v>
      </c>
    </row>
    <row r="212" ht="22.5" customHeight="1">
      <c r="A212" s="2" t="s">
        <v>19</v>
      </c>
      <c r="B212" s="2" t="s">
        <v>176</v>
      </c>
      <c r="C212" s="2" t="s">
        <v>21</v>
      </c>
      <c r="D212" s="2" t="s">
        <v>22</v>
      </c>
      <c r="E212" s="2" t="s">
        <v>42</v>
      </c>
      <c r="F212" s="2" t="s">
        <v>177</v>
      </c>
      <c r="G212" s="2">
        <v>7350.0</v>
      </c>
      <c r="H212" s="2" t="s">
        <v>27</v>
      </c>
    </row>
    <row r="213" ht="22.5" customHeight="1">
      <c r="A213" s="2" t="s">
        <v>19</v>
      </c>
      <c r="B213" s="2" t="s">
        <v>176</v>
      </c>
      <c r="C213" s="2" t="s">
        <v>21</v>
      </c>
      <c r="D213" s="2" t="s">
        <v>22</v>
      </c>
      <c r="E213" s="2" t="s">
        <v>42</v>
      </c>
      <c r="F213" s="2" t="s">
        <v>177</v>
      </c>
      <c r="G213" s="2">
        <v>7350.0</v>
      </c>
      <c r="H213" s="2" t="s">
        <v>25</v>
      </c>
    </row>
    <row r="214" ht="22.5" customHeight="1">
      <c r="A214" s="2" t="s">
        <v>19</v>
      </c>
      <c r="B214" s="2" t="s">
        <v>176</v>
      </c>
      <c r="C214" s="2" t="s">
        <v>21</v>
      </c>
      <c r="D214" s="2" t="s">
        <v>22</v>
      </c>
      <c r="E214" s="2" t="s">
        <v>42</v>
      </c>
      <c r="F214" s="2" t="s">
        <v>177</v>
      </c>
      <c r="G214" s="2">
        <v>7350.0</v>
      </c>
      <c r="H214" s="2" t="s">
        <v>26</v>
      </c>
    </row>
    <row r="215" ht="22.5" customHeight="1">
      <c r="A215" s="2" t="s">
        <v>19</v>
      </c>
      <c r="B215" s="2" t="s">
        <v>178</v>
      </c>
      <c r="C215" s="2" t="s">
        <v>32</v>
      </c>
      <c r="D215" s="2" t="s">
        <v>56</v>
      </c>
      <c r="F215" s="2" t="s">
        <v>179</v>
      </c>
      <c r="G215" s="3">
        <v>14227.44</v>
      </c>
      <c r="H215" s="2" t="s">
        <v>26</v>
      </c>
    </row>
    <row r="216" ht="22.5" customHeight="1">
      <c r="A216" s="2" t="s">
        <v>19</v>
      </c>
      <c r="B216" s="2" t="s">
        <v>178</v>
      </c>
      <c r="C216" s="2" t="s">
        <v>32</v>
      </c>
      <c r="D216" s="2" t="s">
        <v>56</v>
      </c>
      <c r="F216" s="2" t="s">
        <v>179</v>
      </c>
      <c r="G216" s="2">
        <v>17835.913761</v>
      </c>
      <c r="H216" s="2" t="s">
        <v>27</v>
      </c>
    </row>
    <row r="217" ht="22.5" customHeight="1">
      <c r="A217" s="2" t="s">
        <v>19</v>
      </c>
      <c r="B217" s="2" t="s">
        <v>178</v>
      </c>
      <c r="C217" s="2" t="s">
        <v>32</v>
      </c>
      <c r="D217" s="2" t="s">
        <v>56</v>
      </c>
      <c r="F217" s="2" t="s">
        <v>179</v>
      </c>
      <c r="G217" s="2">
        <v>18180.823</v>
      </c>
      <c r="H217" s="2" t="s">
        <v>25</v>
      </c>
    </row>
    <row r="218" ht="22.5" customHeight="1">
      <c r="A218" s="2" t="s">
        <v>19</v>
      </c>
      <c r="B218" s="2" t="s">
        <v>178</v>
      </c>
      <c r="C218" s="2" t="s">
        <v>32</v>
      </c>
      <c r="D218" s="2" t="s">
        <v>56</v>
      </c>
      <c r="F218" s="2" t="s">
        <v>179</v>
      </c>
      <c r="G218" s="3">
        <v>14227.44</v>
      </c>
      <c r="H218" s="4" t="s">
        <v>28</v>
      </c>
    </row>
    <row r="219" ht="22.5" customHeight="1">
      <c r="A219" s="2" t="s">
        <v>19</v>
      </c>
      <c r="B219" s="2" t="s">
        <v>180</v>
      </c>
      <c r="C219" s="2" t="s">
        <v>32</v>
      </c>
      <c r="D219" s="2" t="s">
        <v>48</v>
      </c>
      <c r="F219" s="2" t="s">
        <v>181</v>
      </c>
      <c r="G219" s="2">
        <v>32765.73604</v>
      </c>
      <c r="H219" s="2" t="s">
        <v>27</v>
      </c>
    </row>
    <row r="220" ht="22.5" customHeight="1">
      <c r="A220" s="2" t="s">
        <v>19</v>
      </c>
      <c r="B220" s="2" t="s">
        <v>180</v>
      </c>
      <c r="C220" s="2" t="s">
        <v>32</v>
      </c>
      <c r="D220" s="2" t="s">
        <v>48</v>
      </c>
      <c r="F220" s="2" t="s">
        <v>181</v>
      </c>
      <c r="G220" s="2">
        <v>33385.36342</v>
      </c>
      <c r="H220" s="2" t="s">
        <v>25</v>
      </c>
    </row>
    <row r="221" ht="22.5" customHeight="1">
      <c r="A221" s="2" t="s">
        <v>19</v>
      </c>
      <c r="B221" s="2" t="s">
        <v>180</v>
      </c>
      <c r="C221" s="2" t="s">
        <v>32</v>
      </c>
      <c r="D221" s="2" t="s">
        <v>48</v>
      </c>
      <c r="F221" s="2" t="s">
        <v>181</v>
      </c>
      <c r="G221" s="2">
        <v>32739.05659</v>
      </c>
      <c r="H221" s="2" t="s">
        <v>26</v>
      </c>
    </row>
    <row r="222" ht="22.5" customHeight="1">
      <c r="A222" s="2" t="s">
        <v>19</v>
      </c>
      <c r="B222" s="2" t="s">
        <v>182</v>
      </c>
      <c r="C222" s="2" t="s">
        <v>21</v>
      </c>
      <c r="D222" s="2" t="s">
        <v>22</v>
      </c>
      <c r="E222" s="2" t="s">
        <v>143</v>
      </c>
      <c r="F222" s="2" t="s">
        <v>183</v>
      </c>
      <c r="G222" s="2">
        <v>15638.225941</v>
      </c>
      <c r="H222" s="2" t="s">
        <v>27</v>
      </c>
    </row>
    <row r="223" ht="22.5" customHeight="1">
      <c r="A223" s="2" t="s">
        <v>19</v>
      </c>
      <c r="B223" s="2" t="s">
        <v>182</v>
      </c>
      <c r="C223" s="2" t="s">
        <v>21</v>
      </c>
      <c r="D223" s="2" t="s">
        <v>22</v>
      </c>
      <c r="E223" s="2" t="s">
        <v>143</v>
      </c>
      <c r="F223" s="2" t="s">
        <v>183</v>
      </c>
      <c r="G223" s="2">
        <v>15930.558312</v>
      </c>
      <c r="H223" s="2" t="s">
        <v>26</v>
      </c>
    </row>
    <row r="224" ht="22.5" customHeight="1">
      <c r="A224" s="2" t="s">
        <v>19</v>
      </c>
      <c r="B224" s="2" t="s">
        <v>182</v>
      </c>
      <c r="C224" s="2" t="s">
        <v>21</v>
      </c>
      <c r="D224" s="2" t="s">
        <v>22</v>
      </c>
      <c r="E224" s="2" t="s">
        <v>143</v>
      </c>
      <c r="F224" s="2" t="s">
        <v>183</v>
      </c>
      <c r="G224" s="2">
        <v>15937.062778</v>
      </c>
      <c r="H224" s="2" t="s">
        <v>25</v>
      </c>
    </row>
    <row r="225" ht="22.5" customHeight="1">
      <c r="A225" s="2" t="s">
        <v>19</v>
      </c>
      <c r="B225" s="2" t="s">
        <v>184</v>
      </c>
      <c r="C225" s="2" t="s">
        <v>32</v>
      </c>
      <c r="D225" s="2" t="s">
        <v>56</v>
      </c>
      <c r="F225" s="2" t="s">
        <v>185</v>
      </c>
      <c r="G225" s="2">
        <v>12911.005941</v>
      </c>
      <c r="H225" s="2" t="s">
        <v>27</v>
      </c>
    </row>
    <row r="226" ht="22.5" customHeight="1">
      <c r="A226" s="2" t="s">
        <v>19</v>
      </c>
      <c r="B226" s="2" t="s">
        <v>184</v>
      </c>
      <c r="C226" s="2" t="s">
        <v>32</v>
      </c>
      <c r="D226" s="2" t="s">
        <v>56</v>
      </c>
      <c r="F226" s="2" t="s">
        <v>185</v>
      </c>
      <c r="G226" s="2">
        <v>13158.862778</v>
      </c>
      <c r="H226" s="2" t="s">
        <v>25</v>
      </c>
    </row>
    <row r="227" ht="22.5" customHeight="1">
      <c r="A227" s="2" t="s">
        <v>19</v>
      </c>
      <c r="B227" s="2" t="s">
        <v>184</v>
      </c>
      <c r="C227" s="2" t="s">
        <v>32</v>
      </c>
      <c r="D227" s="2" t="s">
        <v>56</v>
      </c>
      <c r="F227" s="2" t="s">
        <v>185</v>
      </c>
      <c r="G227" s="2">
        <v>13254.318312</v>
      </c>
      <c r="H227" s="2" t="s">
        <v>26</v>
      </c>
    </row>
    <row r="228" ht="22.5" customHeight="1">
      <c r="A228" s="2" t="s">
        <v>19</v>
      </c>
      <c r="B228" s="2" t="s">
        <v>186</v>
      </c>
      <c r="C228" s="2" t="s">
        <v>21</v>
      </c>
      <c r="D228" s="2" t="s">
        <v>56</v>
      </c>
      <c r="F228" s="2" t="s">
        <v>187</v>
      </c>
      <c r="G228" s="2">
        <v>15879.069051</v>
      </c>
      <c r="H228" s="2" t="s">
        <v>26</v>
      </c>
    </row>
    <row r="229" ht="22.5" customHeight="1">
      <c r="A229" s="2" t="s">
        <v>19</v>
      </c>
      <c r="B229" s="2" t="s">
        <v>186</v>
      </c>
      <c r="C229" s="2" t="s">
        <v>21</v>
      </c>
      <c r="D229" s="2" t="s">
        <v>56</v>
      </c>
      <c r="F229" s="2" t="s">
        <v>187</v>
      </c>
      <c r="G229" s="2">
        <v>15931.39405</v>
      </c>
      <c r="H229" s="2" t="s">
        <v>25</v>
      </c>
    </row>
    <row r="230" ht="22.5" customHeight="1">
      <c r="A230" s="2" t="s">
        <v>19</v>
      </c>
      <c r="B230" s="2" t="s">
        <v>186</v>
      </c>
      <c r="C230" s="2" t="s">
        <v>21</v>
      </c>
      <c r="D230" s="2" t="s">
        <v>56</v>
      </c>
      <c r="F230" s="2" t="s">
        <v>187</v>
      </c>
      <c r="G230" s="2">
        <v>15475.597092</v>
      </c>
      <c r="H230" s="2" t="s">
        <v>27</v>
      </c>
    </row>
    <row r="231" ht="22.5" customHeight="1">
      <c r="A231" s="2" t="s">
        <v>19</v>
      </c>
      <c r="B231" s="2" t="s">
        <v>188</v>
      </c>
      <c r="C231" s="2" t="s">
        <v>21</v>
      </c>
      <c r="D231" s="2" t="s">
        <v>22</v>
      </c>
      <c r="F231" s="2" t="s">
        <v>189</v>
      </c>
      <c r="G231" s="2">
        <v>15961.678181</v>
      </c>
      <c r="H231" s="2" t="s">
        <v>25</v>
      </c>
    </row>
    <row r="232" ht="22.5" customHeight="1">
      <c r="A232" s="2" t="s">
        <v>19</v>
      </c>
      <c r="B232" s="2" t="s">
        <v>190</v>
      </c>
      <c r="C232" s="2" t="s">
        <v>32</v>
      </c>
      <c r="D232" s="4" t="s">
        <v>118</v>
      </c>
      <c r="F232" s="2" t="s">
        <v>191</v>
      </c>
      <c r="G232" s="3">
        <v>43974.899999999994</v>
      </c>
      <c r="H232" s="2" t="s">
        <v>25</v>
      </c>
    </row>
    <row r="233" ht="22.5" customHeight="1">
      <c r="A233" s="2" t="s">
        <v>19</v>
      </c>
      <c r="B233" s="2" t="s">
        <v>190</v>
      </c>
      <c r="C233" s="2" t="s">
        <v>32</v>
      </c>
      <c r="D233" s="4" t="s">
        <v>118</v>
      </c>
      <c r="F233" s="2" t="s">
        <v>191</v>
      </c>
      <c r="G233" s="3">
        <v>43974.899999999994</v>
      </c>
      <c r="H233" s="2" t="s">
        <v>27</v>
      </c>
    </row>
    <row r="234" ht="22.5" customHeight="1">
      <c r="A234" s="2" t="s">
        <v>19</v>
      </c>
      <c r="B234" s="2" t="s">
        <v>190</v>
      </c>
      <c r="C234" s="2" t="s">
        <v>32</v>
      </c>
      <c r="D234" s="4" t="s">
        <v>118</v>
      </c>
      <c r="F234" s="2" t="s">
        <v>191</v>
      </c>
      <c r="G234" s="3">
        <v>43974.899999999994</v>
      </c>
      <c r="H234" s="2" t="s">
        <v>26</v>
      </c>
    </row>
    <row r="235" ht="22.5" customHeight="1">
      <c r="A235" s="2" t="s">
        <v>19</v>
      </c>
      <c r="B235" s="2" t="s">
        <v>190</v>
      </c>
      <c r="C235" s="2" t="s">
        <v>32</v>
      </c>
      <c r="D235" s="4" t="s">
        <v>118</v>
      </c>
      <c r="F235" s="2" t="s">
        <v>191</v>
      </c>
      <c r="G235" s="3">
        <v>43974.899999999994</v>
      </c>
      <c r="H235" s="4" t="s">
        <v>28</v>
      </c>
    </row>
    <row r="236" ht="22.5" customHeight="1">
      <c r="A236" s="2" t="s">
        <v>19</v>
      </c>
      <c r="B236" s="2" t="s">
        <v>192</v>
      </c>
      <c r="C236" s="2" t="s">
        <v>32</v>
      </c>
      <c r="D236" s="2" t="s">
        <v>193</v>
      </c>
      <c r="E236" s="2" t="s">
        <v>23</v>
      </c>
      <c r="F236" s="2" t="s">
        <v>194</v>
      </c>
      <c r="G236" s="2">
        <v>17027.062778</v>
      </c>
      <c r="H236" s="2" t="s">
        <v>25</v>
      </c>
    </row>
    <row r="237" ht="22.5" customHeight="1">
      <c r="A237" s="2" t="s">
        <v>19</v>
      </c>
      <c r="B237" s="2" t="s">
        <v>192</v>
      </c>
      <c r="C237" s="2" t="s">
        <v>32</v>
      </c>
      <c r="D237" s="2" t="s">
        <v>193</v>
      </c>
      <c r="E237" s="2" t="s">
        <v>23</v>
      </c>
      <c r="F237" s="2" t="s">
        <v>194</v>
      </c>
      <c r="G237" s="2">
        <v>16934.78277</v>
      </c>
      <c r="H237" s="2" t="s">
        <v>26</v>
      </c>
    </row>
    <row r="238" ht="22.5" customHeight="1">
      <c r="A238" s="2" t="s">
        <v>19</v>
      </c>
      <c r="B238" s="2" t="s">
        <v>192</v>
      </c>
      <c r="C238" s="2" t="s">
        <v>32</v>
      </c>
      <c r="D238" s="2" t="s">
        <v>193</v>
      </c>
      <c r="E238" s="2" t="s">
        <v>23</v>
      </c>
      <c r="F238" s="2" t="s">
        <v>194</v>
      </c>
      <c r="G238" s="2">
        <v>17652.899441</v>
      </c>
      <c r="H238" s="2" t="s">
        <v>27</v>
      </c>
    </row>
    <row r="239" ht="22.5" customHeight="1">
      <c r="A239" s="2" t="s">
        <v>19</v>
      </c>
      <c r="B239" s="2" t="s">
        <v>195</v>
      </c>
      <c r="C239" s="2" t="s">
        <v>32</v>
      </c>
      <c r="D239" s="2" t="s">
        <v>56</v>
      </c>
      <c r="F239" s="2" t="s">
        <v>196</v>
      </c>
      <c r="G239" s="2">
        <v>20305.36342</v>
      </c>
      <c r="H239" s="2" t="s">
        <v>25</v>
      </c>
    </row>
    <row r="240" ht="22.5" customHeight="1">
      <c r="A240" s="2" t="s">
        <v>19</v>
      </c>
      <c r="B240" s="2" t="s">
        <v>195</v>
      </c>
      <c r="C240" s="2" t="s">
        <v>32</v>
      </c>
      <c r="D240" s="2" t="s">
        <v>56</v>
      </c>
      <c r="F240" s="2" t="s">
        <v>196</v>
      </c>
      <c r="G240" s="2">
        <v>20093.14929</v>
      </c>
      <c r="H240" s="2" t="s">
        <v>26</v>
      </c>
    </row>
    <row r="241" ht="22.5" customHeight="1">
      <c r="A241" s="2" t="s">
        <v>19</v>
      </c>
      <c r="B241" s="2" t="s">
        <v>195</v>
      </c>
      <c r="C241" s="2" t="s">
        <v>32</v>
      </c>
      <c r="D241" s="2" t="s">
        <v>56</v>
      </c>
      <c r="F241" s="2" t="s">
        <v>196</v>
      </c>
      <c r="G241" s="2">
        <v>19925.736044</v>
      </c>
      <c r="H241" s="2" t="s">
        <v>27</v>
      </c>
    </row>
    <row r="242" ht="22.5" customHeight="1">
      <c r="A242" s="2" t="s">
        <v>19</v>
      </c>
      <c r="B242" s="2" t="s">
        <v>197</v>
      </c>
      <c r="C242" s="2" t="s">
        <v>68</v>
      </c>
      <c r="D242" s="2" t="s">
        <v>198</v>
      </c>
      <c r="F242" s="2" t="s">
        <v>199</v>
      </c>
      <c r="G242" s="2">
        <v>16512.962652</v>
      </c>
      <c r="H242" s="2" t="s">
        <v>26</v>
      </c>
    </row>
    <row r="243" ht="22.5" customHeight="1">
      <c r="A243" s="2" t="s">
        <v>19</v>
      </c>
      <c r="B243" s="2" t="s">
        <v>197</v>
      </c>
      <c r="C243" s="2" t="s">
        <v>68</v>
      </c>
      <c r="D243" s="2" t="s">
        <v>198</v>
      </c>
      <c r="F243" s="2" t="s">
        <v>199</v>
      </c>
      <c r="G243" s="2">
        <v>16708.225941</v>
      </c>
      <c r="H243" s="2" t="s">
        <v>27</v>
      </c>
    </row>
    <row r="244" ht="22.5" customHeight="1">
      <c r="A244" s="2" t="s">
        <v>19</v>
      </c>
      <c r="B244" s="2" t="s">
        <v>197</v>
      </c>
      <c r="C244" s="2" t="s">
        <v>68</v>
      </c>
      <c r="D244" s="2" t="s">
        <v>198</v>
      </c>
      <c r="F244" s="2" t="s">
        <v>199</v>
      </c>
      <c r="G244" s="2">
        <v>17027.062778</v>
      </c>
      <c r="H244" s="2" t="s">
        <v>25</v>
      </c>
    </row>
    <row r="245" ht="22.5" customHeight="1">
      <c r="A245" s="2" t="s">
        <v>19</v>
      </c>
      <c r="B245" s="2" t="s">
        <v>200</v>
      </c>
      <c r="C245" s="2" t="s">
        <v>32</v>
      </c>
      <c r="D245" s="2" t="s">
        <v>48</v>
      </c>
      <c r="F245" s="2" t="s">
        <v>201</v>
      </c>
      <c r="G245" s="2">
        <v>18855.736044</v>
      </c>
      <c r="H245" s="2" t="s">
        <v>27</v>
      </c>
    </row>
    <row r="246" ht="22.5" customHeight="1">
      <c r="A246" s="2" t="s">
        <v>19</v>
      </c>
      <c r="B246" s="2" t="s">
        <v>200</v>
      </c>
      <c r="C246" s="2" t="s">
        <v>32</v>
      </c>
      <c r="D246" s="2" t="s">
        <v>48</v>
      </c>
      <c r="F246" s="2" t="s">
        <v>201</v>
      </c>
      <c r="G246" s="2">
        <v>19215.363418</v>
      </c>
      <c r="H246" s="2" t="s">
        <v>25</v>
      </c>
    </row>
    <row r="247" ht="22.5" customHeight="1">
      <c r="A247" s="2" t="s">
        <v>19</v>
      </c>
      <c r="B247" s="2" t="s">
        <v>200</v>
      </c>
      <c r="C247" s="2" t="s">
        <v>32</v>
      </c>
      <c r="D247" s="2" t="s">
        <v>48</v>
      </c>
      <c r="F247" s="2" t="s">
        <v>201</v>
      </c>
      <c r="G247" s="2">
        <v>18459.056587</v>
      </c>
      <c r="H247" s="2" t="s">
        <v>26</v>
      </c>
    </row>
    <row r="248" ht="22.5" customHeight="1">
      <c r="A248" s="2" t="s">
        <v>19</v>
      </c>
      <c r="B248" s="2" t="s">
        <v>202</v>
      </c>
      <c r="C248" s="2" t="s">
        <v>21</v>
      </c>
      <c r="D248" s="2" t="s">
        <v>56</v>
      </c>
      <c r="F248" s="2" t="s">
        <v>203</v>
      </c>
      <c r="G248" s="2">
        <v>40917.85954</v>
      </c>
      <c r="H248" s="2" t="s">
        <v>27</v>
      </c>
    </row>
    <row r="249" ht="22.5" customHeight="1">
      <c r="A249" s="2" t="s">
        <v>19</v>
      </c>
      <c r="B249" s="2" t="s">
        <v>202</v>
      </c>
      <c r="C249" s="2" t="s">
        <v>21</v>
      </c>
      <c r="D249" s="2" t="s">
        <v>56</v>
      </c>
      <c r="F249" s="2" t="s">
        <v>203</v>
      </c>
      <c r="G249" s="2">
        <v>41647.00913</v>
      </c>
      <c r="H249" s="2" t="s">
        <v>25</v>
      </c>
    </row>
    <row r="250" ht="22.5" customHeight="1">
      <c r="A250" s="2" t="s">
        <v>19</v>
      </c>
      <c r="B250" s="2" t="s">
        <v>202</v>
      </c>
      <c r="C250" s="2" t="s">
        <v>21</v>
      </c>
      <c r="D250" s="2" t="s">
        <v>56</v>
      </c>
      <c r="F250" s="2" t="s">
        <v>203</v>
      </c>
      <c r="G250" s="2">
        <v>40675.54158999999</v>
      </c>
      <c r="H250" s="2" t="s">
        <v>26</v>
      </c>
    </row>
    <row r="251" ht="22.5" customHeight="1">
      <c r="A251" s="2" t="s">
        <v>19</v>
      </c>
      <c r="B251" s="2" t="s">
        <v>204</v>
      </c>
      <c r="C251" s="2" t="s">
        <v>32</v>
      </c>
      <c r="D251" s="2" t="s">
        <v>103</v>
      </c>
      <c r="F251" s="2" t="s">
        <v>205</v>
      </c>
      <c r="G251" s="2">
        <v>19340.144052</v>
      </c>
      <c r="H251" s="2" t="s">
        <v>25</v>
      </c>
    </row>
    <row r="252" ht="22.5" customHeight="1">
      <c r="A252" s="2" t="s">
        <v>19</v>
      </c>
      <c r="B252" s="2" t="s">
        <v>204</v>
      </c>
      <c r="C252" s="2" t="s">
        <v>32</v>
      </c>
      <c r="D252" s="2" t="s">
        <v>103</v>
      </c>
      <c r="F252" s="2" t="s">
        <v>205</v>
      </c>
      <c r="G252" s="2">
        <v>18982.853175</v>
      </c>
      <c r="H252" s="2" t="s">
        <v>27</v>
      </c>
    </row>
    <row r="253" ht="22.5" customHeight="1">
      <c r="A253" s="2" t="s">
        <v>19</v>
      </c>
      <c r="B253" s="2" t="s">
        <v>204</v>
      </c>
      <c r="C253" s="2" t="s">
        <v>32</v>
      </c>
      <c r="D253" s="2" t="s">
        <v>103</v>
      </c>
      <c r="F253" s="2" t="s">
        <v>205</v>
      </c>
      <c r="G253" s="2">
        <v>19146.252292</v>
      </c>
      <c r="H253" s="2" t="s">
        <v>26</v>
      </c>
    </row>
    <row r="254" ht="22.5" customHeight="1">
      <c r="A254" s="2" t="s">
        <v>19</v>
      </c>
      <c r="B254" s="2" t="s">
        <v>206</v>
      </c>
      <c r="C254" s="2" t="s">
        <v>21</v>
      </c>
      <c r="D254" s="2" t="s">
        <v>22</v>
      </c>
      <c r="E254" s="2" t="s">
        <v>23</v>
      </c>
      <c r="F254" s="2" t="s">
        <v>207</v>
      </c>
      <c r="G254" s="3">
        <v>12879.87</v>
      </c>
      <c r="H254" s="2" t="s">
        <v>26</v>
      </c>
    </row>
    <row r="255" ht="22.5" customHeight="1">
      <c r="A255" s="2" t="s">
        <v>19</v>
      </c>
      <c r="B255" s="2" t="s">
        <v>206</v>
      </c>
      <c r="C255" s="2" t="s">
        <v>21</v>
      </c>
      <c r="D255" s="2" t="s">
        <v>22</v>
      </c>
      <c r="E255" s="2" t="s">
        <v>23</v>
      </c>
      <c r="F255" s="2" t="s">
        <v>207</v>
      </c>
      <c r="G255" s="2">
        <v>17288.580152</v>
      </c>
      <c r="H255" s="2" t="s">
        <v>27</v>
      </c>
    </row>
    <row r="256" ht="22.5" customHeight="1">
      <c r="A256" s="2" t="s">
        <v>19</v>
      </c>
      <c r="B256" s="2" t="s">
        <v>206</v>
      </c>
      <c r="C256" s="2" t="s">
        <v>21</v>
      </c>
      <c r="D256" s="2" t="s">
        <v>22</v>
      </c>
      <c r="E256" s="2" t="s">
        <v>23</v>
      </c>
      <c r="F256" s="2" t="s">
        <v>207</v>
      </c>
      <c r="G256" s="2">
        <v>15604.598181</v>
      </c>
      <c r="H256" s="2" t="s">
        <v>25</v>
      </c>
    </row>
    <row r="257" ht="22.5" customHeight="1">
      <c r="A257" s="2" t="s">
        <v>19</v>
      </c>
      <c r="B257" s="2" t="s">
        <v>206</v>
      </c>
      <c r="C257" s="2" t="s">
        <v>21</v>
      </c>
      <c r="D257" s="2" t="s">
        <v>22</v>
      </c>
      <c r="E257" s="2" t="s">
        <v>23</v>
      </c>
      <c r="F257" s="2" t="s">
        <v>207</v>
      </c>
      <c r="G257" s="3">
        <v>11689.548</v>
      </c>
      <c r="H257" s="4" t="s">
        <v>28</v>
      </c>
    </row>
    <row r="258" ht="22.5" customHeight="1">
      <c r="A258" s="2" t="s">
        <v>19</v>
      </c>
      <c r="B258" s="2" t="s">
        <v>208</v>
      </c>
      <c r="C258" s="2" t="s">
        <v>32</v>
      </c>
      <c r="D258" s="2" t="s">
        <v>103</v>
      </c>
      <c r="F258" s="2" t="s">
        <v>209</v>
      </c>
      <c r="G258" s="2">
        <v>19337.174718</v>
      </c>
      <c r="H258" s="2" t="s">
        <v>25</v>
      </c>
    </row>
    <row r="259" ht="22.5" customHeight="1">
      <c r="A259" s="2" t="s">
        <v>19</v>
      </c>
      <c r="B259" s="2" t="s">
        <v>208</v>
      </c>
      <c r="C259" s="2" t="s">
        <v>32</v>
      </c>
      <c r="D259" s="2" t="s">
        <v>103</v>
      </c>
      <c r="F259" s="2" t="s">
        <v>209</v>
      </c>
      <c r="G259" s="2">
        <v>19143.282958</v>
      </c>
      <c r="H259" s="2" t="s">
        <v>26</v>
      </c>
    </row>
    <row r="260" ht="22.5" customHeight="1">
      <c r="A260" s="2" t="s">
        <v>19</v>
      </c>
      <c r="B260" s="2" t="s">
        <v>208</v>
      </c>
      <c r="C260" s="2" t="s">
        <v>32</v>
      </c>
      <c r="D260" s="2" t="s">
        <v>103</v>
      </c>
      <c r="F260" s="2" t="s">
        <v>209</v>
      </c>
      <c r="G260" s="2">
        <v>18980.15378</v>
      </c>
      <c r="H260" s="2" t="s">
        <v>27</v>
      </c>
    </row>
    <row r="261" ht="22.5" customHeight="1">
      <c r="A261" s="2" t="s">
        <v>19</v>
      </c>
      <c r="B261" s="2" t="s">
        <v>210</v>
      </c>
      <c r="C261" s="2" t="s">
        <v>21</v>
      </c>
      <c r="D261" s="2" t="s">
        <v>22</v>
      </c>
      <c r="E261" s="2" t="s">
        <v>23</v>
      </c>
      <c r="F261" s="2" t="s">
        <v>211</v>
      </c>
      <c r="G261" s="2">
        <v>18141.678181</v>
      </c>
      <c r="H261" s="2" t="s">
        <v>25</v>
      </c>
    </row>
    <row r="262" ht="22.5" customHeight="1">
      <c r="A262" s="2" t="s">
        <v>19</v>
      </c>
      <c r="B262" s="2" t="s">
        <v>210</v>
      </c>
      <c r="C262" s="2" t="s">
        <v>21</v>
      </c>
      <c r="D262" s="2" t="s">
        <v>22</v>
      </c>
      <c r="E262" s="2" t="s">
        <v>23</v>
      </c>
      <c r="F262" s="2" t="s">
        <v>211</v>
      </c>
      <c r="G262" s="2">
        <v>17823.581037</v>
      </c>
      <c r="H262" s="2" t="s">
        <v>27</v>
      </c>
    </row>
    <row r="263" ht="22.5" customHeight="1">
      <c r="A263" s="2" t="s">
        <v>19</v>
      </c>
      <c r="B263" s="2" t="s">
        <v>210</v>
      </c>
      <c r="C263" s="2" t="s">
        <v>21</v>
      </c>
      <c r="D263" s="2" t="s">
        <v>22</v>
      </c>
      <c r="E263" s="2" t="s">
        <v>23</v>
      </c>
      <c r="F263" s="2" t="s">
        <v>211</v>
      </c>
      <c r="G263" s="3">
        <v>15509.760583000001</v>
      </c>
      <c r="H263" s="2" t="s">
        <v>26</v>
      </c>
    </row>
    <row r="264" ht="22.5" customHeight="1">
      <c r="A264" s="2" t="s">
        <v>19</v>
      </c>
      <c r="B264" s="2" t="s">
        <v>210</v>
      </c>
      <c r="C264" s="2" t="s">
        <v>21</v>
      </c>
      <c r="D264" s="2" t="s">
        <v>22</v>
      </c>
      <c r="E264" s="2" t="s">
        <v>23</v>
      </c>
      <c r="F264" s="2" t="s">
        <v>211</v>
      </c>
      <c r="G264" s="3">
        <v>13715.04</v>
      </c>
      <c r="H264" s="4" t="s">
        <v>28</v>
      </c>
    </row>
    <row r="265" ht="22.5" customHeight="1">
      <c r="A265" s="2" t="s">
        <v>19</v>
      </c>
      <c r="B265" s="2" t="s">
        <v>212</v>
      </c>
      <c r="C265" s="2" t="s">
        <v>32</v>
      </c>
      <c r="D265" s="2" t="s">
        <v>39</v>
      </c>
      <c r="F265" s="2" t="s">
        <v>213</v>
      </c>
      <c r="G265" s="2">
        <v>7350.0</v>
      </c>
      <c r="H265" s="2" t="s">
        <v>27</v>
      </c>
    </row>
    <row r="266" ht="22.5" customHeight="1">
      <c r="A266" s="2" t="s">
        <v>19</v>
      </c>
      <c r="B266" s="2" t="s">
        <v>212</v>
      </c>
      <c r="C266" s="2" t="s">
        <v>32</v>
      </c>
      <c r="D266" s="2" t="s">
        <v>39</v>
      </c>
      <c r="F266" s="2" t="s">
        <v>213</v>
      </c>
      <c r="G266" s="2">
        <v>7350.0</v>
      </c>
      <c r="H266" s="2" t="s">
        <v>26</v>
      </c>
    </row>
    <row r="267" ht="22.5" customHeight="1">
      <c r="A267" s="2" t="s">
        <v>19</v>
      </c>
      <c r="B267" s="2" t="s">
        <v>212</v>
      </c>
      <c r="C267" s="2" t="s">
        <v>32</v>
      </c>
      <c r="D267" s="2" t="s">
        <v>39</v>
      </c>
      <c r="F267" s="2" t="s">
        <v>213</v>
      </c>
      <c r="G267" s="2">
        <v>7350.0</v>
      </c>
      <c r="H267" s="2" t="s">
        <v>25</v>
      </c>
    </row>
    <row r="268" ht="22.5" customHeight="1">
      <c r="A268" s="2" t="s">
        <v>19</v>
      </c>
      <c r="B268" s="2" t="s">
        <v>214</v>
      </c>
      <c r="C268" s="2" t="s">
        <v>21</v>
      </c>
      <c r="D268" s="2" t="s">
        <v>56</v>
      </c>
      <c r="F268" s="2" t="s">
        <v>215</v>
      </c>
      <c r="G268" s="2">
        <v>13202.829051</v>
      </c>
      <c r="H268" s="2" t="s">
        <v>26</v>
      </c>
    </row>
    <row r="269" ht="22.5" customHeight="1">
      <c r="A269" s="2" t="s">
        <v>19</v>
      </c>
      <c r="B269" s="2" t="s">
        <v>214</v>
      </c>
      <c r="C269" s="2" t="s">
        <v>21</v>
      </c>
      <c r="D269" s="2" t="s">
        <v>56</v>
      </c>
      <c r="F269" s="2" t="s">
        <v>215</v>
      </c>
      <c r="G269" s="2">
        <v>10059.743257</v>
      </c>
      <c r="H269" s="2" t="s">
        <v>27</v>
      </c>
    </row>
    <row r="270" ht="22.5" customHeight="1">
      <c r="A270" s="2" t="s">
        <v>19</v>
      </c>
      <c r="B270" s="2" t="s">
        <v>214</v>
      </c>
      <c r="C270" s="2" t="s">
        <v>21</v>
      </c>
      <c r="D270" s="2" t="s">
        <v>56</v>
      </c>
      <c r="F270" s="2" t="s">
        <v>215</v>
      </c>
      <c r="G270" s="2">
        <v>7350.0</v>
      </c>
      <c r="H270" s="2" t="s">
        <v>25</v>
      </c>
    </row>
    <row r="271" ht="22.5" customHeight="1">
      <c r="A271" s="2" t="s">
        <v>19</v>
      </c>
      <c r="B271" s="2" t="s">
        <v>216</v>
      </c>
      <c r="C271" s="2" t="s">
        <v>21</v>
      </c>
      <c r="D271" s="2" t="s">
        <v>22</v>
      </c>
      <c r="F271" s="2" t="s">
        <v>217</v>
      </c>
      <c r="G271" s="2">
        <v>18087.178181</v>
      </c>
      <c r="H271" s="2" t="s">
        <v>25</v>
      </c>
    </row>
    <row r="272" ht="22.5" customHeight="1">
      <c r="A272" s="2" t="s">
        <v>19</v>
      </c>
      <c r="B272" s="2" t="s">
        <v>216</v>
      </c>
      <c r="C272" s="2" t="s">
        <v>21</v>
      </c>
      <c r="D272" s="2" t="s">
        <v>22</v>
      </c>
      <c r="F272" s="2" t="s">
        <v>217</v>
      </c>
      <c r="G272" s="2">
        <v>7290.245537</v>
      </c>
      <c r="H272" s="2" t="s">
        <v>27</v>
      </c>
    </row>
    <row r="273" ht="22.5" customHeight="1">
      <c r="A273" s="2" t="s">
        <v>19</v>
      </c>
      <c r="B273" s="2" t="s">
        <v>218</v>
      </c>
      <c r="C273" s="2" t="s">
        <v>21</v>
      </c>
      <c r="D273" s="2" t="s">
        <v>22</v>
      </c>
      <c r="E273" s="2" t="s">
        <v>63</v>
      </c>
      <c r="F273" s="2" t="s">
        <v>219</v>
      </c>
      <c r="G273" s="2">
        <v>15934.228414</v>
      </c>
      <c r="H273" s="2" t="s">
        <v>25</v>
      </c>
    </row>
    <row r="274" ht="22.5" customHeight="1">
      <c r="A274" s="2" t="s">
        <v>19</v>
      </c>
      <c r="B274" s="2" t="s">
        <v>218</v>
      </c>
      <c r="C274" s="2" t="s">
        <v>21</v>
      </c>
      <c r="D274" s="2" t="s">
        <v>22</v>
      </c>
      <c r="E274" s="2" t="s">
        <v>63</v>
      </c>
      <c r="F274" s="2" t="s">
        <v>219</v>
      </c>
      <c r="G274" s="2">
        <v>15881.92591</v>
      </c>
      <c r="H274" s="2" t="s">
        <v>26</v>
      </c>
    </row>
    <row r="275" ht="22.5" customHeight="1">
      <c r="A275" s="2" t="s">
        <v>19</v>
      </c>
      <c r="B275" s="2" t="s">
        <v>218</v>
      </c>
      <c r="C275" s="2" t="s">
        <v>21</v>
      </c>
      <c r="D275" s="2" t="s">
        <v>22</v>
      </c>
      <c r="E275" s="2" t="s">
        <v>63</v>
      </c>
      <c r="F275" s="2" t="s">
        <v>219</v>
      </c>
      <c r="G275" s="2">
        <v>15635.661516</v>
      </c>
      <c r="H275" s="2" t="s">
        <v>27</v>
      </c>
    </row>
    <row r="276" ht="22.5" customHeight="1">
      <c r="A276" s="2" t="s">
        <v>19</v>
      </c>
      <c r="B276" s="2" t="s">
        <v>220</v>
      </c>
      <c r="C276" s="4" t="s">
        <v>32</v>
      </c>
      <c r="D276" s="2" t="s">
        <v>56</v>
      </c>
      <c r="F276" s="2" t="s">
        <v>221</v>
      </c>
      <c r="G276" s="3">
        <v>35960.1</v>
      </c>
      <c r="H276" s="2" t="s">
        <v>26</v>
      </c>
    </row>
    <row r="277" ht="22.5" customHeight="1">
      <c r="A277" s="2" t="s">
        <v>19</v>
      </c>
      <c r="B277" s="2" t="s">
        <v>220</v>
      </c>
      <c r="C277" s="4" t="s">
        <v>32</v>
      </c>
      <c r="D277" s="2" t="s">
        <v>56</v>
      </c>
      <c r="F277" s="2" t="s">
        <v>221</v>
      </c>
      <c r="G277" s="3">
        <v>32546.1</v>
      </c>
      <c r="H277" s="2" t="s">
        <v>25</v>
      </c>
    </row>
    <row r="278" ht="22.5" customHeight="1">
      <c r="A278" s="2" t="s">
        <v>19</v>
      </c>
      <c r="B278" s="2" t="s">
        <v>220</v>
      </c>
      <c r="C278" s="4" t="s">
        <v>32</v>
      </c>
      <c r="D278" s="2" t="s">
        <v>56</v>
      </c>
      <c r="F278" s="2" t="s">
        <v>221</v>
      </c>
      <c r="G278" s="3">
        <v>32547.6</v>
      </c>
      <c r="H278" s="2" t="s">
        <v>27</v>
      </c>
    </row>
    <row r="279" ht="22.5" customHeight="1">
      <c r="A279" s="2" t="s">
        <v>19</v>
      </c>
      <c r="B279" s="2" t="s">
        <v>220</v>
      </c>
      <c r="C279" s="4" t="s">
        <v>32</v>
      </c>
      <c r="D279" s="2" t="s">
        <v>56</v>
      </c>
      <c r="F279" s="2" t="s">
        <v>221</v>
      </c>
      <c r="G279" s="3">
        <v>58917.79564</v>
      </c>
      <c r="H279" s="4" t="s">
        <v>28</v>
      </c>
    </row>
    <row r="280" ht="22.5" customHeight="1">
      <c r="A280" s="2" t="s">
        <v>19</v>
      </c>
      <c r="B280" s="2" t="s">
        <v>222</v>
      </c>
      <c r="C280" s="2" t="s">
        <v>32</v>
      </c>
      <c r="D280" s="2" t="s">
        <v>39</v>
      </c>
      <c r="F280" s="2" t="s">
        <v>223</v>
      </c>
      <c r="G280" s="2">
        <v>21447.91512</v>
      </c>
      <c r="H280" s="2" t="s">
        <v>25</v>
      </c>
    </row>
    <row r="281" ht="22.5" customHeight="1">
      <c r="A281" s="2" t="s">
        <v>19</v>
      </c>
      <c r="B281" s="2" t="s">
        <v>222</v>
      </c>
      <c r="C281" s="2" t="s">
        <v>32</v>
      </c>
      <c r="D281" s="2" t="s">
        <v>39</v>
      </c>
      <c r="F281" s="2" t="s">
        <v>223</v>
      </c>
      <c r="G281" s="2">
        <v>21043.28283</v>
      </c>
      <c r="H281" s="2" t="s">
        <v>27</v>
      </c>
    </row>
    <row r="282" ht="22.5" customHeight="1">
      <c r="A282" s="2" t="s">
        <v>19</v>
      </c>
      <c r="B282" s="2" t="s">
        <v>224</v>
      </c>
      <c r="C282" s="2" t="s">
        <v>21</v>
      </c>
      <c r="D282" s="2" t="s">
        <v>22</v>
      </c>
      <c r="F282" s="2" t="s">
        <v>225</v>
      </c>
      <c r="G282" s="2">
        <v>12664.666657</v>
      </c>
      <c r="H282" s="2" t="s">
        <v>26</v>
      </c>
    </row>
    <row r="283" ht="22.5" customHeight="1">
      <c r="A283" s="2" t="s">
        <v>19</v>
      </c>
      <c r="B283" s="2" t="s">
        <v>224</v>
      </c>
      <c r="C283" s="2" t="s">
        <v>21</v>
      </c>
      <c r="D283" s="2" t="s">
        <v>22</v>
      </c>
      <c r="F283" s="2" t="s">
        <v>225</v>
      </c>
      <c r="G283" s="2">
        <v>8107.360929</v>
      </c>
      <c r="H283" s="2" t="s">
        <v>27</v>
      </c>
    </row>
    <row r="284" ht="22.5" customHeight="1">
      <c r="A284" s="2" t="s">
        <v>19</v>
      </c>
      <c r="B284" s="2" t="s">
        <v>226</v>
      </c>
      <c r="C284" s="4" t="s">
        <v>21</v>
      </c>
      <c r="D284" s="2" t="s">
        <v>22</v>
      </c>
      <c r="E284" s="2" t="s">
        <v>42</v>
      </c>
      <c r="F284" s="2" t="s">
        <v>227</v>
      </c>
      <c r="G284" s="2">
        <v>24662.52906</v>
      </c>
      <c r="H284" s="2" t="s">
        <v>25</v>
      </c>
    </row>
    <row r="285" ht="22.5" customHeight="1">
      <c r="A285" s="2" t="s">
        <v>19</v>
      </c>
      <c r="B285" s="2" t="s">
        <v>226</v>
      </c>
      <c r="C285" s="4" t="s">
        <v>21</v>
      </c>
      <c r="D285" s="2" t="s">
        <v>22</v>
      </c>
      <c r="E285" s="2" t="s">
        <v>42</v>
      </c>
      <c r="F285" s="2" t="s">
        <v>227</v>
      </c>
      <c r="G285" s="2">
        <v>24290.29243</v>
      </c>
      <c r="H285" s="2" t="s">
        <v>26</v>
      </c>
    </row>
    <row r="286" ht="22.5" customHeight="1">
      <c r="A286" s="2" t="s">
        <v>19</v>
      </c>
      <c r="B286" s="2" t="s">
        <v>226</v>
      </c>
      <c r="C286" s="4" t="s">
        <v>21</v>
      </c>
      <c r="D286" s="2" t="s">
        <v>22</v>
      </c>
      <c r="E286" s="2" t="s">
        <v>42</v>
      </c>
      <c r="F286" s="2" t="s">
        <v>227</v>
      </c>
      <c r="G286" s="2">
        <v>24203.17162</v>
      </c>
      <c r="H286" s="2" t="s">
        <v>27</v>
      </c>
    </row>
    <row r="287" ht="22.5" customHeight="1">
      <c r="A287" s="2" t="s">
        <v>19</v>
      </c>
      <c r="B287" s="2" t="s">
        <v>228</v>
      </c>
      <c r="C287" s="2" t="s">
        <v>32</v>
      </c>
      <c r="D287" s="2" t="s">
        <v>118</v>
      </c>
      <c r="F287" s="2" t="s">
        <v>229</v>
      </c>
      <c r="G287" s="2">
        <v>68390.14405</v>
      </c>
      <c r="H287" s="2" t="s">
        <v>25</v>
      </c>
    </row>
    <row r="288" ht="22.5" customHeight="1">
      <c r="A288" s="2" t="s">
        <v>19</v>
      </c>
      <c r="B288" s="2" t="s">
        <v>228</v>
      </c>
      <c r="C288" s="2" t="s">
        <v>32</v>
      </c>
      <c r="D288" s="2" t="s">
        <v>118</v>
      </c>
      <c r="F288" s="2" t="s">
        <v>229</v>
      </c>
      <c r="G288" s="2">
        <v>76896.25229</v>
      </c>
      <c r="H288" s="2" t="s">
        <v>26</v>
      </c>
    </row>
    <row r="289" ht="22.5" customHeight="1">
      <c r="A289" s="2" t="s">
        <v>19</v>
      </c>
      <c r="B289" s="2" t="s">
        <v>228</v>
      </c>
      <c r="C289" s="2" t="s">
        <v>32</v>
      </c>
      <c r="D289" s="2" t="s">
        <v>118</v>
      </c>
      <c r="F289" s="2" t="s">
        <v>229</v>
      </c>
      <c r="G289" s="2">
        <v>77832.85317</v>
      </c>
      <c r="H289" s="2" t="s">
        <v>27</v>
      </c>
    </row>
    <row r="290" ht="22.5" customHeight="1">
      <c r="A290" s="2" t="s">
        <v>19</v>
      </c>
      <c r="B290" s="2" t="s">
        <v>230</v>
      </c>
      <c r="C290" s="2" t="s">
        <v>32</v>
      </c>
      <c r="D290" s="2" t="s">
        <v>48</v>
      </c>
      <c r="F290" s="2" t="s">
        <v>231</v>
      </c>
      <c r="G290" s="2">
        <v>19207.062778</v>
      </c>
      <c r="H290" s="2" t="s">
        <v>25</v>
      </c>
    </row>
    <row r="291" ht="22.5" customHeight="1">
      <c r="A291" s="2" t="s">
        <v>19</v>
      </c>
      <c r="B291" s="2" t="s">
        <v>230</v>
      </c>
      <c r="C291" s="2" t="s">
        <v>32</v>
      </c>
      <c r="D291" s="2" t="s">
        <v>48</v>
      </c>
      <c r="F291" s="2" t="s">
        <v>231</v>
      </c>
      <c r="G291" s="3">
        <v>8031.52</v>
      </c>
      <c r="H291" s="2" t="s">
        <v>26</v>
      </c>
    </row>
    <row r="292" ht="22.5" customHeight="1">
      <c r="A292" s="2" t="s">
        <v>19</v>
      </c>
      <c r="B292" s="2" t="s">
        <v>230</v>
      </c>
      <c r="C292" s="2" t="s">
        <v>32</v>
      </c>
      <c r="D292" s="2" t="s">
        <v>48</v>
      </c>
      <c r="F292" s="2" t="s">
        <v>231</v>
      </c>
      <c r="G292" s="2">
        <v>18848.225941</v>
      </c>
      <c r="H292" s="2" t="s">
        <v>27</v>
      </c>
    </row>
    <row r="293" ht="22.5" customHeight="1">
      <c r="A293" s="2" t="s">
        <v>19</v>
      </c>
      <c r="B293" s="2" t="s">
        <v>230</v>
      </c>
      <c r="C293" s="2" t="s">
        <v>32</v>
      </c>
      <c r="D293" s="2" t="s">
        <v>48</v>
      </c>
      <c r="F293" s="2" t="s">
        <v>231</v>
      </c>
      <c r="G293" s="3">
        <v>15277.44</v>
      </c>
      <c r="H293" s="4" t="s">
        <v>28</v>
      </c>
    </row>
    <row r="294" ht="22.5" customHeight="1">
      <c r="A294" s="2" t="s">
        <v>19</v>
      </c>
      <c r="B294" s="2" t="s">
        <v>232</v>
      </c>
      <c r="C294" s="2" t="s">
        <v>68</v>
      </c>
      <c r="D294" s="2" t="s">
        <v>198</v>
      </c>
      <c r="F294" s="2" t="s">
        <v>233</v>
      </c>
      <c r="G294" s="2">
        <v>20203.68456</v>
      </c>
      <c r="H294" s="2" t="s">
        <v>26</v>
      </c>
    </row>
    <row r="295" ht="22.5" customHeight="1">
      <c r="A295" s="2" t="s">
        <v>19</v>
      </c>
      <c r="B295" s="2" t="s">
        <v>232</v>
      </c>
      <c r="C295" s="2" t="s">
        <v>68</v>
      </c>
      <c r="D295" s="2" t="s">
        <v>198</v>
      </c>
      <c r="F295" s="2" t="s">
        <v>233</v>
      </c>
      <c r="G295" s="2">
        <v>19963.580155</v>
      </c>
      <c r="H295" s="2" t="s">
        <v>27</v>
      </c>
    </row>
    <row r="296" ht="22.5" customHeight="1">
      <c r="A296" s="2" t="s">
        <v>19</v>
      </c>
      <c r="B296" s="2" t="s">
        <v>232</v>
      </c>
      <c r="C296" s="2" t="s">
        <v>68</v>
      </c>
      <c r="D296" s="2" t="s">
        <v>198</v>
      </c>
      <c r="F296" s="2" t="s">
        <v>233</v>
      </c>
      <c r="G296" s="2">
        <v>20321.67818</v>
      </c>
      <c r="H296" s="2" t="s">
        <v>25</v>
      </c>
    </row>
    <row r="297" ht="22.5" customHeight="1">
      <c r="A297" s="2" t="s">
        <v>19</v>
      </c>
      <c r="B297" s="2" t="s">
        <v>234</v>
      </c>
      <c r="C297" s="2" t="s">
        <v>21</v>
      </c>
      <c r="D297" s="2" t="s">
        <v>22</v>
      </c>
      <c r="F297" s="2" t="s">
        <v>235</v>
      </c>
      <c r="G297" s="2">
        <v>18141.678181</v>
      </c>
      <c r="H297" s="2" t="s">
        <v>25</v>
      </c>
    </row>
    <row r="298" ht="22.5" customHeight="1">
      <c r="A298" s="2" t="s">
        <v>19</v>
      </c>
      <c r="B298" s="5" t="s">
        <v>236</v>
      </c>
      <c r="C298" s="4" t="s">
        <v>21</v>
      </c>
      <c r="D298" s="2" t="s">
        <v>22</v>
      </c>
      <c r="E298" s="4" t="s">
        <v>53</v>
      </c>
      <c r="F298" s="5" t="s">
        <v>236</v>
      </c>
      <c r="G298" s="3">
        <v>630.08</v>
      </c>
      <c r="H298" s="4" t="s">
        <v>26</v>
      </c>
    </row>
    <row r="299" ht="22.5" customHeight="1">
      <c r="A299" s="2" t="s">
        <v>19</v>
      </c>
      <c r="B299" s="5" t="s">
        <v>236</v>
      </c>
      <c r="C299" s="4" t="s">
        <v>21</v>
      </c>
      <c r="D299" s="2" t="s">
        <v>22</v>
      </c>
      <c r="E299" s="4" t="s">
        <v>53</v>
      </c>
      <c r="F299" s="5" t="s">
        <v>236</v>
      </c>
      <c r="G299" s="3">
        <v>19025.856</v>
      </c>
      <c r="H299" s="4" t="s">
        <v>28</v>
      </c>
    </row>
    <row r="300" ht="22.5" customHeight="1">
      <c r="A300" s="2" t="s">
        <v>19</v>
      </c>
      <c r="B300" s="2" t="s">
        <v>237</v>
      </c>
      <c r="C300" s="2" t="s">
        <v>21</v>
      </c>
      <c r="D300" s="2" t="s">
        <v>22</v>
      </c>
      <c r="E300" s="2" t="s">
        <v>42</v>
      </c>
      <c r="F300" s="2" t="s">
        <v>238</v>
      </c>
      <c r="G300" s="2">
        <v>12552.513977</v>
      </c>
      <c r="H300" s="2" t="s">
        <v>26</v>
      </c>
    </row>
    <row r="301" ht="22.5" customHeight="1">
      <c r="A301" s="2" t="s">
        <v>19</v>
      </c>
      <c r="B301" s="5" t="s">
        <v>239</v>
      </c>
      <c r="C301" s="4" t="s">
        <v>21</v>
      </c>
      <c r="D301" s="4" t="s">
        <v>22</v>
      </c>
      <c r="E301" s="4" t="s">
        <v>42</v>
      </c>
      <c r="F301" s="5" t="s">
        <v>239</v>
      </c>
      <c r="G301" s="3">
        <v>15356.2</v>
      </c>
      <c r="H301" s="4" t="s">
        <v>28</v>
      </c>
    </row>
    <row r="302" ht="22.5" customHeight="1">
      <c r="A302" s="2" t="s">
        <v>19</v>
      </c>
      <c r="B302" s="5" t="s">
        <v>240</v>
      </c>
      <c r="C302" s="4" t="s">
        <v>21</v>
      </c>
      <c r="D302" s="4" t="s">
        <v>22</v>
      </c>
      <c r="E302" s="4" t="s">
        <v>23</v>
      </c>
      <c r="F302" s="5" t="s">
        <v>240</v>
      </c>
      <c r="G302" s="3">
        <v>6588.72</v>
      </c>
      <c r="H302" s="4" t="s">
        <v>28</v>
      </c>
    </row>
    <row r="303" ht="22.5" customHeight="1">
      <c r="A303" s="2" t="s">
        <v>19</v>
      </c>
      <c r="B303" s="5" t="s">
        <v>241</v>
      </c>
      <c r="C303" s="4" t="s">
        <v>21</v>
      </c>
      <c r="D303" s="4" t="s">
        <v>22</v>
      </c>
      <c r="E303" s="4" t="s">
        <v>53</v>
      </c>
      <c r="F303" s="5" t="s">
        <v>241</v>
      </c>
      <c r="G303" s="3">
        <v>8163.72</v>
      </c>
      <c r="H303" s="4" t="s">
        <v>28</v>
      </c>
    </row>
    <row r="304" ht="22.5" customHeight="1">
      <c r="A304" s="2" t="s">
        <v>19</v>
      </c>
      <c r="B304" s="5" t="s">
        <v>242</v>
      </c>
      <c r="C304" s="4" t="s">
        <v>21</v>
      </c>
      <c r="D304" s="4" t="s">
        <v>22</v>
      </c>
      <c r="E304" s="4" t="s">
        <v>45</v>
      </c>
      <c r="F304" s="5" t="s">
        <v>242</v>
      </c>
      <c r="G304" s="3">
        <v>1756.9885000000002</v>
      </c>
      <c r="H304" s="4" t="s">
        <v>28</v>
      </c>
    </row>
    <row r="305" ht="22.5" customHeight="1">
      <c r="A305" s="2" t="s">
        <v>19</v>
      </c>
      <c r="B305" s="2" t="s">
        <v>237</v>
      </c>
      <c r="C305" s="2" t="s">
        <v>21</v>
      </c>
      <c r="D305" s="2" t="s">
        <v>22</v>
      </c>
      <c r="E305" s="2" t="s">
        <v>42</v>
      </c>
      <c r="F305" s="2" t="s">
        <v>238</v>
      </c>
      <c r="G305" s="2">
        <v>18893.580152</v>
      </c>
      <c r="H305" s="2" t="s">
        <v>27</v>
      </c>
    </row>
    <row r="306" ht="22.5" customHeight="1">
      <c r="A306" s="2" t="s">
        <v>19</v>
      </c>
      <c r="B306" s="2" t="s">
        <v>237</v>
      </c>
      <c r="C306" s="2" t="s">
        <v>21</v>
      </c>
      <c r="D306" s="2" t="s">
        <v>22</v>
      </c>
      <c r="E306" s="2" t="s">
        <v>42</v>
      </c>
      <c r="F306" s="2" t="s">
        <v>238</v>
      </c>
      <c r="G306" s="2">
        <v>19231.678181</v>
      </c>
      <c r="H306" s="2" t="s">
        <v>25</v>
      </c>
    </row>
    <row r="307" ht="22.5" customHeight="1">
      <c r="A307" s="2" t="s">
        <v>19</v>
      </c>
      <c r="B307" s="2" t="s">
        <v>243</v>
      </c>
      <c r="C307" s="2" t="s">
        <v>21</v>
      </c>
      <c r="D307" s="2" t="s">
        <v>56</v>
      </c>
      <c r="F307" s="2" t="s">
        <v>244</v>
      </c>
      <c r="G307" s="2">
        <v>28074.40406</v>
      </c>
      <c r="H307" s="2" t="s">
        <v>27</v>
      </c>
    </row>
    <row r="308" ht="22.5" customHeight="1">
      <c r="A308" s="2" t="s">
        <v>19</v>
      </c>
      <c r="B308" s="2" t="s">
        <v>243</v>
      </c>
      <c r="C308" s="2" t="s">
        <v>21</v>
      </c>
      <c r="D308" s="2" t="s">
        <v>56</v>
      </c>
      <c r="F308" s="2" t="s">
        <v>244</v>
      </c>
      <c r="G308" s="2">
        <v>28361.56091</v>
      </c>
      <c r="H308" s="2" t="s">
        <v>25</v>
      </c>
    </row>
    <row r="309" ht="22.5" customHeight="1">
      <c r="A309" s="2" t="s">
        <v>19</v>
      </c>
      <c r="B309" s="2" t="s">
        <v>243</v>
      </c>
      <c r="C309" s="2" t="s">
        <v>21</v>
      </c>
      <c r="D309" s="2" t="s">
        <v>56</v>
      </c>
      <c r="F309" s="2" t="s">
        <v>244</v>
      </c>
      <c r="G309" s="2">
        <v>27403.82208</v>
      </c>
      <c r="H309" s="2" t="s">
        <v>26</v>
      </c>
    </row>
    <row r="310" ht="22.5" customHeight="1">
      <c r="A310" s="2" t="s">
        <v>19</v>
      </c>
      <c r="B310" s="2" t="s">
        <v>245</v>
      </c>
      <c r="C310" s="2" t="s">
        <v>21</v>
      </c>
      <c r="D310" s="2" t="s">
        <v>22</v>
      </c>
      <c r="E310" s="2" t="s">
        <v>63</v>
      </c>
      <c r="F310" s="2" t="s">
        <v>246</v>
      </c>
      <c r="G310" s="3">
        <v>9501.84</v>
      </c>
      <c r="H310" s="2" t="s">
        <v>26</v>
      </c>
    </row>
    <row r="311" ht="22.5" customHeight="1">
      <c r="A311" s="2" t="s">
        <v>19</v>
      </c>
      <c r="B311" s="2" t="s">
        <v>245</v>
      </c>
      <c r="C311" s="2" t="s">
        <v>21</v>
      </c>
      <c r="D311" s="2" t="s">
        <v>22</v>
      </c>
      <c r="E311" s="2" t="s">
        <v>63</v>
      </c>
      <c r="F311" s="2" t="s">
        <v>246</v>
      </c>
      <c r="G311" s="2">
        <v>18141.678181</v>
      </c>
      <c r="H311" s="2" t="s">
        <v>25</v>
      </c>
    </row>
    <row r="312" ht="22.5" customHeight="1">
      <c r="A312" s="2" t="s">
        <v>19</v>
      </c>
      <c r="B312" s="2" t="s">
        <v>245</v>
      </c>
      <c r="C312" s="2" t="s">
        <v>21</v>
      </c>
      <c r="D312" s="2" t="s">
        <v>22</v>
      </c>
      <c r="E312" s="2" t="s">
        <v>63</v>
      </c>
      <c r="F312" s="2" t="s">
        <v>246</v>
      </c>
      <c r="G312" s="2">
        <v>17823.580152</v>
      </c>
      <c r="H312" s="2" t="s">
        <v>27</v>
      </c>
    </row>
    <row r="313" ht="22.5" customHeight="1">
      <c r="A313" s="2" t="s">
        <v>19</v>
      </c>
      <c r="B313" s="2" t="s">
        <v>245</v>
      </c>
      <c r="C313" s="2" t="s">
        <v>21</v>
      </c>
      <c r="D313" s="2" t="s">
        <v>22</v>
      </c>
      <c r="E313" s="2" t="s">
        <v>63</v>
      </c>
      <c r="F313" s="2" t="s">
        <v>246</v>
      </c>
      <c r="G313" s="3">
        <v>14227.44</v>
      </c>
      <c r="H313" s="4" t="s">
        <v>28</v>
      </c>
    </row>
    <row r="314" ht="22.5" customHeight="1">
      <c r="A314" s="2" t="s">
        <v>19</v>
      </c>
      <c r="B314" s="2" t="s">
        <v>247</v>
      </c>
      <c r="C314" s="2" t="s">
        <v>21</v>
      </c>
      <c r="D314" s="2" t="s">
        <v>22</v>
      </c>
      <c r="E314" s="2" t="s">
        <v>23</v>
      </c>
      <c r="F314" s="2" t="s">
        <v>248</v>
      </c>
      <c r="G314" s="2">
        <v>7350.0</v>
      </c>
      <c r="H314" s="2" t="s">
        <v>26</v>
      </c>
    </row>
    <row r="315" ht="22.5" customHeight="1">
      <c r="A315" s="2" t="s">
        <v>19</v>
      </c>
      <c r="B315" s="2" t="s">
        <v>247</v>
      </c>
      <c r="C315" s="2" t="s">
        <v>21</v>
      </c>
      <c r="D315" s="2" t="s">
        <v>22</v>
      </c>
      <c r="E315" s="2" t="s">
        <v>23</v>
      </c>
      <c r="F315" s="2" t="s">
        <v>248</v>
      </c>
      <c r="G315" s="2">
        <v>7350.0</v>
      </c>
      <c r="H315" s="2" t="s">
        <v>25</v>
      </c>
    </row>
    <row r="316" ht="22.5" customHeight="1">
      <c r="A316" s="2" t="s">
        <v>19</v>
      </c>
      <c r="B316" s="2" t="s">
        <v>247</v>
      </c>
      <c r="C316" s="2" t="s">
        <v>21</v>
      </c>
      <c r="D316" s="2" t="s">
        <v>22</v>
      </c>
      <c r="E316" s="2" t="s">
        <v>23</v>
      </c>
      <c r="F316" s="2" t="s">
        <v>248</v>
      </c>
      <c r="G316" s="2">
        <v>7350.0</v>
      </c>
      <c r="H316" s="2" t="s">
        <v>27</v>
      </c>
    </row>
    <row r="317" ht="22.5" customHeight="1">
      <c r="A317" s="2" t="s">
        <v>19</v>
      </c>
      <c r="B317" s="2" t="s">
        <v>249</v>
      </c>
      <c r="C317" s="2" t="s">
        <v>21</v>
      </c>
      <c r="D317" s="2" t="s">
        <v>56</v>
      </c>
      <c r="F317" s="2" t="s">
        <v>250</v>
      </c>
      <c r="G317" s="2">
        <v>13202.829051</v>
      </c>
      <c r="H317" s="2" t="s">
        <v>26</v>
      </c>
    </row>
    <row r="318" ht="22.5" customHeight="1">
      <c r="A318" s="2" t="s">
        <v>19</v>
      </c>
      <c r="B318" s="2" t="s">
        <v>249</v>
      </c>
      <c r="C318" s="2" t="s">
        <v>21</v>
      </c>
      <c r="D318" s="2" t="s">
        <v>56</v>
      </c>
      <c r="F318" s="2" t="s">
        <v>250</v>
      </c>
      <c r="G318" s="2">
        <v>12905.877092</v>
      </c>
      <c r="H318" s="2" t="s">
        <v>27</v>
      </c>
    </row>
    <row r="319" ht="22.5" customHeight="1">
      <c r="A319" s="2" t="s">
        <v>19</v>
      </c>
      <c r="B319" s="2" t="s">
        <v>249</v>
      </c>
      <c r="C319" s="2" t="s">
        <v>21</v>
      </c>
      <c r="D319" s="2" t="s">
        <v>56</v>
      </c>
      <c r="F319" s="2" t="s">
        <v>250</v>
      </c>
      <c r="G319" s="2">
        <v>13153.19405</v>
      </c>
      <c r="H319" s="2" t="s">
        <v>25</v>
      </c>
    </row>
    <row r="320" ht="22.5" customHeight="1">
      <c r="A320" s="2" t="s">
        <v>19</v>
      </c>
      <c r="B320" s="2" t="s">
        <v>251</v>
      </c>
      <c r="C320" s="2" t="s">
        <v>21</v>
      </c>
      <c r="D320" s="2" t="s">
        <v>56</v>
      </c>
      <c r="F320" s="2" t="s">
        <v>252</v>
      </c>
      <c r="G320" s="2">
        <v>7350.0</v>
      </c>
      <c r="H320" s="2" t="s">
        <v>25</v>
      </c>
    </row>
    <row r="321" ht="22.5" customHeight="1">
      <c r="A321" s="2" t="s">
        <v>19</v>
      </c>
      <c r="B321" s="2" t="s">
        <v>251</v>
      </c>
      <c r="C321" s="2" t="s">
        <v>21</v>
      </c>
      <c r="D321" s="2" t="s">
        <v>56</v>
      </c>
      <c r="F321" s="2" t="s">
        <v>252</v>
      </c>
      <c r="G321" s="2">
        <v>7350.0</v>
      </c>
      <c r="H321" s="2" t="s">
        <v>26</v>
      </c>
    </row>
    <row r="322" ht="22.5" customHeight="1">
      <c r="A322" s="2" t="s">
        <v>19</v>
      </c>
      <c r="B322" s="2" t="s">
        <v>251</v>
      </c>
      <c r="C322" s="2" t="s">
        <v>21</v>
      </c>
      <c r="D322" s="2" t="s">
        <v>56</v>
      </c>
      <c r="F322" s="2" t="s">
        <v>252</v>
      </c>
      <c r="G322" s="2">
        <v>7350.0</v>
      </c>
      <c r="H322" s="2" t="s">
        <v>27</v>
      </c>
    </row>
    <row r="323" ht="22.5" customHeight="1">
      <c r="A323" s="2" t="s">
        <v>19</v>
      </c>
      <c r="B323" s="2" t="s">
        <v>253</v>
      </c>
      <c r="C323" s="2" t="s">
        <v>32</v>
      </c>
      <c r="D323" s="2" t="s">
        <v>56</v>
      </c>
      <c r="F323" s="2" t="s">
        <v>254</v>
      </c>
      <c r="G323" s="2">
        <v>21139.39677</v>
      </c>
      <c r="H323" s="2" t="s">
        <v>26</v>
      </c>
    </row>
    <row r="324" ht="22.5" customHeight="1">
      <c r="A324" s="2" t="s">
        <v>19</v>
      </c>
      <c r="B324" s="2" t="s">
        <v>253</v>
      </c>
      <c r="C324" s="2" t="s">
        <v>32</v>
      </c>
      <c r="D324" s="2" t="s">
        <v>56</v>
      </c>
      <c r="F324" s="2" t="s">
        <v>254</v>
      </c>
      <c r="G324" s="2">
        <v>19315.770457</v>
      </c>
      <c r="H324" s="2" t="s">
        <v>25</v>
      </c>
    </row>
    <row r="325" ht="22.5" customHeight="1">
      <c r="A325" s="2" t="s">
        <v>19</v>
      </c>
      <c r="B325" s="2" t="s">
        <v>253</v>
      </c>
      <c r="C325" s="2" t="s">
        <v>32</v>
      </c>
      <c r="D325" s="2" t="s">
        <v>56</v>
      </c>
      <c r="F325" s="2" t="s">
        <v>254</v>
      </c>
      <c r="G325" s="2">
        <v>19996.580507</v>
      </c>
      <c r="H325" s="2" t="s">
        <v>27</v>
      </c>
    </row>
    <row r="326" ht="22.5" customHeight="1">
      <c r="A326" s="2" t="s">
        <v>19</v>
      </c>
      <c r="B326" s="2" t="s">
        <v>255</v>
      </c>
      <c r="C326" s="2" t="s">
        <v>21</v>
      </c>
      <c r="D326" s="2" t="s">
        <v>22</v>
      </c>
      <c r="E326" s="2" t="s">
        <v>63</v>
      </c>
      <c r="F326" s="2" t="s">
        <v>256</v>
      </c>
      <c r="G326" s="3">
        <v>16854.666</v>
      </c>
      <c r="H326" s="2" t="s">
        <v>26</v>
      </c>
    </row>
    <row r="327" ht="22.5" customHeight="1">
      <c r="A327" s="2" t="s">
        <v>19</v>
      </c>
      <c r="B327" s="2" t="s">
        <v>255</v>
      </c>
      <c r="C327" s="2" t="s">
        <v>21</v>
      </c>
      <c r="D327" s="2" t="s">
        <v>22</v>
      </c>
      <c r="E327" s="2" t="s">
        <v>63</v>
      </c>
      <c r="F327" s="2" t="s">
        <v>256</v>
      </c>
      <c r="G327" s="2">
        <v>21425.8467</v>
      </c>
      <c r="H327" s="2" t="s">
        <v>25</v>
      </c>
    </row>
    <row r="328" ht="22.5" customHeight="1">
      <c r="A328" s="2" t="s">
        <v>19</v>
      </c>
      <c r="B328" s="2" t="s">
        <v>255</v>
      </c>
      <c r="C328" s="2" t="s">
        <v>21</v>
      </c>
      <c r="D328" s="2" t="s">
        <v>22</v>
      </c>
      <c r="E328" s="2" t="s">
        <v>63</v>
      </c>
      <c r="F328" s="2" t="s">
        <v>256</v>
      </c>
      <c r="G328" s="2">
        <v>21046.5104</v>
      </c>
      <c r="H328" s="2" t="s">
        <v>27</v>
      </c>
    </row>
    <row r="329" ht="22.5" customHeight="1">
      <c r="A329" s="2" t="s">
        <v>19</v>
      </c>
      <c r="B329" s="2" t="s">
        <v>255</v>
      </c>
      <c r="C329" s="2" t="s">
        <v>21</v>
      </c>
      <c r="D329" s="2" t="s">
        <v>22</v>
      </c>
      <c r="E329" s="2" t="s">
        <v>63</v>
      </c>
      <c r="F329" s="2" t="s">
        <v>256</v>
      </c>
      <c r="G329" s="3">
        <v>17377.440000000002</v>
      </c>
      <c r="H329" s="4" t="s">
        <v>28</v>
      </c>
    </row>
    <row r="330" ht="22.5" customHeight="1">
      <c r="A330" s="2" t="s">
        <v>19</v>
      </c>
      <c r="B330" s="2" t="s">
        <v>257</v>
      </c>
      <c r="C330" s="2" t="s">
        <v>32</v>
      </c>
      <c r="D330" s="2" t="s">
        <v>39</v>
      </c>
      <c r="F330" s="2" t="s">
        <v>258</v>
      </c>
      <c r="G330" s="2">
        <v>14700.15378</v>
      </c>
      <c r="H330" s="2" t="s">
        <v>27</v>
      </c>
    </row>
    <row r="331" ht="22.5" customHeight="1">
      <c r="A331" s="2" t="s">
        <v>19</v>
      </c>
      <c r="B331" s="2" t="s">
        <v>257</v>
      </c>
      <c r="C331" s="2" t="s">
        <v>32</v>
      </c>
      <c r="D331" s="2" t="s">
        <v>39</v>
      </c>
      <c r="F331" s="2" t="s">
        <v>258</v>
      </c>
      <c r="G331" s="2">
        <v>14977.174718</v>
      </c>
      <c r="H331" s="2" t="s">
        <v>25</v>
      </c>
    </row>
    <row r="332" ht="22.5" customHeight="1">
      <c r="A332" s="2" t="s">
        <v>19</v>
      </c>
      <c r="B332" s="2" t="s">
        <v>257</v>
      </c>
      <c r="C332" s="2" t="s">
        <v>32</v>
      </c>
      <c r="D332" s="2" t="s">
        <v>39</v>
      </c>
      <c r="F332" s="2" t="s">
        <v>258</v>
      </c>
      <c r="G332" s="2">
        <v>14943.282958</v>
      </c>
      <c r="H332" s="2" t="s">
        <v>26</v>
      </c>
    </row>
    <row r="333" ht="22.5" customHeight="1">
      <c r="A333" s="2" t="s">
        <v>19</v>
      </c>
      <c r="B333" s="2" t="s">
        <v>259</v>
      </c>
      <c r="C333" s="2" t="s">
        <v>21</v>
      </c>
      <c r="D333" s="2" t="s">
        <v>22</v>
      </c>
      <c r="E333" s="2" t="s">
        <v>63</v>
      </c>
      <c r="F333" s="2" t="s">
        <v>260</v>
      </c>
      <c r="G333" s="2">
        <v>16715.736044</v>
      </c>
      <c r="H333" s="2" t="s">
        <v>27</v>
      </c>
    </row>
    <row r="334" ht="22.5" customHeight="1">
      <c r="A334" s="2" t="s">
        <v>19</v>
      </c>
      <c r="B334" s="2" t="s">
        <v>259</v>
      </c>
      <c r="C334" s="2" t="s">
        <v>21</v>
      </c>
      <c r="D334" s="2" t="s">
        <v>22</v>
      </c>
      <c r="E334" s="2" t="s">
        <v>63</v>
      </c>
      <c r="F334" s="2" t="s">
        <v>260</v>
      </c>
      <c r="G334" s="2">
        <v>18670.363418</v>
      </c>
      <c r="H334" s="2" t="s">
        <v>25</v>
      </c>
    </row>
    <row r="335" ht="22.5" customHeight="1">
      <c r="A335" s="2" t="s">
        <v>19</v>
      </c>
      <c r="B335" s="2" t="s">
        <v>259</v>
      </c>
      <c r="C335" s="2" t="s">
        <v>21</v>
      </c>
      <c r="D335" s="2" t="s">
        <v>22</v>
      </c>
      <c r="E335" s="2" t="s">
        <v>63</v>
      </c>
      <c r="F335" s="2" t="s">
        <v>260</v>
      </c>
      <c r="G335" s="2">
        <v>18039.056587</v>
      </c>
      <c r="H335" s="2" t="s">
        <v>26</v>
      </c>
    </row>
    <row r="336" ht="22.5" customHeight="1">
      <c r="A336" s="2" t="s">
        <v>19</v>
      </c>
      <c r="B336" s="2" t="s">
        <v>261</v>
      </c>
      <c r="C336" s="2" t="s">
        <v>21</v>
      </c>
      <c r="D336" s="2" t="s">
        <v>22</v>
      </c>
      <c r="E336" s="2" t="s">
        <v>53</v>
      </c>
      <c r="F336" s="2" t="s">
        <v>262</v>
      </c>
      <c r="G336" s="2">
        <v>15147.448181</v>
      </c>
      <c r="H336" s="2" t="s">
        <v>25</v>
      </c>
    </row>
    <row r="337" ht="22.5" customHeight="1">
      <c r="A337" s="2" t="s">
        <v>19</v>
      </c>
      <c r="B337" s="2" t="s">
        <v>261</v>
      </c>
      <c r="C337" s="2" t="s">
        <v>21</v>
      </c>
      <c r="D337" s="2" t="s">
        <v>22</v>
      </c>
      <c r="E337" s="2" t="s">
        <v>53</v>
      </c>
      <c r="F337" s="2" t="s">
        <v>262</v>
      </c>
      <c r="G337" s="2">
        <v>17038.780152</v>
      </c>
      <c r="H337" s="2" t="s">
        <v>27</v>
      </c>
    </row>
    <row r="338" ht="22.5" customHeight="1">
      <c r="A338" s="2" t="s">
        <v>19</v>
      </c>
      <c r="B338" s="2" t="s">
        <v>261</v>
      </c>
      <c r="C338" s="2" t="s">
        <v>21</v>
      </c>
      <c r="D338" s="2" t="s">
        <v>22</v>
      </c>
      <c r="E338" s="2" t="s">
        <v>53</v>
      </c>
      <c r="F338" s="2" t="s">
        <v>262</v>
      </c>
      <c r="G338" s="3">
        <v>14227.44</v>
      </c>
      <c r="H338" s="2" t="s">
        <v>26</v>
      </c>
    </row>
    <row r="339" ht="22.5" customHeight="1">
      <c r="A339" s="2" t="s">
        <v>19</v>
      </c>
      <c r="B339" s="2" t="s">
        <v>261</v>
      </c>
      <c r="C339" s="2" t="s">
        <v>21</v>
      </c>
      <c r="D339" s="2" t="s">
        <v>22</v>
      </c>
      <c r="E339" s="2" t="s">
        <v>53</v>
      </c>
      <c r="F339" s="2" t="s">
        <v>262</v>
      </c>
      <c r="G339" s="3">
        <v>10075.824</v>
      </c>
      <c r="H339" s="4" t="s">
        <v>28</v>
      </c>
    </row>
    <row r="340" ht="22.5" customHeight="1">
      <c r="A340" s="2" t="s">
        <v>19</v>
      </c>
      <c r="B340" s="2" t="s">
        <v>263</v>
      </c>
      <c r="C340" s="2" t="s">
        <v>21</v>
      </c>
      <c r="D340" s="2" t="s">
        <v>22</v>
      </c>
      <c r="F340" s="2" t="s">
        <v>264</v>
      </c>
      <c r="G340" s="2">
        <v>7350.0</v>
      </c>
      <c r="H340" s="2" t="s">
        <v>27</v>
      </c>
    </row>
    <row r="341" ht="22.5" customHeight="1">
      <c r="A341" s="2" t="s">
        <v>19</v>
      </c>
      <c r="B341" s="2" t="s">
        <v>263</v>
      </c>
      <c r="C341" s="2" t="s">
        <v>21</v>
      </c>
      <c r="D341" s="2" t="s">
        <v>22</v>
      </c>
      <c r="F341" s="2" t="s">
        <v>264</v>
      </c>
      <c r="G341" s="2">
        <v>7350.0</v>
      </c>
      <c r="H341" s="2" t="s">
        <v>25</v>
      </c>
    </row>
    <row r="342" ht="22.5" customHeight="1">
      <c r="A342" s="2" t="s">
        <v>19</v>
      </c>
      <c r="B342" s="2" t="s">
        <v>263</v>
      </c>
      <c r="C342" s="2" t="s">
        <v>21</v>
      </c>
      <c r="D342" s="2" t="s">
        <v>22</v>
      </c>
      <c r="F342" s="2" t="s">
        <v>264</v>
      </c>
      <c r="G342" s="2">
        <v>3675.0</v>
      </c>
      <c r="H342" s="2" t="s">
        <v>26</v>
      </c>
    </row>
    <row r="343" ht="22.5" customHeight="1">
      <c r="A343" s="2" t="s">
        <v>19</v>
      </c>
      <c r="B343" s="2" t="s">
        <v>265</v>
      </c>
      <c r="C343" s="2" t="s">
        <v>32</v>
      </c>
      <c r="D343" s="2" t="s">
        <v>193</v>
      </c>
      <c r="E343" s="2" t="s">
        <v>23</v>
      </c>
      <c r="F343" s="2" t="s">
        <v>266</v>
      </c>
      <c r="G343" s="2">
        <v>23508.75854</v>
      </c>
      <c r="H343" s="2" t="s">
        <v>27</v>
      </c>
    </row>
    <row r="344" ht="22.5" customHeight="1">
      <c r="A344" s="2" t="s">
        <v>19</v>
      </c>
      <c r="B344" s="2" t="s">
        <v>265</v>
      </c>
      <c r="C344" s="2" t="s">
        <v>32</v>
      </c>
      <c r="D344" s="2" t="s">
        <v>193</v>
      </c>
      <c r="E344" s="2" t="s">
        <v>23</v>
      </c>
      <c r="F344" s="2" t="s">
        <v>266</v>
      </c>
      <c r="G344" s="2">
        <v>22304.9482</v>
      </c>
      <c r="H344" s="2" t="s">
        <v>26</v>
      </c>
    </row>
    <row r="345" ht="22.5" customHeight="1">
      <c r="A345" s="2" t="s">
        <v>19</v>
      </c>
      <c r="B345" s="2" t="s">
        <v>265</v>
      </c>
      <c r="C345" s="2" t="s">
        <v>32</v>
      </c>
      <c r="D345" s="2" t="s">
        <v>193</v>
      </c>
      <c r="E345" s="2" t="s">
        <v>23</v>
      </c>
      <c r="F345" s="2" t="s">
        <v>266</v>
      </c>
      <c r="G345" s="2">
        <v>22618.83996</v>
      </c>
      <c r="H345" s="2" t="s">
        <v>25</v>
      </c>
    </row>
    <row r="346" ht="22.5" customHeight="1">
      <c r="A346" s="2" t="s">
        <v>19</v>
      </c>
      <c r="B346" s="2" t="s">
        <v>267</v>
      </c>
      <c r="C346" s="2" t="s">
        <v>21</v>
      </c>
      <c r="D346" s="2" t="s">
        <v>22</v>
      </c>
      <c r="E346" s="2" t="s">
        <v>23</v>
      </c>
      <c r="F346" s="2" t="s">
        <v>268</v>
      </c>
      <c r="G346" s="2">
        <v>7350.0</v>
      </c>
      <c r="H346" s="2" t="s">
        <v>25</v>
      </c>
    </row>
    <row r="347" ht="22.5" customHeight="1">
      <c r="A347" s="2" t="s">
        <v>19</v>
      </c>
      <c r="B347" s="2" t="s">
        <v>267</v>
      </c>
      <c r="C347" s="2" t="s">
        <v>21</v>
      </c>
      <c r="D347" s="2" t="s">
        <v>22</v>
      </c>
      <c r="E347" s="2" t="s">
        <v>23</v>
      </c>
      <c r="F347" s="2" t="s">
        <v>268</v>
      </c>
      <c r="G347" s="2">
        <v>7350.0</v>
      </c>
      <c r="H347" s="2" t="s">
        <v>26</v>
      </c>
    </row>
    <row r="348" ht="22.5" customHeight="1">
      <c r="A348" s="2" t="s">
        <v>19</v>
      </c>
      <c r="B348" s="2" t="s">
        <v>267</v>
      </c>
      <c r="C348" s="2" t="s">
        <v>21</v>
      </c>
      <c r="D348" s="2" t="s">
        <v>22</v>
      </c>
      <c r="E348" s="2" t="s">
        <v>23</v>
      </c>
      <c r="F348" s="2" t="s">
        <v>268</v>
      </c>
      <c r="G348" s="2">
        <v>7350.0</v>
      </c>
      <c r="H348" s="2" t="s">
        <v>27</v>
      </c>
    </row>
    <row r="349" ht="22.5" customHeight="1">
      <c r="A349" s="2" t="s">
        <v>19</v>
      </c>
      <c r="B349" s="2" t="s">
        <v>269</v>
      </c>
      <c r="C349" s="2" t="s">
        <v>21</v>
      </c>
      <c r="D349" s="2" t="s">
        <v>22</v>
      </c>
      <c r="E349" s="2" t="s">
        <v>36</v>
      </c>
      <c r="F349" s="2" t="s">
        <v>270</v>
      </c>
      <c r="G349" s="2">
        <v>15927.656463</v>
      </c>
      <c r="H349" s="2" t="s">
        <v>26</v>
      </c>
    </row>
    <row r="350" ht="22.5" customHeight="1">
      <c r="A350" s="2" t="s">
        <v>19</v>
      </c>
      <c r="B350" s="2" t="s">
        <v>269</v>
      </c>
      <c r="C350" s="2" t="s">
        <v>21</v>
      </c>
      <c r="D350" s="2" t="s">
        <v>22</v>
      </c>
      <c r="E350" s="2" t="s">
        <v>36</v>
      </c>
      <c r="F350" s="2" t="s">
        <v>270</v>
      </c>
      <c r="G350" s="2">
        <v>15635.661516</v>
      </c>
      <c r="H350" s="2" t="s">
        <v>27</v>
      </c>
    </row>
    <row r="351" ht="22.5" customHeight="1">
      <c r="A351" s="2" t="s">
        <v>19</v>
      </c>
      <c r="B351" s="2" t="s">
        <v>269</v>
      </c>
      <c r="C351" s="2" t="s">
        <v>21</v>
      </c>
      <c r="D351" s="2" t="s">
        <v>22</v>
      </c>
      <c r="E351" s="2" t="s">
        <v>36</v>
      </c>
      <c r="F351" s="2" t="s">
        <v>270</v>
      </c>
      <c r="G351" s="2">
        <v>15934.228414</v>
      </c>
      <c r="H351" s="2" t="s">
        <v>25</v>
      </c>
    </row>
    <row r="352" ht="22.5" customHeight="1">
      <c r="A352" s="2" t="s">
        <v>19</v>
      </c>
      <c r="B352" s="2" t="s">
        <v>271</v>
      </c>
      <c r="C352" s="2" t="s">
        <v>32</v>
      </c>
      <c r="D352" s="2" t="s">
        <v>48</v>
      </c>
      <c r="F352" s="2" t="s">
        <v>272</v>
      </c>
      <c r="G352" s="2">
        <v>29400.0</v>
      </c>
      <c r="H352" s="2" t="s">
        <v>26</v>
      </c>
    </row>
    <row r="353" ht="22.5" customHeight="1">
      <c r="A353" s="2" t="s">
        <v>19</v>
      </c>
      <c r="B353" s="2" t="s">
        <v>271</v>
      </c>
      <c r="C353" s="2" t="s">
        <v>32</v>
      </c>
      <c r="D353" s="2" t="s">
        <v>48</v>
      </c>
      <c r="F353" s="2" t="s">
        <v>272</v>
      </c>
      <c r="G353" s="2">
        <v>29400.0</v>
      </c>
      <c r="H353" s="2" t="s">
        <v>27</v>
      </c>
    </row>
    <row r="354" ht="22.5" customHeight="1">
      <c r="A354" s="2" t="s">
        <v>19</v>
      </c>
      <c r="B354" s="2" t="s">
        <v>271</v>
      </c>
      <c r="C354" s="2" t="s">
        <v>32</v>
      </c>
      <c r="D354" s="2" t="s">
        <v>48</v>
      </c>
      <c r="F354" s="2" t="s">
        <v>272</v>
      </c>
      <c r="G354" s="2">
        <v>29400.0</v>
      </c>
      <c r="H354" s="2" t="s">
        <v>25</v>
      </c>
    </row>
    <row r="355" ht="22.5" customHeight="1">
      <c r="A355" s="2" t="s">
        <v>19</v>
      </c>
      <c r="B355" s="2" t="s">
        <v>273</v>
      </c>
      <c r="C355" s="2" t="s">
        <v>21</v>
      </c>
      <c r="D355" s="2" t="s">
        <v>22</v>
      </c>
      <c r="E355" s="2" t="s">
        <v>23</v>
      </c>
      <c r="F355" s="2" t="s">
        <v>274</v>
      </c>
      <c r="G355" s="3">
        <v>15802.44</v>
      </c>
      <c r="H355" s="2" t="s">
        <v>26</v>
      </c>
    </row>
    <row r="356" ht="22.5" customHeight="1">
      <c r="A356" s="2" t="s">
        <v>19</v>
      </c>
      <c r="B356" s="2" t="s">
        <v>273</v>
      </c>
      <c r="C356" s="2" t="s">
        <v>21</v>
      </c>
      <c r="D356" s="2" t="s">
        <v>22</v>
      </c>
      <c r="E356" s="2" t="s">
        <v>23</v>
      </c>
      <c r="F356" s="2" t="s">
        <v>274</v>
      </c>
      <c r="G356" s="2">
        <v>18115.280385000002</v>
      </c>
      <c r="H356" s="2" t="s">
        <v>27</v>
      </c>
    </row>
    <row r="357" ht="22.5" customHeight="1">
      <c r="A357" s="2" t="s">
        <v>19</v>
      </c>
      <c r="B357" s="2" t="s">
        <v>273</v>
      </c>
      <c r="C357" s="2" t="s">
        <v>21</v>
      </c>
      <c r="D357" s="2" t="s">
        <v>22</v>
      </c>
      <c r="E357" s="2" t="s">
        <v>23</v>
      </c>
      <c r="F357" s="2" t="s">
        <v>274</v>
      </c>
      <c r="G357" s="2">
        <v>18822.928181</v>
      </c>
      <c r="H357" s="2" t="s">
        <v>25</v>
      </c>
    </row>
    <row r="358" ht="22.5" customHeight="1">
      <c r="A358" s="2" t="s">
        <v>19</v>
      </c>
      <c r="B358" s="2" t="s">
        <v>273</v>
      </c>
      <c r="C358" s="2" t="s">
        <v>21</v>
      </c>
      <c r="D358" s="2" t="s">
        <v>22</v>
      </c>
      <c r="E358" s="2" t="s">
        <v>23</v>
      </c>
      <c r="F358" s="2" t="s">
        <v>274</v>
      </c>
      <c r="G358" s="3">
        <v>15564.090000000002</v>
      </c>
      <c r="H358" s="4" t="s">
        <v>28</v>
      </c>
    </row>
    <row r="359" ht="22.5" customHeight="1">
      <c r="A359" s="2" t="s">
        <v>19</v>
      </c>
      <c r="B359" s="2" t="s">
        <v>275</v>
      </c>
      <c r="C359" s="2" t="s">
        <v>21</v>
      </c>
      <c r="D359" s="2" t="s">
        <v>22</v>
      </c>
      <c r="E359" s="2" t="s">
        <v>23</v>
      </c>
      <c r="F359" s="2" t="s">
        <v>276</v>
      </c>
      <c r="G359" s="2">
        <v>16974.754614</v>
      </c>
      <c r="H359" s="2" t="s">
        <v>26</v>
      </c>
    </row>
    <row r="360" ht="22.5" customHeight="1">
      <c r="A360" s="2" t="s">
        <v>19</v>
      </c>
      <c r="B360" s="2" t="s">
        <v>275</v>
      </c>
      <c r="C360" s="2" t="s">
        <v>21</v>
      </c>
      <c r="D360" s="2" t="s">
        <v>22</v>
      </c>
      <c r="E360" s="2" t="s">
        <v>23</v>
      </c>
      <c r="F360" s="2" t="s">
        <v>276</v>
      </c>
      <c r="G360" s="2">
        <v>16703.097092</v>
      </c>
      <c r="H360" s="2" t="s">
        <v>27</v>
      </c>
    </row>
    <row r="361" ht="22.5" customHeight="1">
      <c r="A361" s="2" t="s">
        <v>19</v>
      </c>
      <c r="B361" s="2" t="s">
        <v>275</v>
      </c>
      <c r="C361" s="2" t="s">
        <v>21</v>
      </c>
      <c r="D361" s="2" t="s">
        <v>22</v>
      </c>
      <c r="E361" s="2" t="s">
        <v>23</v>
      </c>
      <c r="F361" s="2" t="s">
        <v>276</v>
      </c>
      <c r="G361" s="2">
        <v>17021.39405</v>
      </c>
      <c r="H361" s="2" t="s">
        <v>25</v>
      </c>
    </row>
    <row r="362" ht="22.5" customHeight="1">
      <c r="A362" s="2" t="s">
        <v>19</v>
      </c>
      <c r="B362" s="2" t="s">
        <v>277</v>
      </c>
      <c r="C362" s="2" t="s">
        <v>32</v>
      </c>
      <c r="D362" s="2" t="s">
        <v>56</v>
      </c>
      <c r="F362" s="2" t="s">
        <v>278</v>
      </c>
      <c r="G362" s="2">
        <v>21778.98612</v>
      </c>
      <c r="H362" s="2" t="s">
        <v>26</v>
      </c>
    </row>
    <row r="363" ht="22.5" customHeight="1">
      <c r="A363" s="2" t="s">
        <v>19</v>
      </c>
      <c r="B363" s="2" t="s">
        <v>277</v>
      </c>
      <c r="C363" s="2" t="s">
        <v>32</v>
      </c>
      <c r="D363" s="2" t="s">
        <v>56</v>
      </c>
      <c r="F363" s="2" t="s">
        <v>278</v>
      </c>
      <c r="G363" s="2">
        <v>20697.705549</v>
      </c>
      <c r="H363" s="2" t="s">
        <v>25</v>
      </c>
    </row>
    <row r="364" ht="22.5" customHeight="1">
      <c r="A364" s="2" t="s">
        <v>19</v>
      </c>
      <c r="B364" s="2" t="s">
        <v>277</v>
      </c>
      <c r="C364" s="2" t="s">
        <v>32</v>
      </c>
      <c r="D364" s="2" t="s">
        <v>56</v>
      </c>
      <c r="F364" s="2" t="s">
        <v>278</v>
      </c>
      <c r="G364" s="2">
        <v>21661.06821</v>
      </c>
      <c r="H364" s="2" t="s">
        <v>27</v>
      </c>
    </row>
    <row r="365" ht="22.5" customHeight="1">
      <c r="A365" s="2" t="s">
        <v>19</v>
      </c>
      <c r="B365" s="2" t="s">
        <v>279</v>
      </c>
      <c r="C365" s="4" t="s">
        <v>68</v>
      </c>
      <c r="D365" s="4" t="s">
        <v>69</v>
      </c>
      <c r="E365" s="2"/>
      <c r="F365" s="2" t="s">
        <v>279</v>
      </c>
      <c r="G365" s="7">
        <v>131250.0</v>
      </c>
      <c r="H365" s="4" t="s">
        <v>25</v>
      </c>
    </row>
    <row r="366" ht="22.5" customHeight="1">
      <c r="A366" s="2" t="s">
        <v>19</v>
      </c>
      <c r="B366" s="2" t="s">
        <v>279</v>
      </c>
      <c r="C366" s="4" t="s">
        <v>68</v>
      </c>
      <c r="D366" s="4" t="s">
        <v>69</v>
      </c>
      <c r="E366" s="2"/>
      <c r="F366" s="2" t="s">
        <v>279</v>
      </c>
      <c r="G366" s="7">
        <v>131250.0</v>
      </c>
      <c r="H366" s="4" t="s">
        <v>27</v>
      </c>
    </row>
    <row r="367" ht="22.5" customHeight="1">
      <c r="A367" s="2" t="s">
        <v>19</v>
      </c>
      <c r="B367" s="2" t="s">
        <v>279</v>
      </c>
      <c r="C367" s="4" t="s">
        <v>68</v>
      </c>
      <c r="D367" s="4" t="s">
        <v>69</v>
      </c>
      <c r="E367" s="2"/>
      <c r="F367" s="2" t="s">
        <v>279</v>
      </c>
      <c r="G367" s="7">
        <v>131250.0</v>
      </c>
      <c r="H367" s="4" t="s">
        <v>26</v>
      </c>
    </row>
    <row r="368" ht="22.5" customHeight="1">
      <c r="A368" s="2" t="s">
        <v>19</v>
      </c>
      <c r="B368" s="2" t="s">
        <v>279</v>
      </c>
      <c r="C368" s="4" t="s">
        <v>68</v>
      </c>
      <c r="D368" s="4" t="s">
        <v>69</v>
      </c>
      <c r="E368" s="2"/>
      <c r="F368" s="2" t="s">
        <v>279</v>
      </c>
      <c r="G368" s="7">
        <v>131250.0</v>
      </c>
      <c r="H368" s="4" t="s">
        <v>28</v>
      </c>
    </row>
    <row r="369" ht="22.5" customHeight="1">
      <c r="A369" s="2" t="s">
        <v>19</v>
      </c>
      <c r="B369" s="2" t="s">
        <v>280</v>
      </c>
      <c r="C369" s="2" t="s">
        <v>32</v>
      </c>
      <c r="D369" s="2" t="s">
        <v>193</v>
      </c>
      <c r="E369" s="2" t="s">
        <v>23</v>
      </c>
      <c r="F369" s="2" t="s">
        <v>281</v>
      </c>
      <c r="G369" s="2">
        <v>13291.944052</v>
      </c>
      <c r="H369" s="2" t="s">
        <v>25</v>
      </c>
    </row>
    <row r="370" ht="22.5" customHeight="1">
      <c r="A370" s="2" t="s">
        <v>19</v>
      </c>
      <c r="B370" s="2" t="s">
        <v>280</v>
      </c>
      <c r="C370" s="2" t="s">
        <v>32</v>
      </c>
      <c r="D370" s="2" t="s">
        <v>193</v>
      </c>
      <c r="E370" s="2" t="s">
        <v>23</v>
      </c>
      <c r="F370" s="2" t="s">
        <v>281</v>
      </c>
      <c r="G370" s="2">
        <v>14658.132292</v>
      </c>
      <c r="H370" s="2" t="s">
        <v>26</v>
      </c>
    </row>
    <row r="371" ht="22.5" customHeight="1">
      <c r="A371" s="2" t="s">
        <v>19</v>
      </c>
      <c r="B371" s="2" t="s">
        <v>280</v>
      </c>
      <c r="C371" s="2" t="s">
        <v>32</v>
      </c>
      <c r="D371" s="2" t="s">
        <v>193</v>
      </c>
      <c r="E371" s="2" t="s">
        <v>23</v>
      </c>
      <c r="F371" s="2" t="s">
        <v>281</v>
      </c>
      <c r="G371" s="2">
        <v>13045.633175</v>
      </c>
      <c r="H371" s="2" t="s">
        <v>27</v>
      </c>
    </row>
    <row r="372" ht="22.5" customHeight="1">
      <c r="A372" s="2" t="s">
        <v>19</v>
      </c>
      <c r="B372" s="2" t="s">
        <v>282</v>
      </c>
      <c r="C372" s="2" t="s">
        <v>21</v>
      </c>
      <c r="D372" s="2" t="s">
        <v>56</v>
      </c>
      <c r="F372" s="2" t="s">
        <v>283</v>
      </c>
      <c r="G372" s="2">
        <v>21381.39405</v>
      </c>
      <c r="H372" s="2" t="s">
        <v>25</v>
      </c>
    </row>
    <row r="373" ht="22.5" customHeight="1">
      <c r="A373" s="2" t="s">
        <v>19</v>
      </c>
      <c r="B373" s="2" t="s">
        <v>282</v>
      </c>
      <c r="C373" s="2" t="s">
        <v>21</v>
      </c>
      <c r="D373" s="2" t="s">
        <v>56</v>
      </c>
      <c r="F373" s="2" t="s">
        <v>283</v>
      </c>
      <c r="G373" s="2">
        <v>19452.096152</v>
      </c>
      <c r="H373" s="2" t="s">
        <v>26</v>
      </c>
    </row>
    <row r="374" ht="22.5" customHeight="1">
      <c r="A374" s="2" t="s">
        <v>19</v>
      </c>
      <c r="B374" s="2" t="s">
        <v>282</v>
      </c>
      <c r="C374" s="2" t="s">
        <v>21</v>
      </c>
      <c r="D374" s="2" t="s">
        <v>56</v>
      </c>
      <c r="F374" s="2" t="s">
        <v>283</v>
      </c>
      <c r="G374" s="2">
        <v>14542.782092</v>
      </c>
      <c r="H374" s="2" t="s">
        <v>27</v>
      </c>
    </row>
    <row r="375" ht="22.5" customHeight="1">
      <c r="A375" s="2" t="s">
        <v>19</v>
      </c>
      <c r="B375" s="2" t="s">
        <v>284</v>
      </c>
      <c r="C375" s="2" t="s">
        <v>21</v>
      </c>
      <c r="D375" s="2" t="s">
        <v>22</v>
      </c>
      <c r="E375" s="2" t="s">
        <v>23</v>
      </c>
      <c r="F375" s="2" t="s">
        <v>285</v>
      </c>
      <c r="G375" s="2">
        <v>17778.225941</v>
      </c>
      <c r="H375" s="2" t="s">
        <v>27</v>
      </c>
    </row>
    <row r="376" ht="22.5" customHeight="1">
      <c r="A376" s="2" t="s">
        <v>19</v>
      </c>
      <c r="B376" s="2" t="s">
        <v>284</v>
      </c>
      <c r="C376" s="2" t="s">
        <v>21</v>
      </c>
      <c r="D376" s="2" t="s">
        <v>22</v>
      </c>
      <c r="E376" s="2" t="s">
        <v>23</v>
      </c>
      <c r="F376" s="2" t="s">
        <v>285</v>
      </c>
      <c r="G376" s="2">
        <v>18117.062778</v>
      </c>
      <c r="H376" s="2" t="s">
        <v>25</v>
      </c>
    </row>
    <row r="377" ht="22.5" customHeight="1">
      <c r="A377" s="2" t="s">
        <v>19</v>
      </c>
      <c r="B377" s="2" t="s">
        <v>284</v>
      </c>
      <c r="C377" s="2" t="s">
        <v>21</v>
      </c>
      <c r="D377" s="2" t="s">
        <v>22</v>
      </c>
      <c r="E377" s="2" t="s">
        <v>23</v>
      </c>
      <c r="F377" s="2" t="s">
        <v>285</v>
      </c>
      <c r="G377" s="2">
        <v>18030.558312</v>
      </c>
      <c r="H377" s="2" t="s">
        <v>26</v>
      </c>
    </row>
    <row r="378" ht="22.5" customHeight="1">
      <c r="A378" s="2" t="s">
        <v>19</v>
      </c>
      <c r="B378" s="2" t="s">
        <v>286</v>
      </c>
      <c r="C378" s="2" t="s">
        <v>21</v>
      </c>
      <c r="D378" s="2" t="s">
        <v>22</v>
      </c>
      <c r="E378" s="2" t="s">
        <v>63</v>
      </c>
      <c r="F378" s="2" t="s">
        <v>287</v>
      </c>
      <c r="G378" s="3">
        <v>9292.08</v>
      </c>
      <c r="H378" s="2" t="s">
        <v>26</v>
      </c>
    </row>
    <row r="379" ht="22.5" customHeight="1">
      <c r="A379" s="2" t="s">
        <v>19</v>
      </c>
      <c r="B379" s="2" t="s">
        <v>286</v>
      </c>
      <c r="C379" s="2" t="s">
        <v>21</v>
      </c>
      <c r="D379" s="2" t="s">
        <v>22</v>
      </c>
      <c r="E379" s="2" t="s">
        <v>63</v>
      </c>
      <c r="F379" s="2" t="s">
        <v>287</v>
      </c>
      <c r="G379" s="2">
        <v>15686.20395</v>
      </c>
      <c r="H379" s="2" t="s">
        <v>27</v>
      </c>
    </row>
    <row r="380" ht="22.5" customHeight="1">
      <c r="A380" s="2" t="s">
        <v>19</v>
      </c>
      <c r="B380" s="2" t="s">
        <v>286</v>
      </c>
      <c r="C380" s="2" t="s">
        <v>21</v>
      </c>
      <c r="D380" s="2" t="s">
        <v>22</v>
      </c>
      <c r="E380" s="2" t="s">
        <v>63</v>
      </c>
      <c r="F380" s="2" t="s">
        <v>287</v>
      </c>
      <c r="G380" s="2">
        <v>15964.552952</v>
      </c>
      <c r="H380" s="2" t="s">
        <v>25</v>
      </c>
    </row>
    <row r="381" ht="22.5" customHeight="1">
      <c r="A381" s="2" t="s">
        <v>19</v>
      </c>
      <c r="B381" s="2" t="s">
        <v>286</v>
      </c>
      <c r="C381" s="2" t="s">
        <v>21</v>
      </c>
      <c r="D381" s="2" t="s">
        <v>22</v>
      </c>
      <c r="E381" s="2" t="s">
        <v>63</v>
      </c>
      <c r="F381" s="2" t="s">
        <v>287</v>
      </c>
      <c r="G381" s="3">
        <v>12127.44</v>
      </c>
      <c r="H381" s="4" t="s">
        <v>28</v>
      </c>
    </row>
    <row r="382" ht="22.5" customHeight="1">
      <c r="A382" s="2" t="s">
        <v>19</v>
      </c>
      <c r="B382" s="2" t="s">
        <v>288</v>
      </c>
      <c r="C382" s="2" t="s">
        <v>32</v>
      </c>
      <c r="D382" s="2" t="s">
        <v>48</v>
      </c>
      <c r="F382" s="2" t="s">
        <v>289</v>
      </c>
      <c r="G382" s="2">
        <v>18843.097092</v>
      </c>
      <c r="H382" s="2" t="s">
        <v>27</v>
      </c>
    </row>
    <row r="383" ht="22.5" customHeight="1">
      <c r="A383" s="2" t="s">
        <v>19</v>
      </c>
      <c r="B383" s="2" t="s">
        <v>288</v>
      </c>
      <c r="C383" s="2" t="s">
        <v>32</v>
      </c>
      <c r="D383" s="2" t="s">
        <v>48</v>
      </c>
      <c r="F383" s="2" t="s">
        <v>289</v>
      </c>
      <c r="G383" s="2">
        <v>19201.39405</v>
      </c>
      <c r="H383" s="2" t="s">
        <v>25</v>
      </c>
    </row>
    <row r="384" ht="22.5" customHeight="1">
      <c r="A384" s="2" t="s">
        <v>19</v>
      </c>
      <c r="B384" s="2" t="s">
        <v>288</v>
      </c>
      <c r="C384" s="2" t="s">
        <v>32</v>
      </c>
      <c r="D384" s="2" t="s">
        <v>48</v>
      </c>
      <c r="F384" s="2" t="s">
        <v>289</v>
      </c>
      <c r="G384" s="2">
        <v>19074.754614</v>
      </c>
      <c r="H384" s="2" t="s">
        <v>26</v>
      </c>
    </row>
    <row r="385" ht="22.5" customHeight="1">
      <c r="A385" s="2" t="s">
        <v>19</v>
      </c>
      <c r="B385" s="2" t="s">
        <v>290</v>
      </c>
      <c r="C385" s="2" t="s">
        <v>32</v>
      </c>
      <c r="D385" s="2" t="s">
        <v>56</v>
      </c>
      <c r="F385" s="2" t="s">
        <v>291</v>
      </c>
      <c r="G385" s="2">
        <v>13161.494689</v>
      </c>
      <c r="H385" s="2" t="s">
        <v>25</v>
      </c>
    </row>
    <row r="386" ht="22.5" customHeight="1">
      <c r="A386" s="2" t="s">
        <v>19</v>
      </c>
      <c r="B386" s="2" t="s">
        <v>290</v>
      </c>
      <c r="C386" s="2" t="s">
        <v>32</v>
      </c>
      <c r="D386" s="2" t="s">
        <v>56</v>
      </c>
      <c r="F386" s="2" t="s">
        <v>291</v>
      </c>
      <c r="G386" s="2">
        <v>12913.387193</v>
      </c>
      <c r="H386" s="2" t="s">
        <v>27</v>
      </c>
    </row>
    <row r="387" ht="22.5" customHeight="1">
      <c r="A387" s="2" t="s">
        <v>19</v>
      </c>
      <c r="B387" s="2" t="s">
        <v>290</v>
      </c>
      <c r="C387" s="2" t="s">
        <v>32</v>
      </c>
      <c r="D387" s="2" t="s">
        <v>56</v>
      </c>
      <c r="F387" s="2" t="s">
        <v>291</v>
      </c>
      <c r="G387" s="2">
        <v>13257.012887</v>
      </c>
      <c r="H387" s="2" t="s">
        <v>26</v>
      </c>
    </row>
    <row r="388" ht="22.5" customHeight="1">
      <c r="A388" s="2" t="s">
        <v>19</v>
      </c>
      <c r="B388" s="2" t="s">
        <v>292</v>
      </c>
      <c r="C388" s="2" t="s">
        <v>68</v>
      </c>
      <c r="D388" s="2" t="s">
        <v>198</v>
      </c>
      <c r="F388" s="2" t="s">
        <v>293</v>
      </c>
      <c r="G388" s="2">
        <v>20207.91754</v>
      </c>
      <c r="H388" s="2" t="s">
        <v>26</v>
      </c>
    </row>
    <row r="389" ht="22.5" customHeight="1">
      <c r="A389" s="2" t="s">
        <v>19</v>
      </c>
      <c r="B389" s="2" t="s">
        <v>292</v>
      </c>
      <c r="C389" s="2" t="s">
        <v>68</v>
      </c>
      <c r="D389" s="2" t="s">
        <v>198</v>
      </c>
      <c r="F389" s="2" t="s">
        <v>293</v>
      </c>
      <c r="G389" s="2">
        <v>20063.457943</v>
      </c>
      <c r="H389" s="2" t="s">
        <v>27</v>
      </c>
    </row>
    <row r="390" ht="22.5" customHeight="1">
      <c r="A390" s="2" t="s">
        <v>19</v>
      </c>
      <c r="B390" s="2" t="s">
        <v>292</v>
      </c>
      <c r="C390" s="2" t="s">
        <v>68</v>
      </c>
      <c r="D390" s="2" t="s">
        <v>198</v>
      </c>
      <c r="F390" s="2" t="s">
        <v>293</v>
      </c>
      <c r="G390" s="2">
        <v>20441.8093</v>
      </c>
      <c r="H390" s="2" t="s">
        <v>25</v>
      </c>
    </row>
    <row r="391" ht="22.5" customHeight="1">
      <c r="A391" s="2" t="s">
        <v>19</v>
      </c>
      <c r="B391" s="2" t="s">
        <v>294</v>
      </c>
      <c r="C391" s="4" t="s">
        <v>21</v>
      </c>
      <c r="D391" s="2" t="s">
        <v>22</v>
      </c>
      <c r="E391" s="2" t="s">
        <v>295</v>
      </c>
      <c r="F391" s="2" t="s">
        <v>296</v>
      </c>
      <c r="G391" s="2">
        <v>24296.58051</v>
      </c>
      <c r="H391" s="2" t="s">
        <v>27</v>
      </c>
    </row>
    <row r="392" ht="22.5" customHeight="1">
      <c r="A392" s="2" t="s">
        <v>19</v>
      </c>
      <c r="B392" s="2" t="s">
        <v>294</v>
      </c>
      <c r="C392" s="4" t="s">
        <v>21</v>
      </c>
      <c r="D392" s="2" t="s">
        <v>22</v>
      </c>
      <c r="E392" s="2" t="s">
        <v>295</v>
      </c>
      <c r="F392" s="2" t="s">
        <v>296</v>
      </c>
      <c r="G392" s="2">
        <v>24765.77046</v>
      </c>
      <c r="H392" s="2" t="s">
        <v>25</v>
      </c>
    </row>
    <row r="393" ht="22.5" customHeight="1">
      <c r="A393" s="2" t="s">
        <v>19</v>
      </c>
      <c r="B393" s="2" t="s">
        <v>294</v>
      </c>
      <c r="C393" s="4" t="s">
        <v>21</v>
      </c>
      <c r="D393" s="2" t="s">
        <v>22</v>
      </c>
      <c r="E393" s="2" t="s">
        <v>295</v>
      </c>
      <c r="F393" s="2" t="s">
        <v>296</v>
      </c>
      <c r="G393" s="2">
        <v>24289.39677</v>
      </c>
      <c r="H393" s="2" t="s">
        <v>26</v>
      </c>
    </row>
    <row r="394" ht="22.5" customHeight="1">
      <c r="A394" s="2" t="s">
        <v>19</v>
      </c>
      <c r="B394" s="2" t="s">
        <v>297</v>
      </c>
      <c r="C394" s="2" t="s">
        <v>21</v>
      </c>
      <c r="D394" s="2" t="s">
        <v>22</v>
      </c>
      <c r="E394" s="2" t="s">
        <v>45</v>
      </c>
      <c r="F394" s="2" t="s">
        <v>298</v>
      </c>
      <c r="G394" s="2">
        <v>19153.68456</v>
      </c>
      <c r="H394" s="2" t="s">
        <v>26</v>
      </c>
    </row>
    <row r="395" ht="22.5" customHeight="1">
      <c r="A395" s="2" t="s">
        <v>19</v>
      </c>
      <c r="B395" s="2" t="s">
        <v>297</v>
      </c>
      <c r="C395" s="2" t="s">
        <v>21</v>
      </c>
      <c r="D395" s="2" t="s">
        <v>22</v>
      </c>
      <c r="E395" s="2" t="s">
        <v>45</v>
      </c>
      <c r="F395" s="2" t="s">
        <v>298</v>
      </c>
      <c r="G395" s="2">
        <v>18893.580152</v>
      </c>
      <c r="H395" s="2" t="s">
        <v>27</v>
      </c>
    </row>
    <row r="396" ht="22.5" customHeight="1">
      <c r="A396" s="2" t="s">
        <v>19</v>
      </c>
      <c r="B396" s="2" t="s">
        <v>297</v>
      </c>
      <c r="C396" s="2" t="s">
        <v>21</v>
      </c>
      <c r="D396" s="2" t="s">
        <v>22</v>
      </c>
      <c r="E396" s="2" t="s">
        <v>45</v>
      </c>
      <c r="F396" s="2" t="s">
        <v>298</v>
      </c>
      <c r="G396" s="2">
        <v>19231.678181</v>
      </c>
      <c r="H396" s="2" t="s">
        <v>25</v>
      </c>
    </row>
    <row r="397" ht="22.5" customHeight="1">
      <c r="A397" s="2" t="s">
        <v>19</v>
      </c>
      <c r="B397" s="2" t="s">
        <v>299</v>
      </c>
      <c r="C397" s="2" t="s">
        <v>32</v>
      </c>
      <c r="D397" s="2" t="s">
        <v>193</v>
      </c>
      <c r="E397" s="2" t="s">
        <v>23</v>
      </c>
      <c r="F397" s="2" t="s">
        <v>300</v>
      </c>
      <c r="G397" s="2">
        <v>17773.097092</v>
      </c>
      <c r="H397" s="2" t="s">
        <v>27</v>
      </c>
    </row>
    <row r="398" ht="22.5" customHeight="1">
      <c r="A398" s="2" t="s">
        <v>19</v>
      </c>
      <c r="B398" s="2" t="s">
        <v>299</v>
      </c>
      <c r="C398" s="2" t="s">
        <v>32</v>
      </c>
      <c r="D398" s="2" t="s">
        <v>193</v>
      </c>
      <c r="E398" s="2" t="s">
        <v>23</v>
      </c>
      <c r="F398" s="2" t="s">
        <v>300</v>
      </c>
      <c r="G398" s="2">
        <v>18111.39405</v>
      </c>
      <c r="H398" s="2" t="s">
        <v>25</v>
      </c>
    </row>
    <row r="399" ht="22.5" customHeight="1">
      <c r="A399" s="2" t="s">
        <v>19</v>
      </c>
      <c r="B399" s="2" t="s">
        <v>299</v>
      </c>
      <c r="C399" s="2" t="s">
        <v>32</v>
      </c>
      <c r="D399" s="2" t="s">
        <v>193</v>
      </c>
      <c r="E399" s="2" t="s">
        <v>23</v>
      </c>
      <c r="F399" s="2" t="s">
        <v>300</v>
      </c>
      <c r="G399" s="2">
        <v>18024.754614</v>
      </c>
      <c r="H399" s="2" t="s">
        <v>26</v>
      </c>
    </row>
    <row r="400" ht="22.5" customHeight="1">
      <c r="A400" s="2" t="s">
        <v>19</v>
      </c>
      <c r="B400" s="2" t="s">
        <v>301</v>
      </c>
      <c r="C400" s="2" t="s">
        <v>32</v>
      </c>
      <c r="D400" s="2" t="s">
        <v>56</v>
      </c>
      <c r="F400" s="2" t="s">
        <v>302</v>
      </c>
      <c r="G400" s="2">
        <v>21786.40512</v>
      </c>
      <c r="H400" s="2" t="s">
        <v>26</v>
      </c>
    </row>
    <row r="401" ht="22.5" customHeight="1">
      <c r="A401" s="2" t="s">
        <v>19</v>
      </c>
      <c r="B401" s="2" t="s">
        <v>301</v>
      </c>
      <c r="C401" s="2" t="s">
        <v>32</v>
      </c>
      <c r="D401" s="2" t="s">
        <v>56</v>
      </c>
      <c r="F401" s="2" t="s">
        <v>302</v>
      </c>
      <c r="G401" s="2">
        <v>20686.97919</v>
      </c>
      <c r="H401" s="2" t="s">
        <v>27</v>
      </c>
    </row>
    <row r="402" ht="22.5" customHeight="1">
      <c r="A402" s="2" t="s">
        <v>19</v>
      </c>
      <c r="B402" s="2" t="s">
        <v>301</v>
      </c>
      <c r="C402" s="2" t="s">
        <v>32</v>
      </c>
      <c r="D402" s="2" t="s">
        <v>56</v>
      </c>
      <c r="F402" s="2" t="s">
        <v>302</v>
      </c>
      <c r="G402" s="2">
        <v>20176.369</v>
      </c>
      <c r="H402" s="2" t="s">
        <v>25</v>
      </c>
    </row>
    <row r="403" ht="22.5" customHeight="1">
      <c r="A403" s="2" t="s">
        <v>19</v>
      </c>
      <c r="B403" s="2" t="s">
        <v>303</v>
      </c>
      <c r="C403" s="2" t="s">
        <v>21</v>
      </c>
      <c r="D403" s="2" t="s">
        <v>22</v>
      </c>
      <c r="E403" s="2" t="s">
        <v>42</v>
      </c>
      <c r="F403" s="2" t="s">
        <v>304</v>
      </c>
      <c r="G403" s="3">
        <v>9213.720000000001</v>
      </c>
      <c r="H403" s="4" t="s">
        <v>28</v>
      </c>
    </row>
    <row r="404" ht="22.5" customHeight="1">
      <c r="A404" s="2" t="s">
        <v>19</v>
      </c>
      <c r="B404" s="2" t="s">
        <v>303</v>
      </c>
      <c r="C404" s="2" t="s">
        <v>21</v>
      </c>
      <c r="D404" s="2" t="s">
        <v>22</v>
      </c>
      <c r="E404" s="2" t="s">
        <v>42</v>
      </c>
      <c r="F404" s="2" t="s">
        <v>304</v>
      </c>
      <c r="G404" s="3">
        <v>19567.74224</v>
      </c>
      <c r="H404" s="2" t="s">
        <v>26</v>
      </c>
    </row>
    <row r="405" ht="22.5" customHeight="1">
      <c r="A405" s="2" t="s">
        <v>19</v>
      </c>
      <c r="B405" s="2" t="s">
        <v>305</v>
      </c>
      <c r="C405" s="2" t="s">
        <v>21</v>
      </c>
      <c r="D405" s="2" t="s">
        <v>56</v>
      </c>
      <c r="F405" s="2" t="s">
        <v>306</v>
      </c>
      <c r="G405" s="2">
        <v>9599.206537</v>
      </c>
      <c r="H405" s="2" t="s">
        <v>27</v>
      </c>
    </row>
    <row r="406" ht="22.5" customHeight="1">
      <c r="A406" s="2" t="s">
        <v>19</v>
      </c>
      <c r="B406" s="2" t="s">
        <v>305</v>
      </c>
      <c r="C406" s="2" t="s">
        <v>21</v>
      </c>
      <c r="D406" s="2" t="s">
        <v>56</v>
      </c>
      <c r="F406" s="2" t="s">
        <v>306</v>
      </c>
      <c r="G406" s="2">
        <v>19037.435568</v>
      </c>
      <c r="H406" s="2" t="s">
        <v>26</v>
      </c>
    </row>
    <row r="407" ht="22.5" customHeight="1">
      <c r="A407" s="2" t="s">
        <v>19</v>
      </c>
      <c r="B407" s="2" t="s">
        <v>305</v>
      </c>
      <c r="C407" s="2" t="s">
        <v>21</v>
      </c>
      <c r="D407" s="2" t="s">
        <v>56</v>
      </c>
      <c r="F407" s="2" t="s">
        <v>306</v>
      </c>
      <c r="G407" s="2">
        <v>19265.007247</v>
      </c>
      <c r="H407" s="2" t="s">
        <v>25</v>
      </c>
    </row>
    <row r="408" ht="22.5" customHeight="1">
      <c r="A408" s="2" t="s">
        <v>19</v>
      </c>
      <c r="B408" s="2" t="s">
        <v>307</v>
      </c>
      <c r="C408" s="2" t="s">
        <v>21</v>
      </c>
      <c r="D408" s="2" t="s">
        <v>56</v>
      </c>
      <c r="F408" s="2" t="s">
        <v>308</v>
      </c>
      <c r="G408" s="2">
        <v>7350.0</v>
      </c>
      <c r="H408" s="2" t="s">
        <v>25</v>
      </c>
    </row>
    <row r="409" ht="22.5" customHeight="1">
      <c r="A409" s="2" t="s">
        <v>19</v>
      </c>
      <c r="B409" s="2" t="s">
        <v>307</v>
      </c>
      <c r="C409" s="2" t="s">
        <v>21</v>
      </c>
      <c r="D409" s="2" t="s">
        <v>56</v>
      </c>
      <c r="F409" s="2" t="s">
        <v>308</v>
      </c>
      <c r="G409" s="2">
        <v>10059.743257</v>
      </c>
      <c r="H409" s="2" t="s">
        <v>27</v>
      </c>
    </row>
    <row r="410" ht="22.5" customHeight="1">
      <c r="A410" s="2" t="s">
        <v>19</v>
      </c>
      <c r="B410" s="2" t="s">
        <v>307</v>
      </c>
      <c r="C410" s="2" t="s">
        <v>21</v>
      </c>
      <c r="D410" s="2" t="s">
        <v>56</v>
      </c>
      <c r="F410" s="2" t="s">
        <v>308</v>
      </c>
      <c r="G410" s="2">
        <v>13202.829051</v>
      </c>
      <c r="H410" s="2" t="s">
        <v>26</v>
      </c>
    </row>
    <row r="411" ht="22.5" customHeight="1">
      <c r="A411" s="2" t="s">
        <v>19</v>
      </c>
      <c r="B411" s="2" t="s">
        <v>309</v>
      </c>
      <c r="C411" s="2" t="s">
        <v>21</v>
      </c>
      <c r="D411" s="2" t="s">
        <v>22</v>
      </c>
      <c r="E411" s="2" t="s">
        <v>45</v>
      </c>
      <c r="F411" s="2" t="s">
        <v>310</v>
      </c>
      <c r="G411" s="2">
        <v>17051.678181</v>
      </c>
      <c r="H411" s="2" t="s">
        <v>25</v>
      </c>
    </row>
    <row r="412" ht="22.5" customHeight="1">
      <c r="A412" s="2" t="s">
        <v>19</v>
      </c>
      <c r="B412" s="2" t="s">
        <v>309</v>
      </c>
      <c r="C412" s="2" t="s">
        <v>21</v>
      </c>
      <c r="D412" s="2" t="s">
        <v>22</v>
      </c>
      <c r="E412" s="2" t="s">
        <v>45</v>
      </c>
      <c r="F412" s="2" t="s">
        <v>310</v>
      </c>
      <c r="G412" s="2">
        <v>16753.580152</v>
      </c>
      <c r="H412" s="2" t="s">
        <v>27</v>
      </c>
    </row>
    <row r="413" ht="22.5" customHeight="1">
      <c r="A413" s="2" t="s">
        <v>19</v>
      </c>
      <c r="B413" s="2" t="s">
        <v>309</v>
      </c>
      <c r="C413" s="2" t="s">
        <v>21</v>
      </c>
      <c r="D413" s="2" t="s">
        <v>22</v>
      </c>
      <c r="E413" s="2" t="s">
        <v>45</v>
      </c>
      <c r="F413" s="2" t="s">
        <v>310</v>
      </c>
      <c r="G413" s="2">
        <v>16686.18456</v>
      </c>
      <c r="H413" s="2" t="s">
        <v>26</v>
      </c>
    </row>
    <row r="414" ht="22.5" customHeight="1">
      <c r="A414" s="2" t="s">
        <v>19</v>
      </c>
      <c r="B414" s="2" t="s">
        <v>311</v>
      </c>
      <c r="C414" s="2" t="s">
        <v>21</v>
      </c>
      <c r="D414" s="2" t="s">
        <v>22</v>
      </c>
      <c r="E414" s="2" t="s">
        <v>45</v>
      </c>
      <c r="F414" s="2" t="s">
        <v>312</v>
      </c>
      <c r="G414" s="2">
        <v>14145.9939</v>
      </c>
      <c r="H414" s="2" t="s">
        <v>26</v>
      </c>
    </row>
    <row r="415" ht="22.5" customHeight="1">
      <c r="A415" s="2" t="s">
        <v>19</v>
      </c>
      <c r="B415" s="2" t="s">
        <v>311</v>
      </c>
      <c r="C415" s="2" t="s">
        <v>21</v>
      </c>
      <c r="D415" s="2" t="s">
        <v>22</v>
      </c>
      <c r="E415" s="2" t="s">
        <v>45</v>
      </c>
      <c r="F415" s="2" t="s">
        <v>312</v>
      </c>
      <c r="G415" s="2">
        <v>16753.580152</v>
      </c>
      <c r="H415" s="2" t="s">
        <v>27</v>
      </c>
    </row>
    <row r="416" ht="22.5" customHeight="1">
      <c r="A416" s="2" t="s">
        <v>19</v>
      </c>
      <c r="B416" s="2" t="s">
        <v>311</v>
      </c>
      <c r="C416" s="2" t="s">
        <v>21</v>
      </c>
      <c r="D416" s="2" t="s">
        <v>22</v>
      </c>
      <c r="E416" s="2" t="s">
        <v>45</v>
      </c>
      <c r="F416" s="2" t="s">
        <v>312</v>
      </c>
      <c r="G416" s="2">
        <v>17051.678181</v>
      </c>
      <c r="H416" s="2" t="s">
        <v>25</v>
      </c>
    </row>
    <row r="417" ht="22.5" customHeight="1">
      <c r="A417" s="2" t="s">
        <v>19</v>
      </c>
      <c r="B417" s="2" t="s">
        <v>313</v>
      </c>
      <c r="C417" s="2" t="s">
        <v>21</v>
      </c>
      <c r="D417" s="2" t="s">
        <v>22</v>
      </c>
      <c r="E417" s="2" t="s">
        <v>295</v>
      </c>
      <c r="F417" s="2" t="s">
        <v>314</v>
      </c>
      <c r="G417" s="2">
        <v>15685.577941</v>
      </c>
      <c r="H417" s="2" t="s">
        <v>27</v>
      </c>
    </row>
    <row r="418" ht="22.5" customHeight="1">
      <c r="A418" s="2" t="s">
        <v>19</v>
      </c>
      <c r="B418" s="2" t="s">
        <v>313</v>
      </c>
      <c r="C418" s="2" t="s">
        <v>21</v>
      </c>
      <c r="D418" s="2" t="s">
        <v>22</v>
      </c>
      <c r="E418" s="2" t="s">
        <v>295</v>
      </c>
      <c r="F418" s="2" t="s">
        <v>314</v>
      </c>
      <c r="G418" s="2">
        <v>15989.399199</v>
      </c>
      <c r="H418" s="2" t="s">
        <v>25</v>
      </c>
    </row>
    <row r="419" ht="22.5" customHeight="1">
      <c r="A419" s="2" t="s">
        <v>19</v>
      </c>
      <c r="B419" s="2" t="s">
        <v>313</v>
      </c>
      <c r="C419" s="2" t="s">
        <v>21</v>
      </c>
      <c r="D419" s="2" t="s">
        <v>22</v>
      </c>
      <c r="E419" s="2" t="s">
        <v>295</v>
      </c>
      <c r="F419" s="2" t="s">
        <v>314</v>
      </c>
      <c r="G419" s="2">
        <v>15881.92591</v>
      </c>
      <c r="H419" s="2" t="s">
        <v>26</v>
      </c>
    </row>
    <row r="420" ht="22.5" customHeight="1">
      <c r="A420" s="2" t="s">
        <v>19</v>
      </c>
      <c r="B420" s="2" t="s">
        <v>315</v>
      </c>
      <c r="C420" s="2" t="s">
        <v>32</v>
      </c>
      <c r="D420" s="2" t="s">
        <v>193</v>
      </c>
      <c r="F420" s="2" t="s">
        <v>316</v>
      </c>
      <c r="G420" s="2">
        <v>7350.0</v>
      </c>
      <c r="H420" s="2" t="s">
        <v>25</v>
      </c>
    </row>
    <row r="421" ht="22.5" customHeight="1">
      <c r="A421" s="2" t="s">
        <v>19</v>
      </c>
      <c r="B421" s="2" t="s">
        <v>317</v>
      </c>
      <c r="C421" s="2" t="s">
        <v>21</v>
      </c>
      <c r="D421" s="2" t="s">
        <v>22</v>
      </c>
      <c r="E421" s="2" t="s">
        <v>42</v>
      </c>
      <c r="F421" s="2" t="s">
        <v>318</v>
      </c>
      <c r="G421" s="2">
        <v>16335.548181</v>
      </c>
      <c r="H421" s="2" t="s">
        <v>25</v>
      </c>
    </row>
    <row r="422" ht="22.5" customHeight="1">
      <c r="A422" s="2" t="s">
        <v>19</v>
      </c>
      <c r="B422" s="2" t="s">
        <v>317</v>
      </c>
      <c r="C422" s="2" t="s">
        <v>21</v>
      </c>
      <c r="D422" s="2" t="s">
        <v>22</v>
      </c>
      <c r="E422" s="2" t="s">
        <v>42</v>
      </c>
      <c r="F422" s="2" t="s">
        <v>318</v>
      </c>
      <c r="G422" s="3">
        <v>14227.44</v>
      </c>
      <c r="H422" s="2" t="s">
        <v>26</v>
      </c>
    </row>
    <row r="423" ht="22.5" customHeight="1">
      <c r="A423" s="2" t="s">
        <v>19</v>
      </c>
      <c r="B423" s="2" t="s">
        <v>317</v>
      </c>
      <c r="C423" s="2" t="s">
        <v>21</v>
      </c>
      <c r="D423" s="2" t="s">
        <v>22</v>
      </c>
      <c r="E423" s="2" t="s">
        <v>42</v>
      </c>
      <c r="F423" s="2" t="s">
        <v>318</v>
      </c>
      <c r="G423" s="2">
        <v>17823.580152</v>
      </c>
      <c r="H423" s="2" t="s">
        <v>27</v>
      </c>
    </row>
    <row r="424" ht="22.5" customHeight="1">
      <c r="A424" s="2" t="s">
        <v>19</v>
      </c>
      <c r="B424" s="2" t="s">
        <v>317</v>
      </c>
      <c r="C424" s="2" t="s">
        <v>21</v>
      </c>
      <c r="D424" s="2" t="s">
        <v>22</v>
      </c>
      <c r="E424" s="2" t="s">
        <v>42</v>
      </c>
      <c r="F424" s="2" t="s">
        <v>318</v>
      </c>
      <c r="G424" s="3">
        <v>14227.44</v>
      </c>
      <c r="H424" s="4" t="s">
        <v>28</v>
      </c>
    </row>
    <row r="425" ht="22.5" customHeight="1">
      <c r="A425" s="2" t="s">
        <v>19</v>
      </c>
      <c r="B425" s="2" t="s">
        <v>319</v>
      </c>
      <c r="C425" s="2" t="s">
        <v>32</v>
      </c>
      <c r="D425" s="2" t="s">
        <v>103</v>
      </c>
      <c r="F425" s="2" t="s">
        <v>320</v>
      </c>
      <c r="G425" s="2">
        <v>21120.15378</v>
      </c>
      <c r="H425" s="2" t="s">
        <v>27</v>
      </c>
    </row>
    <row r="426" ht="22.5" customHeight="1">
      <c r="A426" s="2" t="s">
        <v>19</v>
      </c>
      <c r="B426" s="2" t="s">
        <v>319</v>
      </c>
      <c r="C426" s="2" t="s">
        <v>32</v>
      </c>
      <c r="D426" s="2" t="s">
        <v>103</v>
      </c>
      <c r="F426" s="2" t="s">
        <v>320</v>
      </c>
      <c r="G426" s="2">
        <v>21517.17472</v>
      </c>
      <c r="H426" s="2" t="s">
        <v>25</v>
      </c>
    </row>
    <row r="427" ht="22.5" customHeight="1">
      <c r="A427" s="2" t="s">
        <v>19</v>
      </c>
      <c r="B427" s="2" t="s">
        <v>319</v>
      </c>
      <c r="C427" s="2" t="s">
        <v>32</v>
      </c>
      <c r="D427" s="2" t="s">
        <v>103</v>
      </c>
      <c r="F427" s="2" t="s">
        <v>320</v>
      </c>
      <c r="G427" s="2">
        <v>21243.28296</v>
      </c>
      <c r="H427" s="2" t="s">
        <v>26</v>
      </c>
    </row>
    <row r="428" ht="22.5" customHeight="1">
      <c r="A428" s="2" t="s">
        <v>19</v>
      </c>
      <c r="B428" s="2" t="s">
        <v>321</v>
      </c>
      <c r="C428" s="2" t="s">
        <v>32</v>
      </c>
      <c r="D428" s="2" t="s">
        <v>193</v>
      </c>
      <c r="E428" s="2" t="s">
        <v>23</v>
      </c>
      <c r="F428" s="2" t="s">
        <v>322</v>
      </c>
      <c r="G428" s="2">
        <v>13045.633175</v>
      </c>
      <c r="H428" s="2" t="s">
        <v>27</v>
      </c>
    </row>
    <row r="429" ht="22.5" customHeight="1">
      <c r="A429" s="2" t="s">
        <v>19</v>
      </c>
      <c r="B429" s="2" t="s">
        <v>321</v>
      </c>
      <c r="C429" s="2" t="s">
        <v>32</v>
      </c>
      <c r="D429" s="2" t="s">
        <v>193</v>
      </c>
      <c r="E429" s="2" t="s">
        <v>23</v>
      </c>
      <c r="F429" s="2" t="s">
        <v>322</v>
      </c>
      <c r="G429" s="2">
        <v>13291.944052</v>
      </c>
      <c r="H429" s="2" t="s">
        <v>25</v>
      </c>
    </row>
    <row r="430" ht="22.5" customHeight="1">
      <c r="A430" s="2" t="s">
        <v>19</v>
      </c>
      <c r="B430" s="2" t="s">
        <v>321</v>
      </c>
      <c r="C430" s="2" t="s">
        <v>32</v>
      </c>
      <c r="D430" s="2" t="s">
        <v>193</v>
      </c>
      <c r="E430" s="2" t="s">
        <v>23</v>
      </c>
      <c r="F430" s="2" t="s">
        <v>322</v>
      </c>
      <c r="G430" s="2">
        <v>14658.132292</v>
      </c>
      <c r="H430" s="2" t="s">
        <v>26</v>
      </c>
    </row>
    <row r="431" ht="22.5" customHeight="1">
      <c r="A431" s="2" t="s">
        <v>19</v>
      </c>
      <c r="B431" s="2" t="s">
        <v>323</v>
      </c>
      <c r="C431" s="2" t="s">
        <v>21</v>
      </c>
      <c r="D431" s="2" t="s">
        <v>56</v>
      </c>
      <c r="F431" s="2" t="s">
        <v>324</v>
      </c>
      <c r="G431" s="2">
        <v>16518.122589</v>
      </c>
      <c r="H431" s="2" t="s">
        <v>26</v>
      </c>
    </row>
    <row r="432" ht="22.5" customHeight="1">
      <c r="A432" s="2" t="s">
        <v>19</v>
      </c>
      <c r="B432" s="2" t="s">
        <v>323</v>
      </c>
      <c r="C432" s="2" t="s">
        <v>21</v>
      </c>
      <c r="D432" s="2" t="s">
        <v>56</v>
      </c>
      <c r="F432" s="2" t="s">
        <v>324</v>
      </c>
      <c r="G432" s="2">
        <v>16300.94857</v>
      </c>
      <c r="H432" s="2" t="s">
        <v>27</v>
      </c>
    </row>
    <row r="433" ht="22.5" customHeight="1">
      <c r="A433" s="2" t="s">
        <v>19</v>
      </c>
      <c r="B433" s="2" t="s">
        <v>323</v>
      </c>
      <c r="C433" s="2" t="s">
        <v>21</v>
      </c>
      <c r="D433" s="2" t="s">
        <v>56</v>
      </c>
      <c r="F433" s="2" t="s">
        <v>324</v>
      </c>
      <c r="G433" s="2">
        <v>16598.800683</v>
      </c>
      <c r="H433" s="2" t="s">
        <v>25</v>
      </c>
    </row>
    <row r="434" ht="22.5" customHeight="1">
      <c r="A434" s="2" t="s">
        <v>19</v>
      </c>
      <c r="B434" s="2" t="s">
        <v>325</v>
      </c>
      <c r="C434" s="2" t="s">
        <v>32</v>
      </c>
      <c r="D434" s="2" t="s">
        <v>118</v>
      </c>
      <c r="F434" s="2" t="s">
        <v>326</v>
      </c>
      <c r="G434" s="2">
        <v>66396.25229</v>
      </c>
      <c r="H434" s="2" t="s">
        <v>26</v>
      </c>
    </row>
    <row r="435" ht="22.5" customHeight="1">
      <c r="A435" s="2" t="s">
        <v>19</v>
      </c>
      <c r="B435" s="2" t="s">
        <v>327</v>
      </c>
      <c r="C435" s="2" t="s">
        <v>32</v>
      </c>
      <c r="D435" s="2" t="s">
        <v>118</v>
      </c>
      <c r="F435" s="2" t="s">
        <v>326</v>
      </c>
      <c r="G435" s="2">
        <v>68390.14405</v>
      </c>
      <c r="H435" s="2" t="s">
        <v>25</v>
      </c>
    </row>
    <row r="436" ht="22.5" customHeight="1">
      <c r="A436" s="2" t="s">
        <v>19</v>
      </c>
      <c r="B436" s="2" t="s">
        <v>327</v>
      </c>
      <c r="C436" s="2" t="s">
        <v>32</v>
      </c>
      <c r="D436" s="2" t="s">
        <v>118</v>
      </c>
      <c r="F436" s="2" t="s">
        <v>326</v>
      </c>
      <c r="G436" s="2">
        <v>67132.85317</v>
      </c>
      <c r="H436" s="2" t="s">
        <v>27</v>
      </c>
    </row>
    <row r="437" ht="22.5" customHeight="1">
      <c r="A437" s="2" t="s">
        <v>19</v>
      </c>
      <c r="B437" s="2" t="s">
        <v>328</v>
      </c>
      <c r="C437" s="2" t="s">
        <v>21</v>
      </c>
      <c r="D437" s="2" t="s">
        <v>22</v>
      </c>
      <c r="E437" s="2" t="s">
        <v>45</v>
      </c>
      <c r="F437" s="2" t="s">
        <v>329</v>
      </c>
      <c r="G437" s="2">
        <v>12011.248991</v>
      </c>
      <c r="H437" s="2" t="s">
        <v>26</v>
      </c>
    </row>
    <row r="438" ht="22.5" customHeight="1">
      <c r="A438" s="2" t="s">
        <v>19</v>
      </c>
      <c r="B438" s="2" t="s">
        <v>330</v>
      </c>
      <c r="C438" s="2" t="s">
        <v>21</v>
      </c>
      <c r="D438" s="2" t="s">
        <v>22</v>
      </c>
      <c r="E438" s="2" t="s">
        <v>45</v>
      </c>
      <c r="F438" s="2" t="s">
        <v>331</v>
      </c>
      <c r="G438" s="2">
        <v>18118.442615</v>
      </c>
      <c r="H438" s="2" t="s">
        <v>26</v>
      </c>
    </row>
    <row r="439" ht="22.5" customHeight="1">
      <c r="A439" s="2" t="s">
        <v>19</v>
      </c>
      <c r="B439" s="2" t="s">
        <v>330</v>
      </c>
      <c r="C439" s="2" t="s">
        <v>21</v>
      </c>
      <c r="D439" s="2" t="s">
        <v>22</v>
      </c>
      <c r="E439" s="2" t="s">
        <v>45</v>
      </c>
      <c r="F439" s="2" t="s">
        <v>331</v>
      </c>
      <c r="G439" s="2">
        <v>17836.51173</v>
      </c>
      <c r="H439" s="2" t="s">
        <v>27</v>
      </c>
    </row>
    <row r="440" ht="22.5" customHeight="1">
      <c r="A440" s="2" t="s">
        <v>19</v>
      </c>
      <c r="B440" s="2" t="s">
        <v>330</v>
      </c>
      <c r="C440" s="2" t="s">
        <v>21</v>
      </c>
      <c r="D440" s="2" t="s">
        <v>22</v>
      </c>
      <c r="E440" s="2" t="s">
        <v>45</v>
      </c>
      <c r="F440" s="2" t="s">
        <v>331</v>
      </c>
      <c r="G440" s="2">
        <v>17789.606693</v>
      </c>
      <c r="H440" s="2" t="s">
        <v>25</v>
      </c>
    </row>
    <row r="441" ht="22.5" customHeight="1">
      <c r="A441" s="2" t="s">
        <v>19</v>
      </c>
      <c r="B441" s="2" t="s">
        <v>332</v>
      </c>
      <c r="C441" s="2" t="s">
        <v>21</v>
      </c>
      <c r="D441" s="2" t="s">
        <v>22</v>
      </c>
      <c r="E441" s="2" t="s">
        <v>45</v>
      </c>
      <c r="F441" s="2" t="s">
        <v>333</v>
      </c>
      <c r="G441" s="2">
        <v>3184.9965</v>
      </c>
      <c r="H441" s="2" t="s">
        <v>26</v>
      </c>
    </row>
    <row r="442" ht="22.5" customHeight="1">
      <c r="A442" s="2" t="s">
        <v>19</v>
      </c>
      <c r="B442" s="2" t="s">
        <v>334</v>
      </c>
      <c r="C442" s="2" t="s">
        <v>21</v>
      </c>
      <c r="D442" s="2" t="s">
        <v>22</v>
      </c>
      <c r="E442" s="2" t="s">
        <v>45</v>
      </c>
      <c r="F442" s="2" t="s">
        <v>335</v>
      </c>
      <c r="G442" s="3">
        <v>16103.010583000001</v>
      </c>
      <c r="H442" s="2" t="s">
        <v>26</v>
      </c>
    </row>
    <row r="443" ht="22.5" customHeight="1">
      <c r="A443" s="2" t="s">
        <v>19</v>
      </c>
      <c r="B443" s="2" t="s">
        <v>334</v>
      </c>
      <c r="C443" s="2" t="s">
        <v>21</v>
      </c>
      <c r="D443" s="2" t="s">
        <v>22</v>
      </c>
      <c r="E443" s="2" t="s">
        <v>45</v>
      </c>
      <c r="F443" s="2" t="s">
        <v>335</v>
      </c>
      <c r="G443" s="2">
        <v>17823.580152</v>
      </c>
      <c r="H443" s="2" t="s">
        <v>27</v>
      </c>
    </row>
    <row r="444" ht="22.5" customHeight="1">
      <c r="A444" s="2" t="s">
        <v>19</v>
      </c>
      <c r="B444" s="2" t="s">
        <v>334</v>
      </c>
      <c r="C444" s="2" t="s">
        <v>21</v>
      </c>
      <c r="D444" s="2" t="s">
        <v>22</v>
      </c>
      <c r="E444" s="2" t="s">
        <v>45</v>
      </c>
      <c r="F444" s="2" t="s">
        <v>335</v>
      </c>
      <c r="G444" s="2">
        <v>18141.678181</v>
      </c>
      <c r="H444" s="2" t="s">
        <v>25</v>
      </c>
    </row>
    <row r="445" ht="22.5" customHeight="1">
      <c r="A445" s="2" t="s">
        <v>19</v>
      </c>
      <c r="B445" s="2" t="s">
        <v>334</v>
      </c>
      <c r="C445" s="2" t="s">
        <v>21</v>
      </c>
      <c r="D445" s="2" t="s">
        <v>22</v>
      </c>
      <c r="E445" s="2" t="s">
        <v>45</v>
      </c>
      <c r="F445" s="2" t="s">
        <v>335</v>
      </c>
      <c r="G445" s="3">
        <v>14227.44</v>
      </c>
      <c r="H445" s="4" t="s">
        <v>28</v>
      </c>
    </row>
    <row r="446" ht="22.5" customHeight="1">
      <c r="A446" s="2" t="s">
        <v>19</v>
      </c>
      <c r="B446" s="2" t="s">
        <v>336</v>
      </c>
      <c r="C446" s="2" t="s">
        <v>21</v>
      </c>
      <c r="D446" s="2" t="s">
        <v>22</v>
      </c>
      <c r="E446" s="2" t="s">
        <v>42</v>
      </c>
      <c r="F446" s="2" t="s">
        <v>337</v>
      </c>
      <c r="G446" s="3">
        <v>19567.74224</v>
      </c>
      <c r="H446" s="2" t="s">
        <v>26</v>
      </c>
    </row>
    <row r="447" ht="22.5" customHeight="1">
      <c r="A447" s="2" t="s">
        <v>19</v>
      </c>
      <c r="B447" s="2" t="s">
        <v>336</v>
      </c>
      <c r="C447" s="2" t="s">
        <v>21</v>
      </c>
      <c r="D447" s="2" t="s">
        <v>22</v>
      </c>
      <c r="E447" s="2" t="s">
        <v>42</v>
      </c>
      <c r="F447" s="2" t="s">
        <v>337</v>
      </c>
      <c r="G447" s="3">
        <v>13768.16</v>
      </c>
      <c r="H447" s="4" t="s">
        <v>28</v>
      </c>
    </row>
    <row r="448" ht="22.5" customHeight="1">
      <c r="A448" s="2" t="s">
        <v>19</v>
      </c>
      <c r="B448" s="2" t="s">
        <v>338</v>
      </c>
      <c r="C448" s="2" t="s">
        <v>21</v>
      </c>
      <c r="D448" s="2" t="s">
        <v>22</v>
      </c>
      <c r="E448" s="2" t="s">
        <v>23</v>
      </c>
      <c r="F448" s="2" t="s">
        <v>339</v>
      </c>
      <c r="G448" s="2">
        <v>7350.0</v>
      </c>
      <c r="H448" s="2" t="s">
        <v>25</v>
      </c>
    </row>
    <row r="449" ht="22.5" customHeight="1">
      <c r="A449" s="2" t="s">
        <v>19</v>
      </c>
      <c r="B449" s="2" t="s">
        <v>338</v>
      </c>
      <c r="C449" s="2" t="s">
        <v>21</v>
      </c>
      <c r="D449" s="2" t="s">
        <v>22</v>
      </c>
      <c r="E449" s="2" t="s">
        <v>23</v>
      </c>
      <c r="F449" s="2" t="s">
        <v>339</v>
      </c>
      <c r="G449" s="2">
        <v>3675.0</v>
      </c>
      <c r="H449" s="2" t="s">
        <v>27</v>
      </c>
    </row>
    <row r="450" ht="22.5" customHeight="1">
      <c r="A450" s="2" t="s">
        <v>19</v>
      </c>
      <c r="B450" s="2" t="s">
        <v>340</v>
      </c>
      <c r="C450" s="2" t="s">
        <v>21</v>
      </c>
      <c r="D450" s="2" t="s">
        <v>22</v>
      </c>
      <c r="E450" s="2" t="s">
        <v>45</v>
      </c>
      <c r="F450" s="2" t="s">
        <v>341</v>
      </c>
      <c r="G450" s="3">
        <v>18427.440000000002</v>
      </c>
      <c r="H450" s="2" t="s">
        <v>26</v>
      </c>
    </row>
    <row r="451" ht="22.5" customHeight="1">
      <c r="A451" s="2" t="s">
        <v>19</v>
      </c>
      <c r="B451" s="2" t="s">
        <v>340</v>
      </c>
      <c r="C451" s="2" t="s">
        <v>21</v>
      </c>
      <c r="D451" s="2" t="s">
        <v>22</v>
      </c>
      <c r="E451" s="2" t="s">
        <v>45</v>
      </c>
      <c r="F451" s="2" t="s">
        <v>341</v>
      </c>
      <c r="G451" s="2">
        <v>22103.58015</v>
      </c>
      <c r="H451" s="2" t="s">
        <v>27</v>
      </c>
    </row>
    <row r="452" ht="22.5" customHeight="1">
      <c r="A452" s="2" t="s">
        <v>19</v>
      </c>
      <c r="B452" s="2" t="s">
        <v>340</v>
      </c>
      <c r="C452" s="2" t="s">
        <v>21</v>
      </c>
      <c r="D452" s="2" t="s">
        <v>22</v>
      </c>
      <c r="E452" s="2" t="s">
        <v>45</v>
      </c>
      <c r="F452" s="2" t="s">
        <v>341</v>
      </c>
      <c r="G452" s="2">
        <v>8223.170779</v>
      </c>
      <c r="H452" s="2" t="s">
        <v>25</v>
      </c>
    </row>
    <row r="453" ht="22.5" customHeight="1">
      <c r="A453" s="2" t="s">
        <v>19</v>
      </c>
      <c r="B453" s="2" t="s">
        <v>340</v>
      </c>
      <c r="C453" s="2" t="s">
        <v>21</v>
      </c>
      <c r="D453" s="2" t="s">
        <v>22</v>
      </c>
      <c r="E453" s="2" t="s">
        <v>45</v>
      </c>
      <c r="F453" s="2" t="s">
        <v>341</v>
      </c>
      <c r="G453" s="3">
        <v>18427.440000000002</v>
      </c>
      <c r="H453" s="4" t="s">
        <v>28</v>
      </c>
    </row>
    <row r="454" ht="22.5" customHeight="1">
      <c r="A454" s="2" t="s">
        <v>19</v>
      </c>
      <c r="B454" s="2" t="s">
        <v>342</v>
      </c>
      <c r="C454" s="2" t="s">
        <v>21</v>
      </c>
      <c r="D454" s="2" t="s">
        <v>22</v>
      </c>
      <c r="E454" s="2" t="s">
        <v>23</v>
      </c>
      <c r="F454" s="2" t="s">
        <v>343</v>
      </c>
      <c r="G454" s="2">
        <v>14597.59959</v>
      </c>
      <c r="H454" s="2" t="s">
        <v>27</v>
      </c>
    </row>
    <row r="455" ht="22.5" customHeight="1">
      <c r="A455" s="2" t="s">
        <v>19</v>
      </c>
      <c r="B455" s="2" t="s">
        <v>342</v>
      </c>
      <c r="C455" s="2" t="s">
        <v>21</v>
      </c>
      <c r="D455" s="2" t="s">
        <v>22</v>
      </c>
      <c r="E455" s="2" t="s">
        <v>23</v>
      </c>
      <c r="F455" s="2" t="s">
        <v>343</v>
      </c>
      <c r="G455" s="2">
        <v>15931.39405</v>
      </c>
      <c r="H455" s="2" t="s">
        <v>25</v>
      </c>
    </row>
    <row r="456" ht="22.5" customHeight="1">
      <c r="A456" s="2" t="s">
        <v>19</v>
      </c>
      <c r="B456" s="2" t="s">
        <v>342</v>
      </c>
      <c r="C456" s="2" t="s">
        <v>21</v>
      </c>
      <c r="D456" s="2" t="s">
        <v>22</v>
      </c>
      <c r="E456" s="2" t="s">
        <v>23</v>
      </c>
      <c r="F456" s="2" t="s">
        <v>343</v>
      </c>
      <c r="G456" s="2">
        <v>11622.781714</v>
      </c>
      <c r="H456" s="2" t="s">
        <v>26</v>
      </c>
    </row>
    <row r="457" ht="22.5" customHeight="1">
      <c r="A457" s="2" t="s">
        <v>19</v>
      </c>
      <c r="B457" s="2" t="s">
        <v>344</v>
      </c>
      <c r="C457" s="2" t="s">
        <v>21</v>
      </c>
      <c r="D457" s="2" t="s">
        <v>22</v>
      </c>
      <c r="E457" s="2" t="s">
        <v>45</v>
      </c>
      <c r="F457" s="2" t="s">
        <v>345</v>
      </c>
      <c r="G457" s="3">
        <v>28370.03</v>
      </c>
      <c r="H457" s="2" t="s">
        <v>26</v>
      </c>
    </row>
    <row r="458" ht="22.5" customHeight="1">
      <c r="A458" s="2" t="s">
        <v>19</v>
      </c>
      <c r="B458" s="2" t="s">
        <v>344</v>
      </c>
      <c r="C458" s="2" t="s">
        <v>21</v>
      </c>
      <c r="D458" s="2" t="s">
        <v>22</v>
      </c>
      <c r="E458" s="2" t="s">
        <v>45</v>
      </c>
      <c r="F458" s="2" t="s">
        <v>345</v>
      </c>
      <c r="G458" s="3">
        <v>29809.41921</v>
      </c>
      <c r="H458" s="2" t="s">
        <v>27</v>
      </c>
    </row>
    <row r="459" ht="22.5" customHeight="1">
      <c r="A459" s="2" t="s">
        <v>19</v>
      </c>
      <c r="B459" s="2" t="s">
        <v>344</v>
      </c>
      <c r="C459" s="2" t="s">
        <v>21</v>
      </c>
      <c r="D459" s="2" t="s">
        <v>22</v>
      </c>
      <c r="E459" s="2" t="s">
        <v>45</v>
      </c>
      <c r="F459" s="2" t="s">
        <v>345</v>
      </c>
      <c r="G459" s="2">
        <v>22339.29715</v>
      </c>
      <c r="H459" s="2" t="s">
        <v>25</v>
      </c>
    </row>
    <row r="460" ht="22.5" customHeight="1">
      <c r="A460" s="2" t="s">
        <v>19</v>
      </c>
      <c r="B460" s="2" t="s">
        <v>344</v>
      </c>
      <c r="C460" s="2" t="s">
        <v>21</v>
      </c>
      <c r="D460" s="2" t="s">
        <v>22</v>
      </c>
      <c r="E460" s="2" t="s">
        <v>45</v>
      </c>
      <c r="F460" s="2" t="s">
        <v>345</v>
      </c>
      <c r="G460" s="3">
        <v>27877.440000000002</v>
      </c>
      <c r="H460" s="4" t="s">
        <v>28</v>
      </c>
    </row>
    <row r="461" ht="22.5" customHeight="1">
      <c r="A461" s="2" t="s">
        <v>19</v>
      </c>
      <c r="B461" s="2" t="s">
        <v>346</v>
      </c>
      <c r="C461" s="2" t="s">
        <v>21</v>
      </c>
      <c r="D461" s="2" t="s">
        <v>22</v>
      </c>
      <c r="E461" s="2" t="s">
        <v>63</v>
      </c>
      <c r="F461" s="2" t="s">
        <v>347</v>
      </c>
      <c r="G461" s="2">
        <v>14563.097092</v>
      </c>
      <c r="H461" s="2" t="s">
        <v>27</v>
      </c>
    </row>
    <row r="462" ht="22.5" customHeight="1">
      <c r="A462" s="2" t="s">
        <v>19</v>
      </c>
      <c r="B462" s="2" t="s">
        <v>346</v>
      </c>
      <c r="C462" s="2" t="s">
        <v>21</v>
      </c>
      <c r="D462" s="2" t="s">
        <v>22</v>
      </c>
      <c r="E462" s="2" t="s">
        <v>63</v>
      </c>
      <c r="F462" s="2" t="s">
        <v>347</v>
      </c>
      <c r="G462" s="3">
        <v>8242.08</v>
      </c>
      <c r="H462" s="2" t="s">
        <v>26</v>
      </c>
    </row>
    <row r="463" ht="22.5" customHeight="1">
      <c r="A463" s="2" t="s">
        <v>19</v>
      </c>
      <c r="B463" s="2" t="s">
        <v>346</v>
      </c>
      <c r="C463" s="2" t="s">
        <v>21</v>
      </c>
      <c r="D463" s="2" t="s">
        <v>22</v>
      </c>
      <c r="E463" s="2" t="s">
        <v>63</v>
      </c>
      <c r="F463" s="2" t="s">
        <v>347</v>
      </c>
      <c r="G463" s="2">
        <v>8845.99814</v>
      </c>
      <c r="H463" s="2" t="s">
        <v>25</v>
      </c>
    </row>
    <row r="464" ht="22.5" customHeight="1">
      <c r="A464" s="2" t="s">
        <v>19</v>
      </c>
      <c r="B464" s="2" t="s">
        <v>346</v>
      </c>
      <c r="C464" s="2" t="s">
        <v>21</v>
      </c>
      <c r="D464" s="2" t="s">
        <v>22</v>
      </c>
      <c r="E464" s="2" t="s">
        <v>63</v>
      </c>
      <c r="F464" s="2" t="s">
        <v>347</v>
      </c>
      <c r="G464" s="3">
        <v>11077.44</v>
      </c>
      <c r="H464" s="4" t="s">
        <v>28</v>
      </c>
    </row>
    <row r="465" ht="22.5" customHeight="1">
      <c r="A465" s="2" t="s">
        <v>19</v>
      </c>
      <c r="B465" s="2" t="s">
        <v>348</v>
      </c>
      <c r="C465" s="2" t="s">
        <v>21</v>
      </c>
      <c r="D465" s="2" t="s">
        <v>22</v>
      </c>
      <c r="E465" s="2" t="s">
        <v>23</v>
      </c>
      <c r="F465" s="2" t="s">
        <v>349</v>
      </c>
      <c r="G465" s="2">
        <v>18627.68746</v>
      </c>
      <c r="H465" s="2" t="s">
        <v>27</v>
      </c>
    </row>
    <row r="466" ht="22.5" customHeight="1">
      <c r="A466" s="2" t="s">
        <v>19</v>
      </c>
      <c r="B466" s="2" t="s">
        <v>348</v>
      </c>
      <c r="C466" s="2" t="s">
        <v>21</v>
      </c>
      <c r="D466" s="2" t="s">
        <v>22</v>
      </c>
      <c r="E466" s="2" t="s">
        <v>23</v>
      </c>
      <c r="F466" s="2" t="s">
        <v>349</v>
      </c>
      <c r="G466" s="3">
        <v>16820.03</v>
      </c>
      <c r="H466" s="2" t="s">
        <v>26</v>
      </c>
    </row>
    <row r="467" ht="22.5" customHeight="1">
      <c r="A467" s="2" t="s">
        <v>19</v>
      </c>
      <c r="B467" s="2" t="s">
        <v>348</v>
      </c>
      <c r="C467" s="2" t="s">
        <v>21</v>
      </c>
      <c r="D467" s="2" t="s">
        <v>22</v>
      </c>
      <c r="E467" s="2" t="s">
        <v>23</v>
      </c>
      <c r="F467" s="2" t="s">
        <v>349</v>
      </c>
      <c r="G467" s="3">
        <v>16327.44</v>
      </c>
      <c r="H467" s="4" t="s">
        <v>28</v>
      </c>
    </row>
    <row r="468" ht="22.5" customHeight="1">
      <c r="A468" s="2" t="s">
        <v>19</v>
      </c>
      <c r="B468" s="2" t="s">
        <v>348</v>
      </c>
      <c r="C468" s="2" t="s">
        <v>21</v>
      </c>
      <c r="D468" s="2" t="s">
        <v>22</v>
      </c>
      <c r="E468" s="2" t="s">
        <v>23</v>
      </c>
      <c r="F468" s="2" t="s">
        <v>349</v>
      </c>
      <c r="G468" s="2">
        <v>20291.39405</v>
      </c>
      <c r="H468" s="2" t="s">
        <v>25</v>
      </c>
    </row>
    <row r="469" ht="22.5" customHeight="1">
      <c r="A469" s="2" t="s">
        <v>19</v>
      </c>
      <c r="B469" s="2" t="s">
        <v>350</v>
      </c>
      <c r="C469" s="4" t="s">
        <v>21</v>
      </c>
      <c r="D469" s="2" t="s">
        <v>22</v>
      </c>
      <c r="E469" s="2" t="s">
        <v>45</v>
      </c>
      <c r="F469" s="2" t="s">
        <v>351</v>
      </c>
      <c r="G469" s="2">
        <v>33868.44261</v>
      </c>
      <c r="H469" s="2" t="s">
        <v>26</v>
      </c>
    </row>
    <row r="470" ht="22.5" customHeight="1">
      <c r="A470" s="2" t="s">
        <v>19</v>
      </c>
      <c r="B470" s="2" t="s">
        <v>350</v>
      </c>
      <c r="C470" s="4" t="s">
        <v>21</v>
      </c>
      <c r="D470" s="2" t="s">
        <v>22</v>
      </c>
      <c r="E470" s="2" t="s">
        <v>45</v>
      </c>
      <c r="F470" s="2" t="s">
        <v>351</v>
      </c>
      <c r="G470" s="2">
        <v>32935.3767</v>
      </c>
      <c r="H470" s="2" t="s">
        <v>25</v>
      </c>
    </row>
    <row r="471" ht="22.5" customHeight="1">
      <c r="A471" s="2" t="s">
        <v>19</v>
      </c>
      <c r="B471" s="2" t="s">
        <v>350</v>
      </c>
      <c r="C471" s="4" t="s">
        <v>21</v>
      </c>
      <c r="D471" s="2" t="s">
        <v>22</v>
      </c>
      <c r="E471" s="2" t="s">
        <v>45</v>
      </c>
      <c r="F471" s="2" t="s">
        <v>351</v>
      </c>
      <c r="G471" s="2">
        <v>33886.51173</v>
      </c>
      <c r="H471" s="2" t="s">
        <v>27</v>
      </c>
    </row>
    <row r="472" ht="22.5" customHeight="1">
      <c r="A472" s="2" t="s">
        <v>19</v>
      </c>
      <c r="B472" s="2" t="s">
        <v>352</v>
      </c>
      <c r="C472" s="2" t="s">
        <v>21</v>
      </c>
      <c r="D472" s="2" t="s">
        <v>22</v>
      </c>
      <c r="E472" s="2" t="s">
        <v>53</v>
      </c>
      <c r="F472" s="2" t="s">
        <v>353</v>
      </c>
      <c r="G472" s="2">
        <v>21568.41622</v>
      </c>
      <c r="H472" s="2" t="s">
        <v>26</v>
      </c>
    </row>
    <row r="473" ht="22.5" customHeight="1">
      <c r="A473" s="2" t="s">
        <v>19</v>
      </c>
      <c r="B473" s="2" t="s">
        <v>354</v>
      </c>
      <c r="C473" s="2" t="s">
        <v>21</v>
      </c>
      <c r="D473" s="2" t="s">
        <v>22</v>
      </c>
      <c r="E473" s="2" t="s">
        <v>23</v>
      </c>
      <c r="F473" s="2" t="s">
        <v>355</v>
      </c>
      <c r="G473" s="2">
        <v>13042.93378</v>
      </c>
      <c r="H473" s="2" t="s">
        <v>27</v>
      </c>
    </row>
    <row r="474" ht="22.5" customHeight="1">
      <c r="A474" s="2" t="s">
        <v>19</v>
      </c>
      <c r="B474" s="2" t="s">
        <v>354</v>
      </c>
      <c r="C474" s="2" t="s">
        <v>21</v>
      </c>
      <c r="D474" s="2" t="s">
        <v>22</v>
      </c>
      <c r="E474" s="2" t="s">
        <v>23</v>
      </c>
      <c r="F474" s="2" t="s">
        <v>355</v>
      </c>
      <c r="G474" s="2">
        <v>13288.974718</v>
      </c>
      <c r="H474" s="2" t="s">
        <v>25</v>
      </c>
    </row>
    <row r="475" ht="22.5" customHeight="1">
      <c r="A475" s="2" t="s">
        <v>19</v>
      </c>
      <c r="B475" s="2" t="s">
        <v>354</v>
      </c>
      <c r="C475" s="2" t="s">
        <v>21</v>
      </c>
      <c r="D475" s="2" t="s">
        <v>22</v>
      </c>
      <c r="E475" s="2" t="s">
        <v>23</v>
      </c>
      <c r="F475" s="2" t="s">
        <v>355</v>
      </c>
      <c r="G475" s="3">
        <v>12127.44</v>
      </c>
      <c r="H475" s="4" t="s">
        <v>28</v>
      </c>
    </row>
    <row r="476" ht="22.5" customHeight="1">
      <c r="A476" s="2" t="s">
        <v>356</v>
      </c>
      <c r="B476" s="2" t="s">
        <v>357</v>
      </c>
      <c r="C476" s="2" t="s">
        <v>32</v>
      </c>
      <c r="D476" s="8" t="s">
        <v>56</v>
      </c>
      <c r="F476" s="5" t="s">
        <v>357</v>
      </c>
      <c r="G476" s="2">
        <v>3087.11</v>
      </c>
      <c r="L476" s="2"/>
      <c r="M476" s="9">
        <v>46082.0</v>
      </c>
      <c r="N476" s="2"/>
      <c r="O476" s="2"/>
      <c r="P476" s="2"/>
    </row>
    <row r="477" ht="22.5" customHeight="1">
      <c r="A477" s="2" t="s">
        <v>358</v>
      </c>
      <c r="B477" s="2" t="s">
        <v>359</v>
      </c>
      <c r="F477" s="5"/>
      <c r="G477" s="2">
        <v>-619202.69</v>
      </c>
      <c r="L477" s="2">
        <v>-619202.69</v>
      </c>
      <c r="M477" s="2" t="s">
        <v>360</v>
      </c>
      <c r="N477" s="2" t="s">
        <v>361</v>
      </c>
      <c r="O477" s="2">
        <v>303.0</v>
      </c>
      <c r="P477" s="2" t="s">
        <v>362</v>
      </c>
    </row>
    <row r="478" ht="22.5" customHeight="1">
      <c r="A478" s="4" t="s">
        <v>356</v>
      </c>
      <c r="B478" s="4" t="s">
        <v>363</v>
      </c>
      <c r="C478" s="4" t="s">
        <v>32</v>
      </c>
      <c r="D478" s="4" t="s">
        <v>39</v>
      </c>
      <c r="E478" s="4" t="s">
        <v>363</v>
      </c>
      <c r="F478" s="10"/>
      <c r="G478" s="4">
        <v>479.7</v>
      </c>
      <c r="H478" s="4"/>
      <c r="I478" s="4"/>
      <c r="J478" s="4"/>
      <c r="K478" s="4"/>
      <c r="L478" s="4"/>
      <c r="M478" s="4">
        <v>46082.0</v>
      </c>
      <c r="N478" s="4"/>
      <c r="O478" s="4"/>
      <c r="P478" s="4"/>
      <c r="Q478" s="4"/>
      <c r="R478" s="4"/>
      <c r="S478" s="4"/>
    </row>
    <row r="479" ht="22.5" customHeight="1">
      <c r="A479" s="2" t="s">
        <v>19</v>
      </c>
      <c r="B479" s="2" t="s">
        <v>354</v>
      </c>
      <c r="C479" s="2" t="s">
        <v>21</v>
      </c>
      <c r="D479" s="2" t="s">
        <v>22</v>
      </c>
      <c r="E479" s="2" t="s">
        <v>23</v>
      </c>
      <c r="F479" s="2" t="s">
        <v>355</v>
      </c>
      <c r="G479" s="3">
        <v>9292.08</v>
      </c>
      <c r="H479" s="2" t="s">
        <v>26</v>
      </c>
    </row>
    <row r="480" ht="22.5" customHeight="1">
      <c r="A480" s="2" t="s">
        <v>358</v>
      </c>
      <c r="B480" s="2" t="s">
        <v>359</v>
      </c>
      <c r="F480" s="5"/>
      <c r="G480" s="2">
        <v>-33600.0</v>
      </c>
      <c r="L480" s="2">
        <v>-33600.0</v>
      </c>
      <c r="M480" s="2" t="s">
        <v>360</v>
      </c>
      <c r="N480" s="2" t="s">
        <v>361</v>
      </c>
      <c r="O480" s="2">
        <v>303.0</v>
      </c>
      <c r="P480" s="2" t="s">
        <v>362</v>
      </c>
    </row>
    <row r="481" ht="22.5" customHeight="1">
      <c r="A481" s="2" t="s">
        <v>364</v>
      </c>
      <c r="B481" s="5" t="s">
        <v>365</v>
      </c>
      <c r="C481" s="4" t="s">
        <v>32</v>
      </c>
      <c r="D481" s="8" t="s">
        <v>56</v>
      </c>
      <c r="F481" s="5"/>
      <c r="G481" s="4">
        <v>816.8222222</v>
      </c>
      <c r="L481" s="2">
        <v>106.0</v>
      </c>
      <c r="M481" s="2" t="s">
        <v>366</v>
      </c>
      <c r="N481" s="2" t="s">
        <v>361</v>
      </c>
      <c r="O481" s="2">
        <v>271.0</v>
      </c>
      <c r="P481" s="2" t="s">
        <v>364</v>
      </c>
    </row>
    <row r="482" ht="22.5" customHeight="1">
      <c r="A482" s="2" t="s">
        <v>364</v>
      </c>
      <c r="B482" s="5" t="s">
        <v>365</v>
      </c>
      <c r="C482" s="4" t="s">
        <v>32</v>
      </c>
      <c r="D482" s="8" t="s">
        <v>103</v>
      </c>
      <c r="F482" s="5"/>
      <c r="G482" s="4">
        <v>58.34444444</v>
      </c>
      <c r="L482" s="2">
        <v>192.0</v>
      </c>
      <c r="M482" s="2" t="s">
        <v>366</v>
      </c>
      <c r="N482" s="2" t="s">
        <v>361</v>
      </c>
      <c r="O482" s="2">
        <v>271.0</v>
      </c>
      <c r="P482" s="2" t="s">
        <v>364</v>
      </c>
    </row>
    <row r="483" ht="22.5" customHeight="1">
      <c r="A483" s="2" t="s">
        <v>364</v>
      </c>
      <c r="B483" s="5" t="s">
        <v>365</v>
      </c>
      <c r="C483" s="4" t="s">
        <v>21</v>
      </c>
      <c r="D483" s="8" t="s">
        <v>22</v>
      </c>
      <c r="F483" s="5"/>
      <c r="G483" s="4">
        <v>1108.544444</v>
      </c>
      <c r="L483" s="2">
        <v>430.0</v>
      </c>
      <c r="M483" s="2" t="s">
        <v>366</v>
      </c>
      <c r="N483" s="2" t="s">
        <v>361</v>
      </c>
      <c r="O483" s="2">
        <v>271.0</v>
      </c>
      <c r="P483" s="2" t="s">
        <v>364</v>
      </c>
    </row>
    <row r="484" ht="22.5" customHeight="1">
      <c r="A484" s="4" t="s">
        <v>364</v>
      </c>
      <c r="B484" s="5" t="s">
        <v>365</v>
      </c>
      <c r="C484" s="4" t="s">
        <v>32</v>
      </c>
      <c r="D484" s="8" t="s">
        <v>193</v>
      </c>
      <c r="F484" s="5"/>
      <c r="G484" s="4">
        <v>155.5851852</v>
      </c>
      <c r="L484" s="2">
        <v>1897.5</v>
      </c>
      <c r="M484" s="2" t="s">
        <v>366</v>
      </c>
      <c r="N484" s="2" t="s">
        <v>361</v>
      </c>
      <c r="O484" s="2">
        <v>271.0</v>
      </c>
      <c r="P484" s="2" t="s">
        <v>364</v>
      </c>
    </row>
    <row r="485" ht="22.5" customHeight="1">
      <c r="A485" s="4" t="s">
        <v>364</v>
      </c>
      <c r="B485" s="5" t="s">
        <v>365</v>
      </c>
      <c r="C485" s="4" t="s">
        <v>32</v>
      </c>
      <c r="D485" s="4" t="s">
        <v>39</v>
      </c>
      <c r="E485" s="4"/>
      <c r="F485" s="10"/>
      <c r="G485" s="4">
        <v>87.51666667</v>
      </c>
      <c r="H485" s="4"/>
      <c r="I485" s="4"/>
      <c r="J485" s="4"/>
      <c r="K485" s="4"/>
      <c r="L485" s="4"/>
      <c r="M485" s="4" t="s">
        <v>366</v>
      </c>
      <c r="N485" s="4"/>
      <c r="O485" s="4"/>
      <c r="P485" s="4"/>
      <c r="Q485" s="4"/>
      <c r="R485" s="4"/>
      <c r="S485" s="4"/>
    </row>
    <row r="486" ht="22.5" customHeight="1">
      <c r="A486" s="4" t="s">
        <v>364</v>
      </c>
      <c r="B486" s="5" t="s">
        <v>365</v>
      </c>
      <c r="C486" s="4" t="s">
        <v>32</v>
      </c>
      <c r="D486" s="4" t="s">
        <v>48</v>
      </c>
      <c r="E486" s="4"/>
      <c r="F486" s="10"/>
      <c r="G486" s="4">
        <v>311.1703704</v>
      </c>
      <c r="H486" s="4"/>
      <c r="I486" s="4"/>
      <c r="J486" s="4"/>
      <c r="K486" s="4"/>
      <c r="L486" s="4"/>
      <c r="M486" s="4" t="s">
        <v>366</v>
      </c>
      <c r="N486" s="4"/>
      <c r="O486" s="4"/>
      <c r="P486" s="4"/>
      <c r="Q486" s="4"/>
      <c r="R486" s="4"/>
      <c r="S486" s="4"/>
    </row>
    <row r="487" ht="22.5" customHeight="1">
      <c r="A487" s="4" t="s">
        <v>364</v>
      </c>
      <c r="B487" s="5" t="s">
        <v>365</v>
      </c>
      <c r="C487" s="4" t="s">
        <v>32</v>
      </c>
      <c r="D487" s="4" t="s">
        <v>118</v>
      </c>
      <c r="E487" s="4"/>
      <c r="F487" s="10"/>
      <c r="G487" s="4">
        <v>87.51666667</v>
      </c>
      <c r="H487" s="4"/>
      <c r="I487" s="4"/>
      <c r="J487" s="4"/>
      <c r="K487" s="4"/>
      <c r="L487" s="4"/>
      <c r="M487" s="4" t="s">
        <v>366</v>
      </c>
      <c r="N487" s="4"/>
      <c r="O487" s="4"/>
      <c r="P487" s="4"/>
      <c r="Q487" s="4"/>
      <c r="R487" s="4"/>
      <c r="S487" s="4"/>
    </row>
    <row r="488" ht="22.5" customHeight="1">
      <c r="A488" s="4" t="s">
        <v>367</v>
      </c>
      <c r="B488" s="4" t="s">
        <v>368</v>
      </c>
      <c r="C488" s="4" t="s">
        <v>21</v>
      </c>
      <c r="D488" s="4" t="s">
        <v>22</v>
      </c>
      <c r="E488" s="4"/>
      <c r="F488" s="4" t="s">
        <v>369</v>
      </c>
      <c r="G488" s="4">
        <v>101529.395</v>
      </c>
      <c r="H488" s="4"/>
      <c r="I488" s="4"/>
      <c r="J488" s="4"/>
      <c r="K488" s="4"/>
      <c r="L488" s="4"/>
      <c r="M488" s="4" t="s">
        <v>366</v>
      </c>
      <c r="N488" s="4"/>
      <c r="O488" s="4"/>
      <c r="P488" s="4"/>
      <c r="Q488" s="4"/>
      <c r="R488" s="4"/>
      <c r="S488" s="4"/>
    </row>
    <row r="489" ht="22.5" customHeight="1">
      <c r="A489" s="4" t="s">
        <v>367</v>
      </c>
      <c r="B489" s="4" t="s">
        <v>368</v>
      </c>
      <c r="C489" s="4" t="s">
        <v>32</v>
      </c>
      <c r="D489" s="4" t="s">
        <v>193</v>
      </c>
      <c r="E489" s="4"/>
      <c r="F489" s="4" t="s">
        <v>370</v>
      </c>
      <c r="G489" s="4">
        <v>101529.395</v>
      </c>
      <c r="H489" s="4"/>
      <c r="I489" s="4"/>
      <c r="J489" s="4"/>
      <c r="K489" s="4"/>
      <c r="L489" s="4"/>
      <c r="M489" s="4" t="s">
        <v>366</v>
      </c>
      <c r="N489" s="4"/>
      <c r="O489" s="4"/>
      <c r="P489" s="4"/>
      <c r="Q489" s="4"/>
      <c r="R489" s="4"/>
      <c r="S489" s="4"/>
    </row>
    <row r="490" ht="22.5" customHeight="1">
      <c r="A490" s="2" t="s">
        <v>371</v>
      </c>
      <c r="B490" s="2" t="s">
        <v>372</v>
      </c>
      <c r="C490" s="4" t="s">
        <v>373</v>
      </c>
      <c r="D490" s="4" t="s">
        <v>72</v>
      </c>
      <c r="F490" s="5"/>
      <c r="G490" s="2">
        <v>4258.36</v>
      </c>
      <c r="L490" s="2">
        <v>4258.36</v>
      </c>
      <c r="M490" s="2" t="s">
        <v>366</v>
      </c>
      <c r="N490" s="2" t="s">
        <v>361</v>
      </c>
      <c r="O490" s="2">
        <v>272.0</v>
      </c>
      <c r="P490" s="2" t="s">
        <v>374</v>
      </c>
    </row>
    <row r="491" ht="22.5" customHeight="1">
      <c r="A491" s="2" t="s">
        <v>371</v>
      </c>
      <c r="B491" s="2" t="s">
        <v>372</v>
      </c>
      <c r="C491" s="4" t="s">
        <v>373</v>
      </c>
      <c r="D491" s="4" t="s">
        <v>72</v>
      </c>
      <c r="F491" s="5"/>
      <c r="G491" s="2">
        <v>15365.54</v>
      </c>
      <c r="L491" s="2">
        <v>15365.54</v>
      </c>
      <c r="M491" s="2" t="s">
        <v>366</v>
      </c>
      <c r="N491" s="2" t="s">
        <v>361</v>
      </c>
      <c r="O491" s="2">
        <v>272.0</v>
      </c>
      <c r="P491" s="2" t="s">
        <v>375</v>
      </c>
    </row>
    <row r="492" ht="22.5" customHeight="1">
      <c r="A492" s="2" t="s">
        <v>371</v>
      </c>
      <c r="B492" s="2" t="s">
        <v>372</v>
      </c>
      <c r="C492" s="4" t="s">
        <v>373</v>
      </c>
      <c r="D492" s="4" t="s">
        <v>72</v>
      </c>
      <c r="F492" s="5"/>
      <c r="G492" s="2">
        <v>17316.68</v>
      </c>
      <c r="L492" s="2">
        <v>17316.68</v>
      </c>
      <c r="M492" s="2" t="s">
        <v>366</v>
      </c>
      <c r="N492" s="2" t="s">
        <v>361</v>
      </c>
      <c r="O492" s="2">
        <v>272.0</v>
      </c>
      <c r="P492" s="2" t="s">
        <v>375</v>
      </c>
    </row>
    <row r="493" ht="22.5" customHeight="1">
      <c r="A493" s="2" t="s">
        <v>375</v>
      </c>
      <c r="B493" s="2" t="s">
        <v>376</v>
      </c>
      <c r="C493" s="4" t="s">
        <v>32</v>
      </c>
      <c r="D493" s="2" t="s">
        <v>56</v>
      </c>
      <c r="F493" s="5"/>
      <c r="G493" s="4">
        <v>15289.59289</v>
      </c>
      <c r="L493" s="2">
        <v>3985.76</v>
      </c>
      <c r="M493" s="2" t="s">
        <v>366</v>
      </c>
      <c r="N493" s="2" t="s">
        <v>361</v>
      </c>
      <c r="O493" s="2">
        <v>272.0</v>
      </c>
      <c r="P493" s="2" t="s">
        <v>375</v>
      </c>
    </row>
    <row r="494" ht="22.5" customHeight="1">
      <c r="A494" s="2" t="s">
        <v>375</v>
      </c>
      <c r="B494" s="2" t="s">
        <v>376</v>
      </c>
      <c r="C494" s="4" t="s">
        <v>32</v>
      </c>
      <c r="D494" s="2" t="s">
        <v>103</v>
      </c>
      <c r="F494" s="5"/>
      <c r="G494" s="4">
        <v>1092.113778</v>
      </c>
      <c r="L494" s="2">
        <v>4172.27</v>
      </c>
      <c r="M494" s="2" t="s">
        <v>366</v>
      </c>
      <c r="N494" s="2" t="s">
        <v>361</v>
      </c>
      <c r="O494" s="2">
        <v>272.0</v>
      </c>
      <c r="P494" s="2" t="s">
        <v>375</v>
      </c>
    </row>
    <row r="495" ht="22.5" customHeight="1">
      <c r="A495" s="2" t="s">
        <v>375</v>
      </c>
      <c r="B495" s="2" t="s">
        <v>376</v>
      </c>
      <c r="C495" s="4" t="s">
        <v>21</v>
      </c>
      <c r="D495" s="2" t="s">
        <v>22</v>
      </c>
      <c r="F495" s="5"/>
      <c r="G495" s="4">
        <v>20750.16178</v>
      </c>
      <c r="L495" s="2">
        <v>4578.49</v>
      </c>
      <c r="M495" s="2" t="s">
        <v>366</v>
      </c>
      <c r="N495" s="2" t="s">
        <v>361</v>
      </c>
      <c r="O495" s="2">
        <v>272.0</v>
      </c>
      <c r="P495" s="2" t="s">
        <v>375</v>
      </c>
    </row>
    <row r="496" ht="22.5" customHeight="1">
      <c r="A496" s="2" t="s">
        <v>375</v>
      </c>
      <c r="B496" s="2" t="s">
        <v>376</v>
      </c>
      <c r="C496" s="4" t="s">
        <v>32</v>
      </c>
      <c r="D496" s="2" t="s">
        <v>193</v>
      </c>
      <c r="F496" s="5"/>
      <c r="G496" s="4">
        <v>2912.303407</v>
      </c>
      <c r="L496" s="2">
        <v>6890.7</v>
      </c>
      <c r="M496" s="2" t="s">
        <v>366</v>
      </c>
      <c r="N496" s="2" t="s">
        <v>361</v>
      </c>
      <c r="O496" s="2">
        <v>272.0</v>
      </c>
      <c r="P496" s="2" t="s">
        <v>375</v>
      </c>
    </row>
    <row r="497" ht="22.5" customHeight="1">
      <c r="A497" s="2" t="s">
        <v>375</v>
      </c>
      <c r="B497" s="2" t="s">
        <v>376</v>
      </c>
      <c r="C497" s="4" t="s">
        <v>32</v>
      </c>
      <c r="D497" s="2" t="s">
        <v>39</v>
      </c>
      <c r="F497" s="5"/>
      <c r="G497" s="4">
        <v>1638.170667</v>
      </c>
      <c r="L497" s="2">
        <v>7734.15</v>
      </c>
      <c r="M497" s="2" t="s">
        <v>366</v>
      </c>
      <c r="N497" s="2" t="s">
        <v>361</v>
      </c>
      <c r="O497" s="2">
        <v>272.0</v>
      </c>
      <c r="P497" s="2" t="s">
        <v>375</v>
      </c>
    </row>
    <row r="498" ht="22.5" customHeight="1">
      <c r="A498" s="2" t="s">
        <v>375</v>
      </c>
      <c r="B498" s="2" t="s">
        <v>376</v>
      </c>
      <c r="C498" s="4" t="s">
        <v>32</v>
      </c>
      <c r="D498" s="2" t="s">
        <v>48</v>
      </c>
      <c r="F498" s="5"/>
      <c r="G498" s="4">
        <v>5824.606815</v>
      </c>
      <c r="L498" s="2">
        <v>9987.58</v>
      </c>
      <c r="M498" s="2" t="s">
        <v>366</v>
      </c>
      <c r="N498" s="2" t="s">
        <v>361</v>
      </c>
      <c r="O498" s="2">
        <v>272.0</v>
      </c>
      <c r="P498" s="2" t="s">
        <v>375</v>
      </c>
    </row>
    <row r="499" ht="22.5" customHeight="1">
      <c r="A499" s="2" t="s">
        <v>375</v>
      </c>
      <c r="B499" s="2" t="s">
        <v>376</v>
      </c>
      <c r="C499" s="4" t="s">
        <v>32</v>
      </c>
      <c r="D499" s="2" t="s">
        <v>118</v>
      </c>
      <c r="F499" s="5"/>
      <c r="G499" s="4">
        <v>1638.170667</v>
      </c>
      <c r="L499" s="2">
        <v>11796.17</v>
      </c>
      <c r="M499" s="2" t="s">
        <v>366</v>
      </c>
      <c r="N499" s="2" t="s">
        <v>361</v>
      </c>
      <c r="O499" s="2">
        <v>272.0</v>
      </c>
      <c r="P499" s="2" t="s">
        <v>375</v>
      </c>
    </row>
    <row r="500" ht="22.5" customHeight="1">
      <c r="A500" s="2" t="s">
        <v>375</v>
      </c>
      <c r="B500" s="2" t="s">
        <v>377</v>
      </c>
      <c r="C500" s="4" t="s">
        <v>373</v>
      </c>
      <c r="D500" s="4" t="s">
        <v>72</v>
      </c>
      <c r="F500" s="5"/>
      <c r="G500" s="2">
        <v>11900.0</v>
      </c>
      <c r="L500" s="2">
        <v>11900.0</v>
      </c>
      <c r="M500" s="2" t="s">
        <v>366</v>
      </c>
      <c r="N500" s="2" t="s">
        <v>361</v>
      </c>
      <c r="O500" s="2">
        <v>272.0</v>
      </c>
      <c r="P500" s="2" t="s">
        <v>375</v>
      </c>
    </row>
    <row r="501" ht="22.5" customHeight="1">
      <c r="A501" s="2" t="s">
        <v>375</v>
      </c>
      <c r="B501" s="2" t="s">
        <v>378</v>
      </c>
      <c r="C501" s="4" t="s">
        <v>21</v>
      </c>
      <c r="D501" s="4" t="s">
        <v>22</v>
      </c>
      <c r="F501" s="5"/>
      <c r="G501" s="2">
        <v>2392.85</v>
      </c>
      <c r="L501" s="2">
        <v>2392.85</v>
      </c>
      <c r="M501" s="2" t="s">
        <v>366</v>
      </c>
      <c r="N501" s="2" t="s">
        <v>361</v>
      </c>
      <c r="O501" s="2">
        <v>272.0</v>
      </c>
      <c r="P501" s="2" t="s">
        <v>375</v>
      </c>
    </row>
    <row r="502" ht="22.5" customHeight="1">
      <c r="A502" s="2" t="s">
        <v>375</v>
      </c>
      <c r="B502" s="2" t="s">
        <v>378</v>
      </c>
      <c r="C502" s="4" t="s">
        <v>21</v>
      </c>
      <c r="D502" s="4" t="s">
        <v>22</v>
      </c>
      <c r="F502" s="5"/>
      <c r="G502" s="2">
        <v>2758.62</v>
      </c>
      <c r="L502" s="2">
        <v>2758.62</v>
      </c>
      <c r="M502" s="2" t="s">
        <v>366</v>
      </c>
      <c r="N502" s="2" t="s">
        <v>361</v>
      </c>
      <c r="O502" s="2">
        <v>272.0</v>
      </c>
      <c r="P502" s="2" t="s">
        <v>375</v>
      </c>
    </row>
    <row r="503" ht="22.5" customHeight="1">
      <c r="A503" s="2" t="s">
        <v>375</v>
      </c>
      <c r="B503" s="2" t="s">
        <v>378</v>
      </c>
      <c r="C503" s="4" t="s">
        <v>21</v>
      </c>
      <c r="D503" s="4" t="s">
        <v>22</v>
      </c>
      <c r="F503" s="5"/>
      <c r="G503" s="2">
        <v>5475.37</v>
      </c>
      <c r="L503" s="2">
        <v>5475.37</v>
      </c>
      <c r="M503" s="2" t="s">
        <v>366</v>
      </c>
      <c r="N503" s="2" t="s">
        <v>361</v>
      </c>
      <c r="O503" s="2">
        <v>272.0</v>
      </c>
      <c r="P503" s="2" t="s">
        <v>375</v>
      </c>
    </row>
    <row r="504" ht="22.5" customHeight="1">
      <c r="A504" s="2" t="s">
        <v>375</v>
      </c>
      <c r="B504" s="2" t="s">
        <v>379</v>
      </c>
      <c r="C504" s="4" t="s">
        <v>32</v>
      </c>
      <c r="D504" s="11" t="s">
        <v>56</v>
      </c>
      <c r="F504" s="5"/>
      <c r="G504" s="12">
        <v>145600.0</v>
      </c>
      <c r="L504" s="2"/>
      <c r="M504" s="2" t="s">
        <v>366</v>
      </c>
      <c r="N504" s="2" t="s">
        <v>361</v>
      </c>
      <c r="O504" s="2">
        <v>272.0</v>
      </c>
      <c r="P504" s="2" t="s">
        <v>375</v>
      </c>
    </row>
    <row r="505" ht="22.5" customHeight="1">
      <c r="A505" s="2" t="s">
        <v>375</v>
      </c>
      <c r="B505" s="2" t="s">
        <v>379</v>
      </c>
      <c r="C505" s="4" t="s">
        <v>32</v>
      </c>
      <c r="D505" s="11" t="s">
        <v>103</v>
      </c>
      <c r="F505" s="5"/>
      <c r="G505" s="12">
        <v>10400.0</v>
      </c>
      <c r="L505" s="2"/>
      <c r="M505" s="2" t="s">
        <v>366</v>
      </c>
      <c r="N505" s="2" t="s">
        <v>361</v>
      </c>
      <c r="O505" s="2">
        <v>272.0</v>
      </c>
      <c r="P505" s="2" t="s">
        <v>375</v>
      </c>
    </row>
    <row r="506" ht="22.5" customHeight="1">
      <c r="A506" s="2" t="s">
        <v>375</v>
      </c>
      <c r="B506" s="2" t="s">
        <v>379</v>
      </c>
      <c r="C506" s="4" t="s">
        <v>21</v>
      </c>
      <c r="D506" s="11" t="s">
        <v>22</v>
      </c>
      <c r="E506" s="4" t="s">
        <v>23</v>
      </c>
      <c r="F506" s="5"/>
      <c r="G506" s="12">
        <v>197600.0</v>
      </c>
      <c r="L506" s="2"/>
      <c r="M506" s="2" t="s">
        <v>366</v>
      </c>
      <c r="N506" s="2" t="s">
        <v>361</v>
      </c>
      <c r="O506" s="2">
        <v>272.0</v>
      </c>
      <c r="P506" s="2" t="s">
        <v>375</v>
      </c>
    </row>
    <row r="507" ht="22.5" customHeight="1">
      <c r="A507" s="4" t="s">
        <v>375</v>
      </c>
      <c r="B507" s="4" t="s">
        <v>379</v>
      </c>
      <c r="C507" s="4" t="s">
        <v>32</v>
      </c>
      <c r="D507" s="13" t="s">
        <v>193</v>
      </c>
      <c r="E507" s="4"/>
      <c r="F507" s="10"/>
      <c r="G507" s="12">
        <v>27733.33333</v>
      </c>
      <c r="H507" s="4"/>
      <c r="I507" s="4"/>
      <c r="J507" s="4"/>
      <c r="K507" s="4"/>
      <c r="L507" s="4"/>
      <c r="M507" s="4" t="s">
        <v>366</v>
      </c>
      <c r="N507" s="4"/>
      <c r="O507" s="4"/>
      <c r="P507" s="4"/>
      <c r="Q507" s="4"/>
      <c r="R507" s="4"/>
      <c r="S507" s="4"/>
    </row>
    <row r="508" ht="22.5" customHeight="1">
      <c r="A508" s="4" t="s">
        <v>375</v>
      </c>
      <c r="B508" s="4" t="s">
        <v>379</v>
      </c>
      <c r="C508" s="4" t="s">
        <v>32</v>
      </c>
      <c r="D508" s="13" t="s">
        <v>39</v>
      </c>
      <c r="E508" s="4"/>
      <c r="F508" s="10"/>
      <c r="G508" s="12">
        <v>15600.0</v>
      </c>
      <c r="H508" s="4"/>
      <c r="I508" s="4"/>
      <c r="J508" s="4"/>
      <c r="K508" s="4"/>
      <c r="L508" s="4"/>
      <c r="M508" s="4" t="s">
        <v>366</v>
      </c>
      <c r="N508" s="4"/>
      <c r="O508" s="4"/>
      <c r="P508" s="4"/>
      <c r="Q508" s="4"/>
      <c r="R508" s="4"/>
      <c r="S508" s="4"/>
    </row>
    <row r="509" ht="22.5" customHeight="1">
      <c r="A509" s="4" t="s">
        <v>375</v>
      </c>
      <c r="B509" s="4" t="s">
        <v>379</v>
      </c>
      <c r="C509" s="4" t="s">
        <v>32</v>
      </c>
      <c r="D509" s="13" t="s">
        <v>48</v>
      </c>
      <c r="E509" s="4"/>
      <c r="F509" s="10"/>
      <c r="G509" s="12">
        <v>55466.66667</v>
      </c>
      <c r="H509" s="4"/>
      <c r="I509" s="4"/>
      <c r="J509" s="4"/>
      <c r="K509" s="4"/>
      <c r="L509" s="4"/>
      <c r="M509" s="4" t="s">
        <v>366</v>
      </c>
      <c r="N509" s="4"/>
      <c r="O509" s="4"/>
      <c r="P509" s="4"/>
      <c r="Q509" s="4"/>
      <c r="R509" s="4"/>
      <c r="S509" s="4"/>
    </row>
    <row r="510" ht="22.5" customHeight="1">
      <c r="A510" s="4" t="s">
        <v>375</v>
      </c>
      <c r="B510" s="4" t="s">
        <v>379</v>
      </c>
      <c r="C510" s="4" t="s">
        <v>32</v>
      </c>
      <c r="D510" s="13" t="s">
        <v>118</v>
      </c>
      <c r="E510" s="4"/>
      <c r="F510" s="10"/>
      <c r="G510" s="12">
        <v>15600.0</v>
      </c>
      <c r="H510" s="4"/>
      <c r="I510" s="4"/>
      <c r="J510" s="4"/>
      <c r="K510" s="4"/>
      <c r="L510" s="4"/>
      <c r="M510" s="4" t="s">
        <v>366</v>
      </c>
      <c r="N510" s="4"/>
      <c r="O510" s="4"/>
      <c r="P510" s="4"/>
      <c r="Q510" s="4"/>
      <c r="R510" s="4"/>
      <c r="S510" s="4"/>
    </row>
    <row r="511" ht="22.5" customHeight="1">
      <c r="A511" s="4" t="s">
        <v>375</v>
      </c>
      <c r="B511" s="2" t="s">
        <v>380</v>
      </c>
      <c r="C511" s="4" t="s">
        <v>21</v>
      </c>
      <c r="D511" s="4" t="s">
        <v>22</v>
      </c>
      <c r="F511" s="5"/>
      <c r="G511" s="2">
        <v>4346.25</v>
      </c>
      <c r="L511" s="2">
        <v>4346.25</v>
      </c>
      <c r="M511" s="2" t="s">
        <v>366</v>
      </c>
      <c r="N511" s="2" t="s">
        <v>361</v>
      </c>
      <c r="O511" s="2">
        <v>275.0</v>
      </c>
      <c r="P511" s="2" t="s">
        <v>381</v>
      </c>
    </row>
    <row r="512" ht="22.5" customHeight="1">
      <c r="A512" s="2" t="s">
        <v>375</v>
      </c>
      <c r="B512" s="2" t="s">
        <v>382</v>
      </c>
      <c r="C512" s="4" t="s">
        <v>21</v>
      </c>
      <c r="D512" s="4" t="s">
        <v>22</v>
      </c>
      <c r="F512" s="5"/>
      <c r="G512" s="2">
        <v>4456.0</v>
      </c>
      <c r="L512" s="2">
        <v>4456.0</v>
      </c>
      <c r="M512" s="2" t="s">
        <v>366</v>
      </c>
      <c r="N512" s="2" t="s">
        <v>361</v>
      </c>
      <c r="O512" s="2">
        <v>293.0</v>
      </c>
      <c r="P512" s="2" t="s">
        <v>383</v>
      </c>
    </row>
    <row r="513" ht="22.5" customHeight="1">
      <c r="A513" s="2" t="s">
        <v>375</v>
      </c>
      <c r="B513" s="2" t="s">
        <v>382</v>
      </c>
      <c r="C513" s="4" t="s">
        <v>21</v>
      </c>
      <c r="D513" s="4" t="s">
        <v>22</v>
      </c>
      <c r="F513" s="5"/>
      <c r="G513" s="2">
        <v>4456.0</v>
      </c>
      <c r="L513" s="2">
        <v>4456.0</v>
      </c>
      <c r="M513" s="2" t="s">
        <v>366</v>
      </c>
      <c r="N513" s="2" t="s">
        <v>361</v>
      </c>
      <c r="O513" s="2">
        <v>293.0</v>
      </c>
      <c r="P513" s="2" t="s">
        <v>383</v>
      </c>
    </row>
    <row r="514" ht="22.5" customHeight="1">
      <c r="A514" s="2" t="s">
        <v>384</v>
      </c>
      <c r="B514" s="2" t="s">
        <v>385</v>
      </c>
      <c r="C514" s="4" t="s">
        <v>373</v>
      </c>
      <c r="D514" s="4" t="s">
        <v>72</v>
      </c>
      <c r="F514" s="5"/>
      <c r="G514" s="2">
        <v>19503.8</v>
      </c>
      <c r="L514" s="2">
        <v>19503.8</v>
      </c>
      <c r="M514" s="2" t="s">
        <v>366</v>
      </c>
      <c r="N514" s="2" t="s">
        <v>361</v>
      </c>
      <c r="O514" s="2">
        <v>272.0</v>
      </c>
      <c r="P514" s="2" t="s">
        <v>375</v>
      </c>
    </row>
    <row r="515" ht="22.5" customHeight="1">
      <c r="A515" s="2" t="s">
        <v>384</v>
      </c>
      <c r="B515" s="2" t="s">
        <v>386</v>
      </c>
      <c r="C515" s="4" t="s">
        <v>21</v>
      </c>
      <c r="D515" s="4" t="s">
        <v>72</v>
      </c>
      <c r="F515" s="4" t="s">
        <v>387</v>
      </c>
      <c r="G515" s="2">
        <v>17306.48</v>
      </c>
      <c r="L515" s="2">
        <v>17306.48</v>
      </c>
      <c r="M515" s="2" t="s">
        <v>366</v>
      </c>
      <c r="N515" s="2" t="s">
        <v>361</v>
      </c>
      <c r="O515" s="2">
        <v>272.0</v>
      </c>
      <c r="P515" s="2" t="s">
        <v>375</v>
      </c>
    </row>
    <row r="516" ht="22.5" customHeight="1">
      <c r="A516" s="2" t="s">
        <v>356</v>
      </c>
      <c r="B516" s="4" t="s">
        <v>388</v>
      </c>
      <c r="C516" s="2" t="s">
        <v>21</v>
      </c>
      <c r="D516" s="8" t="s">
        <v>22</v>
      </c>
      <c r="E516" s="8" t="s">
        <v>23</v>
      </c>
      <c r="F516" s="5"/>
      <c r="G516" s="3">
        <v>115700.88</v>
      </c>
      <c r="L516" s="2"/>
      <c r="M516" s="2" t="s">
        <v>366</v>
      </c>
      <c r="N516" s="2"/>
      <c r="O516" s="2"/>
      <c r="P516" s="2"/>
    </row>
    <row r="517" ht="22.5" customHeight="1">
      <c r="A517" s="2" t="s">
        <v>356</v>
      </c>
      <c r="B517" s="2" t="s">
        <v>389</v>
      </c>
      <c r="C517" s="2" t="s">
        <v>21</v>
      </c>
      <c r="D517" s="8" t="s">
        <v>22</v>
      </c>
      <c r="E517" s="8" t="s">
        <v>23</v>
      </c>
      <c r="F517" s="5" t="s">
        <v>389</v>
      </c>
      <c r="G517" s="3">
        <v>283.5</v>
      </c>
      <c r="L517" s="2"/>
      <c r="M517" s="2" t="s">
        <v>366</v>
      </c>
      <c r="N517" s="2"/>
      <c r="O517" s="2"/>
      <c r="P517" s="2"/>
    </row>
    <row r="518" ht="22.5" customHeight="1">
      <c r="A518" s="4" t="s">
        <v>384</v>
      </c>
      <c r="B518" s="2" t="s">
        <v>390</v>
      </c>
      <c r="C518" s="4" t="s">
        <v>32</v>
      </c>
      <c r="D518" s="4" t="s">
        <v>56</v>
      </c>
      <c r="F518" s="5"/>
      <c r="G518" s="2">
        <v>4275.0</v>
      </c>
      <c r="L518" s="2">
        <v>4275.0</v>
      </c>
      <c r="M518" s="2" t="s">
        <v>366</v>
      </c>
      <c r="N518" s="2" t="s">
        <v>361</v>
      </c>
      <c r="O518" s="2">
        <v>276.0</v>
      </c>
      <c r="P518" s="2" t="s">
        <v>391</v>
      </c>
    </row>
    <row r="519" ht="22.5" customHeight="1">
      <c r="A519" s="2" t="s">
        <v>356</v>
      </c>
      <c r="B519" s="5"/>
      <c r="C519" s="2" t="s">
        <v>21</v>
      </c>
      <c r="D519" s="8" t="s">
        <v>22</v>
      </c>
      <c r="E519" s="8" t="s">
        <v>63</v>
      </c>
      <c r="F519" s="5"/>
      <c r="G519" s="14">
        <v>276857.45</v>
      </c>
      <c r="L519" s="2"/>
      <c r="M519" s="2" t="s">
        <v>366</v>
      </c>
      <c r="N519" s="2"/>
      <c r="O519" s="2"/>
      <c r="P519" s="2"/>
    </row>
    <row r="520" ht="22.5" customHeight="1">
      <c r="A520" s="2" t="s">
        <v>356</v>
      </c>
      <c r="B520" s="5"/>
      <c r="C520" s="2" t="s">
        <v>21</v>
      </c>
      <c r="D520" s="8" t="s">
        <v>22</v>
      </c>
      <c r="E520" s="8" t="s">
        <v>45</v>
      </c>
      <c r="F520" s="5"/>
      <c r="G520" s="3">
        <v>116807.69</v>
      </c>
      <c r="L520" s="2"/>
      <c r="M520" s="2" t="s">
        <v>366</v>
      </c>
      <c r="N520" s="2"/>
      <c r="O520" s="2"/>
      <c r="P520" s="2"/>
    </row>
    <row r="521" ht="22.5" customHeight="1">
      <c r="A521" s="2" t="s">
        <v>356</v>
      </c>
      <c r="B521" s="5"/>
      <c r="C521" s="2" t="s">
        <v>21</v>
      </c>
      <c r="D521" s="8" t="s">
        <v>22</v>
      </c>
      <c r="E521" s="8" t="s">
        <v>392</v>
      </c>
      <c r="F521" s="5"/>
      <c r="G521" s="14">
        <v>15788.81</v>
      </c>
      <c r="L521" s="2"/>
      <c r="M521" s="2" t="s">
        <v>366</v>
      </c>
      <c r="N521" s="2"/>
      <c r="O521" s="2"/>
      <c r="P521" s="2"/>
    </row>
    <row r="522" ht="22.5" customHeight="1">
      <c r="A522" s="2" t="s">
        <v>356</v>
      </c>
      <c r="B522" s="2" t="s">
        <v>393</v>
      </c>
      <c r="C522" s="2" t="s">
        <v>32</v>
      </c>
      <c r="D522" s="8" t="s">
        <v>56</v>
      </c>
      <c r="F522" s="5" t="s">
        <v>393</v>
      </c>
      <c r="G522" s="14">
        <v>52488.89</v>
      </c>
      <c r="L522" s="2"/>
      <c r="M522" s="2" t="s">
        <v>366</v>
      </c>
      <c r="N522" s="2"/>
      <c r="O522" s="2"/>
      <c r="P522" s="2"/>
    </row>
    <row r="523" ht="22.5" customHeight="1">
      <c r="A523" s="2" t="s">
        <v>356</v>
      </c>
      <c r="B523" s="2" t="s">
        <v>394</v>
      </c>
      <c r="C523" s="2" t="s">
        <v>21</v>
      </c>
      <c r="D523" s="8" t="s">
        <v>56</v>
      </c>
      <c r="F523" s="5" t="s">
        <v>394</v>
      </c>
      <c r="G523" s="14">
        <v>5599.92</v>
      </c>
      <c r="L523" s="2"/>
      <c r="M523" s="2" t="s">
        <v>366</v>
      </c>
      <c r="N523" s="2"/>
      <c r="O523" s="2"/>
      <c r="P523" s="2"/>
    </row>
    <row r="524" ht="22.5" customHeight="1">
      <c r="A524" s="2" t="s">
        <v>395</v>
      </c>
      <c r="B524" s="2" t="s">
        <v>396</v>
      </c>
      <c r="C524" s="2" t="s">
        <v>21</v>
      </c>
      <c r="D524" s="4" t="s">
        <v>22</v>
      </c>
      <c r="F524" s="5"/>
      <c r="G524" s="2">
        <f>20826.33*70%</f>
        <v>14578.431</v>
      </c>
      <c r="L524" s="2">
        <v>20826.33</v>
      </c>
      <c r="M524" s="2" t="s">
        <v>366</v>
      </c>
      <c r="N524" s="2" t="s">
        <v>361</v>
      </c>
      <c r="O524" s="2">
        <v>272.0</v>
      </c>
      <c r="P524" s="2" t="s">
        <v>375</v>
      </c>
    </row>
    <row r="525" ht="22.5" customHeight="1">
      <c r="A525" s="2" t="s">
        <v>395</v>
      </c>
      <c r="B525" s="2" t="s">
        <v>396</v>
      </c>
      <c r="C525" s="2" t="s">
        <v>21</v>
      </c>
      <c r="D525" s="4" t="s">
        <v>56</v>
      </c>
      <c r="F525" s="5"/>
      <c r="G525" s="2">
        <f>20826.33*30%</f>
        <v>6247.899</v>
      </c>
      <c r="L525" s="2">
        <v>20826.33</v>
      </c>
      <c r="M525" s="2" t="s">
        <v>366</v>
      </c>
      <c r="N525" s="2" t="s">
        <v>361</v>
      </c>
      <c r="O525" s="2">
        <v>272.0</v>
      </c>
      <c r="P525" s="2" t="s">
        <v>375</v>
      </c>
    </row>
    <row r="526" ht="22.5" customHeight="1">
      <c r="A526" s="4" t="s">
        <v>397</v>
      </c>
      <c r="B526" s="2" t="s">
        <v>398</v>
      </c>
      <c r="C526" s="4" t="s">
        <v>32</v>
      </c>
      <c r="D526" s="4" t="s">
        <v>72</v>
      </c>
      <c r="F526" s="5"/>
      <c r="G526" s="2">
        <v>25000.0</v>
      </c>
      <c r="L526" s="2">
        <v>3370.7</v>
      </c>
      <c r="M526" s="2" t="s">
        <v>366</v>
      </c>
      <c r="N526" s="2" t="s">
        <v>361</v>
      </c>
      <c r="O526" s="2">
        <v>284.0</v>
      </c>
      <c r="P526" s="2" t="s">
        <v>399</v>
      </c>
    </row>
    <row r="527" ht="22.5" customHeight="1">
      <c r="A527" s="2" t="s">
        <v>397</v>
      </c>
      <c r="B527" s="2" t="s">
        <v>400</v>
      </c>
      <c r="C527" s="2" t="s">
        <v>32</v>
      </c>
      <c r="D527" s="4" t="s">
        <v>72</v>
      </c>
      <c r="F527" s="5"/>
      <c r="G527" s="4">
        <v>45000.0</v>
      </c>
      <c r="L527" s="2">
        <v>344.82</v>
      </c>
      <c r="M527" s="2" t="s">
        <v>366</v>
      </c>
      <c r="N527" s="2" t="s">
        <v>361</v>
      </c>
      <c r="O527" s="2">
        <v>273.0</v>
      </c>
      <c r="P527" s="2" t="s">
        <v>397</v>
      </c>
    </row>
    <row r="528" ht="22.5" customHeight="1">
      <c r="A528" s="2" t="s">
        <v>401</v>
      </c>
      <c r="B528" s="2" t="s">
        <v>402</v>
      </c>
      <c r="C528" s="4" t="s">
        <v>32</v>
      </c>
      <c r="D528" s="4" t="s">
        <v>118</v>
      </c>
      <c r="F528" s="5"/>
      <c r="G528" s="2">
        <v>8500.0</v>
      </c>
      <c r="L528" s="2">
        <v>8500.0</v>
      </c>
      <c r="M528" s="2" t="s">
        <v>366</v>
      </c>
      <c r="N528" s="2" t="s">
        <v>361</v>
      </c>
      <c r="O528" s="2">
        <v>288.0</v>
      </c>
      <c r="P528" s="2" t="s">
        <v>403</v>
      </c>
    </row>
    <row r="529" ht="22.5" customHeight="1">
      <c r="A529" s="4" t="s">
        <v>401</v>
      </c>
      <c r="B529" s="10" t="s">
        <v>404</v>
      </c>
      <c r="C529" s="4" t="s">
        <v>32</v>
      </c>
      <c r="D529" s="4" t="s">
        <v>48</v>
      </c>
      <c r="F529" s="5"/>
      <c r="G529" s="4">
        <v>5500.0</v>
      </c>
      <c r="L529" s="2"/>
      <c r="M529" s="2"/>
      <c r="N529" s="2"/>
      <c r="O529" s="2"/>
      <c r="P529" s="2"/>
    </row>
    <row r="530" ht="22.5" customHeight="1">
      <c r="A530" s="2" t="s">
        <v>401</v>
      </c>
      <c r="B530" s="2" t="s">
        <v>405</v>
      </c>
      <c r="C530" s="4" t="s">
        <v>32</v>
      </c>
      <c r="D530" s="4" t="s">
        <v>48</v>
      </c>
      <c r="F530" s="5"/>
      <c r="G530" s="2">
        <v>2689.66</v>
      </c>
      <c r="L530" s="2">
        <v>5500.0</v>
      </c>
      <c r="M530" s="2" t="s">
        <v>366</v>
      </c>
      <c r="N530" s="2" t="s">
        <v>361</v>
      </c>
      <c r="O530" s="2">
        <v>274.0</v>
      </c>
      <c r="P530" s="2" t="s">
        <v>401</v>
      </c>
    </row>
    <row r="531" ht="22.5" customHeight="1">
      <c r="A531" s="4" t="s">
        <v>397</v>
      </c>
      <c r="B531" s="2" t="s">
        <v>406</v>
      </c>
      <c r="C531" s="15" t="s">
        <v>32</v>
      </c>
      <c r="D531" s="8" t="s">
        <v>48</v>
      </c>
      <c r="F531" s="5"/>
      <c r="G531" s="2">
        <v>344.82</v>
      </c>
      <c r="L531" s="2">
        <v>2689.66</v>
      </c>
      <c r="M531" s="2" t="s">
        <v>366</v>
      </c>
      <c r="N531" s="2" t="s">
        <v>361</v>
      </c>
      <c r="O531" s="2">
        <v>274.0</v>
      </c>
      <c r="P531" s="2" t="s">
        <v>401</v>
      </c>
    </row>
    <row r="532" ht="22.5" customHeight="1">
      <c r="A532" s="2" t="s">
        <v>407</v>
      </c>
      <c r="B532" s="2" t="s">
        <v>408</v>
      </c>
      <c r="C532" s="2" t="s">
        <v>21</v>
      </c>
      <c r="D532" s="4" t="s">
        <v>22</v>
      </c>
      <c r="F532" s="5"/>
      <c r="G532" s="2">
        <f>19833.79*70%</f>
        <v>13883.653</v>
      </c>
      <c r="L532" s="2">
        <v>19833.79</v>
      </c>
      <c r="M532" s="2" t="s">
        <v>366</v>
      </c>
      <c r="N532" s="2" t="s">
        <v>361</v>
      </c>
      <c r="O532" s="2">
        <v>260.0</v>
      </c>
      <c r="P532" s="2" t="s">
        <v>407</v>
      </c>
    </row>
    <row r="533" ht="22.5" customHeight="1">
      <c r="A533" s="2" t="s">
        <v>407</v>
      </c>
      <c r="B533" s="2" t="s">
        <v>408</v>
      </c>
      <c r="C533" s="2" t="s">
        <v>21</v>
      </c>
      <c r="D533" s="4" t="s">
        <v>56</v>
      </c>
      <c r="F533" s="5"/>
      <c r="G533" s="2">
        <f>19833.79*30%</f>
        <v>5950.137</v>
      </c>
      <c r="L533" s="2">
        <v>19833.79</v>
      </c>
      <c r="M533" s="2" t="s">
        <v>366</v>
      </c>
      <c r="N533" s="2" t="s">
        <v>361</v>
      </c>
      <c r="O533" s="2">
        <v>260.0</v>
      </c>
      <c r="P533" s="2" t="s">
        <v>407</v>
      </c>
    </row>
    <row r="534" ht="22.5" customHeight="1">
      <c r="A534" s="2" t="s">
        <v>407</v>
      </c>
      <c r="B534" s="2" t="s">
        <v>409</v>
      </c>
      <c r="C534" s="2" t="s">
        <v>21</v>
      </c>
      <c r="D534" s="4" t="s">
        <v>22</v>
      </c>
      <c r="F534" s="5"/>
      <c r="G534" s="2">
        <v>858.75</v>
      </c>
      <c r="L534" s="2">
        <v>858.75</v>
      </c>
      <c r="M534" s="2" t="s">
        <v>366</v>
      </c>
      <c r="N534" s="2" t="s">
        <v>361</v>
      </c>
      <c r="O534" s="2">
        <v>295.0</v>
      </c>
      <c r="P534" s="2" t="s">
        <v>410</v>
      </c>
    </row>
    <row r="535" ht="22.5" customHeight="1">
      <c r="A535" s="2" t="s">
        <v>407</v>
      </c>
      <c r="B535" s="2" t="s">
        <v>409</v>
      </c>
      <c r="C535" s="2" t="s">
        <v>21</v>
      </c>
      <c r="D535" s="4" t="s">
        <v>56</v>
      </c>
      <c r="F535" s="5"/>
      <c r="G535" s="2">
        <v>858.75</v>
      </c>
      <c r="L535" s="2">
        <v>858.75</v>
      </c>
      <c r="M535" s="2" t="s">
        <v>366</v>
      </c>
      <c r="N535" s="2" t="s">
        <v>361</v>
      </c>
      <c r="O535" s="2">
        <v>295.0</v>
      </c>
      <c r="P535" s="2" t="s">
        <v>410</v>
      </c>
    </row>
    <row r="536" ht="22.5" customHeight="1">
      <c r="A536" s="2" t="s">
        <v>407</v>
      </c>
      <c r="B536" s="2" t="s">
        <v>409</v>
      </c>
      <c r="C536" s="2" t="s">
        <v>21</v>
      </c>
      <c r="D536" s="4" t="s">
        <v>22</v>
      </c>
      <c r="F536" s="5"/>
      <c r="G536" s="2">
        <v>1202.25</v>
      </c>
      <c r="L536" s="2">
        <v>1202.25</v>
      </c>
      <c r="M536" s="2" t="s">
        <v>366</v>
      </c>
      <c r="N536" s="2" t="s">
        <v>361</v>
      </c>
      <c r="O536" s="2">
        <v>295.0</v>
      </c>
      <c r="P536" s="2" t="s">
        <v>410</v>
      </c>
    </row>
    <row r="537" ht="22.5" customHeight="1">
      <c r="A537" s="2" t="s">
        <v>407</v>
      </c>
      <c r="B537" s="2" t="s">
        <v>409</v>
      </c>
      <c r="C537" s="2" t="s">
        <v>21</v>
      </c>
      <c r="D537" s="4" t="s">
        <v>56</v>
      </c>
      <c r="F537" s="5"/>
      <c r="G537" s="2">
        <v>1374.0</v>
      </c>
      <c r="L537" s="2">
        <v>1374.0</v>
      </c>
      <c r="M537" s="2" t="s">
        <v>366</v>
      </c>
      <c r="N537" s="2" t="s">
        <v>361</v>
      </c>
      <c r="O537" s="2">
        <v>295.0</v>
      </c>
      <c r="P537" s="2" t="s">
        <v>410</v>
      </c>
    </row>
    <row r="538" ht="22.5" customHeight="1">
      <c r="A538" s="2" t="s">
        <v>411</v>
      </c>
      <c r="B538" s="2" t="s">
        <v>412</v>
      </c>
      <c r="C538" s="2" t="s">
        <v>413</v>
      </c>
      <c r="D538" s="4" t="s">
        <v>72</v>
      </c>
      <c r="F538" s="5"/>
      <c r="G538" s="2">
        <v>3700.28</v>
      </c>
      <c r="L538" s="2">
        <v>3700.28</v>
      </c>
      <c r="M538" s="2" t="s">
        <v>414</v>
      </c>
      <c r="N538" s="2" t="s">
        <v>415</v>
      </c>
      <c r="O538" s="2">
        <v>202.0</v>
      </c>
      <c r="P538" s="2" t="s">
        <v>416</v>
      </c>
    </row>
    <row r="539" ht="22.5" customHeight="1">
      <c r="A539" s="2" t="s">
        <v>411</v>
      </c>
      <c r="B539" s="2" t="s">
        <v>417</v>
      </c>
      <c r="C539" s="2" t="s">
        <v>413</v>
      </c>
      <c r="D539" s="4" t="s">
        <v>72</v>
      </c>
      <c r="F539" s="5"/>
      <c r="G539" s="2">
        <v>524.48</v>
      </c>
      <c r="L539" s="2">
        <v>524.48</v>
      </c>
      <c r="M539" s="2" t="s">
        <v>418</v>
      </c>
      <c r="N539" s="2" t="s">
        <v>415</v>
      </c>
      <c r="O539" s="2">
        <v>240.0</v>
      </c>
      <c r="P539" s="2" t="s">
        <v>416</v>
      </c>
    </row>
    <row r="540" ht="22.5" customHeight="1">
      <c r="A540" s="2" t="s">
        <v>411</v>
      </c>
      <c r="B540" s="2" t="s">
        <v>419</v>
      </c>
      <c r="C540" s="2" t="s">
        <v>413</v>
      </c>
      <c r="D540" s="4" t="s">
        <v>72</v>
      </c>
      <c r="F540" s="5"/>
      <c r="G540" s="2">
        <v>9948.99</v>
      </c>
      <c r="L540" s="2">
        <v>9948.99</v>
      </c>
      <c r="M540" s="2" t="s">
        <v>418</v>
      </c>
      <c r="N540" s="2" t="s">
        <v>361</v>
      </c>
      <c r="O540" s="2">
        <v>400.0</v>
      </c>
      <c r="P540" s="2" t="s">
        <v>416</v>
      </c>
    </row>
    <row r="541" ht="22.5" customHeight="1">
      <c r="A541" s="2" t="s">
        <v>411</v>
      </c>
      <c r="B541" s="2" t="s">
        <v>420</v>
      </c>
      <c r="C541" s="2" t="s">
        <v>413</v>
      </c>
      <c r="D541" s="4" t="s">
        <v>72</v>
      </c>
      <c r="F541" s="5"/>
      <c r="G541" s="2">
        <v>400.0</v>
      </c>
      <c r="L541" s="2">
        <v>400.0</v>
      </c>
      <c r="M541" s="2" t="s">
        <v>421</v>
      </c>
      <c r="N541" s="2" t="s">
        <v>415</v>
      </c>
      <c r="O541" s="2">
        <v>243.0</v>
      </c>
      <c r="P541" s="2" t="s">
        <v>416</v>
      </c>
    </row>
    <row r="542" ht="22.5" customHeight="1">
      <c r="A542" s="2" t="s">
        <v>411</v>
      </c>
      <c r="B542" s="2" t="s">
        <v>422</v>
      </c>
      <c r="C542" s="2" t="s">
        <v>413</v>
      </c>
      <c r="D542" s="4" t="s">
        <v>72</v>
      </c>
      <c r="F542" s="5"/>
      <c r="G542" s="2">
        <v>256.55</v>
      </c>
      <c r="L542" s="2">
        <v>256.55</v>
      </c>
      <c r="M542" s="2" t="s">
        <v>360</v>
      </c>
      <c r="N542" s="2" t="s">
        <v>415</v>
      </c>
      <c r="O542" s="2">
        <v>246.0</v>
      </c>
      <c r="P542" s="2" t="s">
        <v>416</v>
      </c>
    </row>
    <row r="543" ht="22.5" customHeight="1">
      <c r="A543" s="2" t="s">
        <v>411</v>
      </c>
      <c r="B543" s="2" t="s">
        <v>423</v>
      </c>
      <c r="C543" s="2" t="s">
        <v>413</v>
      </c>
      <c r="D543" s="4" t="s">
        <v>72</v>
      </c>
      <c r="F543" s="5"/>
      <c r="G543" s="2">
        <v>620.0</v>
      </c>
      <c r="L543" s="2">
        <v>620.0</v>
      </c>
      <c r="M543" s="2" t="s">
        <v>360</v>
      </c>
      <c r="N543" s="2" t="s">
        <v>415</v>
      </c>
      <c r="O543" s="2">
        <v>247.0</v>
      </c>
      <c r="P543" s="2" t="s">
        <v>416</v>
      </c>
    </row>
    <row r="544" ht="22.5" customHeight="1">
      <c r="A544" s="2" t="s">
        <v>424</v>
      </c>
      <c r="B544" s="2" t="s">
        <v>425</v>
      </c>
      <c r="C544" s="4" t="s">
        <v>373</v>
      </c>
      <c r="D544" s="4" t="s">
        <v>72</v>
      </c>
      <c r="F544" s="5"/>
      <c r="G544" s="2">
        <v>13833.01</v>
      </c>
      <c r="L544" s="2">
        <v>13833.01</v>
      </c>
      <c r="M544" s="2" t="s">
        <v>366</v>
      </c>
      <c r="N544" s="2" t="s">
        <v>361</v>
      </c>
      <c r="O544" s="2">
        <v>500.0</v>
      </c>
      <c r="P544" s="2" t="s">
        <v>424</v>
      </c>
    </row>
    <row r="545" ht="22.5" customHeight="1">
      <c r="A545" s="2" t="s">
        <v>391</v>
      </c>
      <c r="B545" s="2" t="s">
        <v>426</v>
      </c>
      <c r="C545" s="4" t="s">
        <v>32</v>
      </c>
      <c r="D545" s="4" t="s">
        <v>72</v>
      </c>
      <c r="F545" s="5"/>
      <c r="G545" s="2">
        <v>5244.76</v>
      </c>
      <c r="L545" s="2">
        <v>5244.76</v>
      </c>
      <c r="M545" s="2" t="s">
        <v>366</v>
      </c>
      <c r="N545" s="2" t="s">
        <v>361</v>
      </c>
      <c r="O545" s="2">
        <v>288.0</v>
      </c>
      <c r="P545" s="2" t="s">
        <v>403</v>
      </c>
    </row>
    <row r="546" ht="22.5" customHeight="1">
      <c r="A546" s="4" t="s">
        <v>391</v>
      </c>
      <c r="B546" s="2" t="s">
        <v>427</v>
      </c>
      <c r="C546" s="4" t="s">
        <v>32</v>
      </c>
      <c r="D546" s="4" t="s">
        <v>72</v>
      </c>
      <c r="F546" s="5"/>
      <c r="G546" s="2">
        <v>585.56</v>
      </c>
      <c r="L546" s="2">
        <v>5700.83</v>
      </c>
      <c r="M546" s="2" t="s">
        <v>428</v>
      </c>
      <c r="N546" s="2" t="s">
        <v>415</v>
      </c>
      <c r="O546" s="2">
        <v>148.0</v>
      </c>
      <c r="P546" s="2" t="s">
        <v>429</v>
      </c>
    </row>
    <row r="547" ht="22.5" customHeight="1">
      <c r="A547" s="2" t="s">
        <v>391</v>
      </c>
      <c r="B547" s="2" t="s">
        <v>430</v>
      </c>
      <c r="C547" s="4" t="s">
        <v>32</v>
      </c>
      <c r="D547" s="4" t="s">
        <v>193</v>
      </c>
      <c r="F547" s="5"/>
      <c r="G547" s="2">
        <v>4500.0</v>
      </c>
      <c r="L547" s="2">
        <v>4500.0</v>
      </c>
      <c r="M547" s="2" t="s">
        <v>366</v>
      </c>
      <c r="N547" s="2" t="s">
        <v>361</v>
      </c>
      <c r="O547" s="2">
        <v>276.0</v>
      </c>
      <c r="P547" s="2" t="s">
        <v>391</v>
      </c>
    </row>
    <row r="548" ht="22.5" customHeight="1">
      <c r="A548" s="2" t="s">
        <v>391</v>
      </c>
      <c r="B548" s="2" t="s">
        <v>430</v>
      </c>
      <c r="C548" s="4" t="s">
        <v>32</v>
      </c>
      <c r="D548" s="4" t="s">
        <v>193</v>
      </c>
      <c r="F548" s="5"/>
      <c r="G548" s="2">
        <v>3190.0</v>
      </c>
      <c r="L548" s="2">
        <v>3190.0</v>
      </c>
      <c r="M548" s="2" t="s">
        <v>366</v>
      </c>
      <c r="N548" s="2" t="s">
        <v>361</v>
      </c>
      <c r="O548" s="2">
        <v>276.0</v>
      </c>
      <c r="P548" s="2" t="s">
        <v>391</v>
      </c>
    </row>
    <row r="549" ht="22.5" customHeight="1">
      <c r="A549" s="2" t="s">
        <v>391</v>
      </c>
      <c r="B549" s="2" t="s">
        <v>431</v>
      </c>
      <c r="C549" s="4" t="s">
        <v>32</v>
      </c>
      <c r="D549" s="4" t="s">
        <v>103</v>
      </c>
      <c r="F549" s="5"/>
      <c r="G549" s="2">
        <v>3864.0</v>
      </c>
      <c r="L549" s="2">
        <v>3190.0</v>
      </c>
      <c r="M549" s="2" t="s">
        <v>366</v>
      </c>
      <c r="N549" s="2" t="s">
        <v>361</v>
      </c>
      <c r="O549" s="2">
        <v>276.0</v>
      </c>
      <c r="P549" s="2" t="s">
        <v>391</v>
      </c>
    </row>
    <row r="550" ht="22.5" customHeight="1">
      <c r="A550" s="2" t="s">
        <v>391</v>
      </c>
      <c r="B550" s="2" t="s">
        <v>432</v>
      </c>
      <c r="C550" s="4" t="s">
        <v>32</v>
      </c>
      <c r="D550" s="11" t="s">
        <v>56</v>
      </c>
      <c r="F550" s="5"/>
      <c r="G550" s="4">
        <v>2681.992444</v>
      </c>
      <c r="L550" s="2">
        <v>3864.0</v>
      </c>
      <c r="M550" s="2" t="s">
        <v>366</v>
      </c>
      <c r="N550" s="2" t="s">
        <v>361</v>
      </c>
      <c r="O550" s="2">
        <v>276.0</v>
      </c>
      <c r="P550" s="2" t="s">
        <v>391</v>
      </c>
    </row>
    <row r="551" ht="22.5" customHeight="1">
      <c r="A551" s="2" t="s">
        <v>391</v>
      </c>
      <c r="B551" s="2" t="s">
        <v>432</v>
      </c>
      <c r="C551" s="4" t="s">
        <v>32</v>
      </c>
      <c r="D551" s="11" t="s">
        <v>103</v>
      </c>
      <c r="F551" s="5"/>
      <c r="G551" s="4">
        <v>191.5708889</v>
      </c>
      <c r="L551" s="2">
        <v>-5233.75</v>
      </c>
      <c r="M551" s="2" t="s">
        <v>366</v>
      </c>
      <c r="N551" s="2" t="s">
        <v>361</v>
      </c>
      <c r="O551" s="2">
        <v>281.0</v>
      </c>
      <c r="P551" s="2" t="s">
        <v>391</v>
      </c>
    </row>
    <row r="552" ht="22.5" customHeight="1">
      <c r="A552" s="2" t="s">
        <v>391</v>
      </c>
      <c r="B552" s="2" t="s">
        <v>432</v>
      </c>
      <c r="C552" s="4" t="s">
        <v>21</v>
      </c>
      <c r="D552" s="11" t="s">
        <v>22</v>
      </c>
      <c r="F552" s="5"/>
      <c r="G552" s="4">
        <v>3639.846889</v>
      </c>
      <c r="L552" s="2">
        <v>-3274.32</v>
      </c>
      <c r="M552" s="2" t="s">
        <v>366</v>
      </c>
      <c r="N552" s="2" t="s">
        <v>361</v>
      </c>
      <c r="O552" s="2">
        <v>281.0</v>
      </c>
      <c r="P552" s="2" t="s">
        <v>391</v>
      </c>
    </row>
    <row r="553" ht="22.5" customHeight="1">
      <c r="A553" s="2" t="s">
        <v>391</v>
      </c>
      <c r="B553" s="2" t="s">
        <v>432</v>
      </c>
      <c r="C553" s="4" t="s">
        <v>32</v>
      </c>
      <c r="D553" s="11" t="s">
        <v>193</v>
      </c>
      <c r="F553" s="5"/>
      <c r="G553" s="4">
        <v>510.8557037</v>
      </c>
      <c r="L553" s="2">
        <v>8508.07</v>
      </c>
      <c r="M553" s="2" t="s">
        <v>366</v>
      </c>
      <c r="N553" s="2" t="s">
        <v>361</v>
      </c>
      <c r="O553" s="2">
        <v>281.0</v>
      </c>
      <c r="P553" s="2" t="s">
        <v>391</v>
      </c>
    </row>
    <row r="554" ht="22.5" customHeight="1">
      <c r="A554" s="2" t="s">
        <v>391</v>
      </c>
      <c r="B554" s="2" t="s">
        <v>432</v>
      </c>
      <c r="C554" s="4" t="s">
        <v>32</v>
      </c>
      <c r="D554" s="11" t="s">
        <v>39</v>
      </c>
      <c r="F554" s="5"/>
      <c r="G554" s="4">
        <v>287.3563333</v>
      </c>
      <c r="L554" s="2"/>
      <c r="M554" s="2" t="s">
        <v>366</v>
      </c>
      <c r="N554" s="2"/>
      <c r="O554" s="2"/>
      <c r="P554" s="2"/>
    </row>
    <row r="555" ht="22.5" customHeight="1">
      <c r="A555" s="2" t="s">
        <v>391</v>
      </c>
      <c r="B555" s="2" t="s">
        <v>432</v>
      </c>
      <c r="C555" s="4" t="s">
        <v>32</v>
      </c>
      <c r="D555" s="11" t="s">
        <v>48</v>
      </c>
      <c r="F555" s="5"/>
      <c r="G555" s="4">
        <v>1021.711407</v>
      </c>
      <c r="L555" s="2"/>
      <c r="M555" s="2" t="s">
        <v>366</v>
      </c>
      <c r="N555" s="2"/>
      <c r="O555" s="2"/>
      <c r="P555" s="2"/>
    </row>
    <row r="556" ht="22.5" customHeight="1">
      <c r="A556" s="2" t="s">
        <v>391</v>
      </c>
      <c r="B556" s="2" t="s">
        <v>432</v>
      </c>
      <c r="C556" s="4" t="s">
        <v>32</v>
      </c>
      <c r="D556" s="11" t="s">
        <v>118</v>
      </c>
      <c r="F556" s="5"/>
      <c r="G556" s="4">
        <v>287.3563333</v>
      </c>
      <c r="L556" s="2"/>
      <c r="M556" s="2" t="s">
        <v>366</v>
      </c>
      <c r="N556" s="2"/>
      <c r="O556" s="2"/>
      <c r="P556" s="2"/>
    </row>
    <row r="557" ht="22.5" customHeight="1">
      <c r="A557" s="4" t="s">
        <v>433</v>
      </c>
      <c r="B557" s="2" t="s">
        <v>434</v>
      </c>
      <c r="C557" s="4" t="s">
        <v>32</v>
      </c>
      <c r="D557" s="4" t="s">
        <v>72</v>
      </c>
      <c r="F557" s="5"/>
      <c r="G557" s="8">
        <v>46093.1</v>
      </c>
      <c r="L557" s="2">
        <v>8620.69</v>
      </c>
      <c r="M557" s="2" t="s">
        <v>366</v>
      </c>
      <c r="N557" s="2" t="s">
        <v>361</v>
      </c>
      <c r="O557" s="2">
        <v>281.0</v>
      </c>
      <c r="P557" s="2" t="s">
        <v>391</v>
      </c>
    </row>
    <row r="558" ht="22.5" customHeight="1">
      <c r="A558" s="4" t="s">
        <v>435</v>
      </c>
      <c r="B558" s="2" t="s">
        <v>436</v>
      </c>
      <c r="C558" s="4" t="s">
        <v>21</v>
      </c>
      <c r="D558" s="4" t="s">
        <v>22</v>
      </c>
      <c r="F558" s="5"/>
      <c r="G558" s="2">
        <v>791.67</v>
      </c>
      <c r="L558" s="2">
        <v>791.67</v>
      </c>
      <c r="M558" s="2" t="s">
        <v>366</v>
      </c>
      <c r="N558" s="2" t="s">
        <v>361</v>
      </c>
      <c r="O558" s="2">
        <v>502.0</v>
      </c>
      <c r="P558" s="2" t="s">
        <v>435</v>
      </c>
    </row>
    <row r="559" ht="22.5" customHeight="1">
      <c r="A559" s="4" t="s">
        <v>437</v>
      </c>
      <c r="B559" s="2" t="s">
        <v>436</v>
      </c>
      <c r="C559" s="4" t="s">
        <v>32</v>
      </c>
      <c r="D559" s="8" t="s">
        <v>56</v>
      </c>
      <c r="F559" s="5"/>
      <c r="G559" s="4">
        <v>10169.65289</v>
      </c>
      <c r="L559" s="2">
        <v>32688.17</v>
      </c>
      <c r="M559" s="2" t="s">
        <v>366</v>
      </c>
      <c r="N559" s="2" t="s">
        <v>361</v>
      </c>
      <c r="O559" s="2">
        <v>502.0</v>
      </c>
      <c r="P559" s="2" t="s">
        <v>438</v>
      </c>
    </row>
    <row r="560" ht="22.5" customHeight="1">
      <c r="A560" s="4" t="s">
        <v>437</v>
      </c>
      <c r="B560" s="2" t="s">
        <v>436</v>
      </c>
      <c r="C560" s="4" t="s">
        <v>32</v>
      </c>
      <c r="D560" s="8" t="s">
        <v>103</v>
      </c>
      <c r="F560" s="5"/>
      <c r="G560" s="4">
        <v>726.4037778</v>
      </c>
      <c r="M560" s="2" t="s">
        <v>366</v>
      </c>
    </row>
    <row r="561" ht="22.5" customHeight="1">
      <c r="A561" s="4" t="s">
        <v>437</v>
      </c>
      <c r="B561" s="2" t="s">
        <v>436</v>
      </c>
      <c r="C561" s="4" t="s">
        <v>32</v>
      </c>
      <c r="D561" s="8" t="s">
        <v>22</v>
      </c>
      <c r="F561" s="5"/>
      <c r="G561" s="4">
        <v>13801.67178</v>
      </c>
      <c r="M561" s="2" t="s">
        <v>366</v>
      </c>
    </row>
    <row r="562" ht="22.5" customHeight="1">
      <c r="A562" s="4" t="s">
        <v>437</v>
      </c>
      <c r="B562" s="2" t="s">
        <v>436</v>
      </c>
      <c r="C562" s="4" t="s">
        <v>32</v>
      </c>
      <c r="D562" s="8" t="s">
        <v>193</v>
      </c>
      <c r="F562" s="5"/>
      <c r="G562" s="4">
        <v>1937.076741</v>
      </c>
      <c r="M562" s="2" t="s">
        <v>366</v>
      </c>
    </row>
    <row r="563" ht="22.5" customHeight="1">
      <c r="A563" s="4" t="s">
        <v>437</v>
      </c>
      <c r="B563" s="2" t="s">
        <v>436</v>
      </c>
      <c r="C563" s="4" t="s">
        <v>32</v>
      </c>
      <c r="D563" s="8" t="s">
        <v>39</v>
      </c>
      <c r="F563" s="5"/>
      <c r="G563" s="4">
        <v>1089.605667</v>
      </c>
      <c r="M563" s="2" t="s">
        <v>366</v>
      </c>
    </row>
    <row r="564" ht="22.5" customHeight="1">
      <c r="A564" s="4" t="s">
        <v>437</v>
      </c>
      <c r="B564" s="2" t="s">
        <v>436</v>
      </c>
      <c r="C564" s="4" t="s">
        <v>32</v>
      </c>
      <c r="D564" s="8" t="s">
        <v>48</v>
      </c>
      <c r="F564" s="5"/>
      <c r="G564" s="4">
        <v>3874.153481</v>
      </c>
      <c r="M564" s="2" t="s">
        <v>366</v>
      </c>
    </row>
    <row r="565" ht="22.5" customHeight="1">
      <c r="A565" s="4" t="s">
        <v>437</v>
      </c>
      <c r="B565" s="2" t="s">
        <v>436</v>
      </c>
      <c r="C565" s="4" t="s">
        <v>32</v>
      </c>
      <c r="D565" s="8" t="s">
        <v>118</v>
      </c>
      <c r="F565" s="5"/>
      <c r="G565" s="4">
        <v>1089.605667</v>
      </c>
      <c r="M565" s="2" t="s">
        <v>366</v>
      </c>
    </row>
    <row r="566" ht="22.5" customHeight="1">
      <c r="A566" s="4" t="s">
        <v>439</v>
      </c>
      <c r="B566" s="2" t="s">
        <v>436</v>
      </c>
      <c r="C566" s="4" t="s">
        <v>32</v>
      </c>
      <c r="D566" s="8" t="s">
        <v>56</v>
      </c>
      <c r="F566" s="5"/>
      <c r="G566" s="4">
        <v>2908.587111</v>
      </c>
      <c r="L566" s="2">
        <v>9349.03</v>
      </c>
      <c r="M566" s="2" t="s">
        <v>366</v>
      </c>
      <c r="N566" s="2" t="s">
        <v>361</v>
      </c>
      <c r="O566" s="2">
        <v>502.0</v>
      </c>
      <c r="P566" s="2" t="s">
        <v>440</v>
      </c>
    </row>
    <row r="567" ht="22.5" customHeight="1">
      <c r="A567" s="4" t="s">
        <v>439</v>
      </c>
      <c r="B567" s="2" t="s">
        <v>436</v>
      </c>
      <c r="C567" s="4" t="s">
        <v>32</v>
      </c>
      <c r="D567" s="8" t="s">
        <v>103</v>
      </c>
      <c r="F567" s="5"/>
      <c r="G567" s="4">
        <v>207.7562222</v>
      </c>
      <c r="M567" s="2" t="s">
        <v>366</v>
      </c>
    </row>
    <row r="568" ht="22.5" customHeight="1">
      <c r="A568" s="4" t="s">
        <v>439</v>
      </c>
      <c r="B568" s="2" t="s">
        <v>436</v>
      </c>
      <c r="C568" s="4" t="s">
        <v>21</v>
      </c>
      <c r="D568" s="8" t="s">
        <v>22</v>
      </c>
      <c r="F568" s="5"/>
      <c r="G568" s="4">
        <v>3947.368222</v>
      </c>
      <c r="M568" s="2" t="s">
        <v>366</v>
      </c>
    </row>
    <row r="569" ht="22.5" customHeight="1">
      <c r="A569" s="4" t="s">
        <v>439</v>
      </c>
      <c r="B569" s="2" t="s">
        <v>436</v>
      </c>
      <c r="C569" s="4" t="s">
        <v>32</v>
      </c>
      <c r="D569" s="8" t="s">
        <v>193</v>
      </c>
      <c r="F569" s="5"/>
      <c r="G569" s="4">
        <v>554.0165926</v>
      </c>
      <c r="M569" s="2" t="s">
        <v>366</v>
      </c>
    </row>
    <row r="570" ht="22.5" customHeight="1">
      <c r="A570" s="4" t="s">
        <v>439</v>
      </c>
      <c r="B570" s="2" t="s">
        <v>436</v>
      </c>
      <c r="C570" s="4" t="s">
        <v>32</v>
      </c>
      <c r="D570" s="8" t="s">
        <v>39</v>
      </c>
      <c r="F570" s="5"/>
      <c r="G570" s="4">
        <v>311.6343333</v>
      </c>
      <c r="M570" s="2" t="s">
        <v>366</v>
      </c>
    </row>
    <row r="571" ht="22.5" customHeight="1">
      <c r="A571" s="4" t="s">
        <v>439</v>
      </c>
      <c r="B571" s="2" t="s">
        <v>436</v>
      </c>
      <c r="C571" s="4" t="s">
        <v>32</v>
      </c>
      <c r="D571" s="8" t="s">
        <v>48</v>
      </c>
      <c r="F571" s="5"/>
      <c r="G571" s="4">
        <v>1108.033185</v>
      </c>
      <c r="M571" s="2" t="s">
        <v>366</v>
      </c>
    </row>
    <row r="572" ht="22.5" customHeight="1">
      <c r="A572" s="4" t="s">
        <v>439</v>
      </c>
      <c r="B572" s="2" t="s">
        <v>436</v>
      </c>
      <c r="C572" s="4" t="s">
        <v>32</v>
      </c>
      <c r="D572" s="8" t="s">
        <v>118</v>
      </c>
      <c r="F572" s="5"/>
      <c r="G572" s="4">
        <v>311.6343333</v>
      </c>
      <c r="M572" s="2" t="s">
        <v>366</v>
      </c>
    </row>
    <row r="573" ht="22.5" customHeight="1">
      <c r="A573" s="4" t="s">
        <v>441</v>
      </c>
      <c r="B573" s="4" t="s">
        <v>436</v>
      </c>
      <c r="C573" s="4" t="s">
        <v>373</v>
      </c>
      <c r="D573" s="4" t="s">
        <v>72</v>
      </c>
      <c r="E573" s="4"/>
      <c r="F573" s="10"/>
      <c r="G573" s="4">
        <v>5539.44</v>
      </c>
      <c r="H573" s="4"/>
      <c r="I573" s="4"/>
      <c r="J573" s="4"/>
      <c r="K573" s="4"/>
      <c r="L573" s="4">
        <v>5539.44</v>
      </c>
      <c r="M573" s="4" t="s">
        <v>366</v>
      </c>
      <c r="N573" s="4" t="s">
        <v>361</v>
      </c>
      <c r="O573" s="4">
        <v>502.0</v>
      </c>
      <c r="P573" s="4" t="s">
        <v>442</v>
      </c>
      <c r="Q573" s="4"/>
      <c r="R573" s="4"/>
      <c r="S573" s="4"/>
    </row>
    <row r="574" ht="22.5" customHeight="1">
      <c r="A574" s="4" t="s">
        <v>441</v>
      </c>
      <c r="B574" s="4" t="s">
        <v>436</v>
      </c>
      <c r="C574" s="4" t="s">
        <v>373</v>
      </c>
      <c r="D574" s="4" t="s">
        <v>72</v>
      </c>
      <c r="E574" s="4"/>
      <c r="F574" s="10"/>
      <c r="G574" s="4">
        <v>5828.89</v>
      </c>
      <c r="H574" s="4"/>
      <c r="I574" s="4"/>
      <c r="J574" s="4"/>
      <c r="K574" s="4"/>
      <c r="L574" s="4">
        <v>5828.89</v>
      </c>
      <c r="M574" s="4" t="s">
        <v>366</v>
      </c>
      <c r="N574" s="4" t="s">
        <v>361</v>
      </c>
      <c r="O574" s="4">
        <v>502.0</v>
      </c>
      <c r="P574" s="4" t="s">
        <v>443</v>
      </c>
      <c r="Q574" s="4"/>
      <c r="R574" s="4"/>
      <c r="S574" s="4"/>
    </row>
    <row r="575" ht="22.5" customHeight="1">
      <c r="A575" s="2" t="s">
        <v>444</v>
      </c>
      <c r="B575" s="5" t="s">
        <v>445</v>
      </c>
      <c r="C575" s="2" t="s">
        <v>21</v>
      </c>
      <c r="D575" s="4" t="s">
        <v>22</v>
      </c>
      <c r="F575" s="5"/>
      <c r="G575" s="2">
        <v>8000.0</v>
      </c>
      <c r="L575" s="2">
        <v>8000.0</v>
      </c>
      <c r="M575" s="2" t="s">
        <v>366</v>
      </c>
      <c r="N575" s="2" t="s">
        <v>361</v>
      </c>
      <c r="O575" s="2">
        <v>278.0</v>
      </c>
      <c r="P575" s="2" t="s">
        <v>444</v>
      </c>
    </row>
    <row r="576" ht="22.5" customHeight="1">
      <c r="A576" s="2" t="s">
        <v>444</v>
      </c>
      <c r="B576" s="2" t="s">
        <v>446</v>
      </c>
      <c r="C576" s="2" t="s">
        <v>21</v>
      </c>
      <c r="D576" s="4" t="s">
        <v>22</v>
      </c>
      <c r="F576" s="5"/>
      <c r="G576" s="2">
        <v>24124.7</v>
      </c>
      <c r="L576" s="2"/>
      <c r="M576" s="4" t="s">
        <v>366</v>
      </c>
      <c r="N576" s="2"/>
      <c r="O576" s="2"/>
      <c r="P576" s="2"/>
    </row>
    <row r="577" ht="22.5" customHeight="1">
      <c r="A577" s="4" t="s">
        <v>447</v>
      </c>
      <c r="B577" s="2" t="s">
        <v>448</v>
      </c>
      <c r="C577" s="4" t="s">
        <v>32</v>
      </c>
      <c r="D577" s="4" t="s">
        <v>72</v>
      </c>
      <c r="F577" s="5"/>
      <c r="G577" s="4">
        <v>8208.0</v>
      </c>
      <c r="L577" s="2">
        <v>24124.7</v>
      </c>
      <c r="M577" s="2" t="s">
        <v>366</v>
      </c>
      <c r="N577" s="2" t="s">
        <v>361</v>
      </c>
      <c r="O577" s="2">
        <v>278.0</v>
      </c>
      <c r="P577" s="2" t="s">
        <v>444</v>
      </c>
    </row>
    <row r="578" ht="22.5" customHeight="1">
      <c r="A578" s="2" t="s">
        <v>444</v>
      </c>
      <c r="B578" s="2" t="s">
        <v>449</v>
      </c>
      <c r="C578" s="2" t="s">
        <v>21</v>
      </c>
      <c r="D578" s="4" t="s">
        <v>22</v>
      </c>
      <c r="F578" s="5"/>
      <c r="G578" s="2">
        <v>14000.0</v>
      </c>
      <c r="L578" s="2">
        <v>14000.0</v>
      </c>
      <c r="M578" s="2" t="s">
        <v>366</v>
      </c>
      <c r="N578" s="2" t="s">
        <v>361</v>
      </c>
      <c r="O578" s="2">
        <v>278.0</v>
      </c>
      <c r="P578" s="2" t="s">
        <v>444</v>
      </c>
    </row>
    <row r="579" ht="22.5" customHeight="1">
      <c r="A579" s="2" t="s">
        <v>444</v>
      </c>
      <c r="B579" s="2" t="s">
        <v>449</v>
      </c>
      <c r="C579" s="2" t="s">
        <v>21</v>
      </c>
      <c r="D579" s="4" t="s">
        <v>22</v>
      </c>
      <c r="F579" s="5"/>
      <c r="G579" s="2">
        <v>18500.0</v>
      </c>
      <c r="L579" s="2">
        <v>18500.0</v>
      </c>
      <c r="M579" s="2" t="s">
        <v>366</v>
      </c>
      <c r="N579" s="2" t="s">
        <v>361</v>
      </c>
      <c r="O579" s="2">
        <v>278.0</v>
      </c>
      <c r="P579" s="2" t="s">
        <v>444</v>
      </c>
    </row>
    <row r="580" ht="22.5" customHeight="1">
      <c r="A580" s="2" t="s">
        <v>444</v>
      </c>
      <c r="B580" s="2" t="s">
        <v>450</v>
      </c>
      <c r="C580" s="2" t="s">
        <v>21</v>
      </c>
      <c r="D580" s="4" t="s">
        <v>22</v>
      </c>
      <c r="F580" s="5"/>
      <c r="G580" s="2">
        <v>3097.23</v>
      </c>
      <c r="L580" s="2">
        <v>3097.23</v>
      </c>
      <c r="M580" s="2" t="s">
        <v>366</v>
      </c>
      <c r="N580" s="2" t="s">
        <v>361</v>
      </c>
      <c r="O580" s="2">
        <v>278.0</v>
      </c>
      <c r="P580" s="2" t="s">
        <v>444</v>
      </c>
    </row>
    <row r="581" ht="22.5" customHeight="1">
      <c r="A581" s="2" t="s">
        <v>444</v>
      </c>
      <c r="B581" s="2" t="s">
        <v>450</v>
      </c>
      <c r="C581" s="2" t="s">
        <v>21</v>
      </c>
      <c r="D581" s="4" t="s">
        <v>22</v>
      </c>
      <c r="F581" s="5"/>
      <c r="G581" s="2">
        <v>6000.0</v>
      </c>
      <c r="L581" s="2">
        <v>4386.83</v>
      </c>
      <c r="M581" s="2" t="s">
        <v>366</v>
      </c>
      <c r="N581" s="2" t="s">
        <v>361</v>
      </c>
      <c r="O581" s="2">
        <v>278.0</v>
      </c>
      <c r="P581" s="2" t="s">
        <v>444</v>
      </c>
    </row>
    <row r="582" ht="22.5" customHeight="1">
      <c r="A582" s="2" t="s">
        <v>444</v>
      </c>
      <c r="B582" s="2" t="s">
        <v>451</v>
      </c>
      <c r="C582" s="2" t="s">
        <v>21</v>
      </c>
      <c r="D582" s="4" t="s">
        <v>22</v>
      </c>
      <c r="F582" s="5"/>
      <c r="G582" s="2">
        <v>6500.0</v>
      </c>
      <c r="L582" s="2">
        <v>6000.0</v>
      </c>
      <c r="M582" s="2" t="s">
        <v>366</v>
      </c>
      <c r="N582" s="2" t="s">
        <v>361</v>
      </c>
      <c r="O582" s="2">
        <v>278.0</v>
      </c>
      <c r="P582" s="2" t="s">
        <v>444</v>
      </c>
    </row>
    <row r="583" ht="22.5" customHeight="1">
      <c r="A583" s="2" t="s">
        <v>444</v>
      </c>
      <c r="B583" s="2" t="s">
        <v>452</v>
      </c>
      <c r="C583" s="2" t="s">
        <v>21</v>
      </c>
      <c r="D583" s="4" t="s">
        <v>22</v>
      </c>
      <c r="F583" s="5"/>
      <c r="G583" s="2">
        <v>18000.0</v>
      </c>
      <c r="L583" s="2">
        <v>6500.0</v>
      </c>
      <c r="M583" s="2" t="s">
        <v>366</v>
      </c>
      <c r="N583" s="2" t="s">
        <v>361</v>
      </c>
      <c r="O583" s="2">
        <v>278.0</v>
      </c>
      <c r="P583" s="2" t="s">
        <v>444</v>
      </c>
    </row>
    <row r="584" ht="22.5" customHeight="1">
      <c r="A584" s="2" t="s">
        <v>444</v>
      </c>
      <c r="B584" s="2" t="s">
        <v>453</v>
      </c>
      <c r="C584" s="2" t="s">
        <v>21</v>
      </c>
      <c r="D584" s="4" t="s">
        <v>22</v>
      </c>
      <c r="F584" s="5"/>
      <c r="G584" s="2">
        <v>13200.0</v>
      </c>
      <c r="L584" s="2">
        <v>18000.0</v>
      </c>
      <c r="M584" s="2" t="s">
        <v>366</v>
      </c>
      <c r="N584" s="2" t="s">
        <v>361</v>
      </c>
      <c r="O584" s="2">
        <v>278.0</v>
      </c>
      <c r="P584" s="2" t="s">
        <v>444</v>
      </c>
    </row>
    <row r="585" ht="22.5" customHeight="1">
      <c r="A585" s="2" t="s">
        <v>444</v>
      </c>
      <c r="B585" s="2" t="s">
        <v>454</v>
      </c>
      <c r="C585" s="2" t="s">
        <v>21</v>
      </c>
      <c r="D585" s="4" t="s">
        <v>22</v>
      </c>
      <c r="F585" s="5"/>
      <c r="G585" s="2">
        <v>3500.0</v>
      </c>
      <c r="L585" s="2">
        <v>13200.0</v>
      </c>
      <c r="M585" s="2" t="s">
        <v>366</v>
      </c>
      <c r="N585" s="2" t="s">
        <v>361</v>
      </c>
      <c r="O585" s="2">
        <v>278.0</v>
      </c>
      <c r="P585" s="2" t="s">
        <v>444</v>
      </c>
    </row>
    <row r="586" ht="22.5" customHeight="1">
      <c r="A586" s="2" t="s">
        <v>444</v>
      </c>
      <c r="B586" s="2" t="s">
        <v>454</v>
      </c>
      <c r="C586" s="2" t="s">
        <v>21</v>
      </c>
      <c r="D586" s="4" t="s">
        <v>22</v>
      </c>
      <c r="F586" s="5"/>
      <c r="G586" s="2">
        <v>7000.0</v>
      </c>
      <c r="L586" s="2">
        <v>3500.0</v>
      </c>
      <c r="M586" s="2" t="s">
        <v>366</v>
      </c>
      <c r="N586" s="2" t="s">
        <v>361</v>
      </c>
      <c r="O586" s="2">
        <v>278.0</v>
      </c>
      <c r="P586" s="2" t="s">
        <v>444</v>
      </c>
    </row>
    <row r="587" ht="22.5" customHeight="1">
      <c r="A587" s="2" t="s">
        <v>444</v>
      </c>
      <c r="B587" s="2" t="s">
        <v>454</v>
      </c>
      <c r="C587" s="2" t="s">
        <v>21</v>
      </c>
      <c r="D587" s="4" t="s">
        <v>22</v>
      </c>
      <c r="F587" s="5"/>
      <c r="G587" s="2">
        <v>25250.0</v>
      </c>
      <c r="L587" s="2">
        <v>7000.0</v>
      </c>
      <c r="M587" s="2" t="s">
        <v>366</v>
      </c>
      <c r="N587" s="2" t="s">
        <v>361</v>
      </c>
      <c r="O587" s="2">
        <v>278.0</v>
      </c>
      <c r="P587" s="2" t="s">
        <v>444</v>
      </c>
    </row>
    <row r="588" ht="22.5" customHeight="1">
      <c r="A588" s="2" t="s">
        <v>444</v>
      </c>
      <c r="B588" s="2" t="s">
        <v>455</v>
      </c>
      <c r="C588" s="2" t="s">
        <v>21</v>
      </c>
      <c r="D588" s="4" t="s">
        <v>22</v>
      </c>
      <c r="F588" s="5"/>
      <c r="G588" s="2">
        <v>1011.71</v>
      </c>
      <c r="L588" s="2">
        <v>25250.0</v>
      </c>
      <c r="M588" s="2" t="s">
        <v>366</v>
      </c>
      <c r="N588" s="2" t="s">
        <v>361</v>
      </c>
      <c r="O588" s="2">
        <v>278.0</v>
      </c>
      <c r="P588" s="2" t="s">
        <v>444</v>
      </c>
    </row>
    <row r="589" ht="22.5" customHeight="1">
      <c r="A589" s="2" t="s">
        <v>444</v>
      </c>
      <c r="B589" s="2" t="s">
        <v>456</v>
      </c>
      <c r="C589" s="2" t="s">
        <v>21</v>
      </c>
      <c r="D589" s="4" t="s">
        <v>22</v>
      </c>
      <c r="F589" s="5"/>
      <c r="G589" s="2">
        <v>6500.0</v>
      </c>
      <c r="L589" s="2">
        <v>1011.71</v>
      </c>
      <c r="M589" s="2" t="s">
        <v>366</v>
      </c>
      <c r="N589" s="2" t="s">
        <v>361</v>
      </c>
      <c r="O589" s="2">
        <v>278.0</v>
      </c>
      <c r="P589" s="2" t="s">
        <v>444</v>
      </c>
    </row>
    <row r="590" ht="22.5" customHeight="1">
      <c r="A590" s="2" t="s">
        <v>444</v>
      </c>
      <c r="B590" s="2" t="s">
        <v>456</v>
      </c>
      <c r="C590" s="2" t="s">
        <v>21</v>
      </c>
      <c r="D590" s="4" t="s">
        <v>22</v>
      </c>
      <c r="F590" s="5"/>
      <c r="G590" s="2">
        <v>40000.0</v>
      </c>
      <c r="L590" s="2">
        <v>6500.0</v>
      </c>
      <c r="M590" s="2" t="s">
        <v>366</v>
      </c>
      <c r="N590" s="2" t="s">
        <v>361</v>
      </c>
      <c r="O590" s="2">
        <v>278.0</v>
      </c>
      <c r="P590" s="2" t="s">
        <v>444</v>
      </c>
    </row>
    <row r="591" ht="22.5" customHeight="1">
      <c r="A591" s="2" t="s">
        <v>444</v>
      </c>
      <c r="B591" s="2" t="s">
        <v>457</v>
      </c>
      <c r="C591" s="2" t="s">
        <v>21</v>
      </c>
      <c r="D591" s="4" t="s">
        <v>22</v>
      </c>
      <c r="F591" s="5"/>
      <c r="G591" s="2">
        <v>23500.0</v>
      </c>
      <c r="L591" s="2">
        <v>40000.0</v>
      </c>
      <c r="M591" s="2" t="s">
        <v>366</v>
      </c>
      <c r="N591" s="2" t="s">
        <v>361</v>
      </c>
      <c r="O591" s="2">
        <v>278.0</v>
      </c>
      <c r="P591" s="2" t="s">
        <v>444</v>
      </c>
    </row>
    <row r="592" ht="22.5" customHeight="1">
      <c r="A592" s="4" t="s">
        <v>458</v>
      </c>
      <c r="B592" s="16" t="s">
        <v>459</v>
      </c>
      <c r="C592" s="2" t="s">
        <v>21</v>
      </c>
      <c r="D592" s="4" t="s">
        <v>22</v>
      </c>
      <c r="F592" s="5"/>
      <c r="G592" s="4">
        <v>600.0</v>
      </c>
      <c r="L592" s="2">
        <v>23500.0</v>
      </c>
      <c r="M592" s="2" t="s">
        <v>366</v>
      </c>
      <c r="N592" s="2" t="s">
        <v>361</v>
      </c>
      <c r="O592" s="2">
        <v>278.0</v>
      </c>
      <c r="P592" s="2" t="s">
        <v>444</v>
      </c>
    </row>
    <row r="593" ht="22.5" customHeight="1">
      <c r="A593" s="17" t="s">
        <v>460</v>
      </c>
      <c r="B593" s="2" t="s">
        <v>461</v>
      </c>
      <c r="C593" s="2" t="s">
        <v>21</v>
      </c>
      <c r="D593" s="4" t="s">
        <v>22</v>
      </c>
      <c r="F593" s="5"/>
      <c r="G593" s="4">
        <v>690.52</v>
      </c>
      <c r="L593" s="2">
        <v>23093.68</v>
      </c>
      <c r="M593" s="2" t="s">
        <v>366</v>
      </c>
      <c r="N593" s="2" t="s">
        <v>361</v>
      </c>
      <c r="O593" s="2">
        <v>278.0</v>
      </c>
      <c r="P593" s="2" t="s">
        <v>444</v>
      </c>
    </row>
    <row r="594" ht="22.5" customHeight="1">
      <c r="A594" s="2" t="s">
        <v>462</v>
      </c>
      <c r="B594" s="18" t="s">
        <v>463</v>
      </c>
      <c r="C594" s="2" t="s">
        <v>413</v>
      </c>
      <c r="D594" s="4" t="s">
        <v>72</v>
      </c>
      <c r="F594" s="5"/>
      <c r="G594" s="2">
        <v>1849.04</v>
      </c>
      <c r="L594" s="2">
        <v>1849.04</v>
      </c>
      <c r="M594" s="2" t="s">
        <v>464</v>
      </c>
      <c r="N594" s="2" t="s">
        <v>415</v>
      </c>
      <c r="O594" s="2">
        <v>78.0</v>
      </c>
      <c r="P594" s="2" t="s">
        <v>465</v>
      </c>
    </row>
    <row r="595" ht="22.5" customHeight="1">
      <c r="A595" s="2" t="s">
        <v>462</v>
      </c>
      <c r="B595" s="19" t="s">
        <v>463</v>
      </c>
      <c r="C595" s="2" t="s">
        <v>413</v>
      </c>
      <c r="D595" s="4" t="s">
        <v>72</v>
      </c>
      <c r="F595" s="5"/>
      <c r="G595" s="2">
        <v>428.0</v>
      </c>
      <c r="L595" s="2">
        <v>428.0</v>
      </c>
      <c r="M595" s="2" t="s">
        <v>466</v>
      </c>
      <c r="N595" s="2" t="s">
        <v>415</v>
      </c>
      <c r="O595" s="2">
        <v>95.0</v>
      </c>
      <c r="P595" s="2" t="s">
        <v>465</v>
      </c>
    </row>
    <row r="596" ht="22.5" customHeight="1">
      <c r="A596" s="2" t="s">
        <v>462</v>
      </c>
      <c r="B596" s="18" t="s">
        <v>463</v>
      </c>
      <c r="C596" s="2" t="s">
        <v>413</v>
      </c>
      <c r="D596" s="4" t="s">
        <v>72</v>
      </c>
      <c r="F596" s="5"/>
      <c r="G596" s="2">
        <v>4958.17</v>
      </c>
      <c r="L596" s="2">
        <v>4958.17</v>
      </c>
      <c r="M596" s="2" t="s">
        <v>418</v>
      </c>
      <c r="N596" s="2" t="s">
        <v>415</v>
      </c>
      <c r="O596" s="2">
        <v>222.0</v>
      </c>
      <c r="P596" s="2" t="s">
        <v>465</v>
      </c>
    </row>
    <row r="597" ht="22.5" customHeight="1">
      <c r="A597" s="2" t="s">
        <v>458</v>
      </c>
      <c r="B597" s="2" t="s">
        <v>467</v>
      </c>
      <c r="C597" s="4" t="s">
        <v>21</v>
      </c>
      <c r="D597" s="4" t="s">
        <v>22</v>
      </c>
      <c r="F597" s="5"/>
      <c r="G597" s="2">
        <v>689.66</v>
      </c>
      <c r="L597" s="2">
        <v>689.66</v>
      </c>
      <c r="M597" s="2" t="s">
        <v>366</v>
      </c>
      <c r="N597" s="2" t="s">
        <v>361</v>
      </c>
      <c r="O597" s="2">
        <v>278.0</v>
      </c>
      <c r="P597" s="2" t="s">
        <v>444</v>
      </c>
    </row>
    <row r="598" ht="22.5" customHeight="1">
      <c r="A598" s="2" t="s">
        <v>458</v>
      </c>
      <c r="B598" s="2" t="s">
        <v>467</v>
      </c>
      <c r="C598" s="4" t="s">
        <v>21</v>
      </c>
      <c r="D598" s="4" t="s">
        <v>22</v>
      </c>
      <c r="F598" s="5"/>
      <c r="G598" s="2">
        <v>900.0</v>
      </c>
      <c r="L598" s="2">
        <v>900.0</v>
      </c>
      <c r="M598" s="2" t="s">
        <v>366</v>
      </c>
      <c r="N598" s="2" t="s">
        <v>361</v>
      </c>
      <c r="O598" s="2">
        <v>278.0</v>
      </c>
      <c r="P598" s="2" t="s">
        <v>444</v>
      </c>
    </row>
    <row r="599" ht="22.5" customHeight="1">
      <c r="A599" s="2" t="s">
        <v>458</v>
      </c>
      <c r="B599" s="2" t="s">
        <v>467</v>
      </c>
      <c r="C599" s="4" t="s">
        <v>21</v>
      </c>
      <c r="D599" s="4" t="s">
        <v>22</v>
      </c>
      <c r="F599" s="5"/>
      <c r="G599" s="2">
        <v>1000.0</v>
      </c>
      <c r="L599" s="2">
        <v>1000.0</v>
      </c>
      <c r="M599" s="2" t="s">
        <v>366</v>
      </c>
      <c r="N599" s="2" t="s">
        <v>361</v>
      </c>
      <c r="O599" s="2">
        <v>278.0</v>
      </c>
      <c r="P599" s="2" t="s">
        <v>444</v>
      </c>
    </row>
    <row r="600" ht="22.5" customHeight="1">
      <c r="A600" s="2" t="s">
        <v>458</v>
      </c>
      <c r="B600" s="2" t="s">
        <v>459</v>
      </c>
      <c r="C600" s="4" t="s">
        <v>21</v>
      </c>
      <c r="D600" s="4" t="s">
        <v>22</v>
      </c>
      <c r="F600" s="5"/>
      <c r="G600" s="2">
        <v>980.0</v>
      </c>
      <c r="L600" s="2">
        <v>600.0</v>
      </c>
      <c r="M600" s="2" t="s">
        <v>366</v>
      </c>
      <c r="N600" s="2" t="s">
        <v>361</v>
      </c>
      <c r="O600" s="2">
        <v>278.0</v>
      </c>
      <c r="P600" s="2" t="s">
        <v>444</v>
      </c>
    </row>
    <row r="601" ht="22.5" customHeight="1">
      <c r="A601" s="4" t="s">
        <v>444</v>
      </c>
      <c r="B601" s="2" t="s">
        <v>468</v>
      </c>
      <c r="C601" s="4" t="s">
        <v>21</v>
      </c>
      <c r="D601" s="4" t="s">
        <v>22</v>
      </c>
      <c r="F601" s="5"/>
      <c r="G601" s="8">
        <v>23093.68</v>
      </c>
      <c r="L601" s="2">
        <v>980.0</v>
      </c>
      <c r="M601" s="2" t="s">
        <v>366</v>
      </c>
      <c r="N601" s="2" t="s">
        <v>361</v>
      </c>
      <c r="O601" s="2">
        <v>278.0</v>
      </c>
      <c r="P601" s="2" t="s">
        <v>444</v>
      </c>
    </row>
    <row r="602" ht="22.5" customHeight="1">
      <c r="A602" s="2" t="s">
        <v>433</v>
      </c>
      <c r="B602" s="2" t="s">
        <v>469</v>
      </c>
      <c r="C602" s="4" t="s">
        <v>32</v>
      </c>
      <c r="D602" s="4" t="s">
        <v>193</v>
      </c>
      <c r="F602" s="5"/>
      <c r="G602" s="2">
        <v>20324.14</v>
      </c>
      <c r="L602" s="2">
        <v>20324.14</v>
      </c>
      <c r="M602" s="2" t="s">
        <v>366</v>
      </c>
      <c r="N602" s="2" t="s">
        <v>361</v>
      </c>
      <c r="O602" s="2">
        <v>288.0</v>
      </c>
      <c r="P602" s="2" t="s">
        <v>403</v>
      </c>
    </row>
    <row r="603" ht="22.5" customHeight="1">
      <c r="A603" s="4" t="s">
        <v>433</v>
      </c>
      <c r="B603" s="2" t="s">
        <v>390</v>
      </c>
      <c r="C603" s="4" t="s">
        <v>32</v>
      </c>
      <c r="D603" s="4" t="s">
        <v>72</v>
      </c>
      <c r="F603" s="5"/>
      <c r="G603" s="2">
        <v>18254.66</v>
      </c>
      <c r="L603" s="2">
        <v>585.56</v>
      </c>
      <c r="M603" s="2" t="s">
        <v>366</v>
      </c>
      <c r="N603" s="2" t="s">
        <v>361</v>
      </c>
      <c r="O603" s="2">
        <v>262.0</v>
      </c>
      <c r="P603" s="2" t="s">
        <v>391</v>
      </c>
    </row>
    <row r="604" ht="22.5" customHeight="1">
      <c r="A604" s="2" t="s">
        <v>433</v>
      </c>
      <c r="B604" s="2" t="s">
        <v>470</v>
      </c>
      <c r="C604" s="4" t="s">
        <v>32</v>
      </c>
      <c r="D604" s="4" t="s">
        <v>103</v>
      </c>
      <c r="F604" s="5"/>
      <c r="G604" s="2">
        <v>314.69</v>
      </c>
      <c r="L604" s="2">
        <v>314.69</v>
      </c>
      <c r="M604" s="2" t="s">
        <v>366</v>
      </c>
      <c r="N604" s="2" t="s">
        <v>361</v>
      </c>
      <c r="O604" s="2">
        <v>289.0</v>
      </c>
      <c r="P604" s="2" t="s">
        <v>460</v>
      </c>
    </row>
    <row r="605" ht="22.5" customHeight="1">
      <c r="A605" s="4" t="s">
        <v>471</v>
      </c>
      <c r="B605" s="2" t="s">
        <v>472</v>
      </c>
      <c r="C605" s="4" t="s">
        <v>21</v>
      </c>
      <c r="D605" s="4" t="s">
        <v>22</v>
      </c>
      <c r="F605" s="5"/>
      <c r="G605" s="20">
        <v>583.4</v>
      </c>
      <c r="L605" s="2">
        <v>14762.0</v>
      </c>
      <c r="M605" s="2" t="s">
        <v>366</v>
      </c>
      <c r="N605" s="2" t="s">
        <v>361</v>
      </c>
      <c r="O605" s="2">
        <v>294.0</v>
      </c>
      <c r="P605" s="2" t="s">
        <v>473</v>
      </c>
    </row>
    <row r="606" ht="22.5" customHeight="1">
      <c r="A606" s="2" t="s">
        <v>471</v>
      </c>
      <c r="B606" s="2" t="s">
        <v>472</v>
      </c>
      <c r="C606" s="4" t="s">
        <v>21</v>
      </c>
      <c r="D606" s="4" t="s">
        <v>22</v>
      </c>
      <c r="F606" s="5"/>
      <c r="G606" s="21">
        <v>7029.5</v>
      </c>
      <c r="L606" s="2">
        <v>583.4</v>
      </c>
      <c r="M606" s="2" t="s">
        <v>366</v>
      </c>
      <c r="N606" s="2" t="s">
        <v>361</v>
      </c>
      <c r="O606" s="2">
        <v>294.0</v>
      </c>
      <c r="P606" s="2" t="s">
        <v>473</v>
      </c>
    </row>
    <row r="607" ht="22.5" customHeight="1">
      <c r="A607" s="17" t="s">
        <v>371</v>
      </c>
      <c r="B607" s="2" t="s">
        <v>474</v>
      </c>
      <c r="C607" s="4" t="s">
        <v>21</v>
      </c>
      <c r="D607" s="4" t="s">
        <v>22</v>
      </c>
      <c r="F607" s="5"/>
      <c r="G607" s="2">
        <v>400.0</v>
      </c>
      <c r="L607" s="2">
        <v>7029.5</v>
      </c>
      <c r="M607" s="2" t="s">
        <v>366</v>
      </c>
      <c r="N607" s="2" t="s">
        <v>361</v>
      </c>
      <c r="O607" s="2">
        <v>294.0</v>
      </c>
      <c r="P607" s="2" t="s">
        <v>473</v>
      </c>
    </row>
    <row r="608" ht="22.5" customHeight="1">
      <c r="A608" s="17" t="s">
        <v>475</v>
      </c>
      <c r="B608" s="2" t="s">
        <v>476</v>
      </c>
      <c r="C608" s="4" t="s">
        <v>32</v>
      </c>
      <c r="D608" s="4" t="s">
        <v>72</v>
      </c>
      <c r="E608" s="4"/>
      <c r="F608" s="10"/>
      <c r="G608" s="15">
        <v>5921.68</v>
      </c>
      <c r="H608" s="4"/>
      <c r="I608" s="4"/>
      <c r="J608" s="4"/>
      <c r="K608" s="4"/>
      <c r="L608" s="4"/>
      <c r="M608" s="4" t="s">
        <v>366</v>
      </c>
      <c r="N608" s="4"/>
      <c r="O608" s="4"/>
      <c r="P608" s="4"/>
      <c r="Q608" s="4"/>
      <c r="R608" s="4"/>
      <c r="S608" s="4"/>
    </row>
    <row r="609" ht="22.5" customHeight="1">
      <c r="A609" s="17" t="s">
        <v>477</v>
      </c>
      <c r="B609" s="22" t="s">
        <v>478</v>
      </c>
      <c r="C609" s="4" t="s">
        <v>32</v>
      </c>
      <c r="D609" s="11" t="s">
        <v>56</v>
      </c>
      <c r="F609" s="5"/>
      <c r="G609" s="4">
        <v>1791.570667</v>
      </c>
      <c r="L609" s="2">
        <v>5921.68</v>
      </c>
      <c r="M609" s="2" t="s">
        <v>366</v>
      </c>
      <c r="N609" s="2" t="s">
        <v>361</v>
      </c>
      <c r="O609" s="2">
        <v>283.0</v>
      </c>
      <c r="P609" s="2" t="s">
        <v>475</v>
      </c>
    </row>
    <row r="610" ht="22.5" customHeight="1">
      <c r="A610" s="17" t="s">
        <v>477</v>
      </c>
      <c r="B610" s="22" t="s">
        <v>478</v>
      </c>
      <c r="C610" s="4" t="s">
        <v>32</v>
      </c>
      <c r="D610" s="11" t="s">
        <v>103</v>
      </c>
      <c r="F610" s="5"/>
      <c r="G610" s="4">
        <v>127.9693333</v>
      </c>
      <c r="L610" s="2">
        <v>5000.0</v>
      </c>
      <c r="M610" s="2" t="s">
        <v>366</v>
      </c>
      <c r="N610" s="2" t="s">
        <v>361</v>
      </c>
      <c r="O610" s="2">
        <v>283.0</v>
      </c>
      <c r="P610" s="2" t="s">
        <v>475</v>
      </c>
    </row>
    <row r="611" ht="22.5" customHeight="1">
      <c r="A611" s="17" t="s">
        <v>477</v>
      </c>
      <c r="B611" s="22" t="s">
        <v>478</v>
      </c>
      <c r="C611" s="4" t="s">
        <v>21</v>
      </c>
      <c r="D611" s="11" t="s">
        <v>22</v>
      </c>
      <c r="F611" s="5"/>
      <c r="G611" s="4">
        <v>2431.417333</v>
      </c>
      <c r="L611" s="2"/>
      <c r="M611" s="2" t="s">
        <v>366</v>
      </c>
      <c r="N611" s="2"/>
      <c r="O611" s="2"/>
      <c r="P611" s="2"/>
    </row>
    <row r="612" ht="22.5" customHeight="1">
      <c r="A612" s="17" t="s">
        <v>477</v>
      </c>
      <c r="B612" s="22" t="s">
        <v>478</v>
      </c>
      <c r="C612" s="4" t="s">
        <v>32</v>
      </c>
      <c r="D612" s="11" t="s">
        <v>193</v>
      </c>
      <c r="F612" s="5"/>
      <c r="G612" s="4">
        <v>341.2515556</v>
      </c>
      <c r="L612" s="2"/>
      <c r="M612" s="2" t="s">
        <v>366</v>
      </c>
      <c r="N612" s="2"/>
      <c r="O612" s="2"/>
      <c r="P612" s="2"/>
    </row>
    <row r="613" ht="22.5" customHeight="1">
      <c r="A613" s="17" t="s">
        <v>477</v>
      </c>
      <c r="B613" s="22" t="s">
        <v>478</v>
      </c>
      <c r="C613" s="4" t="s">
        <v>32</v>
      </c>
      <c r="D613" s="11" t="s">
        <v>39</v>
      </c>
      <c r="F613" s="5"/>
      <c r="G613" s="4">
        <v>191.954</v>
      </c>
      <c r="L613" s="2"/>
      <c r="M613" s="2" t="s">
        <v>366</v>
      </c>
      <c r="N613" s="2"/>
      <c r="O613" s="2"/>
      <c r="P613" s="2"/>
    </row>
    <row r="614" ht="22.5" customHeight="1">
      <c r="A614" s="17" t="s">
        <v>477</v>
      </c>
      <c r="B614" s="22" t="s">
        <v>478</v>
      </c>
      <c r="C614" s="4" t="s">
        <v>32</v>
      </c>
      <c r="D614" s="11" t="s">
        <v>48</v>
      </c>
      <c r="F614" s="5"/>
      <c r="G614" s="4">
        <v>682.5031111</v>
      </c>
      <c r="L614" s="2"/>
      <c r="M614" s="2" t="s">
        <v>366</v>
      </c>
      <c r="N614" s="2"/>
      <c r="O614" s="2"/>
      <c r="P614" s="2"/>
    </row>
    <row r="615" ht="22.5" customHeight="1">
      <c r="A615" s="17" t="s">
        <v>477</v>
      </c>
      <c r="B615" s="22" t="s">
        <v>478</v>
      </c>
      <c r="C615" s="4" t="s">
        <v>32</v>
      </c>
      <c r="D615" s="11" t="s">
        <v>118</v>
      </c>
      <c r="F615" s="5"/>
      <c r="G615" s="4">
        <v>191.954</v>
      </c>
      <c r="L615" s="2"/>
      <c r="M615" s="2" t="s">
        <v>366</v>
      </c>
      <c r="N615" s="2"/>
      <c r="O615" s="2"/>
      <c r="P615" s="2"/>
    </row>
    <row r="616" ht="22.5" customHeight="1">
      <c r="A616" s="17" t="s">
        <v>477</v>
      </c>
      <c r="B616" s="2" t="s">
        <v>479</v>
      </c>
      <c r="C616" s="4" t="s">
        <v>480</v>
      </c>
      <c r="D616" s="4" t="s">
        <v>72</v>
      </c>
      <c r="F616" s="5"/>
      <c r="G616" s="2">
        <v>6425.56</v>
      </c>
      <c r="L616" s="2">
        <v>1618.88</v>
      </c>
      <c r="M616" s="2" t="s">
        <v>366</v>
      </c>
      <c r="N616" s="2" t="s">
        <v>361</v>
      </c>
      <c r="O616" s="2">
        <v>286.0</v>
      </c>
      <c r="P616" s="2" t="s">
        <v>481</v>
      </c>
    </row>
    <row r="617" ht="22.5" customHeight="1">
      <c r="A617" s="2" t="s">
        <v>477</v>
      </c>
      <c r="B617" s="2" t="s">
        <v>482</v>
      </c>
      <c r="C617" s="4" t="s">
        <v>480</v>
      </c>
      <c r="D617" s="4" t="s">
        <v>72</v>
      </c>
      <c r="F617" s="5"/>
      <c r="G617" s="2">
        <v>934.0</v>
      </c>
      <c r="L617" s="2">
        <v>6425.56</v>
      </c>
      <c r="M617" s="2" t="s">
        <v>366</v>
      </c>
      <c r="N617" s="2" t="s">
        <v>361</v>
      </c>
      <c r="O617" s="2">
        <v>264.0</v>
      </c>
      <c r="P617" s="2" t="s">
        <v>399</v>
      </c>
    </row>
    <row r="618" ht="22.5" customHeight="1">
      <c r="A618" s="2" t="s">
        <v>477</v>
      </c>
      <c r="B618" s="2" t="s">
        <v>483</v>
      </c>
      <c r="C618" s="4" t="s">
        <v>21</v>
      </c>
      <c r="D618" s="4" t="s">
        <v>22</v>
      </c>
      <c r="F618" s="5"/>
      <c r="G618" s="2">
        <v>6397.41</v>
      </c>
      <c r="L618" s="2">
        <v>934.0</v>
      </c>
      <c r="M618" s="2" t="s">
        <v>366</v>
      </c>
      <c r="N618" s="2" t="s">
        <v>361</v>
      </c>
      <c r="O618" s="2">
        <v>284.0</v>
      </c>
      <c r="P618" s="2" t="s">
        <v>399</v>
      </c>
    </row>
    <row r="619" ht="22.5" customHeight="1">
      <c r="A619" s="2" t="s">
        <v>477</v>
      </c>
      <c r="B619" s="2" t="s">
        <v>483</v>
      </c>
      <c r="C619" s="4" t="s">
        <v>21</v>
      </c>
      <c r="D619" s="4" t="s">
        <v>22</v>
      </c>
      <c r="F619" s="5"/>
      <c r="G619" s="2">
        <v>8505.17</v>
      </c>
      <c r="L619" s="2">
        <v>6397.41</v>
      </c>
      <c r="M619" s="2" t="s">
        <v>366</v>
      </c>
      <c r="N619" s="2" t="s">
        <v>361</v>
      </c>
      <c r="O619" s="2">
        <v>284.0</v>
      </c>
      <c r="P619" s="2" t="s">
        <v>399</v>
      </c>
    </row>
    <row r="620" ht="22.5" customHeight="1">
      <c r="A620" s="2" t="s">
        <v>477</v>
      </c>
      <c r="B620" s="2" t="s">
        <v>484</v>
      </c>
      <c r="C620" s="4" t="s">
        <v>21</v>
      </c>
      <c r="D620" s="4" t="s">
        <v>56</v>
      </c>
      <c r="F620" s="5"/>
      <c r="G620" s="8">
        <v>3370.7</v>
      </c>
      <c r="L620" s="2">
        <v>8505.17</v>
      </c>
      <c r="M620" s="2" t="s">
        <v>366</v>
      </c>
      <c r="N620" s="2" t="s">
        <v>361</v>
      </c>
      <c r="O620" s="2">
        <v>284.0</v>
      </c>
      <c r="P620" s="2" t="s">
        <v>399</v>
      </c>
    </row>
    <row r="621" ht="22.5" customHeight="1">
      <c r="A621" s="2" t="s">
        <v>485</v>
      </c>
      <c r="B621" s="2" t="s">
        <v>486</v>
      </c>
      <c r="C621" s="4" t="s">
        <v>21</v>
      </c>
      <c r="D621" s="4" t="s">
        <v>22</v>
      </c>
      <c r="F621" s="5"/>
      <c r="G621" s="21">
        <v>1614.2</v>
      </c>
      <c r="L621" s="2">
        <v>1614.2</v>
      </c>
      <c r="M621" s="2" t="s">
        <v>366</v>
      </c>
      <c r="N621" s="2" t="s">
        <v>361</v>
      </c>
      <c r="O621" s="2">
        <v>285.0</v>
      </c>
      <c r="P621" s="2" t="s">
        <v>485</v>
      </c>
    </row>
    <row r="622" ht="22.5" customHeight="1">
      <c r="A622" s="2" t="s">
        <v>485</v>
      </c>
      <c r="B622" s="2" t="s">
        <v>486</v>
      </c>
      <c r="C622" s="4" t="s">
        <v>21</v>
      </c>
      <c r="D622" s="4" t="s">
        <v>22</v>
      </c>
      <c r="F622" s="5"/>
      <c r="G622" s="20">
        <v>8686.68</v>
      </c>
      <c r="L622" s="2">
        <v>8686.68</v>
      </c>
      <c r="M622" s="2" t="s">
        <v>366</v>
      </c>
      <c r="N622" s="2" t="s">
        <v>361</v>
      </c>
      <c r="O622" s="2">
        <v>285.0</v>
      </c>
      <c r="P622" s="2" t="s">
        <v>485</v>
      </c>
    </row>
    <row r="623" ht="22.5" customHeight="1">
      <c r="A623" s="2" t="s">
        <v>485</v>
      </c>
      <c r="B623" s="2" t="s">
        <v>486</v>
      </c>
      <c r="C623" s="4" t="s">
        <v>21</v>
      </c>
      <c r="D623" s="4" t="s">
        <v>22</v>
      </c>
      <c r="F623" s="5"/>
      <c r="G623" s="21">
        <v>12420.34</v>
      </c>
      <c r="L623" s="2">
        <v>12420.34</v>
      </c>
      <c r="M623" s="2" t="s">
        <v>366</v>
      </c>
      <c r="N623" s="2" t="s">
        <v>361</v>
      </c>
      <c r="O623" s="2">
        <v>285.0</v>
      </c>
      <c r="P623" s="2" t="s">
        <v>485</v>
      </c>
    </row>
    <row r="624" ht="22.5" customHeight="1">
      <c r="A624" s="2" t="s">
        <v>485</v>
      </c>
      <c r="B624" s="2" t="s">
        <v>486</v>
      </c>
      <c r="C624" s="4" t="s">
        <v>21</v>
      </c>
      <c r="D624" s="4" t="s">
        <v>22</v>
      </c>
      <c r="F624" s="5"/>
      <c r="G624" s="20">
        <v>14372.07</v>
      </c>
      <c r="L624" s="2">
        <v>14372.07</v>
      </c>
      <c r="M624" s="2" t="s">
        <v>366</v>
      </c>
      <c r="N624" s="2" t="s">
        <v>361</v>
      </c>
      <c r="O624" s="2">
        <v>285.0</v>
      </c>
      <c r="P624" s="2" t="s">
        <v>485</v>
      </c>
    </row>
    <row r="625" ht="22.5" customHeight="1">
      <c r="A625" s="2" t="s">
        <v>485</v>
      </c>
      <c r="B625" s="2" t="s">
        <v>486</v>
      </c>
      <c r="C625" s="4" t="s">
        <v>21</v>
      </c>
      <c r="D625" s="4" t="s">
        <v>22</v>
      </c>
      <c r="F625" s="5"/>
      <c r="G625" s="21">
        <v>15416.65</v>
      </c>
      <c r="L625" s="2">
        <v>1614.2</v>
      </c>
      <c r="M625" s="2" t="s">
        <v>366</v>
      </c>
      <c r="N625" s="2" t="s">
        <v>361</v>
      </c>
      <c r="O625" s="2">
        <v>285.0</v>
      </c>
      <c r="P625" s="2" t="s">
        <v>485</v>
      </c>
    </row>
    <row r="626" ht="22.5" customHeight="1">
      <c r="A626" s="4" t="s">
        <v>444</v>
      </c>
      <c r="B626" s="2" t="s">
        <v>487</v>
      </c>
      <c r="C626" s="4" t="s">
        <v>21</v>
      </c>
      <c r="D626" s="4" t="s">
        <v>22</v>
      </c>
      <c r="F626" s="5"/>
      <c r="G626" s="2">
        <v>8000.0</v>
      </c>
      <c r="L626" s="2">
        <v>15416.65</v>
      </c>
      <c r="M626" s="2" t="s">
        <v>366</v>
      </c>
      <c r="N626" s="2" t="s">
        <v>361</v>
      </c>
      <c r="O626" s="2">
        <v>285.0</v>
      </c>
      <c r="P626" s="2" t="s">
        <v>485</v>
      </c>
    </row>
    <row r="627" ht="22.5" customHeight="1">
      <c r="A627" s="2" t="s">
        <v>488</v>
      </c>
      <c r="B627" s="2" t="s">
        <v>436</v>
      </c>
      <c r="C627" s="4" t="s">
        <v>480</v>
      </c>
      <c r="D627" s="4" t="s">
        <v>72</v>
      </c>
      <c r="F627" s="5"/>
      <c r="G627" s="2">
        <v>6213.65</v>
      </c>
      <c r="L627" s="2">
        <v>6213.65</v>
      </c>
      <c r="M627" s="2" t="s">
        <v>366</v>
      </c>
      <c r="N627" s="2" t="s">
        <v>361</v>
      </c>
      <c r="O627" s="2">
        <v>502.0</v>
      </c>
      <c r="P627" s="2" t="s">
        <v>489</v>
      </c>
    </row>
    <row r="628" ht="22.5" customHeight="1">
      <c r="A628" s="17" t="s">
        <v>490</v>
      </c>
      <c r="B628" s="4" t="s">
        <v>491</v>
      </c>
      <c r="C628" s="4" t="s">
        <v>413</v>
      </c>
      <c r="D628" s="4" t="s">
        <v>72</v>
      </c>
      <c r="E628" s="4"/>
      <c r="F628" s="10"/>
      <c r="G628" s="4">
        <v>31802.26</v>
      </c>
      <c r="H628" s="4"/>
      <c r="I628" s="4"/>
      <c r="J628" s="4"/>
      <c r="K628" s="4"/>
      <c r="L628" s="4">
        <v>31802.26</v>
      </c>
      <c r="M628" s="4" t="s">
        <v>492</v>
      </c>
      <c r="N628" s="4" t="s">
        <v>415</v>
      </c>
      <c r="O628" s="4">
        <v>7.0</v>
      </c>
      <c r="P628" s="4" t="s">
        <v>493</v>
      </c>
      <c r="Q628" s="4"/>
      <c r="R628" s="4"/>
      <c r="S628" s="4"/>
    </row>
    <row r="629" ht="22.5" customHeight="1">
      <c r="A629" s="17" t="s">
        <v>411</v>
      </c>
      <c r="B629" s="4" t="s">
        <v>491</v>
      </c>
      <c r="C629" s="4" t="s">
        <v>413</v>
      </c>
      <c r="D629" s="4" t="s">
        <v>72</v>
      </c>
      <c r="E629" s="4"/>
      <c r="F629" s="10"/>
      <c r="G629" s="4">
        <v>78740.0</v>
      </c>
      <c r="H629" s="4"/>
      <c r="I629" s="4"/>
      <c r="J629" s="4"/>
      <c r="K629" s="4"/>
      <c r="L629" s="4">
        <v>78740.0</v>
      </c>
      <c r="M629" s="4" t="s">
        <v>492</v>
      </c>
      <c r="N629" s="4" t="s">
        <v>415</v>
      </c>
      <c r="O629" s="4">
        <v>7.0</v>
      </c>
      <c r="P629" s="4" t="s">
        <v>416</v>
      </c>
      <c r="Q629" s="4"/>
      <c r="R629" s="4"/>
      <c r="S629" s="4"/>
    </row>
    <row r="630" ht="22.5" customHeight="1">
      <c r="A630" s="2" t="s">
        <v>490</v>
      </c>
      <c r="B630" s="2" t="s">
        <v>494</v>
      </c>
      <c r="C630" s="2" t="s">
        <v>32</v>
      </c>
      <c r="D630" s="4" t="s">
        <v>72</v>
      </c>
      <c r="F630" s="5"/>
      <c r="G630" s="2">
        <v>86206.9</v>
      </c>
      <c r="L630" s="2">
        <v>86206.9</v>
      </c>
      <c r="M630" s="2" t="s">
        <v>366</v>
      </c>
      <c r="N630" s="2" t="s">
        <v>361</v>
      </c>
      <c r="O630" s="2">
        <v>288.0</v>
      </c>
      <c r="P630" s="2" t="s">
        <v>403</v>
      </c>
    </row>
    <row r="631" ht="22.5" customHeight="1">
      <c r="A631" s="2" t="s">
        <v>490</v>
      </c>
      <c r="B631" s="2" t="s">
        <v>495</v>
      </c>
      <c r="C631" s="2" t="s">
        <v>32</v>
      </c>
      <c r="D631" s="4" t="s">
        <v>72</v>
      </c>
      <c r="F631" s="5"/>
      <c r="G631" s="21">
        <v>7343.97</v>
      </c>
      <c r="L631" s="2">
        <v>7343.97</v>
      </c>
      <c r="M631" s="2" t="s">
        <v>366</v>
      </c>
      <c r="N631" s="2" t="s">
        <v>361</v>
      </c>
      <c r="O631" s="2">
        <v>272.0</v>
      </c>
      <c r="P631" s="2" t="s">
        <v>375</v>
      </c>
    </row>
    <row r="632" ht="22.5" customHeight="1">
      <c r="A632" s="2" t="s">
        <v>490</v>
      </c>
      <c r="B632" s="2" t="s">
        <v>496</v>
      </c>
      <c r="C632" s="2" t="s">
        <v>32</v>
      </c>
      <c r="D632" s="4" t="s">
        <v>72</v>
      </c>
      <c r="F632" s="5"/>
      <c r="G632" s="20">
        <v>8900.0</v>
      </c>
      <c r="L632" s="2">
        <v>8900.0</v>
      </c>
      <c r="M632" s="2" t="s">
        <v>366</v>
      </c>
      <c r="N632" s="2" t="s">
        <v>361</v>
      </c>
      <c r="O632" s="2">
        <v>272.0</v>
      </c>
      <c r="P632" s="2" t="s">
        <v>375</v>
      </c>
    </row>
    <row r="633" ht="22.5" customHeight="1">
      <c r="A633" s="2" t="s">
        <v>490</v>
      </c>
      <c r="B633" s="2" t="s">
        <v>497</v>
      </c>
      <c r="C633" s="2" t="s">
        <v>32</v>
      </c>
      <c r="D633" s="4" t="s">
        <v>72</v>
      </c>
      <c r="F633" s="5"/>
      <c r="G633" s="21">
        <v>114992.67</v>
      </c>
      <c r="L633" s="2">
        <v>114992.67</v>
      </c>
      <c r="M633" s="2" t="s">
        <v>366</v>
      </c>
      <c r="N633" s="2" t="s">
        <v>361</v>
      </c>
      <c r="O633" s="2">
        <v>272.0</v>
      </c>
      <c r="P633" s="2" t="s">
        <v>375</v>
      </c>
    </row>
    <row r="634" ht="22.5" customHeight="1">
      <c r="A634" s="2" t="s">
        <v>490</v>
      </c>
      <c r="B634" s="2" t="s">
        <v>498</v>
      </c>
      <c r="C634" s="2" t="s">
        <v>32</v>
      </c>
      <c r="D634" s="4" t="s">
        <v>72</v>
      </c>
      <c r="F634" s="5"/>
      <c r="G634" s="20">
        <v>17.24</v>
      </c>
      <c r="L634" s="2">
        <v>17.24</v>
      </c>
      <c r="M634" s="2" t="s">
        <v>366</v>
      </c>
      <c r="N634" s="2" t="s">
        <v>361</v>
      </c>
      <c r="O634" s="2">
        <v>290.0</v>
      </c>
      <c r="P634" s="2" t="s">
        <v>499</v>
      </c>
    </row>
    <row r="635" ht="22.5" customHeight="1">
      <c r="A635" s="4" t="s">
        <v>490</v>
      </c>
      <c r="B635" s="2" t="s">
        <v>500</v>
      </c>
      <c r="C635" s="4" t="s">
        <v>501</v>
      </c>
      <c r="D635" s="4" t="s">
        <v>502</v>
      </c>
      <c r="F635" s="5"/>
      <c r="G635" s="21">
        <v>7067.24</v>
      </c>
      <c r="L635" s="2">
        <v>46093.1</v>
      </c>
      <c r="M635" s="2" t="s">
        <v>366</v>
      </c>
      <c r="N635" s="2" t="s">
        <v>361</v>
      </c>
      <c r="O635" s="2">
        <v>282.0</v>
      </c>
      <c r="P635" s="2" t="s">
        <v>391</v>
      </c>
    </row>
    <row r="636" ht="22.5" customHeight="1">
      <c r="A636" s="2" t="s">
        <v>490</v>
      </c>
      <c r="B636" s="2" t="s">
        <v>503</v>
      </c>
      <c r="C636" s="2" t="s">
        <v>32</v>
      </c>
      <c r="D636" s="4" t="s">
        <v>72</v>
      </c>
      <c r="F636" s="5"/>
      <c r="G636" s="2">
        <v>3052.96</v>
      </c>
      <c r="L636" s="2">
        <v>7067.24</v>
      </c>
      <c r="M636" s="2" t="s">
        <v>504</v>
      </c>
      <c r="N636" s="2" t="s">
        <v>415</v>
      </c>
      <c r="O636" s="2">
        <v>106.0</v>
      </c>
      <c r="P636" s="2" t="s">
        <v>391</v>
      </c>
    </row>
    <row r="637" ht="22.5" customHeight="1">
      <c r="A637" s="2" t="s">
        <v>490</v>
      </c>
      <c r="B637" s="2" t="s">
        <v>503</v>
      </c>
      <c r="C637" s="2" t="s">
        <v>32</v>
      </c>
      <c r="D637" s="4" t="s">
        <v>72</v>
      </c>
      <c r="F637" s="5"/>
      <c r="G637" s="2">
        <v>14460.38</v>
      </c>
      <c r="L637" s="2">
        <v>3052.96</v>
      </c>
      <c r="M637" s="2" t="s">
        <v>505</v>
      </c>
      <c r="N637" s="2" t="s">
        <v>415</v>
      </c>
      <c r="O637" s="2">
        <v>220.0</v>
      </c>
      <c r="P637" s="2" t="s">
        <v>391</v>
      </c>
    </row>
    <row r="638" ht="22.5" customHeight="1">
      <c r="A638" s="2" t="s">
        <v>490</v>
      </c>
      <c r="B638" s="2" t="s">
        <v>503</v>
      </c>
      <c r="C638" s="2" t="s">
        <v>32</v>
      </c>
      <c r="D638" s="4" t="s">
        <v>72</v>
      </c>
      <c r="F638" s="5"/>
      <c r="G638" s="2">
        <v>28237.34</v>
      </c>
      <c r="L638" s="2">
        <v>14460.38</v>
      </c>
      <c r="M638" s="2" t="s">
        <v>505</v>
      </c>
      <c r="N638" s="2" t="s">
        <v>415</v>
      </c>
      <c r="O638" s="2">
        <v>235.0</v>
      </c>
      <c r="P638" s="2" t="s">
        <v>391</v>
      </c>
    </row>
    <row r="639" ht="22.5" customHeight="1">
      <c r="A639" s="2" t="s">
        <v>490</v>
      </c>
      <c r="B639" s="2" t="s">
        <v>503</v>
      </c>
      <c r="C639" s="2" t="s">
        <v>32</v>
      </c>
      <c r="D639" s="4" t="s">
        <v>72</v>
      </c>
      <c r="F639" s="5"/>
      <c r="G639" s="2">
        <v>6454.65</v>
      </c>
      <c r="L639" s="2">
        <v>28237.34</v>
      </c>
      <c r="M639" s="2" t="s">
        <v>505</v>
      </c>
      <c r="N639" s="2" t="s">
        <v>415</v>
      </c>
      <c r="O639" s="2">
        <v>236.0</v>
      </c>
      <c r="P639" s="2" t="s">
        <v>391</v>
      </c>
    </row>
    <row r="640" ht="22.5" customHeight="1">
      <c r="A640" s="2" t="s">
        <v>490</v>
      </c>
      <c r="B640" s="2" t="s">
        <v>503</v>
      </c>
      <c r="C640" s="2" t="s">
        <v>32</v>
      </c>
      <c r="D640" s="4" t="s">
        <v>72</v>
      </c>
      <c r="F640" s="5"/>
      <c r="G640" s="2">
        <v>2422.94</v>
      </c>
      <c r="L640" s="2">
        <v>6454.65</v>
      </c>
      <c r="M640" s="2" t="s">
        <v>418</v>
      </c>
      <c r="N640" s="2" t="s">
        <v>415</v>
      </c>
      <c r="O640" s="2">
        <v>237.0</v>
      </c>
      <c r="P640" s="2" t="s">
        <v>391</v>
      </c>
    </row>
    <row r="641" ht="22.5" customHeight="1">
      <c r="A641" s="2" t="s">
        <v>490</v>
      </c>
      <c r="B641" s="2" t="s">
        <v>506</v>
      </c>
      <c r="C641" s="2" t="s">
        <v>32</v>
      </c>
      <c r="D641" s="4" t="s">
        <v>72</v>
      </c>
      <c r="F641" s="5"/>
      <c r="G641" s="2">
        <v>86195.46</v>
      </c>
      <c r="L641" s="2">
        <v>2422.94</v>
      </c>
      <c r="M641" s="2" t="s">
        <v>418</v>
      </c>
      <c r="N641" s="2" t="s">
        <v>415</v>
      </c>
      <c r="O641" s="2">
        <v>238.0</v>
      </c>
      <c r="P641" s="2" t="s">
        <v>391</v>
      </c>
    </row>
    <row r="642" ht="22.5" customHeight="1">
      <c r="A642" s="17" t="s">
        <v>391</v>
      </c>
      <c r="B642" s="2" t="s">
        <v>507</v>
      </c>
      <c r="C642" s="2" t="s">
        <v>32</v>
      </c>
      <c r="D642" s="4" t="s">
        <v>48</v>
      </c>
      <c r="F642" s="5"/>
      <c r="G642" s="8">
        <v>2478.51</v>
      </c>
      <c r="L642" s="2">
        <v>86195.46</v>
      </c>
      <c r="M642" s="2" t="s">
        <v>508</v>
      </c>
      <c r="N642" s="2" t="s">
        <v>415</v>
      </c>
      <c r="O642" s="2">
        <v>241.0</v>
      </c>
      <c r="P642" s="2" t="s">
        <v>391</v>
      </c>
    </row>
    <row r="643" ht="22.5" customHeight="1">
      <c r="A643" s="2" t="s">
        <v>490</v>
      </c>
      <c r="B643" s="2" t="s">
        <v>497</v>
      </c>
      <c r="C643" s="2" t="s">
        <v>32</v>
      </c>
      <c r="D643" s="4" t="s">
        <v>72</v>
      </c>
      <c r="F643" s="5"/>
      <c r="G643" s="8">
        <v>114992.67</v>
      </c>
      <c r="L643" s="2">
        <v>272.02</v>
      </c>
      <c r="M643" s="2" t="s">
        <v>492</v>
      </c>
      <c r="N643" s="2" t="s">
        <v>415</v>
      </c>
      <c r="O643" s="2">
        <v>200.0</v>
      </c>
      <c r="P643" s="2" t="s">
        <v>465</v>
      </c>
    </row>
    <row r="644" ht="22.5" customHeight="1">
      <c r="A644" s="17" t="s">
        <v>395</v>
      </c>
      <c r="B644" s="2" t="s">
        <v>509</v>
      </c>
      <c r="C644" s="4" t="s">
        <v>21</v>
      </c>
      <c r="D644" s="4" t="s">
        <v>22</v>
      </c>
      <c r="F644" s="5"/>
      <c r="G644" s="2">
        <v>14252.68</v>
      </c>
      <c r="L644" s="2">
        <v>0.01</v>
      </c>
      <c r="M644" s="2" t="s">
        <v>414</v>
      </c>
      <c r="N644" s="2" t="s">
        <v>415</v>
      </c>
      <c r="O644" s="2">
        <v>27.0</v>
      </c>
      <c r="P644" s="2" t="s">
        <v>465</v>
      </c>
    </row>
    <row r="645" ht="22.5" customHeight="1">
      <c r="A645" s="2" t="s">
        <v>490</v>
      </c>
      <c r="B645" s="2" t="s">
        <v>510</v>
      </c>
      <c r="C645" s="2" t="s">
        <v>32</v>
      </c>
      <c r="D645" s="4" t="s">
        <v>72</v>
      </c>
      <c r="F645" s="5"/>
      <c r="G645" s="2">
        <v>1256.54</v>
      </c>
      <c r="L645" s="2">
        <v>1256.54</v>
      </c>
      <c r="M645" s="2" t="s">
        <v>505</v>
      </c>
      <c r="N645" s="2" t="s">
        <v>415</v>
      </c>
      <c r="O645" s="2">
        <v>234.0</v>
      </c>
      <c r="P645" s="2" t="s">
        <v>465</v>
      </c>
    </row>
    <row r="646" ht="22.5" customHeight="1">
      <c r="A646" s="2" t="s">
        <v>490</v>
      </c>
      <c r="B646" s="2" t="s">
        <v>486</v>
      </c>
      <c r="C646" s="2" t="s">
        <v>32</v>
      </c>
      <c r="D646" s="4" t="s">
        <v>72</v>
      </c>
      <c r="F646" s="5"/>
      <c r="G646" s="2">
        <v>1121.46</v>
      </c>
      <c r="L646" s="2">
        <v>1121.46</v>
      </c>
      <c r="M646" s="2" t="s">
        <v>421</v>
      </c>
      <c r="N646" s="2" t="s">
        <v>415</v>
      </c>
      <c r="O646" s="2">
        <v>242.0</v>
      </c>
      <c r="P646" s="2" t="s">
        <v>465</v>
      </c>
    </row>
    <row r="647" ht="22.5" customHeight="1">
      <c r="A647" s="4" t="s">
        <v>490</v>
      </c>
      <c r="B647" s="4" t="s">
        <v>511</v>
      </c>
      <c r="C647" s="4" t="s">
        <v>32</v>
      </c>
      <c r="D647" s="4" t="s">
        <v>72</v>
      </c>
      <c r="E647" s="4"/>
      <c r="F647" s="10"/>
      <c r="G647" s="4">
        <v>126798.61</v>
      </c>
      <c r="H647" s="4"/>
      <c r="I647" s="4"/>
      <c r="J647" s="4"/>
      <c r="K647" s="4"/>
      <c r="L647" s="4">
        <v>126798.61</v>
      </c>
      <c r="M647" s="4" t="s">
        <v>492</v>
      </c>
      <c r="N647" s="4" t="s">
        <v>415</v>
      </c>
      <c r="O647" s="4">
        <v>200.0</v>
      </c>
      <c r="P647" s="4" t="s">
        <v>493</v>
      </c>
      <c r="Q647" s="4"/>
      <c r="R647" s="4"/>
      <c r="S647" s="4"/>
    </row>
    <row r="648" ht="22.5" customHeight="1">
      <c r="A648" s="4" t="s">
        <v>490</v>
      </c>
      <c r="B648" s="4" t="s">
        <v>500</v>
      </c>
      <c r="C648" s="4" t="s">
        <v>501</v>
      </c>
      <c r="D648" s="4" t="s">
        <v>502</v>
      </c>
      <c r="E648" s="4"/>
      <c r="F648" s="10"/>
      <c r="G648" s="4">
        <v>44066.6</v>
      </c>
      <c r="H648" s="4"/>
      <c r="I648" s="4"/>
      <c r="J648" s="4"/>
      <c r="K648" s="4"/>
      <c r="L648" s="4">
        <v>44066.6</v>
      </c>
      <c r="M648" s="4" t="s">
        <v>504</v>
      </c>
      <c r="N648" s="4" t="s">
        <v>415</v>
      </c>
      <c r="O648" s="4">
        <v>106.0</v>
      </c>
      <c r="P648" s="4" t="s">
        <v>493</v>
      </c>
      <c r="Q648" s="4"/>
      <c r="R648" s="4"/>
      <c r="S648" s="4"/>
    </row>
    <row r="649" ht="22.5" customHeight="1">
      <c r="A649" s="2" t="s">
        <v>512</v>
      </c>
      <c r="B649" s="2" t="s">
        <v>513</v>
      </c>
      <c r="C649" s="4" t="s">
        <v>21</v>
      </c>
      <c r="D649" s="4" t="s">
        <v>22</v>
      </c>
      <c r="F649" s="5"/>
      <c r="G649" s="2">
        <v>446.09</v>
      </c>
      <c r="L649" s="2">
        <v>446.09</v>
      </c>
      <c r="M649" s="2" t="s">
        <v>366</v>
      </c>
      <c r="N649" s="2" t="s">
        <v>361</v>
      </c>
      <c r="O649" s="2">
        <v>278.0</v>
      </c>
      <c r="P649" s="2" t="s">
        <v>444</v>
      </c>
    </row>
    <row r="650" ht="22.5" customHeight="1">
      <c r="A650" s="2" t="s">
        <v>512</v>
      </c>
      <c r="B650" s="2" t="s">
        <v>513</v>
      </c>
      <c r="C650" s="4" t="s">
        <v>21</v>
      </c>
      <c r="D650" s="4" t="s">
        <v>22</v>
      </c>
      <c r="F650" s="5"/>
      <c r="G650" s="2">
        <v>446.09</v>
      </c>
      <c r="L650" s="2">
        <v>446.09</v>
      </c>
      <c r="M650" s="2" t="s">
        <v>366</v>
      </c>
      <c r="N650" s="2" t="s">
        <v>361</v>
      </c>
      <c r="O650" s="2">
        <v>278.0</v>
      </c>
      <c r="P650" s="2" t="s">
        <v>444</v>
      </c>
    </row>
    <row r="651" ht="22.5" customHeight="1">
      <c r="A651" s="4" t="s">
        <v>356</v>
      </c>
      <c r="B651" s="4" t="s">
        <v>514</v>
      </c>
      <c r="C651" s="4" t="s">
        <v>68</v>
      </c>
      <c r="D651" s="4" t="s">
        <v>78</v>
      </c>
      <c r="E651" s="4"/>
      <c r="F651" s="4" t="s">
        <v>514</v>
      </c>
      <c r="G651" s="4">
        <v>1200.0</v>
      </c>
      <c r="H651" s="4"/>
      <c r="I651" s="4"/>
      <c r="J651" s="4"/>
      <c r="K651" s="4"/>
      <c r="L651" s="4"/>
      <c r="M651" s="4">
        <v>46082.0</v>
      </c>
      <c r="N651" s="4"/>
      <c r="O651" s="4"/>
      <c r="P651" s="4"/>
      <c r="Q651" s="4"/>
      <c r="R651" s="4"/>
      <c r="S651" s="4"/>
    </row>
    <row r="652" ht="22.5" customHeight="1">
      <c r="A652" s="4" t="s">
        <v>356</v>
      </c>
      <c r="B652" s="10"/>
      <c r="C652" s="4" t="s">
        <v>32</v>
      </c>
      <c r="D652" s="4" t="s">
        <v>118</v>
      </c>
      <c r="E652" s="4"/>
      <c r="F652" s="10"/>
      <c r="G652" s="4">
        <v>15357.2</v>
      </c>
      <c r="H652" s="4"/>
      <c r="I652" s="4"/>
      <c r="J652" s="4"/>
      <c r="K652" s="4"/>
      <c r="L652" s="4"/>
      <c r="M652" s="4">
        <v>46082.0</v>
      </c>
      <c r="N652" s="4"/>
      <c r="O652" s="4"/>
      <c r="P652" s="4"/>
      <c r="Q652" s="4"/>
      <c r="R652" s="4"/>
      <c r="S652" s="4"/>
    </row>
    <row r="653" ht="22.5" customHeight="1">
      <c r="A653" s="2" t="s">
        <v>515</v>
      </c>
      <c r="B653" s="2" t="s">
        <v>516</v>
      </c>
      <c r="C653" s="4" t="s">
        <v>21</v>
      </c>
      <c r="D653" s="4" t="s">
        <v>22</v>
      </c>
      <c r="F653" s="5"/>
      <c r="G653" s="2">
        <v>14653.38</v>
      </c>
      <c r="L653" s="2">
        <v>758.62</v>
      </c>
      <c r="M653" s="2" t="s">
        <v>366</v>
      </c>
      <c r="N653" s="2" t="s">
        <v>361</v>
      </c>
      <c r="O653" s="2">
        <v>283.0</v>
      </c>
      <c r="P653" s="2" t="s">
        <v>475</v>
      </c>
    </row>
    <row r="654" ht="22.5" customHeight="1">
      <c r="A654" s="2" t="s">
        <v>515</v>
      </c>
      <c r="B654" s="2" t="s">
        <v>517</v>
      </c>
      <c r="C654" s="4" t="s">
        <v>21</v>
      </c>
      <c r="D654" s="4" t="s">
        <v>22</v>
      </c>
      <c r="F654" s="5"/>
      <c r="G654" s="2">
        <v>3580.45</v>
      </c>
      <c r="L654" s="2">
        <v>14653.38</v>
      </c>
      <c r="M654" s="2" t="s">
        <v>366</v>
      </c>
      <c r="N654" s="2" t="s">
        <v>361</v>
      </c>
      <c r="O654" s="2">
        <v>266.0</v>
      </c>
      <c r="P654" s="2" t="s">
        <v>481</v>
      </c>
    </row>
    <row r="655" ht="22.5" customHeight="1">
      <c r="A655" s="2" t="s">
        <v>515</v>
      </c>
      <c r="B655" s="2" t="s">
        <v>518</v>
      </c>
      <c r="C655" s="4" t="s">
        <v>21</v>
      </c>
      <c r="D655" s="4" t="s">
        <v>22</v>
      </c>
      <c r="F655" s="5"/>
      <c r="G655" s="2">
        <v>13054.18</v>
      </c>
      <c r="L655" s="2">
        <v>3580.45</v>
      </c>
      <c r="M655" s="2" t="s">
        <v>366</v>
      </c>
      <c r="N655" s="2" t="s">
        <v>361</v>
      </c>
      <c r="O655" s="2">
        <v>286.0</v>
      </c>
      <c r="P655" s="2" t="s">
        <v>481</v>
      </c>
    </row>
    <row r="656" ht="22.5" customHeight="1">
      <c r="A656" s="2" t="s">
        <v>515</v>
      </c>
      <c r="B656" s="2" t="s">
        <v>519</v>
      </c>
      <c r="C656" s="4" t="s">
        <v>21</v>
      </c>
      <c r="D656" s="4" t="s">
        <v>22</v>
      </c>
      <c r="F656" s="5"/>
      <c r="G656" s="8">
        <v>1618.88</v>
      </c>
      <c r="L656" s="2">
        <v>13054.18</v>
      </c>
      <c r="M656" s="2" t="s">
        <v>366</v>
      </c>
      <c r="N656" s="2" t="s">
        <v>361</v>
      </c>
      <c r="O656" s="2">
        <v>286.0</v>
      </c>
      <c r="P656" s="2" t="s">
        <v>481</v>
      </c>
    </row>
    <row r="657" ht="22.5" customHeight="1">
      <c r="A657" s="4" t="s">
        <v>520</v>
      </c>
      <c r="B657" s="4" t="s">
        <v>521</v>
      </c>
      <c r="C657" s="4" t="s">
        <v>68</v>
      </c>
      <c r="D657" s="4" t="s">
        <v>502</v>
      </c>
      <c r="E657" s="4"/>
      <c r="F657" s="10"/>
      <c r="G657" s="4">
        <v>5557.72</v>
      </c>
      <c r="H657" s="4"/>
      <c r="I657" s="4"/>
      <c r="J657" s="4"/>
      <c r="K657" s="4"/>
      <c r="L657" s="4">
        <v>5557.72</v>
      </c>
      <c r="M657" s="4" t="s">
        <v>366</v>
      </c>
      <c r="N657" s="4" t="s">
        <v>415</v>
      </c>
      <c r="O657" s="4">
        <v>300.0</v>
      </c>
      <c r="P657" s="4" t="s">
        <v>522</v>
      </c>
      <c r="Q657" s="4"/>
      <c r="R657" s="4"/>
      <c r="S657" s="4"/>
    </row>
    <row r="658" ht="22.5" customHeight="1">
      <c r="A658" s="2" t="s">
        <v>523</v>
      </c>
      <c r="B658" s="2" t="s">
        <v>524</v>
      </c>
      <c r="C658" s="4" t="s">
        <v>32</v>
      </c>
      <c r="D658" s="4" t="s">
        <v>39</v>
      </c>
      <c r="F658" s="5"/>
      <c r="G658" s="2">
        <v>29000.0</v>
      </c>
      <c r="L658" s="2">
        <v>29000.0</v>
      </c>
      <c r="M658" s="2" t="s">
        <v>366</v>
      </c>
      <c r="N658" s="2" t="s">
        <v>361</v>
      </c>
      <c r="O658" s="2">
        <v>288.0</v>
      </c>
      <c r="P658" s="2" t="s">
        <v>403</v>
      </c>
    </row>
    <row r="659" ht="22.5" customHeight="1">
      <c r="A659" s="17" t="s">
        <v>458</v>
      </c>
      <c r="B659" s="2" t="s">
        <v>467</v>
      </c>
      <c r="C659" s="4" t="s">
        <v>21</v>
      </c>
      <c r="D659" s="4" t="s">
        <v>22</v>
      </c>
      <c r="F659" s="5"/>
      <c r="G659" s="4">
        <v>1000.0</v>
      </c>
      <c r="L659" s="2">
        <v>8208.0</v>
      </c>
      <c r="M659" s="2" t="s">
        <v>366</v>
      </c>
      <c r="N659" s="2" t="s">
        <v>361</v>
      </c>
      <c r="O659" s="2">
        <v>278.0</v>
      </c>
      <c r="P659" s="2" t="s">
        <v>444</v>
      </c>
    </row>
    <row r="660" ht="22.5" customHeight="1">
      <c r="A660" s="2" t="s">
        <v>447</v>
      </c>
      <c r="B660" s="2" t="s">
        <v>525</v>
      </c>
      <c r="C660" s="4" t="s">
        <v>32</v>
      </c>
      <c r="D660" s="4" t="s">
        <v>56</v>
      </c>
      <c r="F660" s="5"/>
      <c r="G660" s="2">
        <v>14595.06</v>
      </c>
      <c r="L660" s="2">
        <v>14595.06</v>
      </c>
      <c r="M660" s="2" t="s">
        <v>366</v>
      </c>
      <c r="N660" s="2" t="s">
        <v>361</v>
      </c>
      <c r="O660" s="2">
        <v>278.0</v>
      </c>
      <c r="P660" s="2" t="s">
        <v>444</v>
      </c>
    </row>
    <row r="661" ht="22.5" customHeight="1">
      <c r="A661" s="2" t="s">
        <v>447</v>
      </c>
      <c r="B661" s="2" t="s">
        <v>525</v>
      </c>
      <c r="C661" s="4" t="s">
        <v>32</v>
      </c>
      <c r="D661" s="4" t="s">
        <v>56</v>
      </c>
      <c r="F661" s="5"/>
      <c r="G661" s="2">
        <v>14595.06</v>
      </c>
      <c r="L661" s="2"/>
      <c r="M661" s="2" t="s">
        <v>366</v>
      </c>
      <c r="N661" s="2"/>
      <c r="O661" s="2"/>
      <c r="P661" s="2"/>
    </row>
    <row r="662" ht="22.5" customHeight="1">
      <c r="A662" s="4" t="s">
        <v>444</v>
      </c>
      <c r="B662" s="2" t="s">
        <v>450</v>
      </c>
      <c r="C662" s="4" t="s">
        <v>21</v>
      </c>
      <c r="D662" s="4" t="s">
        <v>22</v>
      </c>
      <c r="F662" s="5"/>
      <c r="G662" s="8">
        <v>4386.83</v>
      </c>
      <c r="L662" s="2">
        <v>14595.06</v>
      </c>
      <c r="M662" s="2" t="s">
        <v>366</v>
      </c>
      <c r="N662" s="2" t="s">
        <v>361</v>
      </c>
      <c r="O662" s="2">
        <v>278.0</v>
      </c>
      <c r="P662" s="2" t="s">
        <v>444</v>
      </c>
    </row>
    <row r="663" ht="22.5" customHeight="1">
      <c r="A663" s="4" t="s">
        <v>356</v>
      </c>
      <c r="B663" s="4" t="s">
        <v>526</v>
      </c>
      <c r="C663" s="4" t="s">
        <v>32</v>
      </c>
      <c r="D663" s="4" t="s">
        <v>48</v>
      </c>
      <c r="E663" s="4"/>
      <c r="F663" s="4" t="s">
        <v>526</v>
      </c>
      <c r="G663" s="4">
        <v>213.95</v>
      </c>
      <c r="H663" s="4"/>
      <c r="I663" s="4"/>
      <c r="J663" s="4"/>
      <c r="K663" s="4"/>
      <c r="L663" s="4"/>
      <c r="M663" s="4">
        <v>46082.0</v>
      </c>
      <c r="N663" s="4"/>
      <c r="O663" s="4"/>
      <c r="P663" s="4"/>
      <c r="Q663" s="4"/>
      <c r="R663" s="4"/>
      <c r="S663" s="4"/>
    </row>
    <row r="664" ht="22.5" customHeight="1">
      <c r="A664" s="2" t="s">
        <v>356</v>
      </c>
      <c r="B664" s="3" t="s">
        <v>527</v>
      </c>
      <c r="C664" s="2" t="s">
        <v>68</v>
      </c>
      <c r="D664" s="8" t="s">
        <v>166</v>
      </c>
      <c r="F664" s="3" t="s">
        <v>527</v>
      </c>
      <c r="G664" s="2">
        <v>17314.97</v>
      </c>
      <c r="L664" s="2"/>
      <c r="M664" s="9">
        <v>46082.0</v>
      </c>
      <c r="N664" s="2"/>
      <c r="O664" s="2"/>
      <c r="P664" s="2"/>
    </row>
    <row r="665" ht="22.5" customHeight="1">
      <c r="A665" s="4" t="s">
        <v>356</v>
      </c>
      <c r="B665" s="4" t="s">
        <v>71</v>
      </c>
      <c r="C665" s="4" t="s">
        <v>68</v>
      </c>
      <c r="D665" s="4" t="s">
        <v>72</v>
      </c>
      <c r="E665" s="4"/>
      <c r="F665" s="4" t="s">
        <v>71</v>
      </c>
      <c r="G665" s="4">
        <v>10000.0</v>
      </c>
      <c r="H665" s="4"/>
      <c r="I665" s="4"/>
      <c r="J665" s="4"/>
      <c r="K665" s="4"/>
      <c r="L665" s="4"/>
      <c r="M665" s="4">
        <v>46082.0</v>
      </c>
      <c r="N665" s="4"/>
      <c r="O665" s="4"/>
      <c r="P665" s="4"/>
      <c r="Q665" s="4"/>
      <c r="R665" s="4"/>
      <c r="S665" s="4"/>
    </row>
    <row r="666" ht="22.5" customHeight="1">
      <c r="A666" s="4" t="s">
        <v>356</v>
      </c>
      <c r="B666" s="4" t="s">
        <v>528</v>
      </c>
      <c r="C666" s="4" t="s">
        <v>21</v>
      </c>
      <c r="D666" s="4" t="s">
        <v>56</v>
      </c>
      <c r="E666" s="4"/>
      <c r="F666" s="4" t="s">
        <v>528</v>
      </c>
      <c r="G666" s="4">
        <v>18699.28</v>
      </c>
      <c r="H666" s="4"/>
      <c r="I666" s="4"/>
      <c r="J666" s="4"/>
      <c r="K666" s="4"/>
      <c r="L666" s="4"/>
      <c r="M666" s="4">
        <v>46082.0</v>
      </c>
      <c r="N666" s="4"/>
      <c r="O666" s="4"/>
      <c r="P666" s="4"/>
      <c r="Q666" s="4"/>
      <c r="R666" s="4"/>
      <c r="S666" s="4"/>
    </row>
    <row r="667" ht="22.5" customHeight="1">
      <c r="A667" s="2" t="s">
        <v>356</v>
      </c>
      <c r="B667" s="5"/>
      <c r="C667" s="2" t="s">
        <v>32</v>
      </c>
      <c r="D667" s="8" t="s">
        <v>103</v>
      </c>
      <c r="F667" s="5"/>
      <c r="G667" s="14">
        <v>19902.05</v>
      </c>
      <c r="L667" s="2"/>
      <c r="M667" s="9">
        <v>46082.0</v>
      </c>
      <c r="N667" s="2"/>
      <c r="O667" s="2"/>
      <c r="P667" s="2"/>
    </row>
    <row r="668" ht="22.5" customHeight="1">
      <c r="A668" s="4" t="s">
        <v>356</v>
      </c>
      <c r="B668" s="4" t="s">
        <v>529</v>
      </c>
      <c r="C668" s="4" t="s">
        <v>21</v>
      </c>
      <c r="D668" s="4" t="s">
        <v>56</v>
      </c>
      <c r="E668" s="4"/>
      <c r="F668" s="4" t="s">
        <v>529</v>
      </c>
      <c r="G668" s="4">
        <v>3192.01</v>
      </c>
      <c r="H668" s="4"/>
      <c r="I668" s="4"/>
      <c r="J668" s="4"/>
      <c r="K668" s="4"/>
      <c r="L668" s="4"/>
      <c r="M668" s="4">
        <v>46082.0</v>
      </c>
      <c r="N668" s="4"/>
      <c r="O668" s="4"/>
      <c r="P668" s="4"/>
      <c r="Q668" s="4"/>
      <c r="R668" s="4"/>
      <c r="S668" s="4"/>
    </row>
    <row r="669" ht="22.5" customHeight="1">
      <c r="A669" s="2" t="s">
        <v>356</v>
      </c>
      <c r="B669" s="2" t="s">
        <v>530</v>
      </c>
      <c r="C669" s="2" t="s">
        <v>21</v>
      </c>
      <c r="D669" s="8" t="s">
        <v>56</v>
      </c>
      <c r="F669" s="5" t="s">
        <v>530</v>
      </c>
      <c r="G669" s="14">
        <v>197713.73</v>
      </c>
      <c r="L669" s="2"/>
      <c r="M669" s="9">
        <v>46082.0</v>
      </c>
      <c r="N669" s="2"/>
      <c r="O669" s="2"/>
      <c r="P669" s="2"/>
    </row>
    <row r="670" ht="22.5" customHeight="1">
      <c r="A670" s="2" t="s">
        <v>447</v>
      </c>
      <c r="B670" s="2" t="s">
        <v>531</v>
      </c>
      <c r="C670" s="4" t="s">
        <v>32</v>
      </c>
      <c r="D670" s="4" t="s">
        <v>56</v>
      </c>
      <c r="F670" s="5"/>
      <c r="G670" s="2">
        <v>67868.64</v>
      </c>
      <c r="L670" s="2">
        <v>67868.64</v>
      </c>
      <c r="M670" s="2" t="s">
        <v>366</v>
      </c>
      <c r="N670" s="2" t="s">
        <v>361</v>
      </c>
      <c r="O670" s="2">
        <v>267.0</v>
      </c>
      <c r="P670" s="2" t="s">
        <v>531</v>
      </c>
    </row>
    <row r="671" ht="22.5" customHeight="1">
      <c r="A671" s="2" t="s">
        <v>447</v>
      </c>
      <c r="B671" s="2" t="s">
        <v>393</v>
      </c>
      <c r="C671" s="4" t="s">
        <v>32</v>
      </c>
      <c r="D671" s="4" t="s">
        <v>56</v>
      </c>
      <c r="F671" s="5"/>
      <c r="G671" s="2">
        <v>64130.0</v>
      </c>
      <c r="L671" s="2">
        <v>64130.0</v>
      </c>
      <c r="M671" s="2" t="s">
        <v>366</v>
      </c>
      <c r="N671" s="2" t="s">
        <v>361</v>
      </c>
      <c r="O671" s="2">
        <v>291.0</v>
      </c>
      <c r="P671" s="2" t="s">
        <v>531</v>
      </c>
    </row>
    <row r="672" ht="22.5" customHeight="1">
      <c r="A672" s="2" t="s">
        <v>429</v>
      </c>
      <c r="B672" s="2" t="s">
        <v>532</v>
      </c>
      <c r="C672" s="2" t="s">
        <v>32</v>
      </c>
      <c r="D672" s="4" t="s">
        <v>72</v>
      </c>
      <c r="F672" s="5"/>
      <c r="G672" s="2">
        <v>3608.33</v>
      </c>
      <c r="L672" s="2">
        <v>25000.0</v>
      </c>
      <c r="M672" s="2" t="s">
        <v>366</v>
      </c>
      <c r="N672" s="2" t="s">
        <v>361</v>
      </c>
      <c r="O672" s="2">
        <v>287.0</v>
      </c>
      <c r="P672" s="2" t="s">
        <v>429</v>
      </c>
    </row>
    <row r="673" ht="22.5" customHeight="1">
      <c r="A673" s="2" t="s">
        <v>429</v>
      </c>
      <c r="B673" s="2" t="s">
        <v>532</v>
      </c>
      <c r="C673" s="4" t="s">
        <v>32</v>
      </c>
      <c r="D673" s="4" t="s">
        <v>72</v>
      </c>
      <c r="F673" s="5"/>
      <c r="G673" s="2">
        <v>53535.0</v>
      </c>
      <c r="L673" s="2">
        <v>3608.33</v>
      </c>
      <c r="M673" s="2" t="s">
        <v>533</v>
      </c>
      <c r="N673" s="2" t="s">
        <v>415</v>
      </c>
      <c r="O673" s="2">
        <v>2.0</v>
      </c>
      <c r="P673" s="2" t="s">
        <v>429</v>
      </c>
    </row>
    <row r="674" ht="22.5" customHeight="1">
      <c r="A674" s="2" t="s">
        <v>429</v>
      </c>
      <c r="B674" s="2" t="s">
        <v>534</v>
      </c>
      <c r="C674" s="4" t="s">
        <v>32</v>
      </c>
      <c r="D674" s="4" t="s">
        <v>72</v>
      </c>
      <c r="F674" s="5"/>
      <c r="G674" s="8">
        <v>5700.83</v>
      </c>
      <c r="L674" s="2">
        <v>53535.0</v>
      </c>
      <c r="M674" s="2" t="s">
        <v>464</v>
      </c>
      <c r="N674" s="2" t="s">
        <v>415</v>
      </c>
      <c r="O674" s="2">
        <v>79.0</v>
      </c>
      <c r="P674" s="2" t="s">
        <v>429</v>
      </c>
    </row>
    <row r="675" ht="22.5" customHeight="1">
      <c r="A675" s="2" t="s">
        <v>535</v>
      </c>
      <c r="B675" s="2" t="s">
        <v>536</v>
      </c>
      <c r="C675" s="4" t="s">
        <v>32</v>
      </c>
      <c r="D675" s="8" t="s">
        <v>56</v>
      </c>
      <c r="F675" s="5"/>
      <c r="G675" s="4">
        <v>42625.90578</v>
      </c>
      <c r="L675" s="2">
        <v>15000.0</v>
      </c>
      <c r="M675" s="2" t="s">
        <v>366</v>
      </c>
      <c r="N675" s="2" t="s">
        <v>361</v>
      </c>
      <c r="O675" s="2">
        <v>290.0</v>
      </c>
      <c r="P675" s="2" t="s">
        <v>499</v>
      </c>
    </row>
    <row r="676" ht="22.5" customHeight="1">
      <c r="A676" s="2" t="s">
        <v>535</v>
      </c>
      <c r="B676" s="2" t="s">
        <v>537</v>
      </c>
      <c r="C676" s="4" t="s">
        <v>32</v>
      </c>
      <c r="D676" s="8" t="s">
        <v>103</v>
      </c>
      <c r="F676" s="5"/>
      <c r="G676" s="4">
        <v>3044.707556</v>
      </c>
      <c r="L676" s="2">
        <v>36844.28</v>
      </c>
      <c r="M676" s="2" t="s">
        <v>366</v>
      </c>
      <c r="N676" s="2" t="s">
        <v>361</v>
      </c>
      <c r="O676" s="2">
        <v>290.0</v>
      </c>
      <c r="P676" s="2" t="s">
        <v>499</v>
      </c>
    </row>
    <row r="677" ht="22.5" customHeight="1">
      <c r="A677" s="2" t="s">
        <v>535</v>
      </c>
      <c r="B677" s="2" t="s">
        <v>538</v>
      </c>
      <c r="C677" s="4" t="s">
        <v>21</v>
      </c>
      <c r="D677" s="8" t="s">
        <v>22</v>
      </c>
      <c r="F677" s="5"/>
      <c r="G677" s="4">
        <v>57849.44356</v>
      </c>
      <c r="L677" s="2">
        <v>473.28</v>
      </c>
      <c r="M677" s="2" t="s">
        <v>366</v>
      </c>
      <c r="N677" s="2" t="s">
        <v>361</v>
      </c>
      <c r="O677" s="2">
        <v>290.0</v>
      </c>
      <c r="P677" s="2" t="s">
        <v>499</v>
      </c>
    </row>
    <row r="678" ht="22.5" customHeight="1">
      <c r="A678" s="2" t="s">
        <v>535</v>
      </c>
      <c r="B678" s="2" t="s">
        <v>539</v>
      </c>
      <c r="C678" s="4" t="s">
        <v>32</v>
      </c>
      <c r="D678" s="8" t="s">
        <v>193</v>
      </c>
      <c r="F678" s="5"/>
      <c r="G678" s="4">
        <v>8119.220148</v>
      </c>
      <c r="L678" s="2">
        <v>688.79</v>
      </c>
      <c r="M678" s="2" t="s">
        <v>366</v>
      </c>
      <c r="N678" s="2" t="s">
        <v>361</v>
      </c>
      <c r="O678" s="2">
        <v>290.0</v>
      </c>
      <c r="P678" s="2" t="s">
        <v>499</v>
      </c>
    </row>
    <row r="679" ht="22.5" customHeight="1">
      <c r="A679" s="2" t="s">
        <v>535</v>
      </c>
      <c r="B679" s="2" t="s">
        <v>538</v>
      </c>
      <c r="C679" s="4" t="s">
        <v>32</v>
      </c>
      <c r="D679" s="8" t="s">
        <v>39</v>
      </c>
      <c r="F679" s="5"/>
      <c r="G679" s="4">
        <v>4567.061333</v>
      </c>
      <c r="L679" s="2">
        <v>194.39</v>
      </c>
      <c r="M679" s="2" t="s">
        <v>366</v>
      </c>
      <c r="N679" s="2" t="s">
        <v>361</v>
      </c>
      <c r="O679" s="2">
        <v>290.0</v>
      </c>
      <c r="P679" s="2" t="s">
        <v>499</v>
      </c>
    </row>
    <row r="680" ht="22.5" customHeight="1">
      <c r="A680" s="2" t="s">
        <v>535</v>
      </c>
      <c r="B680" s="2" t="s">
        <v>540</v>
      </c>
      <c r="C680" s="4" t="s">
        <v>32</v>
      </c>
      <c r="D680" s="8" t="s">
        <v>48</v>
      </c>
      <c r="F680" s="5"/>
      <c r="G680" s="4">
        <v>16238.4403</v>
      </c>
      <c r="L680" s="2">
        <v>473.28</v>
      </c>
      <c r="M680" s="2" t="s">
        <v>366</v>
      </c>
      <c r="N680" s="2" t="s">
        <v>361</v>
      </c>
      <c r="O680" s="2">
        <v>290.0</v>
      </c>
      <c r="P680" s="2" t="s">
        <v>499</v>
      </c>
    </row>
    <row r="681" ht="22.5" customHeight="1">
      <c r="A681" s="2" t="s">
        <v>535</v>
      </c>
      <c r="B681" s="2" t="s">
        <v>541</v>
      </c>
      <c r="C681" s="4" t="s">
        <v>32</v>
      </c>
      <c r="D681" s="8" t="s">
        <v>118</v>
      </c>
      <c r="F681" s="5"/>
      <c r="G681" s="4">
        <v>4567.061333</v>
      </c>
      <c r="L681" s="2">
        <v>86.52</v>
      </c>
      <c r="M681" s="2" t="s">
        <v>366</v>
      </c>
      <c r="N681" s="2" t="s">
        <v>361</v>
      </c>
      <c r="O681" s="2">
        <v>290.0</v>
      </c>
      <c r="P681" s="2" t="s">
        <v>499</v>
      </c>
    </row>
    <row r="682" ht="22.5" customHeight="1">
      <c r="A682" s="4" t="s">
        <v>535</v>
      </c>
      <c r="B682" s="2" t="s">
        <v>390</v>
      </c>
      <c r="C682" s="4" t="s">
        <v>32</v>
      </c>
      <c r="D682" s="4" t="s">
        <v>56</v>
      </c>
      <c r="F682" s="5"/>
      <c r="G682" s="2">
        <v>1227.1</v>
      </c>
      <c r="L682" s="2">
        <v>1227.1</v>
      </c>
      <c r="M682" s="2" t="s">
        <v>366</v>
      </c>
      <c r="N682" s="2" t="s">
        <v>361</v>
      </c>
      <c r="O682" s="2">
        <v>276.0</v>
      </c>
      <c r="P682" s="2" t="s">
        <v>391</v>
      </c>
    </row>
    <row r="683" ht="22.5" customHeight="1">
      <c r="A683" s="4" t="s">
        <v>535</v>
      </c>
      <c r="B683" s="2" t="s">
        <v>542</v>
      </c>
      <c r="C683" s="4" t="s">
        <v>32</v>
      </c>
      <c r="D683" s="4" t="s">
        <v>72</v>
      </c>
      <c r="F683" s="5"/>
      <c r="G683" s="21">
        <v>12551.3</v>
      </c>
      <c r="L683" s="21">
        <v>12551.3</v>
      </c>
      <c r="M683" s="2" t="s">
        <v>366</v>
      </c>
      <c r="N683" s="2" t="s">
        <v>361</v>
      </c>
      <c r="O683" s="2">
        <v>273.0</v>
      </c>
      <c r="P683" s="2" t="s">
        <v>397</v>
      </c>
    </row>
    <row r="684" ht="22.5" customHeight="1">
      <c r="A684" s="4" t="s">
        <v>535</v>
      </c>
      <c r="B684" s="2" t="s">
        <v>542</v>
      </c>
      <c r="C684" s="4" t="s">
        <v>32</v>
      </c>
      <c r="D684" s="4" t="s">
        <v>72</v>
      </c>
      <c r="F684" s="5"/>
      <c r="G684" s="20">
        <v>70700.0</v>
      </c>
      <c r="L684" s="20">
        <v>70700.0</v>
      </c>
      <c r="M684" s="2" t="s">
        <v>366</v>
      </c>
      <c r="N684" s="2" t="s">
        <v>361</v>
      </c>
      <c r="O684" s="2">
        <v>273.0</v>
      </c>
      <c r="P684" s="2" t="s">
        <v>397</v>
      </c>
    </row>
    <row r="685" ht="22.5" customHeight="1">
      <c r="A685" s="4" t="s">
        <v>543</v>
      </c>
      <c r="B685" s="2" t="s">
        <v>474</v>
      </c>
      <c r="C685" s="4" t="s">
        <v>21</v>
      </c>
      <c r="D685" s="4" t="s">
        <v>22</v>
      </c>
      <c r="F685" s="5"/>
      <c r="G685" s="2">
        <v>32000.0</v>
      </c>
      <c r="L685" s="2">
        <v>2478.51</v>
      </c>
      <c r="M685" s="2" t="s">
        <v>508</v>
      </c>
      <c r="N685" s="2" t="s">
        <v>415</v>
      </c>
      <c r="O685" s="2">
        <v>252.0</v>
      </c>
      <c r="P685" s="2" t="s">
        <v>391</v>
      </c>
    </row>
    <row r="686" ht="22.5" customHeight="1">
      <c r="A686" s="2" t="s">
        <v>543</v>
      </c>
      <c r="B686" s="2" t="s">
        <v>544</v>
      </c>
      <c r="C686" s="2" t="s">
        <v>21</v>
      </c>
      <c r="D686" s="4" t="s">
        <v>72</v>
      </c>
      <c r="F686" s="5"/>
      <c r="G686" s="2">
        <v>6378.42</v>
      </c>
      <c r="L686" s="2">
        <v>32000.0</v>
      </c>
      <c r="M686" s="2" t="s">
        <v>366</v>
      </c>
      <c r="N686" s="2" t="s">
        <v>361</v>
      </c>
      <c r="O686" s="2">
        <v>292.0</v>
      </c>
      <c r="P686" s="2" t="s">
        <v>545</v>
      </c>
    </row>
    <row r="687" ht="22.5" customHeight="1">
      <c r="A687" s="2" t="s">
        <v>356</v>
      </c>
      <c r="B687" s="2" t="s">
        <v>546</v>
      </c>
      <c r="C687" s="2" t="s">
        <v>32</v>
      </c>
      <c r="D687" s="8" t="s">
        <v>48</v>
      </c>
      <c r="F687" s="5" t="s">
        <v>546</v>
      </c>
      <c r="G687" s="14">
        <v>1000.0</v>
      </c>
      <c r="L687" s="2"/>
      <c r="M687" s="2" t="s">
        <v>366</v>
      </c>
      <c r="N687" s="2"/>
      <c r="O687" s="2"/>
      <c r="P687" s="2"/>
    </row>
    <row r="688" ht="22.5" customHeight="1">
      <c r="A688" s="2" t="s">
        <v>356</v>
      </c>
      <c r="B688" s="2" t="s">
        <v>530</v>
      </c>
      <c r="C688" s="2" t="s">
        <v>21</v>
      </c>
      <c r="D688" s="8" t="s">
        <v>56</v>
      </c>
      <c r="F688" s="5" t="s">
        <v>530</v>
      </c>
      <c r="G688" s="14">
        <v>1613.0</v>
      </c>
      <c r="L688" s="2"/>
      <c r="M688" s="2" t="s">
        <v>366</v>
      </c>
      <c r="N688" s="2"/>
      <c r="O688" s="2"/>
      <c r="P688" s="2"/>
    </row>
    <row r="689" ht="22.5" customHeight="1">
      <c r="A689" s="2" t="s">
        <v>356</v>
      </c>
      <c r="B689" s="5"/>
      <c r="C689" s="2" t="s">
        <v>32</v>
      </c>
      <c r="D689" s="8" t="s">
        <v>103</v>
      </c>
      <c r="F689" s="5"/>
      <c r="G689" s="14">
        <v>27142.31</v>
      </c>
      <c r="L689" s="2"/>
      <c r="M689" s="2" t="s">
        <v>366</v>
      </c>
      <c r="N689" s="2"/>
      <c r="O689" s="2"/>
      <c r="P689" s="2"/>
    </row>
    <row r="690" ht="22.5" customHeight="1">
      <c r="A690" s="2" t="s">
        <v>356</v>
      </c>
      <c r="B690" s="3" t="s">
        <v>527</v>
      </c>
      <c r="C690" s="2" t="s">
        <v>68</v>
      </c>
      <c r="D690" s="8" t="s">
        <v>166</v>
      </c>
      <c r="F690" s="3" t="s">
        <v>527</v>
      </c>
      <c r="G690" s="14">
        <v>21424.02</v>
      </c>
      <c r="L690" s="2"/>
      <c r="M690" s="2" t="s">
        <v>366</v>
      </c>
      <c r="N690" s="2"/>
      <c r="O690" s="2"/>
      <c r="P690" s="2"/>
    </row>
    <row r="691" ht="22.5" customHeight="1">
      <c r="A691" s="2" t="s">
        <v>356</v>
      </c>
      <c r="B691" s="2" t="s">
        <v>357</v>
      </c>
      <c r="C691" s="2" t="s">
        <v>32</v>
      </c>
      <c r="D691" s="8" t="s">
        <v>56</v>
      </c>
      <c r="F691" s="5" t="s">
        <v>357</v>
      </c>
      <c r="G691" s="14">
        <v>21387.44</v>
      </c>
      <c r="L691" s="2"/>
      <c r="M691" s="2" t="s">
        <v>366</v>
      </c>
      <c r="N691" s="2"/>
      <c r="O691" s="2"/>
      <c r="P691" s="2"/>
    </row>
    <row r="692" ht="22.5" customHeight="1">
      <c r="A692" s="2" t="s">
        <v>356</v>
      </c>
      <c r="B692" s="3" t="s">
        <v>514</v>
      </c>
      <c r="C692" s="2" t="s">
        <v>68</v>
      </c>
      <c r="D692" s="8" t="s">
        <v>78</v>
      </c>
      <c r="F692" s="3" t="s">
        <v>514</v>
      </c>
      <c r="G692" s="14">
        <v>1500.0</v>
      </c>
      <c r="L692" s="2"/>
      <c r="M692" s="2" t="s">
        <v>366</v>
      </c>
      <c r="N692" s="2"/>
      <c r="O692" s="2"/>
      <c r="P692" s="2"/>
    </row>
    <row r="693" ht="22.5" customHeight="1">
      <c r="A693" s="2" t="s">
        <v>356</v>
      </c>
      <c r="B693" s="5"/>
      <c r="C693" s="2" t="s">
        <v>32</v>
      </c>
      <c r="D693" s="8" t="s">
        <v>118</v>
      </c>
      <c r="F693" s="5"/>
      <c r="G693" s="14">
        <v>35471.6</v>
      </c>
      <c r="L693" s="2"/>
      <c r="M693" s="2" t="s">
        <v>366</v>
      </c>
      <c r="N693" s="2"/>
      <c r="O693" s="2"/>
      <c r="P693" s="2"/>
    </row>
    <row r="694" ht="22.5" customHeight="1">
      <c r="A694" s="2" t="s">
        <v>356</v>
      </c>
      <c r="B694" s="5"/>
      <c r="C694" s="2" t="s">
        <v>32</v>
      </c>
      <c r="D694" s="8" t="s">
        <v>39</v>
      </c>
      <c r="F694" s="5"/>
      <c r="G694" s="2">
        <v>0.0</v>
      </c>
      <c r="L694" s="2"/>
      <c r="M694" s="2" t="s">
        <v>366</v>
      </c>
      <c r="N694" s="2"/>
      <c r="O694" s="2"/>
      <c r="P694" s="2"/>
    </row>
    <row r="695" ht="22.5" customHeight="1">
      <c r="A695" s="2" t="s">
        <v>356</v>
      </c>
      <c r="B695" s="2" t="s">
        <v>526</v>
      </c>
      <c r="C695" s="2" t="s">
        <v>32</v>
      </c>
      <c r="D695" s="8" t="s">
        <v>48</v>
      </c>
      <c r="F695" s="5" t="s">
        <v>526</v>
      </c>
      <c r="G695" s="14">
        <v>6818.35</v>
      </c>
      <c r="L695" s="2"/>
      <c r="M695" s="2" t="s">
        <v>366</v>
      </c>
      <c r="N695" s="2"/>
      <c r="O695" s="2"/>
      <c r="P695" s="2"/>
    </row>
    <row r="696" ht="22.5" customHeight="1">
      <c r="A696" s="2" t="s">
        <v>356</v>
      </c>
      <c r="B696" s="2" t="s">
        <v>71</v>
      </c>
      <c r="C696" s="2" t="s">
        <v>68</v>
      </c>
      <c r="D696" s="8" t="s">
        <v>72</v>
      </c>
      <c r="F696" s="5" t="s">
        <v>71</v>
      </c>
      <c r="G696" s="14">
        <v>16040.27</v>
      </c>
      <c r="L696" s="2"/>
      <c r="M696" s="2" t="s">
        <v>366</v>
      </c>
      <c r="N696" s="2"/>
      <c r="O696" s="2"/>
      <c r="P696" s="2"/>
    </row>
    <row r="697" ht="22.5" customHeight="1">
      <c r="A697" s="2" t="s">
        <v>356</v>
      </c>
      <c r="B697" s="5"/>
      <c r="C697" s="2" t="s">
        <v>21</v>
      </c>
      <c r="D697" s="8" t="s">
        <v>22</v>
      </c>
      <c r="E697" s="8" t="s">
        <v>23</v>
      </c>
      <c r="F697" s="5"/>
      <c r="G697" s="3">
        <v>202390.83</v>
      </c>
      <c r="L697" s="2"/>
      <c r="M697" s="9">
        <v>46054.0</v>
      </c>
      <c r="N697" s="2"/>
      <c r="O697" s="2"/>
      <c r="P697" s="2"/>
    </row>
    <row r="698" ht="22.5" customHeight="1">
      <c r="A698" s="2" t="s">
        <v>356</v>
      </c>
      <c r="B698" s="5"/>
      <c r="C698" s="2" t="s">
        <v>21</v>
      </c>
      <c r="D698" s="8" t="s">
        <v>22</v>
      </c>
      <c r="E698" s="8" t="s">
        <v>63</v>
      </c>
      <c r="F698" s="5"/>
      <c r="G698" s="14">
        <v>316716.01</v>
      </c>
      <c r="L698" s="2"/>
      <c r="M698" s="9">
        <v>46054.0</v>
      </c>
      <c r="N698" s="2"/>
      <c r="O698" s="2"/>
      <c r="P698" s="2"/>
    </row>
    <row r="699" ht="22.5" customHeight="1">
      <c r="A699" s="2" t="s">
        <v>356</v>
      </c>
      <c r="B699" s="5"/>
      <c r="C699" s="2" t="s">
        <v>21</v>
      </c>
      <c r="D699" s="8" t="s">
        <v>22</v>
      </c>
      <c r="E699" s="8" t="s">
        <v>45</v>
      </c>
      <c r="F699" s="5"/>
      <c r="G699" s="3">
        <v>127369.76</v>
      </c>
      <c r="L699" s="2"/>
      <c r="M699" s="9">
        <v>46054.0</v>
      </c>
      <c r="N699" s="2"/>
      <c r="O699" s="2"/>
      <c r="P699" s="2"/>
    </row>
    <row r="700" ht="22.5" customHeight="1">
      <c r="A700" s="2" t="s">
        <v>356</v>
      </c>
      <c r="B700" s="5"/>
      <c r="C700" s="2" t="s">
        <v>21</v>
      </c>
      <c r="D700" s="8" t="s">
        <v>22</v>
      </c>
      <c r="E700" s="8" t="s">
        <v>392</v>
      </c>
      <c r="F700" s="5"/>
      <c r="G700" s="14">
        <v>40556.6</v>
      </c>
      <c r="L700" s="2"/>
      <c r="M700" s="9">
        <v>46054.0</v>
      </c>
      <c r="N700" s="2"/>
      <c r="O700" s="2"/>
      <c r="P700" s="2"/>
    </row>
    <row r="701" ht="22.5" customHeight="1">
      <c r="A701" s="2" t="s">
        <v>356</v>
      </c>
      <c r="B701" s="2" t="s">
        <v>393</v>
      </c>
      <c r="C701" s="2" t="s">
        <v>32</v>
      </c>
      <c r="D701" s="8" t="s">
        <v>56</v>
      </c>
      <c r="F701" s="5" t="s">
        <v>393</v>
      </c>
      <c r="G701" s="14">
        <v>96311.02</v>
      </c>
      <c r="L701" s="2"/>
      <c r="M701" s="9">
        <v>46054.0</v>
      </c>
      <c r="N701" s="2"/>
      <c r="O701" s="2"/>
      <c r="P701" s="2"/>
    </row>
    <row r="702" ht="22.5" customHeight="1">
      <c r="A702" s="2" t="s">
        <v>356</v>
      </c>
      <c r="B702" s="2" t="s">
        <v>394</v>
      </c>
      <c r="C702" s="2" t="s">
        <v>21</v>
      </c>
      <c r="D702" s="8" t="s">
        <v>56</v>
      </c>
      <c r="F702" s="5" t="s">
        <v>394</v>
      </c>
      <c r="G702" s="14">
        <v>17355.63</v>
      </c>
      <c r="L702" s="2"/>
      <c r="M702" s="9">
        <v>46054.0</v>
      </c>
      <c r="N702" s="2"/>
      <c r="O702" s="2"/>
      <c r="P702" s="2"/>
    </row>
    <row r="703" ht="22.5" customHeight="1">
      <c r="A703" s="2" t="s">
        <v>356</v>
      </c>
      <c r="B703" s="2" t="s">
        <v>546</v>
      </c>
      <c r="C703" s="2" t="s">
        <v>32</v>
      </c>
      <c r="D703" s="8" t="s">
        <v>48</v>
      </c>
      <c r="F703" s="5" t="s">
        <v>546</v>
      </c>
      <c r="G703" s="2">
        <v>678.0</v>
      </c>
      <c r="L703" s="2"/>
      <c r="M703" s="9">
        <v>46054.0</v>
      </c>
      <c r="N703" s="2"/>
      <c r="O703" s="2"/>
      <c r="P703" s="2"/>
    </row>
    <row r="704" ht="22.5" customHeight="1">
      <c r="A704" s="2" t="s">
        <v>356</v>
      </c>
      <c r="B704" s="2" t="s">
        <v>530</v>
      </c>
      <c r="C704" s="2" t="s">
        <v>21</v>
      </c>
      <c r="D704" s="8" t="s">
        <v>56</v>
      </c>
      <c r="F704" s="5" t="s">
        <v>530</v>
      </c>
      <c r="G704" s="14">
        <v>38775.95</v>
      </c>
      <c r="L704" s="2"/>
      <c r="M704" s="9">
        <v>46054.0</v>
      </c>
      <c r="N704" s="2"/>
      <c r="O704" s="2"/>
      <c r="P704" s="2"/>
    </row>
    <row r="705" ht="22.5" customHeight="1">
      <c r="A705" s="2" t="s">
        <v>356</v>
      </c>
      <c r="B705" s="5"/>
      <c r="C705" s="2" t="s">
        <v>32</v>
      </c>
      <c r="D705" s="8" t="s">
        <v>103</v>
      </c>
      <c r="F705" s="5"/>
      <c r="G705" s="14">
        <v>17609.87</v>
      </c>
      <c r="L705" s="2"/>
      <c r="M705" s="9">
        <v>46054.0</v>
      </c>
      <c r="N705" s="2"/>
      <c r="O705" s="2"/>
      <c r="P705" s="2"/>
    </row>
    <row r="706" ht="22.5" customHeight="1">
      <c r="A706" s="2" t="s">
        <v>356</v>
      </c>
      <c r="B706" s="3" t="s">
        <v>527</v>
      </c>
      <c r="C706" s="2" t="s">
        <v>68</v>
      </c>
      <c r="D706" s="8" t="s">
        <v>166</v>
      </c>
      <c r="F706" s="3" t="s">
        <v>527</v>
      </c>
      <c r="G706" s="14">
        <v>16778.89</v>
      </c>
      <c r="L706" s="2"/>
      <c r="M706" s="9">
        <v>46054.0</v>
      </c>
      <c r="N706" s="2"/>
      <c r="O706" s="2"/>
      <c r="P706" s="2"/>
    </row>
    <row r="707" ht="22.5" customHeight="1">
      <c r="A707" s="2" t="s">
        <v>356</v>
      </c>
      <c r="B707" s="2" t="s">
        <v>357</v>
      </c>
      <c r="C707" s="2" t="s">
        <v>32</v>
      </c>
      <c r="D707" s="8" t="s">
        <v>56</v>
      </c>
      <c r="F707" s="5" t="s">
        <v>357</v>
      </c>
      <c r="G707" s="2">
        <v>22187.73</v>
      </c>
      <c r="L707" s="2"/>
      <c r="M707" s="9">
        <v>46054.0</v>
      </c>
      <c r="N707" s="2"/>
      <c r="O707" s="2"/>
      <c r="P707" s="2"/>
    </row>
    <row r="708" ht="22.5" customHeight="1">
      <c r="A708" s="2" t="s">
        <v>356</v>
      </c>
      <c r="B708" s="3" t="s">
        <v>514</v>
      </c>
      <c r="C708" s="2" t="s">
        <v>68</v>
      </c>
      <c r="D708" s="8" t="s">
        <v>78</v>
      </c>
      <c r="F708" s="3" t="s">
        <v>514</v>
      </c>
      <c r="G708" s="2">
        <v>1300.0</v>
      </c>
      <c r="L708" s="2"/>
      <c r="M708" s="9">
        <v>46054.0</v>
      </c>
      <c r="N708" s="2"/>
      <c r="O708" s="2"/>
      <c r="P708" s="2"/>
    </row>
    <row r="709" ht="22.5" customHeight="1">
      <c r="A709" s="2" t="s">
        <v>356</v>
      </c>
      <c r="B709" s="5"/>
      <c r="C709" s="2" t="s">
        <v>32</v>
      </c>
      <c r="D709" s="8" t="s">
        <v>118</v>
      </c>
      <c r="F709" s="5"/>
      <c r="G709" s="14">
        <v>9132.0</v>
      </c>
      <c r="L709" s="2"/>
      <c r="M709" s="9">
        <v>46054.0</v>
      </c>
      <c r="N709" s="2"/>
      <c r="O709" s="2"/>
      <c r="P709" s="2"/>
    </row>
    <row r="710" ht="22.5" customHeight="1">
      <c r="A710" s="2" t="s">
        <v>356</v>
      </c>
      <c r="B710" s="5"/>
      <c r="C710" s="2" t="s">
        <v>32</v>
      </c>
      <c r="D710" s="8" t="s">
        <v>39</v>
      </c>
      <c r="F710" s="5"/>
      <c r="G710" s="2">
        <v>950.0</v>
      </c>
      <c r="L710" s="2"/>
      <c r="M710" s="9">
        <v>46054.0</v>
      </c>
      <c r="N710" s="2"/>
      <c r="O710" s="2"/>
      <c r="P710" s="2"/>
    </row>
    <row r="711" ht="22.5" customHeight="1">
      <c r="A711" s="2" t="s">
        <v>356</v>
      </c>
      <c r="B711" s="2" t="s">
        <v>526</v>
      </c>
      <c r="C711" s="2" t="s">
        <v>32</v>
      </c>
      <c r="D711" s="8" t="s">
        <v>48</v>
      </c>
      <c r="F711" s="5" t="s">
        <v>526</v>
      </c>
      <c r="G711" s="14">
        <v>10200.83</v>
      </c>
      <c r="L711" s="2"/>
      <c r="M711" s="9">
        <v>46054.0</v>
      </c>
      <c r="N711" s="2"/>
      <c r="O711" s="2"/>
      <c r="P711" s="2"/>
    </row>
    <row r="712" ht="22.5" customHeight="1">
      <c r="A712" s="2" t="s">
        <v>356</v>
      </c>
      <c r="B712" s="2" t="s">
        <v>71</v>
      </c>
      <c r="C712" s="2" t="s">
        <v>68</v>
      </c>
      <c r="D712" s="8" t="s">
        <v>72</v>
      </c>
      <c r="F712" s="5" t="s">
        <v>71</v>
      </c>
      <c r="G712" s="14">
        <v>10697.49</v>
      </c>
      <c r="L712" s="2"/>
      <c r="M712" s="9">
        <v>46054.0</v>
      </c>
      <c r="N712" s="2"/>
      <c r="O712" s="2"/>
      <c r="P712" s="2"/>
    </row>
    <row r="713" ht="22.5" customHeight="1">
      <c r="A713" s="2" t="s">
        <v>356</v>
      </c>
      <c r="B713" s="2" t="s">
        <v>547</v>
      </c>
      <c r="C713" s="2" t="s">
        <v>21</v>
      </c>
      <c r="D713" s="8" t="s">
        <v>56</v>
      </c>
      <c r="F713" s="5" t="s">
        <v>547</v>
      </c>
      <c r="G713" s="14">
        <v>8691.08</v>
      </c>
      <c r="L713" s="2"/>
      <c r="M713" s="9">
        <v>46054.0</v>
      </c>
      <c r="N713" s="2"/>
      <c r="O713" s="2"/>
      <c r="P713" s="2"/>
    </row>
    <row r="714" ht="22.5" customHeight="1">
      <c r="A714" s="2" t="s">
        <v>356</v>
      </c>
      <c r="B714" s="2" t="s">
        <v>528</v>
      </c>
      <c r="C714" s="2" t="s">
        <v>21</v>
      </c>
      <c r="D714" s="8" t="s">
        <v>56</v>
      </c>
      <c r="F714" s="5" t="s">
        <v>528</v>
      </c>
      <c r="G714" s="14">
        <v>3280.0</v>
      </c>
      <c r="L714" s="2"/>
      <c r="M714" s="9">
        <v>46054.0</v>
      </c>
      <c r="N714" s="2"/>
      <c r="O714" s="2"/>
      <c r="P714" s="2"/>
    </row>
    <row r="715" ht="22.5" customHeight="1">
      <c r="A715" s="2" t="s">
        <v>356</v>
      </c>
      <c r="B715" s="2" t="s">
        <v>548</v>
      </c>
      <c r="C715" s="2" t="s">
        <v>68</v>
      </c>
      <c r="D715" s="8" t="s">
        <v>72</v>
      </c>
      <c r="F715" s="5" t="s">
        <v>548</v>
      </c>
      <c r="G715" s="14">
        <v>4999.6</v>
      </c>
      <c r="L715" s="2"/>
      <c r="M715" s="9">
        <v>46054.0</v>
      </c>
      <c r="N715" s="2"/>
      <c r="O715" s="2"/>
      <c r="P715" s="2"/>
    </row>
    <row r="716" ht="22.5" customHeight="1">
      <c r="A716" s="2" t="s">
        <v>356</v>
      </c>
      <c r="B716" s="5"/>
      <c r="C716" s="2" t="s">
        <v>21</v>
      </c>
      <c r="D716" s="8" t="s">
        <v>22</v>
      </c>
      <c r="E716" s="8" t="s">
        <v>23</v>
      </c>
      <c r="F716" s="5"/>
      <c r="G716" s="3">
        <v>283775.9</v>
      </c>
      <c r="L716" s="2"/>
      <c r="M716" s="9">
        <v>46082.0</v>
      </c>
      <c r="N716" s="2"/>
      <c r="O716" s="2"/>
      <c r="P716" s="2"/>
    </row>
    <row r="717" ht="22.5" customHeight="1">
      <c r="A717" s="2" t="s">
        <v>356</v>
      </c>
      <c r="B717" s="2" t="s">
        <v>549</v>
      </c>
      <c r="C717" s="2" t="s">
        <v>21</v>
      </c>
      <c r="D717" s="8" t="s">
        <v>22</v>
      </c>
      <c r="E717" s="8" t="s">
        <v>23</v>
      </c>
      <c r="F717" s="5" t="s">
        <v>549</v>
      </c>
      <c r="G717" s="3">
        <v>4455.9</v>
      </c>
      <c r="L717" s="2"/>
      <c r="M717" s="9">
        <v>46082.0</v>
      </c>
      <c r="N717" s="2"/>
      <c r="O717" s="2"/>
      <c r="P717" s="2"/>
    </row>
    <row r="718" ht="22.5" customHeight="1">
      <c r="A718" s="2" t="s">
        <v>356</v>
      </c>
      <c r="B718" s="5"/>
      <c r="C718" s="2" t="s">
        <v>21</v>
      </c>
      <c r="D718" s="8" t="s">
        <v>22</v>
      </c>
      <c r="E718" s="8" t="s">
        <v>63</v>
      </c>
      <c r="F718" s="5"/>
      <c r="G718" s="14">
        <v>378872.83</v>
      </c>
      <c r="L718" s="2"/>
      <c r="M718" s="9">
        <v>46082.0</v>
      </c>
      <c r="N718" s="2"/>
      <c r="O718" s="2"/>
      <c r="P718" s="2"/>
    </row>
    <row r="719" ht="22.5" customHeight="1">
      <c r="A719" s="2" t="s">
        <v>356</v>
      </c>
      <c r="B719" s="5"/>
      <c r="C719" s="2" t="s">
        <v>21</v>
      </c>
      <c r="D719" s="8" t="s">
        <v>22</v>
      </c>
      <c r="E719" s="8" t="s">
        <v>45</v>
      </c>
      <c r="F719" s="5"/>
      <c r="G719" s="3">
        <v>210345.66</v>
      </c>
      <c r="L719" s="2"/>
      <c r="M719" s="9">
        <v>46082.0</v>
      </c>
      <c r="N719" s="2"/>
      <c r="O719" s="2"/>
      <c r="P719" s="2"/>
    </row>
    <row r="720" ht="22.5" customHeight="1">
      <c r="A720" s="2" t="s">
        <v>356</v>
      </c>
      <c r="B720" s="5"/>
      <c r="C720" s="2" t="s">
        <v>21</v>
      </c>
      <c r="D720" s="8" t="s">
        <v>22</v>
      </c>
      <c r="E720" s="8" t="s">
        <v>392</v>
      </c>
      <c r="F720" s="5"/>
      <c r="G720" s="14">
        <v>120956.97</v>
      </c>
      <c r="L720" s="2"/>
      <c r="M720" s="9">
        <v>46082.0</v>
      </c>
      <c r="N720" s="2"/>
      <c r="O720" s="2"/>
      <c r="P720" s="2"/>
    </row>
    <row r="721" ht="22.5" customHeight="1">
      <c r="A721" s="2" t="s">
        <v>356</v>
      </c>
      <c r="B721" s="2" t="s">
        <v>393</v>
      </c>
      <c r="C721" s="2" t="s">
        <v>32</v>
      </c>
      <c r="D721" s="8" t="s">
        <v>56</v>
      </c>
      <c r="F721" s="5" t="s">
        <v>393</v>
      </c>
      <c r="G721" s="14">
        <v>71283.97</v>
      </c>
      <c r="L721" s="2"/>
      <c r="M721" s="9">
        <v>46082.0</v>
      </c>
      <c r="N721" s="2"/>
      <c r="O721" s="2"/>
      <c r="P721" s="2"/>
    </row>
    <row r="722" ht="22.5" customHeight="1">
      <c r="A722" s="2" t="s">
        <v>356</v>
      </c>
      <c r="B722" s="2" t="s">
        <v>394</v>
      </c>
      <c r="C722" s="2" t="s">
        <v>21</v>
      </c>
      <c r="D722" s="8" t="s">
        <v>56</v>
      </c>
      <c r="F722" s="5" t="s">
        <v>394</v>
      </c>
      <c r="G722" s="14">
        <v>122883.41</v>
      </c>
      <c r="L722" s="2"/>
      <c r="M722" s="9">
        <v>46082.0</v>
      </c>
      <c r="N722" s="2"/>
      <c r="O722" s="2"/>
      <c r="P722" s="2"/>
    </row>
    <row r="723" ht="22.5" customHeight="1">
      <c r="A723" s="2" t="s">
        <v>356</v>
      </c>
      <c r="B723" s="2" t="s">
        <v>546</v>
      </c>
      <c r="C723" s="2" t="s">
        <v>32</v>
      </c>
      <c r="D723" s="8" t="s">
        <v>48</v>
      </c>
      <c r="F723" s="5" t="s">
        <v>546</v>
      </c>
      <c r="G723" s="14">
        <v>15305.85</v>
      </c>
      <c r="L723" s="2"/>
      <c r="M723" s="9">
        <v>46082.0</v>
      </c>
      <c r="N723" s="2"/>
      <c r="O723" s="2"/>
      <c r="P723" s="2"/>
    </row>
    <row r="724" ht="22.5" customHeight="1">
      <c r="A724" s="17" t="s">
        <v>490</v>
      </c>
      <c r="B724" s="2" t="s">
        <v>511</v>
      </c>
      <c r="C724" s="4" t="s">
        <v>68</v>
      </c>
      <c r="D724" s="4" t="s">
        <v>72</v>
      </c>
      <c r="F724" s="5"/>
      <c r="G724" s="2">
        <v>272.02</v>
      </c>
      <c r="L724" s="2">
        <v>400.0</v>
      </c>
      <c r="M724" s="2" t="s">
        <v>492</v>
      </c>
      <c r="N724" s="2" t="s">
        <v>415</v>
      </c>
      <c r="O724" s="2">
        <v>4.0</v>
      </c>
      <c r="P724" s="2" t="s">
        <v>465</v>
      </c>
    </row>
    <row r="725" ht="22.5" customHeight="1">
      <c r="A725" s="2" t="s">
        <v>473</v>
      </c>
      <c r="B725" s="2" t="s">
        <v>550</v>
      </c>
      <c r="C725" s="4" t="s">
        <v>32</v>
      </c>
      <c r="D725" s="4" t="s">
        <v>72</v>
      </c>
      <c r="F725" s="5"/>
      <c r="G725" s="23">
        <v>4212.0</v>
      </c>
      <c r="L725" s="2">
        <v>6378.42</v>
      </c>
      <c r="M725" s="2" t="s">
        <v>366</v>
      </c>
      <c r="N725" s="2" t="s">
        <v>361</v>
      </c>
      <c r="O725" s="2">
        <v>269.0</v>
      </c>
      <c r="P725" s="2" t="s">
        <v>473</v>
      </c>
    </row>
    <row r="726" ht="22.5" customHeight="1">
      <c r="A726" s="2" t="s">
        <v>473</v>
      </c>
      <c r="B726" s="2" t="s">
        <v>550</v>
      </c>
      <c r="C726" s="4" t="s">
        <v>32</v>
      </c>
      <c r="D726" s="4" t="s">
        <v>72</v>
      </c>
      <c r="F726" s="5"/>
      <c r="G726" s="20">
        <v>14762.0</v>
      </c>
      <c r="L726" s="2">
        <v>4212.0</v>
      </c>
      <c r="M726" s="2" t="s">
        <v>366</v>
      </c>
      <c r="N726" s="2" t="s">
        <v>361</v>
      </c>
      <c r="O726" s="2">
        <v>294.0</v>
      </c>
      <c r="P726" s="2" t="s">
        <v>473</v>
      </c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</row>
  </sheetData>
  <dataValidations>
    <dataValidation allowBlank="1" showDropDown="1" sqref="B2:B726 F2:F72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358</v>
      </c>
      <c r="B2" s="2" t="s">
        <v>359</v>
      </c>
      <c r="F2" s="5"/>
      <c r="G2" s="2">
        <v>-619202.69</v>
      </c>
      <c r="L2" s="2">
        <v>-619202.69</v>
      </c>
      <c r="M2" s="2" t="s">
        <v>360</v>
      </c>
      <c r="N2" s="2" t="s">
        <v>361</v>
      </c>
      <c r="O2" s="2">
        <v>303.0</v>
      </c>
      <c r="P2" s="2" t="s">
        <v>362</v>
      </c>
    </row>
    <row r="3" ht="22.5" customHeight="1">
      <c r="A3" s="2" t="s">
        <v>358</v>
      </c>
      <c r="B3" s="2" t="s">
        <v>359</v>
      </c>
      <c r="F3" s="5"/>
      <c r="G3" s="2">
        <v>-33600.0</v>
      </c>
      <c r="L3" s="2">
        <v>-33600.0</v>
      </c>
      <c r="M3" s="2" t="s">
        <v>360</v>
      </c>
      <c r="N3" s="2" t="s">
        <v>361</v>
      </c>
      <c r="O3" s="2">
        <v>303.0</v>
      </c>
      <c r="P3" s="2" t="s">
        <v>362</v>
      </c>
    </row>
    <row r="4" ht="22.5" customHeight="1">
      <c r="A4" s="2" t="s">
        <v>364</v>
      </c>
      <c r="B4" s="5" t="s">
        <v>365</v>
      </c>
      <c r="C4" s="4" t="s">
        <v>32</v>
      </c>
      <c r="D4" s="8" t="s">
        <v>56</v>
      </c>
      <c r="F4" s="5"/>
      <c r="G4" s="4">
        <v>816.8222222</v>
      </c>
      <c r="L4" s="2">
        <v>106.0</v>
      </c>
      <c r="M4" s="2" t="s">
        <v>366</v>
      </c>
      <c r="N4" s="2" t="s">
        <v>361</v>
      </c>
      <c r="O4" s="2">
        <v>271.0</v>
      </c>
      <c r="P4" s="2" t="s">
        <v>364</v>
      </c>
    </row>
    <row r="5" ht="22.5" customHeight="1">
      <c r="A5" s="2" t="s">
        <v>364</v>
      </c>
      <c r="B5" s="5" t="s">
        <v>365</v>
      </c>
      <c r="C5" s="4" t="s">
        <v>32</v>
      </c>
      <c r="D5" s="8" t="s">
        <v>103</v>
      </c>
      <c r="F5" s="5"/>
      <c r="G5" s="4">
        <v>58.34444444</v>
      </c>
      <c r="L5" s="2">
        <v>192.0</v>
      </c>
      <c r="M5" s="2" t="s">
        <v>366</v>
      </c>
      <c r="N5" s="2" t="s">
        <v>361</v>
      </c>
      <c r="O5" s="2">
        <v>271.0</v>
      </c>
      <c r="P5" s="2" t="s">
        <v>364</v>
      </c>
    </row>
    <row r="6" ht="22.5" customHeight="1">
      <c r="A6" s="2" t="s">
        <v>364</v>
      </c>
      <c r="B6" s="5" t="s">
        <v>365</v>
      </c>
      <c r="C6" s="4" t="s">
        <v>21</v>
      </c>
      <c r="D6" s="8" t="s">
        <v>22</v>
      </c>
      <c r="F6" s="5"/>
      <c r="G6" s="4">
        <v>1108.544444</v>
      </c>
      <c r="L6" s="2">
        <v>430.0</v>
      </c>
      <c r="M6" s="2" t="s">
        <v>366</v>
      </c>
      <c r="N6" s="2" t="s">
        <v>361</v>
      </c>
      <c r="O6" s="2">
        <v>271.0</v>
      </c>
      <c r="P6" s="2" t="s">
        <v>364</v>
      </c>
    </row>
    <row r="7" ht="22.5" customHeight="1">
      <c r="A7" s="4" t="s">
        <v>364</v>
      </c>
      <c r="B7" s="5" t="s">
        <v>365</v>
      </c>
      <c r="C7" s="4" t="s">
        <v>32</v>
      </c>
      <c r="D7" s="8" t="s">
        <v>193</v>
      </c>
      <c r="F7" s="5"/>
      <c r="G7" s="4">
        <v>155.5851852</v>
      </c>
      <c r="L7" s="2">
        <v>1897.5</v>
      </c>
      <c r="M7" s="2" t="s">
        <v>366</v>
      </c>
      <c r="N7" s="2" t="s">
        <v>361</v>
      </c>
      <c r="O7" s="2">
        <v>271.0</v>
      </c>
      <c r="P7" s="2" t="s">
        <v>364</v>
      </c>
    </row>
    <row r="8" ht="22.5" customHeight="1">
      <c r="A8" s="4" t="s">
        <v>364</v>
      </c>
      <c r="B8" s="5" t="s">
        <v>365</v>
      </c>
      <c r="C8" s="4" t="s">
        <v>32</v>
      </c>
      <c r="D8" s="4" t="s">
        <v>39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366</v>
      </c>
      <c r="N8" s="4"/>
      <c r="O8" s="4"/>
      <c r="P8" s="4"/>
      <c r="Q8" s="4"/>
      <c r="R8" s="4"/>
      <c r="S8" s="4"/>
    </row>
    <row r="9" ht="22.5" customHeight="1">
      <c r="A9" s="4" t="s">
        <v>364</v>
      </c>
      <c r="B9" s="5" t="s">
        <v>365</v>
      </c>
      <c r="C9" s="4" t="s">
        <v>32</v>
      </c>
      <c r="D9" s="4" t="s">
        <v>48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366</v>
      </c>
      <c r="N9" s="4"/>
      <c r="O9" s="4"/>
      <c r="P9" s="4"/>
      <c r="Q9" s="4"/>
      <c r="R9" s="4"/>
      <c r="S9" s="4"/>
    </row>
    <row r="10" ht="22.5" customHeight="1">
      <c r="A10" s="4" t="s">
        <v>364</v>
      </c>
      <c r="B10" s="5" t="s">
        <v>365</v>
      </c>
      <c r="C10" s="4" t="s">
        <v>32</v>
      </c>
      <c r="D10" s="4" t="s">
        <v>118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366</v>
      </c>
      <c r="N10" s="4"/>
      <c r="O10" s="4"/>
      <c r="P10" s="4"/>
      <c r="Q10" s="4"/>
      <c r="R10" s="4"/>
      <c r="S10" s="4"/>
    </row>
    <row r="11" ht="22.5" customHeight="1">
      <c r="A11" s="4" t="s">
        <v>367</v>
      </c>
      <c r="B11" s="4" t="s">
        <v>368</v>
      </c>
      <c r="C11" s="4" t="s">
        <v>21</v>
      </c>
      <c r="D11" s="4" t="s">
        <v>22</v>
      </c>
      <c r="E11" s="4"/>
      <c r="F11" s="4" t="s">
        <v>369</v>
      </c>
      <c r="G11" s="4">
        <v>101529.395</v>
      </c>
      <c r="H11" s="4"/>
      <c r="I11" s="4"/>
      <c r="J11" s="4"/>
      <c r="K11" s="4"/>
      <c r="L11" s="4"/>
      <c r="M11" s="4" t="s">
        <v>366</v>
      </c>
      <c r="N11" s="4"/>
      <c r="O11" s="4"/>
      <c r="P11" s="4"/>
      <c r="Q11" s="4"/>
      <c r="R11" s="4"/>
      <c r="S11" s="4"/>
    </row>
    <row r="12" ht="22.5" customHeight="1">
      <c r="A12" s="4" t="s">
        <v>367</v>
      </c>
      <c r="B12" s="4" t="s">
        <v>368</v>
      </c>
      <c r="C12" s="4" t="s">
        <v>32</v>
      </c>
      <c r="D12" s="4" t="s">
        <v>193</v>
      </c>
      <c r="E12" s="4"/>
      <c r="F12" s="4" t="s">
        <v>370</v>
      </c>
      <c r="G12" s="4">
        <v>101529.395</v>
      </c>
      <c r="H12" s="4"/>
      <c r="I12" s="4"/>
      <c r="J12" s="4"/>
      <c r="K12" s="4"/>
      <c r="L12" s="4"/>
      <c r="M12" s="4" t="s">
        <v>366</v>
      </c>
      <c r="N12" s="4"/>
      <c r="O12" s="4"/>
      <c r="P12" s="4"/>
      <c r="Q12" s="4"/>
      <c r="R12" s="4"/>
      <c r="S12" s="4"/>
    </row>
    <row r="13" ht="22.5" customHeight="1">
      <c r="A13" s="2" t="s">
        <v>371</v>
      </c>
      <c r="B13" s="2" t="s">
        <v>372</v>
      </c>
      <c r="C13" s="4" t="s">
        <v>373</v>
      </c>
      <c r="F13" s="5"/>
      <c r="G13" s="2">
        <v>4258.36</v>
      </c>
      <c r="L13" s="2">
        <v>4258.36</v>
      </c>
      <c r="M13" s="2" t="s">
        <v>366</v>
      </c>
      <c r="N13" s="2" t="s">
        <v>361</v>
      </c>
      <c r="O13" s="2">
        <v>272.0</v>
      </c>
      <c r="P13" s="2" t="s">
        <v>374</v>
      </c>
    </row>
    <row r="14" ht="22.5" customHeight="1">
      <c r="A14" s="2" t="s">
        <v>371</v>
      </c>
      <c r="B14" s="2" t="s">
        <v>372</v>
      </c>
      <c r="C14" s="4" t="s">
        <v>373</v>
      </c>
      <c r="F14" s="5"/>
      <c r="G14" s="2">
        <v>15365.54</v>
      </c>
      <c r="L14" s="2">
        <v>15365.54</v>
      </c>
      <c r="M14" s="2" t="s">
        <v>366</v>
      </c>
      <c r="N14" s="2" t="s">
        <v>361</v>
      </c>
      <c r="O14" s="2">
        <v>272.0</v>
      </c>
      <c r="P14" s="2" t="s">
        <v>375</v>
      </c>
    </row>
    <row r="15" ht="22.5" customHeight="1">
      <c r="A15" s="2" t="s">
        <v>371</v>
      </c>
      <c r="B15" s="2" t="s">
        <v>372</v>
      </c>
      <c r="C15" s="4" t="s">
        <v>373</v>
      </c>
      <c r="F15" s="5"/>
      <c r="G15" s="2">
        <v>17316.68</v>
      </c>
      <c r="L15" s="2">
        <v>17316.68</v>
      </c>
      <c r="M15" s="2" t="s">
        <v>366</v>
      </c>
      <c r="N15" s="2" t="s">
        <v>361</v>
      </c>
      <c r="O15" s="2">
        <v>272.0</v>
      </c>
      <c r="P15" s="2" t="s">
        <v>375</v>
      </c>
    </row>
    <row r="16" ht="22.5" customHeight="1">
      <c r="A16" s="2" t="s">
        <v>375</v>
      </c>
      <c r="B16" s="2" t="s">
        <v>376</v>
      </c>
      <c r="C16" s="4" t="s">
        <v>32</v>
      </c>
      <c r="D16" s="2" t="s">
        <v>56</v>
      </c>
      <c r="F16" s="5"/>
      <c r="G16" s="4">
        <v>15289.59289</v>
      </c>
      <c r="L16" s="2">
        <v>3985.76</v>
      </c>
      <c r="M16" s="2" t="s">
        <v>366</v>
      </c>
      <c r="N16" s="2" t="s">
        <v>361</v>
      </c>
      <c r="O16" s="2">
        <v>272.0</v>
      </c>
      <c r="P16" s="2" t="s">
        <v>375</v>
      </c>
    </row>
    <row r="17" ht="22.5" customHeight="1">
      <c r="A17" s="2" t="s">
        <v>375</v>
      </c>
      <c r="B17" s="2" t="s">
        <v>376</v>
      </c>
      <c r="C17" s="4" t="s">
        <v>32</v>
      </c>
      <c r="D17" s="2" t="s">
        <v>103</v>
      </c>
      <c r="F17" s="5"/>
      <c r="G17" s="4">
        <v>1092.113778</v>
      </c>
      <c r="L17" s="2">
        <v>4172.27</v>
      </c>
      <c r="M17" s="2" t="s">
        <v>366</v>
      </c>
      <c r="N17" s="2" t="s">
        <v>361</v>
      </c>
      <c r="O17" s="2">
        <v>272.0</v>
      </c>
      <c r="P17" s="2" t="s">
        <v>375</v>
      </c>
    </row>
    <row r="18" ht="22.5" customHeight="1">
      <c r="A18" s="2" t="s">
        <v>375</v>
      </c>
      <c r="B18" s="2" t="s">
        <v>376</v>
      </c>
      <c r="C18" s="4" t="s">
        <v>21</v>
      </c>
      <c r="D18" s="2" t="s">
        <v>22</v>
      </c>
      <c r="F18" s="5"/>
      <c r="G18" s="4">
        <v>20750.16178</v>
      </c>
      <c r="L18" s="2">
        <v>4578.49</v>
      </c>
      <c r="M18" s="2" t="s">
        <v>366</v>
      </c>
      <c r="N18" s="2" t="s">
        <v>361</v>
      </c>
      <c r="O18" s="2">
        <v>272.0</v>
      </c>
      <c r="P18" s="2" t="s">
        <v>375</v>
      </c>
    </row>
    <row r="19" ht="22.5" customHeight="1">
      <c r="A19" s="2" t="s">
        <v>375</v>
      </c>
      <c r="B19" s="2" t="s">
        <v>376</v>
      </c>
      <c r="C19" s="4" t="s">
        <v>32</v>
      </c>
      <c r="D19" s="2" t="s">
        <v>193</v>
      </c>
      <c r="F19" s="5"/>
      <c r="G19" s="4">
        <v>2912.303407</v>
      </c>
      <c r="L19" s="2">
        <v>6890.7</v>
      </c>
      <c r="M19" s="2" t="s">
        <v>366</v>
      </c>
      <c r="N19" s="2" t="s">
        <v>361</v>
      </c>
      <c r="O19" s="2">
        <v>272.0</v>
      </c>
      <c r="P19" s="2" t="s">
        <v>375</v>
      </c>
    </row>
    <row r="20" ht="22.5" customHeight="1">
      <c r="A20" s="2" t="s">
        <v>375</v>
      </c>
      <c r="B20" s="2" t="s">
        <v>376</v>
      </c>
      <c r="C20" s="4" t="s">
        <v>32</v>
      </c>
      <c r="D20" s="2" t="s">
        <v>39</v>
      </c>
      <c r="F20" s="5"/>
      <c r="G20" s="4">
        <v>1638.170667</v>
      </c>
      <c r="L20" s="2">
        <v>7734.15</v>
      </c>
      <c r="M20" s="2" t="s">
        <v>366</v>
      </c>
      <c r="N20" s="2" t="s">
        <v>361</v>
      </c>
      <c r="O20" s="2">
        <v>272.0</v>
      </c>
      <c r="P20" s="2" t="s">
        <v>375</v>
      </c>
    </row>
    <row r="21" ht="22.5" customHeight="1">
      <c r="A21" s="2" t="s">
        <v>375</v>
      </c>
      <c r="B21" s="2" t="s">
        <v>376</v>
      </c>
      <c r="C21" s="4" t="s">
        <v>32</v>
      </c>
      <c r="D21" s="2" t="s">
        <v>48</v>
      </c>
      <c r="F21" s="5"/>
      <c r="G21" s="4">
        <v>5824.606815</v>
      </c>
      <c r="L21" s="2">
        <v>9987.58</v>
      </c>
      <c r="M21" s="2" t="s">
        <v>366</v>
      </c>
      <c r="N21" s="2" t="s">
        <v>361</v>
      </c>
      <c r="O21" s="2">
        <v>272.0</v>
      </c>
      <c r="P21" s="2" t="s">
        <v>375</v>
      </c>
    </row>
    <row r="22" ht="22.5" customHeight="1">
      <c r="A22" s="2" t="s">
        <v>375</v>
      </c>
      <c r="B22" s="2" t="s">
        <v>376</v>
      </c>
      <c r="C22" s="4" t="s">
        <v>32</v>
      </c>
      <c r="D22" s="2" t="s">
        <v>118</v>
      </c>
      <c r="F22" s="5"/>
      <c r="G22" s="4">
        <v>1638.170667</v>
      </c>
      <c r="L22" s="2">
        <v>11796.17</v>
      </c>
      <c r="M22" s="2" t="s">
        <v>366</v>
      </c>
      <c r="N22" s="2" t="s">
        <v>361</v>
      </c>
      <c r="O22" s="2">
        <v>272.0</v>
      </c>
      <c r="P22" s="2" t="s">
        <v>375</v>
      </c>
    </row>
    <row r="23" ht="22.5" customHeight="1">
      <c r="A23" s="2" t="s">
        <v>375</v>
      </c>
      <c r="B23" s="2" t="s">
        <v>377</v>
      </c>
      <c r="C23" s="4" t="s">
        <v>373</v>
      </c>
      <c r="F23" s="5"/>
      <c r="G23" s="2">
        <v>11900.0</v>
      </c>
      <c r="L23" s="2">
        <v>11900.0</v>
      </c>
      <c r="M23" s="2" t="s">
        <v>366</v>
      </c>
      <c r="N23" s="2" t="s">
        <v>361</v>
      </c>
      <c r="O23" s="2">
        <v>272.0</v>
      </c>
      <c r="P23" s="2" t="s">
        <v>375</v>
      </c>
    </row>
    <row r="24" ht="22.5" customHeight="1">
      <c r="A24" s="2" t="s">
        <v>375</v>
      </c>
      <c r="B24" s="2" t="s">
        <v>378</v>
      </c>
      <c r="C24" s="4" t="s">
        <v>21</v>
      </c>
      <c r="D24" s="4" t="s">
        <v>22</v>
      </c>
      <c r="F24" s="5"/>
      <c r="G24" s="2">
        <v>2392.85</v>
      </c>
      <c r="L24" s="2">
        <v>2392.85</v>
      </c>
      <c r="M24" s="2" t="s">
        <v>366</v>
      </c>
      <c r="N24" s="2" t="s">
        <v>361</v>
      </c>
      <c r="O24" s="2">
        <v>272.0</v>
      </c>
      <c r="P24" s="2" t="s">
        <v>375</v>
      </c>
    </row>
    <row r="25" ht="22.5" customHeight="1">
      <c r="A25" s="2" t="s">
        <v>375</v>
      </c>
      <c r="B25" s="2" t="s">
        <v>378</v>
      </c>
      <c r="C25" s="4" t="s">
        <v>21</v>
      </c>
      <c r="D25" s="4" t="s">
        <v>22</v>
      </c>
      <c r="F25" s="5"/>
      <c r="G25" s="2">
        <v>2758.62</v>
      </c>
      <c r="L25" s="2">
        <v>2758.62</v>
      </c>
      <c r="M25" s="2" t="s">
        <v>366</v>
      </c>
      <c r="N25" s="2" t="s">
        <v>361</v>
      </c>
      <c r="O25" s="2">
        <v>272.0</v>
      </c>
      <c r="P25" s="2" t="s">
        <v>375</v>
      </c>
    </row>
    <row r="26" ht="22.5" customHeight="1">
      <c r="A26" s="2" t="s">
        <v>375</v>
      </c>
      <c r="B26" s="2" t="s">
        <v>378</v>
      </c>
      <c r="C26" s="4" t="s">
        <v>21</v>
      </c>
      <c r="D26" s="4" t="s">
        <v>22</v>
      </c>
      <c r="F26" s="5"/>
      <c r="G26" s="2">
        <v>5475.37</v>
      </c>
      <c r="L26" s="2">
        <v>5475.37</v>
      </c>
      <c r="M26" s="2" t="s">
        <v>366</v>
      </c>
      <c r="N26" s="2" t="s">
        <v>361</v>
      </c>
      <c r="O26" s="2">
        <v>272.0</v>
      </c>
      <c r="P26" s="2" t="s">
        <v>375</v>
      </c>
    </row>
    <row r="27" ht="22.5" customHeight="1">
      <c r="A27" s="2" t="s">
        <v>375</v>
      </c>
      <c r="B27" s="2" t="s">
        <v>379</v>
      </c>
      <c r="C27" s="4" t="s">
        <v>32</v>
      </c>
      <c r="D27" s="11" t="s">
        <v>56</v>
      </c>
      <c r="F27" s="5"/>
      <c r="G27" s="12">
        <v>145600.0</v>
      </c>
      <c r="L27" s="2"/>
      <c r="M27" s="2" t="s">
        <v>366</v>
      </c>
      <c r="N27" s="2" t="s">
        <v>361</v>
      </c>
      <c r="O27" s="2">
        <v>272.0</v>
      </c>
      <c r="P27" s="2" t="s">
        <v>375</v>
      </c>
    </row>
    <row r="28" ht="22.5" customHeight="1">
      <c r="A28" s="2" t="s">
        <v>375</v>
      </c>
      <c r="B28" s="2" t="s">
        <v>379</v>
      </c>
      <c r="C28" s="4" t="s">
        <v>32</v>
      </c>
      <c r="D28" s="11" t="s">
        <v>103</v>
      </c>
      <c r="F28" s="5"/>
      <c r="G28" s="12">
        <v>10400.0</v>
      </c>
      <c r="L28" s="2"/>
      <c r="M28" s="2" t="s">
        <v>366</v>
      </c>
      <c r="N28" s="2" t="s">
        <v>361</v>
      </c>
      <c r="O28" s="2">
        <v>272.0</v>
      </c>
      <c r="P28" s="2" t="s">
        <v>375</v>
      </c>
    </row>
    <row r="29" ht="22.5" customHeight="1">
      <c r="A29" s="2" t="s">
        <v>375</v>
      </c>
      <c r="B29" s="2" t="s">
        <v>379</v>
      </c>
      <c r="C29" s="4" t="s">
        <v>21</v>
      </c>
      <c r="D29" s="11" t="s">
        <v>22</v>
      </c>
      <c r="E29" s="4" t="s">
        <v>23</v>
      </c>
      <c r="F29" s="5"/>
      <c r="G29" s="12">
        <v>197600.0</v>
      </c>
      <c r="L29" s="2"/>
      <c r="M29" s="2" t="s">
        <v>366</v>
      </c>
      <c r="N29" s="2" t="s">
        <v>361</v>
      </c>
      <c r="O29" s="2">
        <v>272.0</v>
      </c>
      <c r="P29" s="2" t="s">
        <v>375</v>
      </c>
    </row>
    <row r="30" ht="22.5" customHeight="1">
      <c r="A30" s="4" t="s">
        <v>375</v>
      </c>
      <c r="B30" s="4" t="s">
        <v>379</v>
      </c>
      <c r="C30" s="4" t="s">
        <v>32</v>
      </c>
      <c r="D30" s="13" t="s">
        <v>193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366</v>
      </c>
      <c r="N30" s="4"/>
      <c r="O30" s="4"/>
      <c r="P30" s="4"/>
      <c r="Q30" s="4"/>
      <c r="R30" s="4"/>
      <c r="S30" s="4"/>
    </row>
    <row r="31" ht="22.5" customHeight="1">
      <c r="A31" s="4" t="s">
        <v>375</v>
      </c>
      <c r="B31" s="4" t="s">
        <v>379</v>
      </c>
      <c r="C31" s="4" t="s">
        <v>32</v>
      </c>
      <c r="D31" s="13" t="s">
        <v>39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366</v>
      </c>
      <c r="N31" s="4"/>
      <c r="O31" s="4"/>
      <c r="P31" s="4"/>
      <c r="Q31" s="4"/>
      <c r="R31" s="4"/>
      <c r="S31" s="4"/>
    </row>
    <row r="32" ht="22.5" customHeight="1">
      <c r="A32" s="4" t="s">
        <v>375</v>
      </c>
      <c r="B32" s="4" t="s">
        <v>379</v>
      </c>
      <c r="C32" s="4" t="s">
        <v>32</v>
      </c>
      <c r="D32" s="13" t="s">
        <v>48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366</v>
      </c>
      <c r="N32" s="4"/>
      <c r="O32" s="4"/>
      <c r="P32" s="4"/>
      <c r="Q32" s="4"/>
      <c r="R32" s="4"/>
      <c r="S32" s="4"/>
    </row>
    <row r="33" ht="22.5" customHeight="1">
      <c r="A33" s="4" t="s">
        <v>375</v>
      </c>
      <c r="B33" s="4" t="s">
        <v>379</v>
      </c>
      <c r="C33" s="4" t="s">
        <v>32</v>
      </c>
      <c r="D33" s="13" t="s">
        <v>118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366</v>
      </c>
      <c r="N33" s="4"/>
      <c r="O33" s="4"/>
      <c r="P33" s="4"/>
      <c r="Q33" s="4"/>
      <c r="R33" s="4"/>
      <c r="S33" s="4"/>
    </row>
    <row r="34" ht="22.5" customHeight="1">
      <c r="A34" s="4" t="s">
        <v>375</v>
      </c>
      <c r="B34" s="2" t="s">
        <v>380</v>
      </c>
      <c r="C34" s="4" t="s">
        <v>21</v>
      </c>
      <c r="D34" s="4" t="s">
        <v>22</v>
      </c>
      <c r="F34" s="5"/>
      <c r="G34" s="2">
        <v>4346.25</v>
      </c>
      <c r="L34" s="2">
        <v>4346.25</v>
      </c>
      <c r="M34" s="2" t="s">
        <v>366</v>
      </c>
      <c r="N34" s="2" t="s">
        <v>361</v>
      </c>
      <c r="O34" s="2">
        <v>275.0</v>
      </c>
      <c r="P34" s="2" t="s">
        <v>381</v>
      </c>
    </row>
    <row r="35" ht="22.5" customHeight="1">
      <c r="A35" s="2" t="s">
        <v>375</v>
      </c>
      <c r="B35" s="2" t="s">
        <v>382</v>
      </c>
      <c r="C35" s="4" t="s">
        <v>21</v>
      </c>
      <c r="D35" s="4" t="s">
        <v>22</v>
      </c>
      <c r="F35" s="5"/>
      <c r="G35" s="2">
        <v>4456.0</v>
      </c>
      <c r="L35" s="2">
        <v>4456.0</v>
      </c>
      <c r="M35" s="2" t="s">
        <v>366</v>
      </c>
      <c r="N35" s="2" t="s">
        <v>361</v>
      </c>
      <c r="O35" s="2">
        <v>293.0</v>
      </c>
      <c r="P35" s="2" t="s">
        <v>383</v>
      </c>
    </row>
    <row r="36" ht="22.5" customHeight="1">
      <c r="A36" s="2" t="s">
        <v>375</v>
      </c>
      <c r="B36" s="2" t="s">
        <v>382</v>
      </c>
      <c r="C36" s="4" t="s">
        <v>21</v>
      </c>
      <c r="D36" s="4" t="s">
        <v>22</v>
      </c>
      <c r="F36" s="5"/>
      <c r="G36" s="2">
        <v>4456.0</v>
      </c>
      <c r="L36" s="2">
        <v>4456.0</v>
      </c>
      <c r="M36" s="2" t="s">
        <v>366</v>
      </c>
      <c r="N36" s="2" t="s">
        <v>361</v>
      </c>
      <c r="O36" s="2">
        <v>293.0</v>
      </c>
      <c r="P36" s="2" t="s">
        <v>383</v>
      </c>
    </row>
    <row r="37" ht="22.5" customHeight="1">
      <c r="A37" s="2" t="s">
        <v>384</v>
      </c>
      <c r="B37" s="2" t="s">
        <v>385</v>
      </c>
      <c r="C37" s="4" t="s">
        <v>373</v>
      </c>
      <c r="F37" s="5"/>
      <c r="G37" s="2">
        <v>19503.8</v>
      </c>
      <c r="L37" s="2">
        <v>19503.8</v>
      </c>
      <c r="M37" s="2" t="s">
        <v>366</v>
      </c>
      <c r="N37" s="2" t="s">
        <v>361</v>
      </c>
      <c r="O37" s="2">
        <v>272.0</v>
      </c>
      <c r="P37" s="2" t="s">
        <v>375</v>
      </c>
    </row>
    <row r="38" ht="22.5" customHeight="1">
      <c r="A38" s="2" t="s">
        <v>384</v>
      </c>
      <c r="B38" s="2" t="s">
        <v>386</v>
      </c>
      <c r="C38" s="4" t="s">
        <v>21</v>
      </c>
      <c r="D38" s="4"/>
      <c r="F38" s="4" t="s">
        <v>387</v>
      </c>
      <c r="G38" s="2">
        <v>17306.48</v>
      </c>
      <c r="L38" s="2">
        <v>17306.48</v>
      </c>
      <c r="M38" s="2" t="s">
        <v>366</v>
      </c>
      <c r="N38" s="2" t="s">
        <v>361</v>
      </c>
      <c r="O38" s="2">
        <v>272.0</v>
      </c>
      <c r="P38" s="2" t="s">
        <v>375</v>
      </c>
    </row>
    <row r="39" ht="22.5" customHeight="1">
      <c r="A39" s="4" t="s">
        <v>384</v>
      </c>
      <c r="B39" s="2" t="s">
        <v>390</v>
      </c>
      <c r="C39" s="4" t="s">
        <v>32</v>
      </c>
      <c r="D39" s="4" t="s">
        <v>56</v>
      </c>
      <c r="F39" s="5"/>
      <c r="G39" s="2">
        <v>4275.0</v>
      </c>
      <c r="L39" s="2">
        <v>4275.0</v>
      </c>
      <c r="M39" s="2" t="s">
        <v>366</v>
      </c>
      <c r="N39" s="2" t="s">
        <v>361</v>
      </c>
      <c r="O39" s="2">
        <v>276.0</v>
      </c>
      <c r="P39" s="2" t="s">
        <v>391</v>
      </c>
    </row>
    <row r="40" ht="22.5" customHeight="1">
      <c r="A40" s="2" t="s">
        <v>395</v>
      </c>
      <c r="B40" s="2" t="s">
        <v>396</v>
      </c>
      <c r="C40" s="2" t="s">
        <v>21</v>
      </c>
      <c r="D40" s="4" t="s">
        <v>22</v>
      </c>
      <c r="F40" s="5"/>
      <c r="G40" s="2">
        <f>20826.33*70%</f>
        <v>14578.431</v>
      </c>
      <c r="L40" s="2">
        <v>20826.33</v>
      </c>
      <c r="M40" s="2" t="s">
        <v>366</v>
      </c>
      <c r="N40" s="2" t="s">
        <v>361</v>
      </c>
      <c r="O40" s="2">
        <v>272.0</v>
      </c>
      <c r="P40" s="2" t="s">
        <v>375</v>
      </c>
    </row>
    <row r="41" ht="22.5" customHeight="1">
      <c r="A41" s="2" t="s">
        <v>395</v>
      </c>
      <c r="B41" s="2" t="s">
        <v>396</v>
      </c>
      <c r="C41" s="2" t="s">
        <v>21</v>
      </c>
      <c r="D41" s="4" t="s">
        <v>56</v>
      </c>
      <c r="F41" s="5"/>
      <c r="G41" s="2">
        <f>20826.33*30%</f>
        <v>6247.899</v>
      </c>
      <c r="L41" s="2">
        <v>20826.33</v>
      </c>
      <c r="M41" s="2" t="s">
        <v>366</v>
      </c>
      <c r="N41" s="2" t="s">
        <v>361</v>
      </c>
      <c r="O41" s="2">
        <v>272.0</v>
      </c>
      <c r="P41" s="2" t="s">
        <v>375</v>
      </c>
    </row>
    <row r="42" ht="22.5" customHeight="1">
      <c r="A42" s="4" t="s">
        <v>397</v>
      </c>
      <c r="B42" s="2" t="s">
        <v>398</v>
      </c>
      <c r="C42" s="4" t="s">
        <v>32</v>
      </c>
      <c r="F42" s="5"/>
      <c r="G42" s="2">
        <v>25000.0</v>
      </c>
      <c r="L42" s="2">
        <v>3370.7</v>
      </c>
      <c r="M42" s="2" t="s">
        <v>366</v>
      </c>
      <c r="N42" s="2" t="s">
        <v>361</v>
      </c>
      <c r="O42" s="2">
        <v>284.0</v>
      </c>
      <c r="P42" s="2" t="s">
        <v>399</v>
      </c>
    </row>
    <row r="43" ht="22.5" customHeight="1">
      <c r="A43" s="2" t="s">
        <v>397</v>
      </c>
      <c r="B43" s="2" t="s">
        <v>400</v>
      </c>
      <c r="C43" s="2" t="s">
        <v>32</v>
      </c>
      <c r="F43" s="5"/>
      <c r="G43" s="4">
        <v>45000.0</v>
      </c>
      <c r="L43" s="2">
        <v>344.82</v>
      </c>
      <c r="M43" s="2" t="s">
        <v>366</v>
      </c>
      <c r="N43" s="2" t="s">
        <v>361</v>
      </c>
      <c r="O43" s="2">
        <v>273.0</v>
      </c>
      <c r="P43" s="2" t="s">
        <v>397</v>
      </c>
    </row>
    <row r="44" ht="22.5" customHeight="1">
      <c r="A44" s="2" t="s">
        <v>401</v>
      </c>
      <c r="B44" s="2" t="s">
        <v>402</v>
      </c>
      <c r="C44" s="4" t="s">
        <v>32</v>
      </c>
      <c r="D44" s="4" t="s">
        <v>118</v>
      </c>
      <c r="F44" s="5"/>
      <c r="G44" s="2">
        <v>8500.0</v>
      </c>
      <c r="L44" s="2">
        <v>8500.0</v>
      </c>
      <c r="M44" s="2" t="s">
        <v>366</v>
      </c>
      <c r="N44" s="2" t="s">
        <v>361</v>
      </c>
      <c r="O44" s="2">
        <v>288.0</v>
      </c>
      <c r="P44" s="2" t="s">
        <v>403</v>
      </c>
    </row>
    <row r="45" ht="22.5" customHeight="1">
      <c r="A45" s="4" t="s">
        <v>401</v>
      </c>
      <c r="B45" s="10" t="s">
        <v>404</v>
      </c>
      <c r="C45" s="4" t="s">
        <v>32</v>
      </c>
      <c r="D45" s="4" t="s">
        <v>48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401</v>
      </c>
      <c r="B46" s="2" t="s">
        <v>405</v>
      </c>
      <c r="C46" s="4" t="s">
        <v>32</v>
      </c>
      <c r="D46" s="4" t="s">
        <v>48</v>
      </c>
      <c r="F46" s="5"/>
      <c r="G46" s="2">
        <v>2689.66</v>
      </c>
      <c r="L46" s="2">
        <v>5500.0</v>
      </c>
      <c r="M46" s="2" t="s">
        <v>366</v>
      </c>
      <c r="N46" s="2" t="s">
        <v>361</v>
      </c>
      <c r="O46" s="2">
        <v>274.0</v>
      </c>
      <c r="P46" s="2" t="s">
        <v>401</v>
      </c>
    </row>
    <row r="47" ht="22.5" customHeight="1">
      <c r="A47" s="4" t="s">
        <v>397</v>
      </c>
      <c r="B47" s="2" t="s">
        <v>406</v>
      </c>
      <c r="C47" s="15" t="s">
        <v>32</v>
      </c>
      <c r="D47" s="8" t="s">
        <v>48</v>
      </c>
      <c r="F47" s="5"/>
      <c r="G47" s="2">
        <v>344.82</v>
      </c>
      <c r="L47" s="2">
        <v>2689.66</v>
      </c>
      <c r="M47" s="2" t="s">
        <v>366</v>
      </c>
      <c r="N47" s="2" t="s">
        <v>361</v>
      </c>
      <c r="O47" s="2">
        <v>274.0</v>
      </c>
      <c r="P47" s="2" t="s">
        <v>401</v>
      </c>
    </row>
    <row r="48" ht="22.5" customHeight="1">
      <c r="A48" s="2" t="s">
        <v>407</v>
      </c>
      <c r="B48" s="2" t="s">
        <v>408</v>
      </c>
      <c r="C48" s="2" t="s">
        <v>21</v>
      </c>
      <c r="D48" s="4" t="s">
        <v>22</v>
      </c>
      <c r="F48" s="5"/>
      <c r="G48" s="2">
        <f>19833.79*70%</f>
        <v>13883.653</v>
      </c>
      <c r="L48" s="2">
        <v>19833.79</v>
      </c>
      <c r="M48" s="2" t="s">
        <v>366</v>
      </c>
      <c r="N48" s="2" t="s">
        <v>361</v>
      </c>
      <c r="O48" s="2">
        <v>260.0</v>
      </c>
      <c r="P48" s="2" t="s">
        <v>407</v>
      </c>
    </row>
    <row r="49" ht="22.5" customHeight="1">
      <c r="A49" s="2" t="s">
        <v>407</v>
      </c>
      <c r="B49" s="2" t="s">
        <v>408</v>
      </c>
      <c r="C49" s="2" t="s">
        <v>21</v>
      </c>
      <c r="D49" s="4" t="s">
        <v>56</v>
      </c>
      <c r="F49" s="5"/>
      <c r="G49" s="2">
        <f>19833.79*30%</f>
        <v>5950.137</v>
      </c>
      <c r="L49" s="2">
        <v>19833.79</v>
      </c>
      <c r="M49" s="2" t="s">
        <v>366</v>
      </c>
      <c r="N49" s="2" t="s">
        <v>361</v>
      </c>
      <c r="O49" s="2">
        <v>260.0</v>
      </c>
      <c r="P49" s="2" t="s">
        <v>407</v>
      </c>
    </row>
    <row r="50" ht="22.5" customHeight="1">
      <c r="A50" s="2" t="s">
        <v>407</v>
      </c>
      <c r="B50" s="2" t="s">
        <v>409</v>
      </c>
      <c r="C50" s="2" t="s">
        <v>21</v>
      </c>
      <c r="D50" s="4" t="s">
        <v>22</v>
      </c>
      <c r="F50" s="5"/>
      <c r="G50" s="2">
        <v>858.75</v>
      </c>
      <c r="L50" s="2">
        <v>858.75</v>
      </c>
      <c r="M50" s="2" t="s">
        <v>366</v>
      </c>
      <c r="N50" s="2" t="s">
        <v>361</v>
      </c>
      <c r="O50" s="2">
        <v>295.0</v>
      </c>
      <c r="P50" s="2" t="s">
        <v>410</v>
      </c>
    </row>
    <row r="51" ht="22.5" customHeight="1">
      <c r="A51" s="2" t="s">
        <v>407</v>
      </c>
      <c r="B51" s="2" t="s">
        <v>409</v>
      </c>
      <c r="C51" s="2" t="s">
        <v>21</v>
      </c>
      <c r="D51" s="4" t="s">
        <v>56</v>
      </c>
      <c r="F51" s="5"/>
      <c r="G51" s="2">
        <v>858.75</v>
      </c>
      <c r="L51" s="2">
        <v>858.75</v>
      </c>
      <c r="M51" s="2" t="s">
        <v>366</v>
      </c>
      <c r="N51" s="2" t="s">
        <v>361</v>
      </c>
      <c r="O51" s="2">
        <v>295.0</v>
      </c>
      <c r="P51" s="2" t="s">
        <v>410</v>
      </c>
    </row>
    <row r="52" ht="22.5" customHeight="1">
      <c r="A52" s="2" t="s">
        <v>407</v>
      </c>
      <c r="B52" s="2" t="s">
        <v>409</v>
      </c>
      <c r="C52" s="2" t="s">
        <v>21</v>
      </c>
      <c r="D52" s="4" t="s">
        <v>22</v>
      </c>
      <c r="F52" s="5"/>
      <c r="G52" s="2">
        <v>1202.25</v>
      </c>
      <c r="L52" s="2">
        <v>1202.25</v>
      </c>
      <c r="M52" s="2" t="s">
        <v>366</v>
      </c>
      <c r="N52" s="2" t="s">
        <v>361</v>
      </c>
      <c r="O52" s="2">
        <v>295.0</v>
      </c>
      <c r="P52" s="2" t="s">
        <v>410</v>
      </c>
    </row>
    <row r="53" ht="22.5" customHeight="1">
      <c r="A53" s="2" t="s">
        <v>407</v>
      </c>
      <c r="B53" s="2" t="s">
        <v>409</v>
      </c>
      <c r="C53" s="2" t="s">
        <v>21</v>
      </c>
      <c r="D53" s="4" t="s">
        <v>56</v>
      </c>
      <c r="F53" s="5"/>
      <c r="G53" s="2">
        <v>1374.0</v>
      </c>
      <c r="L53" s="2">
        <v>1374.0</v>
      </c>
      <c r="M53" s="2" t="s">
        <v>366</v>
      </c>
      <c r="N53" s="2" t="s">
        <v>361</v>
      </c>
      <c r="O53" s="2">
        <v>295.0</v>
      </c>
      <c r="P53" s="2" t="s">
        <v>410</v>
      </c>
    </row>
    <row r="54" ht="22.5" customHeight="1">
      <c r="A54" s="2" t="s">
        <v>411</v>
      </c>
      <c r="B54" s="2" t="s">
        <v>412</v>
      </c>
      <c r="C54" s="2" t="s">
        <v>413</v>
      </c>
      <c r="D54" s="4" t="s">
        <v>72</v>
      </c>
      <c r="F54" s="5"/>
      <c r="G54" s="2">
        <v>3700.28</v>
      </c>
      <c r="L54" s="2">
        <v>3700.28</v>
      </c>
      <c r="M54" s="2" t="s">
        <v>414</v>
      </c>
      <c r="N54" s="2" t="s">
        <v>415</v>
      </c>
      <c r="O54" s="2">
        <v>202.0</v>
      </c>
      <c r="P54" s="2" t="s">
        <v>416</v>
      </c>
    </row>
    <row r="55" ht="22.5" customHeight="1">
      <c r="A55" s="2" t="s">
        <v>411</v>
      </c>
      <c r="B55" s="2" t="s">
        <v>417</v>
      </c>
      <c r="C55" s="2" t="s">
        <v>413</v>
      </c>
      <c r="D55" s="4" t="s">
        <v>72</v>
      </c>
      <c r="F55" s="5"/>
      <c r="G55" s="2">
        <v>524.48</v>
      </c>
      <c r="L55" s="2">
        <v>524.48</v>
      </c>
      <c r="M55" s="2" t="s">
        <v>418</v>
      </c>
      <c r="N55" s="2" t="s">
        <v>415</v>
      </c>
      <c r="O55" s="2">
        <v>240.0</v>
      </c>
      <c r="P55" s="2" t="s">
        <v>416</v>
      </c>
    </row>
    <row r="56" ht="22.5" customHeight="1">
      <c r="A56" s="2" t="s">
        <v>411</v>
      </c>
      <c r="B56" s="2" t="s">
        <v>419</v>
      </c>
      <c r="C56" s="2" t="s">
        <v>413</v>
      </c>
      <c r="D56" s="4" t="s">
        <v>72</v>
      </c>
      <c r="F56" s="5"/>
      <c r="G56" s="2">
        <v>9948.99</v>
      </c>
      <c r="L56" s="2">
        <v>9948.99</v>
      </c>
      <c r="M56" s="2" t="s">
        <v>418</v>
      </c>
      <c r="N56" s="2" t="s">
        <v>361</v>
      </c>
      <c r="O56" s="2">
        <v>400.0</v>
      </c>
      <c r="P56" s="2" t="s">
        <v>416</v>
      </c>
    </row>
    <row r="57" ht="22.5" customHeight="1">
      <c r="A57" s="2" t="s">
        <v>411</v>
      </c>
      <c r="B57" s="2" t="s">
        <v>420</v>
      </c>
      <c r="C57" s="2" t="s">
        <v>413</v>
      </c>
      <c r="D57" s="4" t="s">
        <v>72</v>
      </c>
      <c r="F57" s="5"/>
      <c r="G57" s="2">
        <v>400.0</v>
      </c>
      <c r="L57" s="2">
        <v>400.0</v>
      </c>
      <c r="M57" s="2" t="s">
        <v>421</v>
      </c>
      <c r="N57" s="2" t="s">
        <v>415</v>
      </c>
      <c r="O57" s="2">
        <v>243.0</v>
      </c>
      <c r="P57" s="2" t="s">
        <v>416</v>
      </c>
    </row>
    <row r="58" ht="22.5" customHeight="1">
      <c r="A58" s="2" t="s">
        <v>411</v>
      </c>
      <c r="B58" s="2" t="s">
        <v>422</v>
      </c>
      <c r="C58" s="2" t="s">
        <v>413</v>
      </c>
      <c r="F58" s="5"/>
      <c r="G58" s="2">
        <v>256.55</v>
      </c>
      <c r="L58" s="2">
        <v>256.55</v>
      </c>
      <c r="M58" s="2" t="s">
        <v>360</v>
      </c>
      <c r="N58" s="2" t="s">
        <v>415</v>
      </c>
      <c r="O58" s="2">
        <v>246.0</v>
      </c>
      <c r="P58" s="2" t="s">
        <v>416</v>
      </c>
    </row>
    <row r="59" ht="22.5" customHeight="1">
      <c r="A59" s="2" t="s">
        <v>411</v>
      </c>
      <c r="B59" s="2" t="s">
        <v>423</v>
      </c>
      <c r="C59" s="2" t="s">
        <v>413</v>
      </c>
      <c r="F59" s="5"/>
      <c r="G59" s="2">
        <v>620.0</v>
      </c>
      <c r="L59" s="2">
        <v>620.0</v>
      </c>
      <c r="M59" s="2" t="s">
        <v>360</v>
      </c>
      <c r="N59" s="2" t="s">
        <v>415</v>
      </c>
      <c r="O59" s="2">
        <v>247.0</v>
      </c>
      <c r="P59" s="2" t="s">
        <v>416</v>
      </c>
    </row>
    <row r="60" ht="22.5" customHeight="1">
      <c r="A60" s="2" t="s">
        <v>424</v>
      </c>
      <c r="B60" s="2" t="s">
        <v>425</v>
      </c>
      <c r="C60" s="4" t="s">
        <v>373</v>
      </c>
      <c r="F60" s="5"/>
      <c r="G60" s="2">
        <v>13833.01</v>
      </c>
      <c r="L60" s="2">
        <v>13833.01</v>
      </c>
      <c r="M60" s="2" t="s">
        <v>366</v>
      </c>
      <c r="N60" s="2" t="s">
        <v>361</v>
      </c>
      <c r="O60" s="2">
        <v>500.0</v>
      </c>
      <c r="P60" s="2" t="s">
        <v>424</v>
      </c>
    </row>
    <row r="61" ht="22.5" customHeight="1">
      <c r="A61" s="2" t="s">
        <v>391</v>
      </c>
      <c r="B61" s="2" t="s">
        <v>426</v>
      </c>
      <c r="C61" s="4" t="s">
        <v>32</v>
      </c>
      <c r="D61" s="4" t="s">
        <v>72</v>
      </c>
      <c r="F61" s="5"/>
      <c r="G61" s="2">
        <v>5244.76</v>
      </c>
      <c r="L61" s="2">
        <v>5244.76</v>
      </c>
      <c r="M61" s="2" t="s">
        <v>366</v>
      </c>
      <c r="N61" s="2" t="s">
        <v>361</v>
      </c>
      <c r="O61" s="2">
        <v>288.0</v>
      </c>
      <c r="P61" s="2" t="s">
        <v>403</v>
      </c>
    </row>
    <row r="62" ht="22.5" customHeight="1">
      <c r="A62" s="4" t="s">
        <v>391</v>
      </c>
      <c r="B62" s="2" t="s">
        <v>427</v>
      </c>
      <c r="C62" s="4" t="s">
        <v>32</v>
      </c>
      <c r="D62" s="4" t="s">
        <v>72</v>
      </c>
      <c r="F62" s="5"/>
      <c r="G62" s="2">
        <v>585.56</v>
      </c>
      <c r="L62" s="2">
        <v>5700.83</v>
      </c>
      <c r="M62" s="2" t="s">
        <v>428</v>
      </c>
      <c r="N62" s="2" t="s">
        <v>415</v>
      </c>
      <c r="O62" s="2">
        <v>148.0</v>
      </c>
      <c r="P62" s="2" t="s">
        <v>429</v>
      </c>
    </row>
    <row r="63" ht="22.5" customHeight="1">
      <c r="A63" s="2" t="s">
        <v>391</v>
      </c>
      <c r="B63" s="2" t="s">
        <v>430</v>
      </c>
      <c r="C63" s="4" t="s">
        <v>32</v>
      </c>
      <c r="D63" s="4" t="s">
        <v>193</v>
      </c>
      <c r="F63" s="5"/>
      <c r="G63" s="2">
        <v>4500.0</v>
      </c>
      <c r="L63" s="2">
        <v>4500.0</v>
      </c>
      <c r="M63" s="2" t="s">
        <v>366</v>
      </c>
      <c r="N63" s="2" t="s">
        <v>361</v>
      </c>
      <c r="O63" s="2">
        <v>276.0</v>
      </c>
      <c r="P63" s="2" t="s">
        <v>391</v>
      </c>
    </row>
    <row r="64" ht="22.5" customHeight="1">
      <c r="A64" s="2" t="s">
        <v>391</v>
      </c>
      <c r="B64" s="2" t="s">
        <v>430</v>
      </c>
      <c r="C64" s="4" t="s">
        <v>32</v>
      </c>
      <c r="D64" s="4" t="s">
        <v>193</v>
      </c>
      <c r="F64" s="5"/>
      <c r="G64" s="2">
        <v>3190.0</v>
      </c>
      <c r="L64" s="2">
        <v>3190.0</v>
      </c>
      <c r="M64" s="2" t="s">
        <v>366</v>
      </c>
      <c r="N64" s="2" t="s">
        <v>361</v>
      </c>
      <c r="O64" s="2">
        <v>276.0</v>
      </c>
      <c r="P64" s="2" t="s">
        <v>391</v>
      </c>
    </row>
    <row r="65" ht="22.5" customHeight="1">
      <c r="A65" s="2" t="s">
        <v>391</v>
      </c>
      <c r="B65" s="2" t="s">
        <v>431</v>
      </c>
      <c r="C65" s="4" t="s">
        <v>32</v>
      </c>
      <c r="D65" s="4" t="s">
        <v>103</v>
      </c>
      <c r="F65" s="5"/>
      <c r="G65" s="2">
        <v>3864.0</v>
      </c>
      <c r="L65" s="2">
        <v>3190.0</v>
      </c>
      <c r="M65" s="2" t="s">
        <v>366</v>
      </c>
      <c r="N65" s="2" t="s">
        <v>361</v>
      </c>
      <c r="O65" s="2">
        <v>276.0</v>
      </c>
      <c r="P65" s="2" t="s">
        <v>391</v>
      </c>
    </row>
    <row r="66" ht="22.5" customHeight="1">
      <c r="A66" s="2" t="s">
        <v>391</v>
      </c>
      <c r="B66" s="2" t="s">
        <v>432</v>
      </c>
      <c r="C66" s="4" t="s">
        <v>32</v>
      </c>
      <c r="D66" s="11" t="s">
        <v>56</v>
      </c>
      <c r="F66" s="5"/>
      <c r="G66" s="4">
        <v>2681.992444</v>
      </c>
      <c r="L66" s="2">
        <v>3864.0</v>
      </c>
      <c r="M66" s="2" t="s">
        <v>366</v>
      </c>
      <c r="N66" s="2" t="s">
        <v>361</v>
      </c>
      <c r="O66" s="2">
        <v>276.0</v>
      </c>
      <c r="P66" s="2" t="s">
        <v>391</v>
      </c>
    </row>
    <row r="67" ht="22.5" customHeight="1">
      <c r="A67" s="2" t="s">
        <v>391</v>
      </c>
      <c r="B67" s="2" t="s">
        <v>432</v>
      </c>
      <c r="C67" s="4" t="s">
        <v>32</v>
      </c>
      <c r="D67" s="11" t="s">
        <v>103</v>
      </c>
      <c r="F67" s="5"/>
      <c r="G67" s="4">
        <v>191.5708889</v>
      </c>
      <c r="L67" s="2">
        <v>-5233.75</v>
      </c>
      <c r="M67" s="2" t="s">
        <v>366</v>
      </c>
      <c r="N67" s="2" t="s">
        <v>361</v>
      </c>
      <c r="O67" s="2">
        <v>281.0</v>
      </c>
      <c r="P67" s="2" t="s">
        <v>391</v>
      </c>
    </row>
    <row r="68" ht="22.5" customHeight="1">
      <c r="A68" s="2" t="s">
        <v>391</v>
      </c>
      <c r="B68" s="2" t="s">
        <v>432</v>
      </c>
      <c r="C68" s="4" t="s">
        <v>32</v>
      </c>
      <c r="D68" s="11" t="s">
        <v>22</v>
      </c>
      <c r="F68" s="5"/>
      <c r="G68" s="4">
        <v>3639.846889</v>
      </c>
      <c r="L68" s="2">
        <v>-3274.32</v>
      </c>
      <c r="M68" s="2" t="s">
        <v>366</v>
      </c>
      <c r="N68" s="2" t="s">
        <v>361</v>
      </c>
      <c r="O68" s="2">
        <v>281.0</v>
      </c>
      <c r="P68" s="2" t="s">
        <v>391</v>
      </c>
    </row>
    <row r="69" ht="22.5" customHeight="1">
      <c r="A69" s="2" t="s">
        <v>391</v>
      </c>
      <c r="B69" s="2" t="s">
        <v>432</v>
      </c>
      <c r="C69" s="4" t="s">
        <v>21</v>
      </c>
      <c r="D69" s="11" t="s">
        <v>193</v>
      </c>
      <c r="F69" s="5"/>
      <c r="G69" s="4">
        <v>510.8557037</v>
      </c>
      <c r="L69" s="2">
        <v>8508.07</v>
      </c>
      <c r="M69" s="2" t="s">
        <v>366</v>
      </c>
      <c r="N69" s="2" t="s">
        <v>361</v>
      </c>
      <c r="O69" s="2">
        <v>281.0</v>
      </c>
      <c r="P69" s="2" t="s">
        <v>391</v>
      </c>
    </row>
    <row r="70" ht="22.5" customHeight="1">
      <c r="A70" s="2" t="s">
        <v>391</v>
      </c>
      <c r="B70" s="2" t="s">
        <v>432</v>
      </c>
      <c r="C70" s="4" t="s">
        <v>32</v>
      </c>
      <c r="D70" s="11" t="s">
        <v>39</v>
      </c>
      <c r="F70" s="5"/>
      <c r="G70" s="4">
        <v>287.3563333</v>
      </c>
      <c r="L70" s="2"/>
      <c r="M70" s="2" t="s">
        <v>366</v>
      </c>
      <c r="N70" s="2"/>
      <c r="O70" s="2"/>
      <c r="P70" s="2"/>
    </row>
    <row r="71" ht="22.5" customHeight="1">
      <c r="A71" s="2" t="s">
        <v>391</v>
      </c>
      <c r="B71" s="2" t="s">
        <v>432</v>
      </c>
      <c r="C71" s="4" t="s">
        <v>32</v>
      </c>
      <c r="D71" s="11" t="s">
        <v>48</v>
      </c>
      <c r="F71" s="5"/>
      <c r="G71" s="4">
        <v>1021.711407</v>
      </c>
      <c r="L71" s="2"/>
      <c r="M71" s="2" t="s">
        <v>366</v>
      </c>
      <c r="N71" s="2"/>
      <c r="O71" s="2"/>
      <c r="P71" s="2"/>
    </row>
    <row r="72" ht="22.5" customHeight="1">
      <c r="A72" s="2" t="s">
        <v>391</v>
      </c>
      <c r="B72" s="2" t="s">
        <v>432</v>
      </c>
      <c r="C72" s="4" t="s">
        <v>32</v>
      </c>
      <c r="D72" s="11" t="s">
        <v>118</v>
      </c>
      <c r="F72" s="5"/>
      <c r="G72" s="4">
        <v>287.3563333</v>
      </c>
      <c r="L72" s="2"/>
      <c r="M72" s="2" t="s">
        <v>366</v>
      </c>
      <c r="N72" s="2"/>
      <c r="O72" s="2"/>
      <c r="P72" s="2"/>
    </row>
    <row r="73" ht="22.5" customHeight="1">
      <c r="A73" s="4" t="s">
        <v>433</v>
      </c>
      <c r="B73" s="2" t="s">
        <v>434</v>
      </c>
      <c r="C73" s="4" t="s">
        <v>32</v>
      </c>
      <c r="D73" s="4" t="s">
        <v>72</v>
      </c>
      <c r="F73" s="5"/>
      <c r="G73" s="8">
        <v>46093.1</v>
      </c>
      <c r="L73" s="2">
        <v>8620.69</v>
      </c>
      <c r="M73" s="2" t="s">
        <v>366</v>
      </c>
      <c r="N73" s="2" t="s">
        <v>361</v>
      </c>
      <c r="O73" s="2">
        <v>281.0</v>
      </c>
      <c r="P73" s="2" t="s">
        <v>391</v>
      </c>
    </row>
    <row r="74" ht="22.5" customHeight="1">
      <c r="A74" s="4" t="s">
        <v>435</v>
      </c>
      <c r="B74" s="2" t="s">
        <v>436</v>
      </c>
      <c r="C74" s="4" t="s">
        <v>21</v>
      </c>
      <c r="D74" s="4" t="s">
        <v>22</v>
      </c>
      <c r="F74" s="5"/>
      <c r="G74" s="2">
        <v>791.67</v>
      </c>
      <c r="L74" s="2">
        <v>791.67</v>
      </c>
      <c r="M74" s="2" t="s">
        <v>366</v>
      </c>
      <c r="N74" s="2" t="s">
        <v>361</v>
      </c>
      <c r="O74" s="2">
        <v>502.0</v>
      </c>
      <c r="P74" s="2" t="s">
        <v>435</v>
      </c>
    </row>
    <row r="75" ht="22.5" customHeight="1">
      <c r="A75" s="4" t="s">
        <v>437</v>
      </c>
      <c r="B75" s="2" t="s">
        <v>436</v>
      </c>
      <c r="C75" s="4" t="s">
        <v>32</v>
      </c>
      <c r="D75" s="8" t="s">
        <v>56</v>
      </c>
      <c r="F75" s="5"/>
      <c r="G75" s="4">
        <v>10169.65289</v>
      </c>
      <c r="L75" s="2">
        <v>32688.17</v>
      </c>
      <c r="M75" s="2" t="s">
        <v>366</v>
      </c>
      <c r="N75" s="2" t="s">
        <v>361</v>
      </c>
      <c r="O75" s="2">
        <v>502.0</v>
      </c>
      <c r="P75" s="2" t="s">
        <v>438</v>
      </c>
    </row>
    <row r="76" ht="22.5" customHeight="1">
      <c r="A76" s="4" t="s">
        <v>437</v>
      </c>
      <c r="B76" s="2" t="s">
        <v>436</v>
      </c>
      <c r="C76" s="4" t="s">
        <v>32</v>
      </c>
      <c r="D76" s="8" t="s">
        <v>103</v>
      </c>
      <c r="F76" s="5"/>
      <c r="G76" s="4">
        <v>726.4037778</v>
      </c>
      <c r="M76" s="2" t="s">
        <v>366</v>
      </c>
    </row>
    <row r="77" ht="22.5" customHeight="1">
      <c r="A77" s="4" t="s">
        <v>437</v>
      </c>
      <c r="B77" s="2" t="s">
        <v>436</v>
      </c>
      <c r="C77" s="4" t="s">
        <v>32</v>
      </c>
      <c r="D77" s="8" t="s">
        <v>22</v>
      </c>
      <c r="F77" s="5"/>
      <c r="G77" s="4">
        <v>13801.67178</v>
      </c>
      <c r="M77" s="2" t="s">
        <v>366</v>
      </c>
    </row>
    <row r="78" ht="22.5" customHeight="1">
      <c r="A78" s="4" t="s">
        <v>437</v>
      </c>
      <c r="B78" s="2" t="s">
        <v>436</v>
      </c>
      <c r="C78" s="4" t="s">
        <v>32</v>
      </c>
      <c r="D78" s="8" t="s">
        <v>193</v>
      </c>
      <c r="F78" s="5"/>
      <c r="G78" s="4">
        <v>1937.076741</v>
      </c>
      <c r="M78" s="2" t="s">
        <v>366</v>
      </c>
    </row>
    <row r="79" ht="22.5" customHeight="1">
      <c r="A79" s="4" t="s">
        <v>437</v>
      </c>
      <c r="B79" s="2" t="s">
        <v>436</v>
      </c>
      <c r="C79" s="4" t="s">
        <v>32</v>
      </c>
      <c r="D79" s="8" t="s">
        <v>39</v>
      </c>
      <c r="F79" s="5"/>
      <c r="G79" s="4">
        <v>1089.605667</v>
      </c>
      <c r="M79" s="2" t="s">
        <v>366</v>
      </c>
    </row>
    <row r="80" ht="22.5" customHeight="1">
      <c r="A80" s="4" t="s">
        <v>437</v>
      </c>
      <c r="B80" s="2" t="s">
        <v>436</v>
      </c>
      <c r="C80" s="4" t="s">
        <v>32</v>
      </c>
      <c r="D80" s="8" t="s">
        <v>48</v>
      </c>
      <c r="F80" s="5"/>
      <c r="G80" s="4">
        <v>3874.153481</v>
      </c>
      <c r="M80" s="2" t="s">
        <v>366</v>
      </c>
    </row>
    <row r="81" ht="22.5" customHeight="1">
      <c r="A81" s="4" t="s">
        <v>437</v>
      </c>
      <c r="B81" s="2" t="s">
        <v>436</v>
      </c>
      <c r="C81" s="4" t="s">
        <v>32</v>
      </c>
      <c r="D81" s="8" t="s">
        <v>118</v>
      </c>
      <c r="F81" s="5"/>
      <c r="G81" s="4">
        <v>1089.605667</v>
      </c>
      <c r="M81" s="2" t="s">
        <v>366</v>
      </c>
    </row>
    <row r="82" ht="22.5" customHeight="1">
      <c r="A82" s="4" t="s">
        <v>439</v>
      </c>
      <c r="B82" s="2" t="s">
        <v>436</v>
      </c>
      <c r="C82" s="4" t="s">
        <v>32</v>
      </c>
      <c r="D82" s="8" t="s">
        <v>56</v>
      </c>
      <c r="F82" s="5"/>
      <c r="G82" s="4">
        <v>2908.587111</v>
      </c>
      <c r="L82" s="2">
        <v>9349.03</v>
      </c>
      <c r="M82" s="2" t="s">
        <v>366</v>
      </c>
      <c r="N82" s="2" t="s">
        <v>361</v>
      </c>
      <c r="O82" s="2">
        <v>502.0</v>
      </c>
      <c r="P82" s="2" t="s">
        <v>440</v>
      </c>
    </row>
    <row r="83" ht="22.5" customHeight="1">
      <c r="A83" s="4" t="s">
        <v>439</v>
      </c>
      <c r="B83" s="2" t="s">
        <v>436</v>
      </c>
      <c r="C83" s="4" t="s">
        <v>32</v>
      </c>
      <c r="D83" s="8" t="s">
        <v>103</v>
      </c>
      <c r="F83" s="5"/>
      <c r="G83" s="4">
        <v>207.7562222</v>
      </c>
      <c r="M83" s="2" t="s">
        <v>366</v>
      </c>
    </row>
    <row r="84" ht="22.5" customHeight="1">
      <c r="A84" s="4" t="s">
        <v>439</v>
      </c>
      <c r="B84" s="2" t="s">
        <v>436</v>
      </c>
      <c r="C84" s="4" t="s">
        <v>21</v>
      </c>
      <c r="D84" s="8" t="s">
        <v>22</v>
      </c>
      <c r="F84" s="5"/>
      <c r="G84" s="4">
        <v>3947.368222</v>
      </c>
      <c r="M84" s="2" t="s">
        <v>366</v>
      </c>
    </row>
    <row r="85" ht="22.5" customHeight="1">
      <c r="A85" s="4" t="s">
        <v>439</v>
      </c>
      <c r="B85" s="2" t="s">
        <v>436</v>
      </c>
      <c r="C85" s="4" t="s">
        <v>32</v>
      </c>
      <c r="D85" s="8" t="s">
        <v>193</v>
      </c>
      <c r="F85" s="5"/>
      <c r="G85" s="4">
        <v>554.0165926</v>
      </c>
      <c r="M85" s="2" t="s">
        <v>366</v>
      </c>
    </row>
    <row r="86" ht="22.5" customHeight="1">
      <c r="A86" s="4" t="s">
        <v>439</v>
      </c>
      <c r="B86" s="2" t="s">
        <v>436</v>
      </c>
      <c r="C86" s="4" t="s">
        <v>32</v>
      </c>
      <c r="D86" s="8" t="s">
        <v>39</v>
      </c>
      <c r="F86" s="5"/>
      <c r="G86" s="4">
        <v>311.6343333</v>
      </c>
      <c r="M86" s="2" t="s">
        <v>366</v>
      </c>
    </row>
    <row r="87" ht="22.5" customHeight="1">
      <c r="A87" s="4" t="s">
        <v>439</v>
      </c>
      <c r="B87" s="2" t="s">
        <v>436</v>
      </c>
      <c r="C87" s="4" t="s">
        <v>32</v>
      </c>
      <c r="D87" s="8" t="s">
        <v>48</v>
      </c>
      <c r="F87" s="5"/>
      <c r="G87" s="4">
        <v>1108.033185</v>
      </c>
      <c r="M87" s="2" t="s">
        <v>366</v>
      </c>
    </row>
    <row r="88" ht="22.5" customHeight="1">
      <c r="A88" s="4" t="s">
        <v>439</v>
      </c>
      <c r="B88" s="2" t="s">
        <v>436</v>
      </c>
      <c r="C88" s="4" t="s">
        <v>32</v>
      </c>
      <c r="D88" s="8" t="s">
        <v>118</v>
      </c>
      <c r="F88" s="5"/>
      <c r="G88" s="4">
        <v>311.6343333</v>
      </c>
      <c r="M88" s="2" t="s">
        <v>366</v>
      </c>
    </row>
    <row r="89" ht="22.5" customHeight="1">
      <c r="A89" s="4" t="s">
        <v>441</v>
      </c>
      <c r="B89" s="4" t="s">
        <v>436</v>
      </c>
      <c r="C89" s="4" t="s">
        <v>373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366</v>
      </c>
      <c r="N89" s="4" t="s">
        <v>361</v>
      </c>
      <c r="O89" s="4">
        <v>502.0</v>
      </c>
      <c r="P89" s="4" t="s">
        <v>442</v>
      </c>
      <c r="Q89" s="4"/>
      <c r="R89" s="4"/>
      <c r="S89" s="4"/>
    </row>
    <row r="90" ht="22.5" customHeight="1">
      <c r="A90" s="4" t="s">
        <v>441</v>
      </c>
      <c r="B90" s="4" t="s">
        <v>436</v>
      </c>
      <c r="C90" s="4" t="s">
        <v>373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366</v>
      </c>
      <c r="N90" s="4" t="s">
        <v>361</v>
      </c>
      <c r="O90" s="4">
        <v>502.0</v>
      </c>
      <c r="P90" s="4" t="s">
        <v>443</v>
      </c>
      <c r="Q90" s="4"/>
      <c r="R90" s="4"/>
      <c r="S90" s="4"/>
    </row>
    <row r="91" ht="22.5" customHeight="1">
      <c r="A91" s="2" t="s">
        <v>444</v>
      </c>
      <c r="B91" s="5" t="s">
        <v>445</v>
      </c>
      <c r="C91" s="2" t="s">
        <v>21</v>
      </c>
      <c r="D91" s="4" t="s">
        <v>22</v>
      </c>
      <c r="F91" s="5"/>
      <c r="G91" s="2">
        <v>8000.0</v>
      </c>
      <c r="L91" s="2">
        <v>8000.0</v>
      </c>
      <c r="M91" s="2" t="s">
        <v>366</v>
      </c>
      <c r="N91" s="2" t="s">
        <v>361</v>
      </c>
      <c r="O91" s="2">
        <v>278.0</v>
      </c>
      <c r="P91" s="2" t="s">
        <v>444</v>
      </c>
    </row>
    <row r="92" ht="22.5" customHeight="1">
      <c r="A92" s="2" t="s">
        <v>444</v>
      </c>
      <c r="B92" s="2" t="s">
        <v>446</v>
      </c>
      <c r="C92" s="2" t="s">
        <v>21</v>
      </c>
      <c r="D92" s="4" t="s">
        <v>22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447</v>
      </c>
      <c r="B93" s="2" t="s">
        <v>448</v>
      </c>
      <c r="C93" s="4" t="s">
        <v>32</v>
      </c>
      <c r="D93" s="4" t="s">
        <v>72</v>
      </c>
      <c r="F93" s="5"/>
      <c r="G93" s="4">
        <v>8208.0</v>
      </c>
      <c r="L93" s="2">
        <v>24124.7</v>
      </c>
      <c r="M93" s="2" t="s">
        <v>366</v>
      </c>
      <c r="N93" s="2" t="s">
        <v>361</v>
      </c>
      <c r="O93" s="2">
        <v>278.0</v>
      </c>
      <c r="P93" s="2" t="s">
        <v>444</v>
      </c>
    </row>
    <row r="94" ht="22.5" customHeight="1">
      <c r="A94" s="2" t="s">
        <v>444</v>
      </c>
      <c r="B94" s="2" t="s">
        <v>449</v>
      </c>
      <c r="C94" s="2" t="s">
        <v>21</v>
      </c>
      <c r="D94" s="4" t="s">
        <v>22</v>
      </c>
      <c r="F94" s="5"/>
      <c r="G94" s="2">
        <v>14000.0</v>
      </c>
      <c r="L94" s="2">
        <v>14000.0</v>
      </c>
      <c r="M94" s="2" t="s">
        <v>366</v>
      </c>
      <c r="N94" s="2" t="s">
        <v>361</v>
      </c>
      <c r="O94" s="2">
        <v>278.0</v>
      </c>
      <c r="P94" s="2" t="s">
        <v>444</v>
      </c>
    </row>
    <row r="95" ht="22.5" customHeight="1">
      <c r="A95" s="2" t="s">
        <v>444</v>
      </c>
      <c r="B95" s="2" t="s">
        <v>449</v>
      </c>
      <c r="C95" s="2" t="s">
        <v>21</v>
      </c>
      <c r="D95" s="4" t="s">
        <v>22</v>
      </c>
      <c r="F95" s="5"/>
      <c r="G95" s="2">
        <v>18500.0</v>
      </c>
      <c r="L95" s="2">
        <v>18500.0</v>
      </c>
      <c r="M95" s="2" t="s">
        <v>366</v>
      </c>
      <c r="N95" s="2" t="s">
        <v>361</v>
      </c>
      <c r="O95" s="2">
        <v>278.0</v>
      </c>
      <c r="P95" s="2" t="s">
        <v>444</v>
      </c>
    </row>
    <row r="96" ht="22.5" customHeight="1">
      <c r="A96" s="2" t="s">
        <v>444</v>
      </c>
      <c r="B96" s="2" t="s">
        <v>450</v>
      </c>
      <c r="C96" s="2" t="s">
        <v>21</v>
      </c>
      <c r="D96" s="4" t="s">
        <v>22</v>
      </c>
      <c r="F96" s="5"/>
      <c r="G96" s="2">
        <v>3097.23</v>
      </c>
      <c r="L96" s="2">
        <v>3097.23</v>
      </c>
      <c r="M96" s="2" t="s">
        <v>366</v>
      </c>
      <c r="N96" s="2" t="s">
        <v>361</v>
      </c>
      <c r="O96" s="2">
        <v>278.0</v>
      </c>
      <c r="P96" s="2" t="s">
        <v>444</v>
      </c>
    </row>
    <row r="97" ht="22.5" customHeight="1">
      <c r="A97" s="2" t="s">
        <v>444</v>
      </c>
      <c r="B97" s="2" t="s">
        <v>450</v>
      </c>
      <c r="C97" s="2" t="s">
        <v>21</v>
      </c>
      <c r="D97" s="4" t="s">
        <v>22</v>
      </c>
      <c r="F97" s="5"/>
      <c r="G97" s="2">
        <v>6000.0</v>
      </c>
      <c r="L97" s="2">
        <v>4386.83</v>
      </c>
      <c r="M97" s="2" t="s">
        <v>366</v>
      </c>
      <c r="N97" s="2" t="s">
        <v>361</v>
      </c>
      <c r="O97" s="2">
        <v>278.0</v>
      </c>
      <c r="P97" s="2" t="s">
        <v>444</v>
      </c>
    </row>
    <row r="98" ht="22.5" customHeight="1">
      <c r="A98" s="2" t="s">
        <v>444</v>
      </c>
      <c r="B98" s="2" t="s">
        <v>451</v>
      </c>
      <c r="C98" s="2" t="s">
        <v>21</v>
      </c>
      <c r="D98" s="4" t="s">
        <v>22</v>
      </c>
      <c r="F98" s="5"/>
      <c r="G98" s="2">
        <v>6500.0</v>
      </c>
      <c r="L98" s="2">
        <v>6000.0</v>
      </c>
      <c r="M98" s="2" t="s">
        <v>366</v>
      </c>
      <c r="N98" s="2" t="s">
        <v>361</v>
      </c>
      <c r="O98" s="2">
        <v>278.0</v>
      </c>
      <c r="P98" s="2" t="s">
        <v>444</v>
      </c>
    </row>
    <row r="99" ht="22.5" customHeight="1">
      <c r="A99" s="2" t="s">
        <v>444</v>
      </c>
      <c r="B99" s="2" t="s">
        <v>452</v>
      </c>
      <c r="C99" s="2" t="s">
        <v>21</v>
      </c>
      <c r="D99" s="4" t="s">
        <v>22</v>
      </c>
      <c r="F99" s="5"/>
      <c r="G99" s="2">
        <v>18000.0</v>
      </c>
      <c r="L99" s="2">
        <v>6500.0</v>
      </c>
      <c r="M99" s="2" t="s">
        <v>366</v>
      </c>
      <c r="N99" s="2" t="s">
        <v>361</v>
      </c>
      <c r="O99" s="2">
        <v>278.0</v>
      </c>
      <c r="P99" s="2" t="s">
        <v>444</v>
      </c>
    </row>
    <row r="100" ht="22.5" customHeight="1">
      <c r="A100" s="2" t="s">
        <v>444</v>
      </c>
      <c r="B100" s="2" t="s">
        <v>453</v>
      </c>
      <c r="C100" s="2" t="s">
        <v>21</v>
      </c>
      <c r="D100" s="4" t="s">
        <v>22</v>
      </c>
      <c r="F100" s="5"/>
      <c r="G100" s="2">
        <v>13200.0</v>
      </c>
      <c r="L100" s="2">
        <v>18000.0</v>
      </c>
      <c r="M100" s="2" t="s">
        <v>366</v>
      </c>
      <c r="N100" s="2" t="s">
        <v>361</v>
      </c>
      <c r="O100" s="2">
        <v>278.0</v>
      </c>
      <c r="P100" s="2" t="s">
        <v>444</v>
      </c>
    </row>
    <row r="101" ht="22.5" customHeight="1">
      <c r="A101" s="2" t="s">
        <v>444</v>
      </c>
      <c r="B101" s="2" t="s">
        <v>454</v>
      </c>
      <c r="C101" s="2" t="s">
        <v>21</v>
      </c>
      <c r="D101" s="4" t="s">
        <v>22</v>
      </c>
      <c r="F101" s="5"/>
      <c r="G101" s="2">
        <v>3500.0</v>
      </c>
      <c r="L101" s="2">
        <v>13200.0</v>
      </c>
      <c r="M101" s="2" t="s">
        <v>366</v>
      </c>
      <c r="N101" s="2" t="s">
        <v>361</v>
      </c>
      <c r="O101" s="2">
        <v>278.0</v>
      </c>
      <c r="P101" s="2" t="s">
        <v>444</v>
      </c>
    </row>
    <row r="102" ht="22.5" customHeight="1">
      <c r="A102" s="2" t="s">
        <v>444</v>
      </c>
      <c r="B102" s="2" t="s">
        <v>454</v>
      </c>
      <c r="C102" s="2" t="s">
        <v>21</v>
      </c>
      <c r="D102" s="4" t="s">
        <v>22</v>
      </c>
      <c r="F102" s="5"/>
      <c r="G102" s="2">
        <v>7000.0</v>
      </c>
      <c r="L102" s="2">
        <v>3500.0</v>
      </c>
      <c r="M102" s="2" t="s">
        <v>366</v>
      </c>
      <c r="N102" s="2" t="s">
        <v>361</v>
      </c>
      <c r="O102" s="2">
        <v>278.0</v>
      </c>
      <c r="P102" s="2" t="s">
        <v>444</v>
      </c>
    </row>
    <row r="103" ht="22.5" customHeight="1">
      <c r="A103" s="2" t="s">
        <v>444</v>
      </c>
      <c r="B103" s="2" t="s">
        <v>454</v>
      </c>
      <c r="C103" s="2" t="s">
        <v>21</v>
      </c>
      <c r="D103" s="4" t="s">
        <v>22</v>
      </c>
      <c r="F103" s="5"/>
      <c r="G103" s="2">
        <v>25250.0</v>
      </c>
      <c r="L103" s="2">
        <v>7000.0</v>
      </c>
      <c r="M103" s="2" t="s">
        <v>366</v>
      </c>
      <c r="N103" s="2" t="s">
        <v>361</v>
      </c>
      <c r="O103" s="2">
        <v>278.0</v>
      </c>
      <c r="P103" s="2" t="s">
        <v>444</v>
      </c>
    </row>
    <row r="104" ht="22.5" customHeight="1">
      <c r="A104" s="2" t="s">
        <v>444</v>
      </c>
      <c r="B104" s="2" t="s">
        <v>455</v>
      </c>
      <c r="C104" s="2" t="s">
        <v>21</v>
      </c>
      <c r="D104" s="4" t="s">
        <v>22</v>
      </c>
      <c r="F104" s="5"/>
      <c r="G104" s="2">
        <v>1011.71</v>
      </c>
      <c r="L104" s="2">
        <v>25250.0</v>
      </c>
      <c r="M104" s="2" t="s">
        <v>366</v>
      </c>
      <c r="N104" s="2" t="s">
        <v>361</v>
      </c>
      <c r="O104" s="2">
        <v>278.0</v>
      </c>
      <c r="P104" s="2" t="s">
        <v>444</v>
      </c>
    </row>
    <row r="105" ht="22.5" customHeight="1">
      <c r="A105" s="2" t="s">
        <v>444</v>
      </c>
      <c r="B105" s="2" t="s">
        <v>456</v>
      </c>
      <c r="C105" s="2" t="s">
        <v>21</v>
      </c>
      <c r="D105" s="4" t="s">
        <v>22</v>
      </c>
      <c r="F105" s="5"/>
      <c r="G105" s="2">
        <v>6500.0</v>
      </c>
      <c r="L105" s="2">
        <v>1011.71</v>
      </c>
      <c r="M105" s="2" t="s">
        <v>366</v>
      </c>
      <c r="N105" s="2" t="s">
        <v>361</v>
      </c>
      <c r="O105" s="2">
        <v>278.0</v>
      </c>
      <c r="P105" s="2" t="s">
        <v>444</v>
      </c>
    </row>
    <row r="106" ht="22.5" customHeight="1">
      <c r="A106" s="2" t="s">
        <v>444</v>
      </c>
      <c r="B106" s="2" t="s">
        <v>456</v>
      </c>
      <c r="C106" s="2" t="s">
        <v>21</v>
      </c>
      <c r="D106" s="4" t="s">
        <v>22</v>
      </c>
      <c r="F106" s="5"/>
      <c r="G106" s="2">
        <v>40000.0</v>
      </c>
      <c r="L106" s="2">
        <v>6500.0</v>
      </c>
      <c r="M106" s="2" t="s">
        <v>366</v>
      </c>
      <c r="N106" s="2" t="s">
        <v>361</v>
      </c>
      <c r="O106" s="2">
        <v>278.0</v>
      </c>
      <c r="P106" s="2" t="s">
        <v>444</v>
      </c>
    </row>
    <row r="107" ht="22.5" customHeight="1">
      <c r="A107" s="2" t="s">
        <v>444</v>
      </c>
      <c r="B107" s="2" t="s">
        <v>457</v>
      </c>
      <c r="C107" s="2" t="s">
        <v>21</v>
      </c>
      <c r="D107" s="4" t="s">
        <v>22</v>
      </c>
      <c r="F107" s="5"/>
      <c r="G107" s="2">
        <v>23500.0</v>
      </c>
      <c r="L107" s="2">
        <v>40000.0</v>
      </c>
      <c r="M107" s="2" t="s">
        <v>366</v>
      </c>
      <c r="N107" s="2" t="s">
        <v>361</v>
      </c>
      <c r="O107" s="2">
        <v>278.0</v>
      </c>
      <c r="P107" s="2" t="s">
        <v>444</v>
      </c>
    </row>
    <row r="108" ht="22.5" customHeight="1">
      <c r="A108" s="4" t="s">
        <v>458</v>
      </c>
      <c r="B108" s="16" t="s">
        <v>459</v>
      </c>
      <c r="C108" s="2" t="s">
        <v>21</v>
      </c>
      <c r="D108" s="4" t="s">
        <v>22</v>
      </c>
      <c r="F108" s="5"/>
      <c r="G108" s="4">
        <v>600.0</v>
      </c>
      <c r="L108" s="2">
        <v>23500.0</v>
      </c>
      <c r="M108" s="2" t="s">
        <v>366</v>
      </c>
      <c r="N108" s="2" t="s">
        <v>361</v>
      </c>
      <c r="O108" s="2">
        <v>278.0</v>
      </c>
      <c r="P108" s="2" t="s">
        <v>444</v>
      </c>
    </row>
    <row r="109" ht="22.5" customHeight="1">
      <c r="A109" s="17" t="s">
        <v>460</v>
      </c>
      <c r="B109" s="2" t="s">
        <v>461</v>
      </c>
      <c r="C109" s="2" t="s">
        <v>21</v>
      </c>
      <c r="D109" s="4" t="s">
        <v>22</v>
      </c>
      <c r="F109" s="5"/>
      <c r="G109" s="4">
        <v>690.52</v>
      </c>
      <c r="L109" s="2">
        <v>23093.68</v>
      </c>
      <c r="M109" s="2" t="s">
        <v>366</v>
      </c>
      <c r="N109" s="2" t="s">
        <v>361</v>
      </c>
      <c r="O109" s="2">
        <v>278.0</v>
      </c>
      <c r="P109" s="2" t="s">
        <v>444</v>
      </c>
    </row>
    <row r="110" ht="22.5" customHeight="1">
      <c r="A110" s="2" t="s">
        <v>462</v>
      </c>
      <c r="B110" s="18" t="s">
        <v>463</v>
      </c>
      <c r="C110" s="2" t="s">
        <v>413</v>
      </c>
      <c r="F110" s="5"/>
      <c r="G110" s="2">
        <v>1849.04</v>
      </c>
      <c r="L110" s="2">
        <v>1849.04</v>
      </c>
      <c r="M110" s="2" t="s">
        <v>464</v>
      </c>
      <c r="N110" s="2" t="s">
        <v>415</v>
      </c>
      <c r="O110" s="2">
        <v>78.0</v>
      </c>
      <c r="P110" s="2" t="s">
        <v>465</v>
      </c>
    </row>
    <row r="111" ht="22.5" customHeight="1">
      <c r="A111" s="2" t="s">
        <v>462</v>
      </c>
      <c r="B111" s="19" t="s">
        <v>463</v>
      </c>
      <c r="C111" s="2" t="s">
        <v>413</v>
      </c>
      <c r="F111" s="5"/>
      <c r="G111" s="2">
        <v>428.0</v>
      </c>
      <c r="L111" s="2">
        <v>428.0</v>
      </c>
      <c r="M111" s="2" t="s">
        <v>466</v>
      </c>
      <c r="N111" s="2" t="s">
        <v>415</v>
      </c>
      <c r="O111" s="2">
        <v>95.0</v>
      </c>
      <c r="P111" s="2" t="s">
        <v>465</v>
      </c>
    </row>
    <row r="112" ht="22.5" customHeight="1">
      <c r="A112" s="2" t="s">
        <v>462</v>
      </c>
      <c r="B112" s="18" t="s">
        <v>463</v>
      </c>
      <c r="C112" s="2" t="s">
        <v>413</v>
      </c>
      <c r="F112" s="5"/>
      <c r="G112" s="2">
        <v>4958.17</v>
      </c>
      <c r="L112" s="2">
        <v>4958.17</v>
      </c>
      <c r="M112" s="2" t="s">
        <v>418</v>
      </c>
      <c r="N112" s="2" t="s">
        <v>415</v>
      </c>
      <c r="O112" s="2">
        <v>222.0</v>
      </c>
      <c r="P112" s="2" t="s">
        <v>465</v>
      </c>
    </row>
    <row r="113" ht="22.5" customHeight="1">
      <c r="A113" s="2" t="s">
        <v>458</v>
      </c>
      <c r="B113" s="2" t="s">
        <v>467</v>
      </c>
      <c r="C113" s="4" t="s">
        <v>21</v>
      </c>
      <c r="D113" s="4" t="s">
        <v>22</v>
      </c>
      <c r="F113" s="5"/>
      <c r="G113" s="2">
        <v>689.66</v>
      </c>
      <c r="L113" s="2">
        <v>689.66</v>
      </c>
      <c r="M113" s="2" t="s">
        <v>366</v>
      </c>
      <c r="N113" s="2" t="s">
        <v>361</v>
      </c>
      <c r="O113" s="2">
        <v>278.0</v>
      </c>
      <c r="P113" s="2" t="s">
        <v>444</v>
      </c>
    </row>
    <row r="114" ht="22.5" customHeight="1">
      <c r="A114" s="2" t="s">
        <v>458</v>
      </c>
      <c r="B114" s="2" t="s">
        <v>467</v>
      </c>
      <c r="C114" s="4" t="s">
        <v>21</v>
      </c>
      <c r="D114" s="4" t="s">
        <v>22</v>
      </c>
      <c r="F114" s="5"/>
      <c r="G114" s="2">
        <v>900.0</v>
      </c>
      <c r="L114" s="2">
        <v>900.0</v>
      </c>
      <c r="M114" s="2" t="s">
        <v>366</v>
      </c>
      <c r="N114" s="2" t="s">
        <v>361</v>
      </c>
      <c r="O114" s="2">
        <v>278.0</v>
      </c>
      <c r="P114" s="2" t="s">
        <v>444</v>
      </c>
    </row>
    <row r="115" ht="22.5" customHeight="1">
      <c r="A115" s="2" t="s">
        <v>458</v>
      </c>
      <c r="B115" s="2" t="s">
        <v>467</v>
      </c>
      <c r="C115" s="4" t="s">
        <v>21</v>
      </c>
      <c r="D115" s="4" t="s">
        <v>22</v>
      </c>
      <c r="F115" s="5"/>
      <c r="G115" s="2">
        <v>1000.0</v>
      </c>
      <c r="L115" s="2">
        <v>1000.0</v>
      </c>
      <c r="M115" s="2" t="s">
        <v>366</v>
      </c>
      <c r="N115" s="2" t="s">
        <v>361</v>
      </c>
      <c r="O115" s="2">
        <v>278.0</v>
      </c>
      <c r="P115" s="2" t="s">
        <v>444</v>
      </c>
    </row>
    <row r="116" ht="22.5" customHeight="1">
      <c r="A116" s="2" t="s">
        <v>458</v>
      </c>
      <c r="B116" s="2" t="s">
        <v>459</v>
      </c>
      <c r="C116" s="4" t="s">
        <v>21</v>
      </c>
      <c r="D116" s="4" t="s">
        <v>22</v>
      </c>
      <c r="F116" s="5"/>
      <c r="G116" s="2">
        <v>980.0</v>
      </c>
      <c r="L116" s="2">
        <v>600.0</v>
      </c>
      <c r="M116" s="2" t="s">
        <v>366</v>
      </c>
      <c r="N116" s="2" t="s">
        <v>361</v>
      </c>
      <c r="O116" s="2">
        <v>278.0</v>
      </c>
      <c r="P116" s="2" t="s">
        <v>444</v>
      </c>
    </row>
    <row r="117" ht="22.5" customHeight="1">
      <c r="A117" s="4" t="s">
        <v>444</v>
      </c>
      <c r="B117" s="2" t="s">
        <v>468</v>
      </c>
      <c r="C117" s="4" t="s">
        <v>21</v>
      </c>
      <c r="D117" s="4" t="s">
        <v>22</v>
      </c>
      <c r="F117" s="5"/>
      <c r="G117" s="8">
        <v>23093.68</v>
      </c>
      <c r="L117" s="2">
        <v>980.0</v>
      </c>
      <c r="M117" s="2" t="s">
        <v>366</v>
      </c>
      <c r="N117" s="2" t="s">
        <v>361</v>
      </c>
      <c r="O117" s="2">
        <v>278.0</v>
      </c>
      <c r="P117" s="2" t="s">
        <v>444</v>
      </c>
    </row>
    <row r="118" ht="22.5" customHeight="1">
      <c r="A118" s="2" t="s">
        <v>433</v>
      </c>
      <c r="B118" s="2" t="s">
        <v>469</v>
      </c>
      <c r="C118" s="4" t="s">
        <v>32</v>
      </c>
      <c r="D118" s="4" t="s">
        <v>193</v>
      </c>
      <c r="F118" s="5"/>
      <c r="G118" s="2">
        <v>20324.14</v>
      </c>
      <c r="L118" s="2">
        <v>20324.14</v>
      </c>
      <c r="M118" s="2" t="s">
        <v>366</v>
      </c>
      <c r="N118" s="2" t="s">
        <v>361</v>
      </c>
      <c r="O118" s="2">
        <v>288.0</v>
      </c>
      <c r="P118" s="2" t="s">
        <v>403</v>
      </c>
    </row>
    <row r="119" ht="22.5" customHeight="1">
      <c r="A119" s="4" t="s">
        <v>433</v>
      </c>
      <c r="B119" s="2" t="s">
        <v>390</v>
      </c>
      <c r="C119" s="4" t="s">
        <v>32</v>
      </c>
      <c r="F119" s="5"/>
      <c r="G119" s="2">
        <v>18254.66</v>
      </c>
      <c r="L119" s="2">
        <v>585.56</v>
      </c>
      <c r="M119" s="2" t="s">
        <v>366</v>
      </c>
      <c r="N119" s="2" t="s">
        <v>361</v>
      </c>
      <c r="O119" s="2">
        <v>262.0</v>
      </c>
      <c r="P119" s="2" t="s">
        <v>391</v>
      </c>
    </row>
    <row r="120" ht="22.5" customHeight="1">
      <c r="A120" s="2" t="s">
        <v>433</v>
      </c>
      <c r="B120" s="2" t="s">
        <v>470</v>
      </c>
      <c r="C120" s="4" t="s">
        <v>32</v>
      </c>
      <c r="D120" s="4" t="s">
        <v>103</v>
      </c>
      <c r="F120" s="5"/>
      <c r="G120" s="2">
        <v>314.69</v>
      </c>
      <c r="L120" s="2">
        <v>314.69</v>
      </c>
      <c r="M120" s="2" t="s">
        <v>366</v>
      </c>
      <c r="N120" s="2" t="s">
        <v>361</v>
      </c>
      <c r="O120" s="2">
        <v>289.0</v>
      </c>
      <c r="P120" s="2" t="s">
        <v>460</v>
      </c>
    </row>
    <row r="121" ht="22.5" customHeight="1">
      <c r="A121" s="4" t="s">
        <v>471</v>
      </c>
      <c r="B121" s="2" t="s">
        <v>472</v>
      </c>
      <c r="C121" s="4" t="s">
        <v>21</v>
      </c>
      <c r="D121" s="4" t="s">
        <v>22</v>
      </c>
      <c r="F121" s="5"/>
      <c r="G121" s="20">
        <v>583.4</v>
      </c>
      <c r="L121" s="2">
        <v>14762.0</v>
      </c>
      <c r="M121" s="2" t="s">
        <v>366</v>
      </c>
      <c r="N121" s="2" t="s">
        <v>361</v>
      </c>
      <c r="O121" s="2">
        <v>294.0</v>
      </c>
      <c r="P121" s="2" t="s">
        <v>473</v>
      </c>
    </row>
    <row r="122" ht="22.5" customHeight="1">
      <c r="A122" s="2" t="s">
        <v>471</v>
      </c>
      <c r="B122" s="2" t="s">
        <v>472</v>
      </c>
      <c r="C122" s="4" t="s">
        <v>21</v>
      </c>
      <c r="D122" s="4" t="s">
        <v>22</v>
      </c>
      <c r="F122" s="5"/>
      <c r="G122" s="21">
        <v>7029.5</v>
      </c>
      <c r="L122" s="2">
        <v>583.4</v>
      </c>
      <c r="M122" s="2" t="s">
        <v>366</v>
      </c>
      <c r="N122" s="2" t="s">
        <v>361</v>
      </c>
      <c r="O122" s="2">
        <v>294.0</v>
      </c>
      <c r="P122" s="2" t="s">
        <v>473</v>
      </c>
    </row>
    <row r="123" ht="22.5" customHeight="1">
      <c r="A123" s="17" t="s">
        <v>371</v>
      </c>
      <c r="B123" s="2" t="s">
        <v>474</v>
      </c>
      <c r="C123" s="4" t="s">
        <v>21</v>
      </c>
      <c r="D123" s="4" t="s">
        <v>22</v>
      </c>
      <c r="F123" s="5"/>
      <c r="G123" s="2">
        <v>400.0</v>
      </c>
      <c r="L123" s="2">
        <v>7029.5</v>
      </c>
      <c r="M123" s="2" t="s">
        <v>366</v>
      </c>
      <c r="N123" s="2" t="s">
        <v>361</v>
      </c>
      <c r="O123" s="2">
        <v>294.0</v>
      </c>
      <c r="P123" s="2" t="s">
        <v>473</v>
      </c>
    </row>
    <row r="124" ht="22.5" customHeight="1">
      <c r="A124" s="17" t="s">
        <v>475</v>
      </c>
      <c r="B124" s="2" t="s">
        <v>476</v>
      </c>
      <c r="C124" s="4" t="s">
        <v>32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366</v>
      </c>
      <c r="N124" s="4"/>
      <c r="O124" s="4"/>
      <c r="P124" s="4"/>
      <c r="Q124" s="4"/>
      <c r="R124" s="4"/>
      <c r="S124" s="4"/>
    </row>
    <row r="125" ht="22.5" customHeight="1">
      <c r="A125" s="17" t="s">
        <v>477</v>
      </c>
      <c r="B125" s="22" t="s">
        <v>478</v>
      </c>
      <c r="C125" s="4" t="s">
        <v>32</v>
      </c>
      <c r="D125" s="11" t="s">
        <v>56</v>
      </c>
      <c r="F125" s="5"/>
      <c r="G125" s="4">
        <v>1791.570667</v>
      </c>
      <c r="L125" s="2">
        <v>5921.68</v>
      </c>
      <c r="M125" s="2" t="s">
        <v>366</v>
      </c>
      <c r="N125" s="2" t="s">
        <v>361</v>
      </c>
      <c r="O125" s="2">
        <v>283.0</v>
      </c>
      <c r="P125" s="2" t="s">
        <v>475</v>
      </c>
    </row>
    <row r="126" ht="22.5" customHeight="1">
      <c r="A126" s="17" t="s">
        <v>477</v>
      </c>
      <c r="B126" s="22" t="s">
        <v>478</v>
      </c>
      <c r="C126" s="4" t="s">
        <v>32</v>
      </c>
      <c r="D126" s="11" t="s">
        <v>103</v>
      </c>
      <c r="F126" s="5"/>
      <c r="G126" s="4">
        <v>127.9693333</v>
      </c>
      <c r="L126" s="2">
        <v>5000.0</v>
      </c>
      <c r="M126" s="2" t="s">
        <v>366</v>
      </c>
      <c r="N126" s="2" t="s">
        <v>361</v>
      </c>
      <c r="O126" s="2">
        <v>283.0</v>
      </c>
      <c r="P126" s="2" t="s">
        <v>475</v>
      </c>
    </row>
    <row r="127" ht="22.5" customHeight="1">
      <c r="A127" s="17" t="s">
        <v>477</v>
      </c>
      <c r="B127" s="22" t="s">
        <v>478</v>
      </c>
      <c r="C127" s="4" t="s">
        <v>21</v>
      </c>
      <c r="D127" s="11" t="s">
        <v>22</v>
      </c>
      <c r="F127" s="5"/>
      <c r="G127" s="4">
        <v>2431.417333</v>
      </c>
      <c r="L127" s="2"/>
      <c r="M127" s="2" t="s">
        <v>366</v>
      </c>
      <c r="N127" s="2"/>
      <c r="O127" s="2"/>
      <c r="P127" s="2"/>
    </row>
    <row r="128" ht="22.5" customHeight="1">
      <c r="A128" s="17" t="s">
        <v>477</v>
      </c>
      <c r="B128" s="22" t="s">
        <v>478</v>
      </c>
      <c r="C128" s="4" t="s">
        <v>32</v>
      </c>
      <c r="D128" s="11" t="s">
        <v>193</v>
      </c>
      <c r="F128" s="5"/>
      <c r="G128" s="4">
        <v>341.2515556</v>
      </c>
      <c r="L128" s="2"/>
      <c r="M128" s="2" t="s">
        <v>366</v>
      </c>
      <c r="N128" s="2"/>
      <c r="O128" s="2"/>
      <c r="P128" s="2"/>
    </row>
    <row r="129" ht="22.5" customHeight="1">
      <c r="A129" s="17" t="s">
        <v>477</v>
      </c>
      <c r="B129" s="22" t="s">
        <v>478</v>
      </c>
      <c r="C129" s="4" t="s">
        <v>32</v>
      </c>
      <c r="D129" s="11" t="s">
        <v>39</v>
      </c>
      <c r="F129" s="5"/>
      <c r="G129" s="4">
        <v>191.954</v>
      </c>
      <c r="L129" s="2"/>
      <c r="M129" s="2" t="s">
        <v>366</v>
      </c>
      <c r="N129" s="2"/>
      <c r="O129" s="2"/>
      <c r="P129" s="2"/>
    </row>
    <row r="130" ht="22.5" customHeight="1">
      <c r="A130" s="17" t="s">
        <v>477</v>
      </c>
      <c r="B130" s="22" t="s">
        <v>478</v>
      </c>
      <c r="C130" s="4" t="s">
        <v>32</v>
      </c>
      <c r="D130" s="11" t="s">
        <v>48</v>
      </c>
      <c r="F130" s="5"/>
      <c r="G130" s="4">
        <v>682.5031111</v>
      </c>
      <c r="L130" s="2"/>
      <c r="M130" s="2" t="s">
        <v>366</v>
      </c>
      <c r="N130" s="2"/>
      <c r="O130" s="2"/>
      <c r="P130" s="2"/>
    </row>
    <row r="131" ht="22.5" customHeight="1">
      <c r="A131" s="17" t="s">
        <v>477</v>
      </c>
      <c r="B131" s="22" t="s">
        <v>478</v>
      </c>
      <c r="C131" s="4" t="s">
        <v>32</v>
      </c>
      <c r="D131" s="11" t="s">
        <v>118</v>
      </c>
      <c r="F131" s="5"/>
      <c r="G131" s="4">
        <v>191.954</v>
      </c>
      <c r="L131" s="2"/>
      <c r="M131" s="2" t="s">
        <v>366</v>
      </c>
      <c r="N131" s="2"/>
      <c r="O131" s="2"/>
      <c r="P131" s="2"/>
    </row>
    <row r="132" ht="22.5" customHeight="1">
      <c r="A132" s="17" t="s">
        <v>477</v>
      </c>
      <c r="B132" s="2" t="s">
        <v>479</v>
      </c>
      <c r="C132" s="4" t="s">
        <v>480</v>
      </c>
      <c r="D132" s="4" t="s">
        <v>72</v>
      </c>
      <c r="F132" s="5"/>
      <c r="G132" s="2">
        <v>6425.56</v>
      </c>
      <c r="L132" s="2">
        <v>1618.88</v>
      </c>
      <c r="M132" s="2" t="s">
        <v>366</v>
      </c>
      <c r="N132" s="2" t="s">
        <v>361</v>
      </c>
      <c r="O132" s="2">
        <v>286.0</v>
      </c>
      <c r="P132" s="2" t="s">
        <v>481</v>
      </c>
    </row>
    <row r="133" ht="22.5" customHeight="1">
      <c r="A133" s="2" t="s">
        <v>477</v>
      </c>
      <c r="B133" s="2" t="s">
        <v>482</v>
      </c>
      <c r="C133" s="4" t="s">
        <v>480</v>
      </c>
      <c r="D133" s="4" t="s">
        <v>72</v>
      </c>
      <c r="F133" s="5"/>
      <c r="G133" s="2">
        <v>934.0</v>
      </c>
      <c r="L133" s="2">
        <v>6425.56</v>
      </c>
      <c r="M133" s="2" t="s">
        <v>366</v>
      </c>
      <c r="N133" s="2" t="s">
        <v>361</v>
      </c>
      <c r="O133" s="2">
        <v>264.0</v>
      </c>
      <c r="P133" s="2" t="s">
        <v>399</v>
      </c>
    </row>
    <row r="134" ht="22.5" customHeight="1">
      <c r="A134" s="2" t="s">
        <v>477</v>
      </c>
      <c r="B134" s="2" t="s">
        <v>483</v>
      </c>
      <c r="C134" s="4" t="s">
        <v>21</v>
      </c>
      <c r="D134" s="4" t="s">
        <v>22</v>
      </c>
      <c r="F134" s="5"/>
      <c r="G134" s="2">
        <v>6397.41</v>
      </c>
      <c r="L134" s="2">
        <v>934.0</v>
      </c>
      <c r="M134" s="2" t="s">
        <v>366</v>
      </c>
      <c r="N134" s="2" t="s">
        <v>361</v>
      </c>
      <c r="O134" s="2">
        <v>284.0</v>
      </c>
      <c r="P134" s="2" t="s">
        <v>399</v>
      </c>
    </row>
    <row r="135" ht="22.5" customHeight="1">
      <c r="A135" s="2" t="s">
        <v>477</v>
      </c>
      <c r="B135" s="2" t="s">
        <v>483</v>
      </c>
      <c r="C135" s="4" t="s">
        <v>21</v>
      </c>
      <c r="D135" s="4" t="s">
        <v>22</v>
      </c>
      <c r="F135" s="5"/>
      <c r="G135" s="2">
        <v>8505.17</v>
      </c>
      <c r="L135" s="2">
        <v>6397.41</v>
      </c>
      <c r="M135" s="2" t="s">
        <v>366</v>
      </c>
      <c r="N135" s="2" t="s">
        <v>361</v>
      </c>
      <c r="O135" s="2">
        <v>284.0</v>
      </c>
      <c r="P135" s="2" t="s">
        <v>399</v>
      </c>
    </row>
    <row r="136" ht="22.5" customHeight="1">
      <c r="A136" s="2" t="s">
        <v>477</v>
      </c>
      <c r="B136" s="2" t="s">
        <v>484</v>
      </c>
      <c r="C136" s="4" t="s">
        <v>21</v>
      </c>
      <c r="D136" s="4" t="s">
        <v>56</v>
      </c>
      <c r="F136" s="5"/>
      <c r="G136" s="8">
        <v>3370.7</v>
      </c>
      <c r="L136" s="2">
        <v>8505.17</v>
      </c>
      <c r="M136" s="2" t="s">
        <v>366</v>
      </c>
      <c r="N136" s="2" t="s">
        <v>361</v>
      </c>
      <c r="O136" s="2">
        <v>284.0</v>
      </c>
      <c r="P136" s="2" t="s">
        <v>399</v>
      </c>
    </row>
    <row r="137" ht="22.5" customHeight="1">
      <c r="A137" s="2" t="s">
        <v>485</v>
      </c>
      <c r="B137" s="2" t="s">
        <v>486</v>
      </c>
      <c r="C137" s="4" t="s">
        <v>21</v>
      </c>
      <c r="D137" s="4" t="s">
        <v>22</v>
      </c>
      <c r="F137" s="5"/>
      <c r="G137" s="21">
        <v>1614.2</v>
      </c>
      <c r="L137" s="2">
        <v>1614.2</v>
      </c>
      <c r="M137" s="2" t="s">
        <v>366</v>
      </c>
      <c r="N137" s="2" t="s">
        <v>361</v>
      </c>
      <c r="O137" s="2">
        <v>285.0</v>
      </c>
      <c r="P137" s="2" t="s">
        <v>485</v>
      </c>
    </row>
    <row r="138" ht="22.5" customHeight="1">
      <c r="A138" s="2" t="s">
        <v>485</v>
      </c>
      <c r="B138" s="2" t="s">
        <v>486</v>
      </c>
      <c r="C138" s="4" t="s">
        <v>21</v>
      </c>
      <c r="D138" s="4" t="s">
        <v>22</v>
      </c>
      <c r="F138" s="5"/>
      <c r="G138" s="20">
        <v>8686.68</v>
      </c>
      <c r="L138" s="2">
        <v>8686.68</v>
      </c>
      <c r="M138" s="2" t="s">
        <v>366</v>
      </c>
      <c r="N138" s="2" t="s">
        <v>361</v>
      </c>
      <c r="O138" s="2">
        <v>285.0</v>
      </c>
      <c r="P138" s="2" t="s">
        <v>485</v>
      </c>
    </row>
    <row r="139" ht="22.5" customHeight="1">
      <c r="A139" s="2" t="s">
        <v>485</v>
      </c>
      <c r="B139" s="2" t="s">
        <v>486</v>
      </c>
      <c r="C139" s="4" t="s">
        <v>21</v>
      </c>
      <c r="D139" s="4" t="s">
        <v>22</v>
      </c>
      <c r="F139" s="5"/>
      <c r="G139" s="21">
        <v>12420.34</v>
      </c>
      <c r="L139" s="2">
        <v>12420.34</v>
      </c>
      <c r="M139" s="2" t="s">
        <v>366</v>
      </c>
      <c r="N139" s="2" t="s">
        <v>361</v>
      </c>
      <c r="O139" s="2">
        <v>285.0</v>
      </c>
      <c r="P139" s="2" t="s">
        <v>485</v>
      </c>
    </row>
    <row r="140" ht="22.5" customHeight="1">
      <c r="A140" s="2" t="s">
        <v>485</v>
      </c>
      <c r="B140" s="2" t="s">
        <v>486</v>
      </c>
      <c r="C140" s="4" t="s">
        <v>21</v>
      </c>
      <c r="D140" s="4" t="s">
        <v>22</v>
      </c>
      <c r="F140" s="5"/>
      <c r="G140" s="20">
        <v>14372.07</v>
      </c>
      <c r="L140" s="2">
        <v>14372.07</v>
      </c>
      <c r="M140" s="2" t="s">
        <v>366</v>
      </c>
      <c r="N140" s="2" t="s">
        <v>361</v>
      </c>
      <c r="O140" s="2">
        <v>285.0</v>
      </c>
      <c r="P140" s="2" t="s">
        <v>485</v>
      </c>
    </row>
    <row r="141" ht="22.5" customHeight="1">
      <c r="A141" s="2" t="s">
        <v>485</v>
      </c>
      <c r="B141" s="2" t="s">
        <v>486</v>
      </c>
      <c r="C141" s="4" t="s">
        <v>21</v>
      </c>
      <c r="D141" s="4" t="s">
        <v>22</v>
      </c>
      <c r="F141" s="5"/>
      <c r="G141" s="21">
        <v>15416.65</v>
      </c>
      <c r="L141" s="2">
        <v>1614.2</v>
      </c>
      <c r="M141" s="2" t="s">
        <v>366</v>
      </c>
      <c r="N141" s="2" t="s">
        <v>361</v>
      </c>
      <c r="O141" s="2">
        <v>285.0</v>
      </c>
      <c r="P141" s="2" t="s">
        <v>485</v>
      </c>
    </row>
    <row r="142" ht="22.5" customHeight="1">
      <c r="A142" s="4" t="s">
        <v>444</v>
      </c>
      <c r="B142" s="2" t="s">
        <v>487</v>
      </c>
      <c r="C142" s="4" t="s">
        <v>21</v>
      </c>
      <c r="D142" s="4" t="s">
        <v>22</v>
      </c>
      <c r="F142" s="5"/>
      <c r="G142" s="2">
        <v>8000.0</v>
      </c>
      <c r="L142" s="2">
        <v>15416.65</v>
      </c>
      <c r="M142" s="2" t="s">
        <v>366</v>
      </c>
      <c r="N142" s="2" t="s">
        <v>361</v>
      </c>
      <c r="O142" s="2">
        <v>285.0</v>
      </c>
      <c r="P142" s="2" t="s">
        <v>485</v>
      </c>
    </row>
    <row r="143" ht="22.5" customHeight="1">
      <c r="A143" s="2" t="s">
        <v>488</v>
      </c>
      <c r="B143" s="2" t="s">
        <v>436</v>
      </c>
      <c r="C143" s="4" t="s">
        <v>480</v>
      </c>
      <c r="F143" s="5"/>
      <c r="G143" s="2">
        <v>6213.65</v>
      </c>
      <c r="L143" s="2">
        <v>6213.65</v>
      </c>
      <c r="M143" s="2" t="s">
        <v>366</v>
      </c>
      <c r="N143" s="2" t="s">
        <v>361</v>
      </c>
      <c r="O143" s="2">
        <v>502.0</v>
      </c>
      <c r="P143" s="2" t="s">
        <v>489</v>
      </c>
    </row>
    <row r="144" ht="22.5" customHeight="1">
      <c r="A144" s="17" t="s">
        <v>490</v>
      </c>
      <c r="B144" s="4" t="s">
        <v>491</v>
      </c>
      <c r="C144" s="4" t="s">
        <v>413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492</v>
      </c>
      <c r="N144" s="4" t="s">
        <v>415</v>
      </c>
      <c r="O144" s="4">
        <v>7.0</v>
      </c>
      <c r="P144" s="4" t="s">
        <v>493</v>
      </c>
      <c r="Q144" s="4"/>
      <c r="R144" s="4"/>
      <c r="S144" s="4"/>
    </row>
    <row r="145" ht="22.5" customHeight="1">
      <c r="A145" s="17" t="s">
        <v>411</v>
      </c>
      <c r="B145" s="4" t="s">
        <v>491</v>
      </c>
      <c r="C145" s="4" t="s">
        <v>413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492</v>
      </c>
      <c r="N145" s="4" t="s">
        <v>415</v>
      </c>
      <c r="O145" s="4">
        <v>7.0</v>
      </c>
      <c r="P145" s="4" t="s">
        <v>416</v>
      </c>
      <c r="Q145" s="4"/>
      <c r="R145" s="4"/>
      <c r="S145" s="4"/>
    </row>
    <row r="146" ht="22.5" customHeight="1">
      <c r="A146" s="2" t="s">
        <v>490</v>
      </c>
      <c r="B146" s="2" t="s">
        <v>494</v>
      </c>
      <c r="C146" s="2" t="s">
        <v>32</v>
      </c>
      <c r="F146" s="5"/>
      <c r="G146" s="2">
        <v>86206.9</v>
      </c>
      <c r="L146" s="2">
        <v>86206.9</v>
      </c>
      <c r="M146" s="2" t="s">
        <v>366</v>
      </c>
      <c r="N146" s="2" t="s">
        <v>361</v>
      </c>
      <c r="O146" s="2">
        <v>288.0</v>
      </c>
      <c r="P146" s="2" t="s">
        <v>403</v>
      </c>
    </row>
    <row r="147" ht="22.5" customHeight="1">
      <c r="A147" s="2" t="s">
        <v>490</v>
      </c>
      <c r="B147" s="2" t="s">
        <v>495</v>
      </c>
      <c r="C147" s="2" t="s">
        <v>32</v>
      </c>
      <c r="F147" s="5"/>
      <c r="G147" s="21">
        <v>7343.97</v>
      </c>
      <c r="L147" s="2">
        <v>7343.97</v>
      </c>
      <c r="M147" s="2" t="s">
        <v>366</v>
      </c>
      <c r="N147" s="2" t="s">
        <v>361</v>
      </c>
      <c r="O147" s="2">
        <v>272.0</v>
      </c>
      <c r="P147" s="2" t="s">
        <v>375</v>
      </c>
    </row>
    <row r="148" ht="22.5" customHeight="1">
      <c r="A148" s="2" t="s">
        <v>490</v>
      </c>
      <c r="B148" s="2" t="s">
        <v>496</v>
      </c>
      <c r="C148" s="2" t="s">
        <v>32</v>
      </c>
      <c r="F148" s="5"/>
      <c r="G148" s="20">
        <v>8900.0</v>
      </c>
      <c r="L148" s="2">
        <v>8900.0</v>
      </c>
      <c r="M148" s="2" t="s">
        <v>366</v>
      </c>
      <c r="N148" s="2" t="s">
        <v>361</v>
      </c>
      <c r="O148" s="2">
        <v>272.0</v>
      </c>
      <c r="P148" s="2" t="s">
        <v>375</v>
      </c>
    </row>
    <row r="149" ht="22.5" customHeight="1">
      <c r="A149" s="2" t="s">
        <v>490</v>
      </c>
      <c r="B149" s="2" t="s">
        <v>497</v>
      </c>
      <c r="C149" s="2" t="s">
        <v>32</v>
      </c>
      <c r="F149" s="5"/>
      <c r="G149" s="21">
        <v>114992.67</v>
      </c>
      <c r="L149" s="2">
        <v>114992.67</v>
      </c>
      <c r="M149" s="2" t="s">
        <v>366</v>
      </c>
      <c r="N149" s="2" t="s">
        <v>361</v>
      </c>
      <c r="O149" s="2">
        <v>272.0</v>
      </c>
      <c r="P149" s="2" t="s">
        <v>375</v>
      </c>
    </row>
    <row r="150" ht="22.5" customHeight="1">
      <c r="A150" s="2" t="s">
        <v>490</v>
      </c>
      <c r="B150" s="2" t="s">
        <v>498</v>
      </c>
      <c r="C150" s="2" t="s">
        <v>32</v>
      </c>
      <c r="D150" s="4" t="s">
        <v>72</v>
      </c>
      <c r="F150" s="5"/>
      <c r="G150" s="20">
        <v>17.24</v>
      </c>
      <c r="L150" s="2">
        <v>17.24</v>
      </c>
      <c r="M150" s="2" t="s">
        <v>366</v>
      </c>
      <c r="N150" s="2" t="s">
        <v>361</v>
      </c>
      <c r="O150" s="2">
        <v>290.0</v>
      </c>
      <c r="P150" s="2" t="s">
        <v>499</v>
      </c>
    </row>
    <row r="151" ht="22.5" customHeight="1">
      <c r="A151" s="4" t="s">
        <v>490</v>
      </c>
      <c r="B151" s="2" t="s">
        <v>500</v>
      </c>
      <c r="C151" s="4" t="s">
        <v>501</v>
      </c>
      <c r="D151" s="4" t="s">
        <v>502</v>
      </c>
      <c r="F151" s="5"/>
      <c r="G151" s="21">
        <v>7067.24</v>
      </c>
      <c r="L151" s="2">
        <v>46093.1</v>
      </c>
      <c r="M151" s="2" t="s">
        <v>366</v>
      </c>
      <c r="N151" s="2" t="s">
        <v>361</v>
      </c>
      <c r="O151" s="2">
        <v>282.0</v>
      </c>
      <c r="P151" s="2" t="s">
        <v>391</v>
      </c>
    </row>
    <row r="152" ht="22.5" customHeight="1">
      <c r="A152" s="2" t="s">
        <v>490</v>
      </c>
      <c r="B152" s="2" t="s">
        <v>503</v>
      </c>
      <c r="C152" s="2" t="s">
        <v>32</v>
      </c>
      <c r="D152" s="4" t="s">
        <v>72</v>
      </c>
      <c r="F152" s="5"/>
      <c r="G152" s="2">
        <v>3052.96</v>
      </c>
      <c r="L152" s="2">
        <v>7067.24</v>
      </c>
      <c r="M152" s="2" t="s">
        <v>504</v>
      </c>
      <c r="N152" s="2" t="s">
        <v>415</v>
      </c>
      <c r="O152" s="2">
        <v>106.0</v>
      </c>
      <c r="P152" s="2" t="s">
        <v>391</v>
      </c>
    </row>
    <row r="153" ht="22.5" customHeight="1">
      <c r="A153" s="2" t="s">
        <v>490</v>
      </c>
      <c r="B153" s="2" t="s">
        <v>503</v>
      </c>
      <c r="C153" s="2" t="s">
        <v>32</v>
      </c>
      <c r="D153" s="4" t="s">
        <v>72</v>
      </c>
      <c r="F153" s="5"/>
      <c r="G153" s="2">
        <v>14460.38</v>
      </c>
      <c r="L153" s="2">
        <v>3052.96</v>
      </c>
      <c r="M153" s="2" t="s">
        <v>505</v>
      </c>
      <c r="N153" s="2" t="s">
        <v>415</v>
      </c>
      <c r="O153" s="2">
        <v>220.0</v>
      </c>
      <c r="P153" s="2" t="s">
        <v>391</v>
      </c>
    </row>
    <row r="154" ht="22.5" customHeight="1">
      <c r="A154" s="2" t="s">
        <v>490</v>
      </c>
      <c r="B154" s="2" t="s">
        <v>503</v>
      </c>
      <c r="C154" s="2" t="s">
        <v>32</v>
      </c>
      <c r="D154" s="4" t="s">
        <v>72</v>
      </c>
      <c r="F154" s="5"/>
      <c r="G154" s="2">
        <v>28237.34</v>
      </c>
      <c r="L154" s="2">
        <v>14460.38</v>
      </c>
      <c r="M154" s="2" t="s">
        <v>505</v>
      </c>
      <c r="N154" s="2" t="s">
        <v>415</v>
      </c>
      <c r="O154" s="2">
        <v>235.0</v>
      </c>
      <c r="P154" s="2" t="s">
        <v>391</v>
      </c>
    </row>
    <row r="155" ht="22.5" customHeight="1">
      <c r="A155" s="2" t="s">
        <v>490</v>
      </c>
      <c r="B155" s="2" t="s">
        <v>503</v>
      </c>
      <c r="C155" s="2" t="s">
        <v>32</v>
      </c>
      <c r="D155" s="4" t="s">
        <v>72</v>
      </c>
      <c r="F155" s="5"/>
      <c r="G155" s="2">
        <v>6454.65</v>
      </c>
      <c r="L155" s="2">
        <v>28237.34</v>
      </c>
      <c r="M155" s="2" t="s">
        <v>505</v>
      </c>
      <c r="N155" s="2" t="s">
        <v>415</v>
      </c>
      <c r="O155" s="2">
        <v>236.0</v>
      </c>
      <c r="P155" s="2" t="s">
        <v>391</v>
      </c>
    </row>
    <row r="156" ht="22.5" customHeight="1">
      <c r="A156" s="2" t="s">
        <v>490</v>
      </c>
      <c r="B156" s="2" t="s">
        <v>503</v>
      </c>
      <c r="C156" s="2" t="s">
        <v>32</v>
      </c>
      <c r="D156" s="4" t="s">
        <v>72</v>
      </c>
      <c r="F156" s="5"/>
      <c r="G156" s="2">
        <v>2422.94</v>
      </c>
      <c r="L156" s="2">
        <v>6454.65</v>
      </c>
      <c r="M156" s="2" t="s">
        <v>418</v>
      </c>
      <c r="N156" s="2" t="s">
        <v>415</v>
      </c>
      <c r="O156" s="2">
        <v>237.0</v>
      </c>
      <c r="P156" s="2" t="s">
        <v>391</v>
      </c>
    </row>
    <row r="157" ht="22.5" customHeight="1">
      <c r="A157" s="2" t="s">
        <v>490</v>
      </c>
      <c r="B157" s="2" t="s">
        <v>506</v>
      </c>
      <c r="C157" s="2" t="s">
        <v>32</v>
      </c>
      <c r="D157" s="4" t="s">
        <v>72</v>
      </c>
      <c r="F157" s="5"/>
      <c r="G157" s="2">
        <v>86195.46</v>
      </c>
      <c r="L157" s="2">
        <v>2422.94</v>
      </c>
      <c r="M157" s="2" t="s">
        <v>418</v>
      </c>
      <c r="N157" s="2" t="s">
        <v>415</v>
      </c>
      <c r="O157" s="2">
        <v>238.0</v>
      </c>
      <c r="P157" s="2" t="s">
        <v>391</v>
      </c>
    </row>
    <row r="158" ht="22.5" customHeight="1">
      <c r="A158" s="17" t="s">
        <v>391</v>
      </c>
      <c r="B158" s="2" t="s">
        <v>507</v>
      </c>
      <c r="C158" s="2" t="s">
        <v>32</v>
      </c>
      <c r="D158" s="4" t="s">
        <v>48</v>
      </c>
      <c r="F158" s="5"/>
      <c r="G158" s="8">
        <v>2478.51</v>
      </c>
      <c r="L158" s="2">
        <v>86195.46</v>
      </c>
      <c r="M158" s="2" t="s">
        <v>508</v>
      </c>
      <c r="N158" s="2" t="s">
        <v>415</v>
      </c>
      <c r="O158" s="2">
        <v>241.0</v>
      </c>
      <c r="P158" s="2" t="s">
        <v>391</v>
      </c>
    </row>
    <row r="159" ht="22.5" customHeight="1">
      <c r="A159" s="2" t="s">
        <v>490</v>
      </c>
      <c r="B159" s="2" t="s">
        <v>497</v>
      </c>
      <c r="C159" s="2" t="s">
        <v>32</v>
      </c>
      <c r="D159" s="4" t="s">
        <v>72</v>
      </c>
      <c r="F159" s="5"/>
      <c r="G159" s="8">
        <v>114992.67</v>
      </c>
      <c r="L159" s="2">
        <v>272.02</v>
      </c>
      <c r="M159" s="2" t="s">
        <v>492</v>
      </c>
      <c r="N159" s="2" t="s">
        <v>415</v>
      </c>
      <c r="O159" s="2">
        <v>200.0</v>
      </c>
      <c r="P159" s="2" t="s">
        <v>465</v>
      </c>
    </row>
    <row r="160" ht="22.5" customHeight="1">
      <c r="A160" s="17" t="s">
        <v>395</v>
      </c>
      <c r="B160" s="2" t="s">
        <v>509</v>
      </c>
      <c r="C160" s="4" t="s">
        <v>21</v>
      </c>
      <c r="D160" s="4" t="s">
        <v>22</v>
      </c>
      <c r="F160" s="5"/>
      <c r="G160" s="2">
        <v>14252.68</v>
      </c>
      <c r="L160" s="2">
        <v>0.01</v>
      </c>
      <c r="M160" s="2" t="s">
        <v>414</v>
      </c>
      <c r="N160" s="2" t="s">
        <v>415</v>
      </c>
      <c r="O160" s="2">
        <v>27.0</v>
      </c>
      <c r="P160" s="2" t="s">
        <v>465</v>
      </c>
    </row>
    <row r="161" ht="22.5" customHeight="1">
      <c r="A161" s="2" t="s">
        <v>490</v>
      </c>
      <c r="B161" s="2" t="s">
        <v>510</v>
      </c>
      <c r="C161" s="2" t="s">
        <v>32</v>
      </c>
      <c r="F161" s="5"/>
      <c r="G161" s="2">
        <v>1256.54</v>
      </c>
      <c r="L161" s="2">
        <v>1256.54</v>
      </c>
      <c r="M161" s="2" t="s">
        <v>505</v>
      </c>
      <c r="N161" s="2" t="s">
        <v>415</v>
      </c>
      <c r="O161" s="2">
        <v>234.0</v>
      </c>
      <c r="P161" s="2" t="s">
        <v>465</v>
      </c>
    </row>
    <row r="162" ht="22.5" customHeight="1">
      <c r="A162" s="2" t="s">
        <v>490</v>
      </c>
      <c r="B162" s="2" t="s">
        <v>486</v>
      </c>
      <c r="C162" s="2" t="s">
        <v>32</v>
      </c>
      <c r="F162" s="5"/>
      <c r="G162" s="2">
        <v>1121.46</v>
      </c>
      <c r="L162" s="2">
        <v>1121.46</v>
      </c>
      <c r="M162" s="2" t="s">
        <v>421</v>
      </c>
      <c r="N162" s="2" t="s">
        <v>415</v>
      </c>
      <c r="O162" s="2">
        <v>242.0</v>
      </c>
      <c r="P162" s="2" t="s">
        <v>465</v>
      </c>
    </row>
    <row r="163" ht="22.5" customHeight="1">
      <c r="A163" s="4" t="s">
        <v>490</v>
      </c>
      <c r="B163" s="4" t="s">
        <v>511</v>
      </c>
      <c r="C163" s="4" t="s">
        <v>32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492</v>
      </c>
      <c r="N163" s="4" t="s">
        <v>415</v>
      </c>
      <c r="O163" s="4">
        <v>200.0</v>
      </c>
      <c r="P163" s="4" t="s">
        <v>493</v>
      </c>
      <c r="Q163" s="4"/>
      <c r="R163" s="4"/>
      <c r="S163" s="4"/>
    </row>
    <row r="164" ht="22.5" customHeight="1">
      <c r="A164" s="4" t="s">
        <v>490</v>
      </c>
      <c r="B164" s="4" t="s">
        <v>500</v>
      </c>
      <c r="C164" s="4" t="s">
        <v>501</v>
      </c>
      <c r="D164" s="4" t="s">
        <v>502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504</v>
      </c>
      <c r="N164" s="4" t="s">
        <v>415</v>
      </c>
      <c r="O164" s="4">
        <v>106.0</v>
      </c>
      <c r="P164" s="4" t="s">
        <v>493</v>
      </c>
      <c r="Q164" s="4"/>
      <c r="R164" s="4"/>
      <c r="S164" s="4"/>
    </row>
    <row r="165" ht="22.5" customHeight="1">
      <c r="A165" s="2" t="s">
        <v>512</v>
      </c>
      <c r="B165" s="2" t="s">
        <v>513</v>
      </c>
      <c r="C165" s="4" t="s">
        <v>21</v>
      </c>
      <c r="D165" s="4" t="s">
        <v>22</v>
      </c>
      <c r="F165" s="5"/>
      <c r="G165" s="2">
        <v>446.09</v>
      </c>
      <c r="L165" s="2">
        <v>446.09</v>
      </c>
      <c r="M165" s="2" t="s">
        <v>366</v>
      </c>
      <c r="N165" s="2" t="s">
        <v>361</v>
      </c>
      <c r="O165" s="2">
        <v>278.0</v>
      </c>
      <c r="P165" s="2" t="s">
        <v>444</v>
      </c>
    </row>
    <row r="166" ht="22.5" customHeight="1">
      <c r="A166" s="2" t="s">
        <v>512</v>
      </c>
      <c r="B166" s="2" t="s">
        <v>513</v>
      </c>
      <c r="C166" s="4" t="s">
        <v>21</v>
      </c>
      <c r="D166" s="4" t="s">
        <v>22</v>
      </c>
      <c r="F166" s="5"/>
      <c r="G166" s="2">
        <v>446.09</v>
      </c>
      <c r="L166" s="2">
        <v>446.09</v>
      </c>
      <c r="M166" s="2" t="s">
        <v>366</v>
      </c>
      <c r="N166" s="2" t="s">
        <v>361</v>
      </c>
      <c r="O166" s="2">
        <v>278.0</v>
      </c>
      <c r="P166" s="2" t="s">
        <v>444</v>
      </c>
    </row>
    <row r="167" ht="22.5" customHeight="1">
      <c r="A167" s="2" t="s">
        <v>515</v>
      </c>
      <c r="B167" s="2" t="s">
        <v>516</v>
      </c>
      <c r="C167" s="4" t="s">
        <v>21</v>
      </c>
      <c r="D167" s="4" t="s">
        <v>22</v>
      </c>
      <c r="F167" s="5"/>
      <c r="G167" s="2">
        <v>14653.38</v>
      </c>
      <c r="L167" s="2">
        <v>758.62</v>
      </c>
      <c r="M167" s="2" t="s">
        <v>366</v>
      </c>
      <c r="N167" s="2" t="s">
        <v>361</v>
      </c>
      <c r="O167" s="2">
        <v>283.0</v>
      </c>
      <c r="P167" s="2" t="s">
        <v>475</v>
      </c>
    </row>
    <row r="168" ht="22.5" customHeight="1">
      <c r="A168" s="2" t="s">
        <v>515</v>
      </c>
      <c r="B168" s="2" t="s">
        <v>517</v>
      </c>
      <c r="C168" s="4" t="s">
        <v>21</v>
      </c>
      <c r="D168" s="4" t="s">
        <v>22</v>
      </c>
      <c r="F168" s="5"/>
      <c r="G168" s="2">
        <v>3580.45</v>
      </c>
      <c r="L168" s="2">
        <v>14653.38</v>
      </c>
      <c r="M168" s="2" t="s">
        <v>366</v>
      </c>
      <c r="N168" s="2" t="s">
        <v>361</v>
      </c>
      <c r="O168" s="2">
        <v>266.0</v>
      </c>
      <c r="P168" s="2" t="s">
        <v>481</v>
      </c>
    </row>
    <row r="169" ht="22.5" customHeight="1">
      <c r="A169" s="2" t="s">
        <v>515</v>
      </c>
      <c r="B169" s="2" t="s">
        <v>518</v>
      </c>
      <c r="C169" s="4" t="s">
        <v>21</v>
      </c>
      <c r="D169" s="4" t="s">
        <v>22</v>
      </c>
      <c r="F169" s="5"/>
      <c r="G169" s="2">
        <v>13054.18</v>
      </c>
      <c r="L169" s="2">
        <v>3580.45</v>
      </c>
      <c r="M169" s="2" t="s">
        <v>366</v>
      </c>
      <c r="N169" s="2" t="s">
        <v>361</v>
      </c>
      <c r="O169" s="2">
        <v>286.0</v>
      </c>
      <c r="P169" s="2" t="s">
        <v>481</v>
      </c>
    </row>
    <row r="170" ht="22.5" customHeight="1">
      <c r="A170" s="2" t="s">
        <v>515</v>
      </c>
      <c r="B170" s="2" t="s">
        <v>519</v>
      </c>
      <c r="C170" s="4" t="s">
        <v>21</v>
      </c>
      <c r="D170" s="4" t="s">
        <v>22</v>
      </c>
      <c r="F170" s="5"/>
      <c r="G170" s="8">
        <v>1618.88</v>
      </c>
      <c r="L170" s="2">
        <v>13054.18</v>
      </c>
      <c r="M170" s="2" t="s">
        <v>366</v>
      </c>
      <c r="N170" s="2" t="s">
        <v>361</v>
      </c>
      <c r="O170" s="2">
        <v>286.0</v>
      </c>
      <c r="P170" s="2" t="s">
        <v>481</v>
      </c>
    </row>
    <row r="171" ht="22.5" customHeight="1">
      <c r="A171" s="4" t="s">
        <v>520</v>
      </c>
      <c r="B171" s="4" t="s">
        <v>521</v>
      </c>
      <c r="C171" s="4" t="s">
        <v>68</v>
      </c>
      <c r="D171" s="4" t="s">
        <v>502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366</v>
      </c>
      <c r="N171" s="4" t="s">
        <v>415</v>
      </c>
      <c r="O171" s="4">
        <v>300.0</v>
      </c>
      <c r="P171" s="4" t="s">
        <v>522</v>
      </c>
      <c r="Q171" s="4"/>
      <c r="R171" s="4"/>
      <c r="S171" s="4"/>
    </row>
    <row r="172" ht="22.5" customHeight="1">
      <c r="A172" s="2" t="s">
        <v>523</v>
      </c>
      <c r="B172" s="2" t="s">
        <v>524</v>
      </c>
      <c r="C172" s="4" t="s">
        <v>32</v>
      </c>
      <c r="D172" s="4" t="s">
        <v>39</v>
      </c>
      <c r="F172" s="5"/>
      <c r="G172" s="2">
        <v>29000.0</v>
      </c>
      <c r="L172" s="2">
        <v>29000.0</v>
      </c>
      <c r="M172" s="2" t="s">
        <v>366</v>
      </c>
      <c r="N172" s="2" t="s">
        <v>361</v>
      </c>
      <c r="O172" s="2">
        <v>288.0</v>
      </c>
      <c r="P172" s="2" t="s">
        <v>403</v>
      </c>
    </row>
    <row r="173" ht="22.5" customHeight="1">
      <c r="A173" s="17" t="s">
        <v>458</v>
      </c>
      <c r="B173" s="2" t="s">
        <v>467</v>
      </c>
      <c r="C173" s="4" t="s">
        <v>21</v>
      </c>
      <c r="D173" s="4" t="s">
        <v>22</v>
      </c>
      <c r="F173" s="5"/>
      <c r="G173" s="4">
        <v>1000.0</v>
      </c>
      <c r="L173" s="2">
        <v>8208.0</v>
      </c>
      <c r="M173" s="2" t="s">
        <v>366</v>
      </c>
      <c r="N173" s="2" t="s">
        <v>361</v>
      </c>
      <c r="O173" s="2">
        <v>278.0</v>
      </c>
      <c r="P173" s="2" t="s">
        <v>444</v>
      </c>
    </row>
    <row r="174" ht="22.5" customHeight="1">
      <c r="A174" s="2" t="s">
        <v>447</v>
      </c>
      <c r="B174" s="2" t="s">
        <v>525</v>
      </c>
      <c r="C174" s="4" t="s">
        <v>32</v>
      </c>
      <c r="D174" s="4" t="s">
        <v>56</v>
      </c>
      <c r="F174" s="5"/>
      <c r="G174" s="2">
        <v>14595.06</v>
      </c>
      <c r="L174" s="2">
        <v>14595.06</v>
      </c>
      <c r="M174" s="2" t="s">
        <v>366</v>
      </c>
      <c r="N174" s="2" t="s">
        <v>361</v>
      </c>
      <c r="O174" s="2">
        <v>278.0</v>
      </c>
      <c r="P174" s="2" t="s">
        <v>444</v>
      </c>
    </row>
    <row r="175" ht="22.5" customHeight="1">
      <c r="A175" s="2" t="s">
        <v>447</v>
      </c>
      <c r="B175" s="2" t="s">
        <v>525</v>
      </c>
      <c r="C175" s="4" t="s">
        <v>32</v>
      </c>
      <c r="D175" s="4" t="s">
        <v>56</v>
      </c>
      <c r="F175" s="5"/>
      <c r="G175" s="2">
        <v>14595.06</v>
      </c>
      <c r="L175" s="2"/>
      <c r="M175" s="2" t="s">
        <v>366</v>
      </c>
      <c r="N175" s="2"/>
      <c r="O175" s="2"/>
      <c r="P175" s="2"/>
    </row>
    <row r="176" ht="22.5" customHeight="1">
      <c r="A176" s="4" t="s">
        <v>444</v>
      </c>
      <c r="B176" s="2" t="s">
        <v>450</v>
      </c>
      <c r="C176" s="4" t="s">
        <v>21</v>
      </c>
      <c r="D176" s="4" t="s">
        <v>22</v>
      </c>
      <c r="F176" s="5"/>
      <c r="G176" s="8">
        <v>4386.83</v>
      </c>
      <c r="L176" s="2">
        <v>14595.06</v>
      </c>
      <c r="M176" s="2" t="s">
        <v>366</v>
      </c>
      <c r="N176" s="2" t="s">
        <v>361</v>
      </c>
      <c r="O176" s="2">
        <v>278.0</v>
      </c>
      <c r="P176" s="2" t="s">
        <v>444</v>
      </c>
    </row>
    <row r="177" ht="22.5" customHeight="1">
      <c r="A177" s="2" t="s">
        <v>447</v>
      </c>
      <c r="B177" s="2" t="s">
        <v>531</v>
      </c>
      <c r="C177" s="4" t="s">
        <v>32</v>
      </c>
      <c r="D177" s="4" t="s">
        <v>56</v>
      </c>
      <c r="F177" s="5"/>
      <c r="G177" s="2">
        <v>67868.64</v>
      </c>
      <c r="L177" s="2">
        <v>67868.64</v>
      </c>
      <c r="M177" s="2" t="s">
        <v>366</v>
      </c>
      <c r="N177" s="2" t="s">
        <v>361</v>
      </c>
      <c r="O177" s="2">
        <v>267.0</v>
      </c>
      <c r="P177" s="2" t="s">
        <v>531</v>
      </c>
    </row>
    <row r="178" ht="22.5" customHeight="1">
      <c r="A178" s="2" t="s">
        <v>447</v>
      </c>
      <c r="B178" s="2" t="s">
        <v>393</v>
      </c>
      <c r="C178" s="4" t="s">
        <v>32</v>
      </c>
      <c r="D178" s="4" t="s">
        <v>56</v>
      </c>
      <c r="F178" s="5"/>
      <c r="G178" s="2">
        <v>64130.0</v>
      </c>
      <c r="L178" s="2">
        <v>64130.0</v>
      </c>
      <c r="M178" s="2" t="s">
        <v>366</v>
      </c>
      <c r="N178" s="2" t="s">
        <v>361</v>
      </c>
      <c r="O178" s="2">
        <v>291.0</v>
      </c>
      <c r="P178" s="2" t="s">
        <v>531</v>
      </c>
    </row>
    <row r="179" ht="22.5" customHeight="1">
      <c r="A179" s="2" t="s">
        <v>429</v>
      </c>
      <c r="B179" s="2" t="s">
        <v>532</v>
      </c>
      <c r="C179" s="2" t="s">
        <v>32</v>
      </c>
      <c r="F179" s="5"/>
      <c r="G179" s="2">
        <v>3608.33</v>
      </c>
      <c r="L179" s="2">
        <v>25000.0</v>
      </c>
      <c r="M179" s="2" t="s">
        <v>366</v>
      </c>
      <c r="N179" s="2" t="s">
        <v>361</v>
      </c>
      <c r="O179" s="2">
        <v>287.0</v>
      </c>
      <c r="P179" s="2" t="s">
        <v>429</v>
      </c>
    </row>
    <row r="180" ht="22.5" customHeight="1">
      <c r="A180" s="2" t="s">
        <v>429</v>
      </c>
      <c r="B180" s="2" t="s">
        <v>532</v>
      </c>
      <c r="C180" s="4" t="s">
        <v>32</v>
      </c>
      <c r="F180" s="5"/>
      <c r="G180" s="2">
        <v>53535.0</v>
      </c>
      <c r="L180" s="2">
        <v>3608.33</v>
      </c>
      <c r="M180" s="2" t="s">
        <v>533</v>
      </c>
      <c r="N180" s="2" t="s">
        <v>415</v>
      </c>
      <c r="O180" s="2">
        <v>2.0</v>
      </c>
      <c r="P180" s="2" t="s">
        <v>429</v>
      </c>
    </row>
    <row r="181" ht="22.5" customHeight="1">
      <c r="A181" s="2" t="s">
        <v>429</v>
      </c>
      <c r="B181" s="2" t="s">
        <v>534</v>
      </c>
      <c r="C181" s="4" t="s">
        <v>32</v>
      </c>
      <c r="F181" s="5"/>
      <c r="G181" s="8">
        <v>5700.83</v>
      </c>
      <c r="L181" s="2">
        <v>53535.0</v>
      </c>
      <c r="M181" s="2" t="s">
        <v>464</v>
      </c>
      <c r="N181" s="2" t="s">
        <v>415</v>
      </c>
      <c r="O181" s="2">
        <v>79.0</v>
      </c>
      <c r="P181" s="2" t="s">
        <v>429</v>
      </c>
    </row>
    <row r="182" ht="22.5" customHeight="1">
      <c r="A182" s="2" t="s">
        <v>535</v>
      </c>
      <c r="B182" s="2" t="s">
        <v>536</v>
      </c>
      <c r="C182" s="4" t="s">
        <v>32</v>
      </c>
      <c r="D182" s="8" t="s">
        <v>56</v>
      </c>
      <c r="F182" s="5"/>
      <c r="G182" s="4">
        <v>42625.90578</v>
      </c>
      <c r="L182" s="2">
        <v>15000.0</v>
      </c>
      <c r="M182" s="2" t="s">
        <v>366</v>
      </c>
      <c r="N182" s="2" t="s">
        <v>361</v>
      </c>
      <c r="O182" s="2">
        <v>290.0</v>
      </c>
      <c r="P182" s="2" t="s">
        <v>499</v>
      </c>
    </row>
    <row r="183" ht="22.5" customHeight="1">
      <c r="A183" s="2" t="s">
        <v>535</v>
      </c>
      <c r="B183" s="2" t="s">
        <v>537</v>
      </c>
      <c r="C183" s="4" t="s">
        <v>32</v>
      </c>
      <c r="D183" s="8" t="s">
        <v>103</v>
      </c>
      <c r="F183" s="5"/>
      <c r="G183" s="4">
        <v>3044.707556</v>
      </c>
      <c r="L183" s="2">
        <v>36844.28</v>
      </c>
      <c r="M183" s="2" t="s">
        <v>366</v>
      </c>
      <c r="N183" s="2" t="s">
        <v>361</v>
      </c>
      <c r="O183" s="2">
        <v>290.0</v>
      </c>
      <c r="P183" s="2" t="s">
        <v>499</v>
      </c>
    </row>
    <row r="184" ht="22.5" customHeight="1">
      <c r="A184" s="2" t="s">
        <v>535</v>
      </c>
      <c r="B184" s="2" t="s">
        <v>538</v>
      </c>
      <c r="C184" s="4" t="s">
        <v>21</v>
      </c>
      <c r="D184" s="8" t="s">
        <v>22</v>
      </c>
      <c r="F184" s="5"/>
      <c r="G184" s="4">
        <v>57849.44356</v>
      </c>
      <c r="L184" s="2">
        <v>473.28</v>
      </c>
      <c r="M184" s="2" t="s">
        <v>366</v>
      </c>
      <c r="N184" s="2" t="s">
        <v>361</v>
      </c>
      <c r="O184" s="2">
        <v>290.0</v>
      </c>
      <c r="P184" s="2" t="s">
        <v>499</v>
      </c>
    </row>
    <row r="185" ht="22.5" customHeight="1">
      <c r="A185" s="2" t="s">
        <v>535</v>
      </c>
      <c r="B185" s="2" t="s">
        <v>539</v>
      </c>
      <c r="C185" s="4" t="s">
        <v>32</v>
      </c>
      <c r="D185" s="8" t="s">
        <v>193</v>
      </c>
      <c r="F185" s="5"/>
      <c r="G185" s="4">
        <v>8119.220148</v>
      </c>
      <c r="L185" s="2">
        <v>688.79</v>
      </c>
      <c r="M185" s="2" t="s">
        <v>366</v>
      </c>
      <c r="N185" s="2" t="s">
        <v>361</v>
      </c>
      <c r="O185" s="2">
        <v>290.0</v>
      </c>
      <c r="P185" s="2" t="s">
        <v>499</v>
      </c>
    </row>
    <row r="186" ht="22.5" customHeight="1">
      <c r="A186" s="2" t="s">
        <v>535</v>
      </c>
      <c r="B186" s="2" t="s">
        <v>538</v>
      </c>
      <c r="C186" s="4" t="s">
        <v>32</v>
      </c>
      <c r="D186" s="8" t="s">
        <v>39</v>
      </c>
      <c r="F186" s="5"/>
      <c r="G186" s="4">
        <v>4567.061333</v>
      </c>
      <c r="L186" s="2">
        <v>194.39</v>
      </c>
      <c r="M186" s="2" t="s">
        <v>366</v>
      </c>
      <c r="N186" s="2" t="s">
        <v>361</v>
      </c>
      <c r="O186" s="2">
        <v>290.0</v>
      </c>
      <c r="P186" s="2" t="s">
        <v>499</v>
      </c>
    </row>
    <row r="187" ht="22.5" customHeight="1">
      <c r="A187" s="2" t="s">
        <v>535</v>
      </c>
      <c r="B187" s="2" t="s">
        <v>540</v>
      </c>
      <c r="C187" s="4" t="s">
        <v>32</v>
      </c>
      <c r="D187" s="8" t="s">
        <v>48</v>
      </c>
      <c r="F187" s="5"/>
      <c r="G187" s="4">
        <v>16238.4403</v>
      </c>
      <c r="L187" s="2">
        <v>473.28</v>
      </c>
      <c r="M187" s="2" t="s">
        <v>366</v>
      </c>
      <c r="N187" s="2" t="s">
        <v>361</v>
      </c>
      <c r="O187" s="2">
        <v>290.0</v>
      </c>
      <c r="P187" s="2" t="s">
        <v>499</v>
      </c>
    </row>
    <row r="188" ht="22.5" customHeight="1">
      <c r="A188" s="2" t="s">
        <v>535</v>
      </c>
      <c r="B188" s="2" t="s">
        <v>541</v>
      </c>
      <c r="C188" s="4" t="s">
        <v>32</v>
      </c>
      <c r="D188" s="8" t="s">
        <v>118</v>
      </c>
      <c r="F188" s="5"/>
      <c r="G188" s="4">
        <v>4567.061333</v>
      </c>
      <c r="L188" s="2">
        <v>86.52</v>
      </c>
      <c r="M188" s="2" t="s">
        <v>366</v>
      </c>
      <c r="N188" s="2" t="s">
        <v>361</v>
      </c>
      <c r="O188" s="2">
        <v>290.0</v>
      </c>
      <c r="P188" s="2" t="s">
        <v>499</v>
      </c>
    </row>
    <row r="189" ht="22.5" customHeight="1">
      <c r="A189" s="4" t="s">
        <v>535</v>
      </c>
      <c r="B189" s="2" t="s">
        <v>390</v>
      </c>
      <c r="C189" s="4" t="s">
        <v>32</v>
      </c>
      <c r="D189" s="4" t="s">
        <v>56</v>
      </c>
      <c r="F189" s="5"/>
      <c r="G189" s="2">
        <v>1227.1</v>
      </c>
      <c r="L189" s="2">
        <v>1227.1</v>
      </c>
      <c r="M189" s="2" t="s">
        <v>366</v>
      </c>
      <c r="N189" s="2" t="s">
        <v>361</v>
      </c>
      <c r="O189" s="2">
        <v>276.0</v>
      </c>
      <c r="P189" s="2" t="s">
        <v>391</v>
      </c>
    </row>
    <row r="190" ht="22.5" customHeight="1">
      <c r="A190" s="4" t="s">
        <v>535</v>
      </c>
      <c r="B190" s="2" t="s">
        <v>542</v>
      </c>
      <c r="C190" s="4" t="s">
        <v>32</v>
      </c>
      <c r="D190" s="4" t="s">
        <v>72</v>
      </c>
      <c r="F190" s="5"/>
      <c r="G190" s="21">
        <v>12551.3</v>
      </c>
      <c r="L190" s="21">
        <v>12551.3</v>
      </c>
      <c r="M190" s="2" t="s">
        <v>366</v>
      </c>
      <c r="N190" s="2" t="s">
        <v>361</v>
      </c>
      <c r="O190" s="2">
        <v>273.0</v>
      </c>
      <c r="P190" s="2" t="s">
        <v>397</v>
      </c>
    </row>
    <row r="191" ht="22.5" customHeight="1">
      <c r="A191" s="4" t="s">
        <v>535</v>
      </c>
      <c r="B191" s="2" t="s">
        <v>542</v>
      </c>
      <c r="C191" s="4" t="s">
        <v>32</v>
      </c>
      <c r="D191" s="4" t="s">
        <v>72</v>
      </c>
      <c r="F191" s="5"/>
      <c r="G191" s="20">
        <v>70700.0</v>
      </c>
      <c r="L191" s="20">
        <v>70700.0</v>
      </c>
      <c r="M191" s="2" t="s">
        <v>366</v>
      </c>
      <c r="N191" s="2" t="s">
        <v>361</v>
      </c>
      <c r="O191" s="2">
        <v>273.0</v>
      </c>
      <c r="P191" s="2" t="s">
        <v>397</v>
      </c>
    </row>
    <row r="192" ht="22.5" customHeight="1">
      <c r="A192" s="4" t="s">
        <v>543</v>
      </c>
      <c r="B192" s="2" t="s">
        <v>474</v>
      </c>
      <c r="C192" s="4" t="s">
        <v>21</v>
      </c>
      <c r="D192" s="4" t="s">
        <v>22</v>
      </c>
      <c r="F192" s="5"/>
      <c r="G192" s="2">
        <v>32000.0</v>
      </c>
      <c r="L192" s="2">
        <v>2478.51</v>
      </c>
      <c r="M192" s="2" t="s">
        <v>508</v>
      </c>
      <c r="N192" s="2" t="s">
        <v>415</v>
      </c>
      <c r="O192" s="2">
        <v>252.0</v>
      </c>
      <c r="P192" s="2" t="s">
        <v>391</v>
      </c>
    </row>
    <row r="193" ht="22.5" customHeight="1">
      <c r="A193" s="2" t="s">
        <v>543</v>
      </c>
      <c r="B193" s="2" t="s">
        <v>544</v>
      </c>
      <c r="C193" s="2" t="s">
        <v>21</v>
      </c>
      <c r="F193" s="5"/>
      <c r="G193" s="2">
        <v>6378.42</v>
      </c>
      <c r="L193" s="2">
        <v>32000.0</v>
      </c>
      <c r="M193" s="2" t="s">
        <v>366</v>
      </c>
      <c r="N193" s="2" t="s">
        <v>361</v>
      </c>
      <c r="O193" s="2">
        <v>292.0</v>
      </c>
      <c r="P193" s="2" t="s">
        <v>545</v>
      </c>
    </row>
    <row r="194" ht="22.5" customHeight="1">
      <c r="A194" s="17" t="s">
        <v>490</v>
      </c>
      <c r="B194" s="2" t="s">
        <v>511</v>
      </c>
      <c r="C194" s="4" t="s">
        <v>68</v>
      </c>
      <c r="F194" s="5"/>
      <c r="G194" s="2">
        <v>272.02</v>
      </c>
      <c r="L194" s="2">
        <v>400.0</v>
      </c>
      <c r="M194" s="2" t="s">
        <v>492</v>
      </c>
      <c r="N194" s="2" t="s">
        <v>415</v>
      </c>
      <c r="O194" s="2">
        <v>4.0</v>
      </c>
      <c r="P194" s="2" t="s">
        <v>465</v>
      </c>
    </row>
    <row r="195" ht="22.5" customHeight="1">
      <c r="A195" s="2" t="s">
        <v>473</v>
      </c>
      <c r="B195" s="2" t="s">
        <v>550</v>
      </c>
      <c r="C195" s="4" t="s">
        <v>32</v>
      </c>
      <c r="F195" s="5"/>
      <c r="G195" s="23">
        <v>4212.0</v>
      </c>
      <c r="L195" s="2">
        <v>6378.42</v>
      </c>
      <c r="M195" s="2" t="s">
        <v>366</v>
      </c>
      <c r="N195" s="2" t="s">
        <v>361</v>
      </c>
      <c r="O195" s="2">
        <v>269.0</v>
      </c>
      <c r="P195" s="2" t="s">
        <v>473</v>
      </c>
    </row>
    <row r="196" ht="22.5" customHeight="1">
      <c r="A196" s="2" t="s">
        <v>473</v>
      </c>
      <c r="B196" s="2" t="s">
        <v>550</v>
      </c>
      <c r="C196" s="4" t="s">
        <v>32</v>
      </c>
      <c r="F196" s="5"/>
      <c r="G196" s="20">
        <v>14762.0</v>
      </c>
      <c r="L196" s="2">
        <v>4212.0</v>
      </c>
      <c r="M196" s="2" t="s">
        <v>366</v>
      </c>
      <c r="N196" s="2" t="s">
        <v>361</v>
      </c>
      <c r="O196" s="2">
        <v>294.0</v>
      </c>
      <c r="P196" s="2" t="s">
        <v>473</v>
      </c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12269.305252</v>
      </c>
      <c r="H2" s="2" t="s">
        <v>25</v>
      </c>
    </row>
    <row r="3" ht="22.5" customHeight="1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3">
        <v>12620.029999999999</v>
      </c>
      <c r="H3" s="2" t="s">
        <v>26</v>
      </c>
    </row>
    <row r="4" ht="22.5" customHeight="1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3">
        <v>10861.391037000001</v>
      </c>
      <c r="H4" s="2" t="s">
        <v>27</v>
      </c>
    </row>
    <row r="5" ht="22.5" customHeight="1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3">
        <v>10842.303</v>
      </c>
      <c r="H5" s="4" t="s">
        <v>28</v>
      </c>
    </row>
    <row r="6" ht="22.5" customHeight="1">
      <c r="A6" s="2" t="s">
        <v>19</v>
      </c>
      <c r="B6" s="2" t="s">
        <v>29</v>
      </c>
      <c r="C6" s="2" t="s">
        <v>21</v>
      </c>
      <c r="D6" s="2" t="s">
        <v>22</v>
      </c>
      <c r="E6" s="2" t="s">
        <v>23</v>
      </c>
      <c r="F6" s="2" t="s">
        <v>30</v>
      </c>
      <c r="G6" s="2">
        <v>24075.34956</v>
      </c>
      <c r="H6" s="2" t="s">
        <v>26</v>
      </c>
    </row>
    <row r="7" ht="22.5" customHeight="1">
      <c r="A7" s="2" t="s">
        <v>19</v>
      </c>
      <c r="B7" s="2" t="s">
        <v>29</v>
      </c>
      <c r="C7" s="2" t="s">
        <v>21</v>
      </c>
      <c r="D7" s="2" t="s">
        <v>22</v>
      </c>
      <c r="E7" s="2" t="s">
        <v>23</v>
      </c>
      <c r="F7" s="2" t="s">
        <v>30</v>
      </c>
      <c r="G7" s="2">
        <v>14312.5067</v>
      </c>
      <c r="H7" s="2" t="s">
        <v>27</v>
      </c>
    </row>
    <row r="8" ht="22.5" customHeight="1">
      <c r="A8" s="2" t="s">
        <v>19</v>
      </c>
      <c r="B8" s="2" t="s">
        <v>31</v>
      </c>
      <c r="C8" s="2" t="s">
        <v>32</v>
      </c>
      <c r="D8" s="2" t="s">
        <v>33</v>
      </c>
      <c r="F8" s="2" t="s">
        <v>34</v>
      </c>
      <c r="G8" s="2">
        <v>14378.847582</v>
      </c>
      <c r="H8" s="2" t="s">
        <v>25</v>
      </c>
    </row>
    <row r="9" ht="22.5" customHeight="1">
      <c r="A9" s="2" t="s">
        <v>19</v>
      </c>
      <c r="B9" s="2" t="s">
        <v>31</v>
      </c>
      <c r="C9" s="2" t="s">
        <v>32</v>
      </c>
      <c r="D9" s="2" t="s">
        <v>33</v>
      </c>
      <c r="F9" s="2" t="s">
        <v>34</v>
      </c>
      <c r="G9" s="2">
        <v>15993.282958</v>
      </c>
      <c r="H9" s="2" t="s">
        <v>26</v>
      </c>
    </row>
    <row r="10" ht="22.5" customHeight="1">
      <c r="A10" s="2" t="s">
        <v>19</v>
      </c>
      <c r="B10" s="2" t="s">
        <v>31</v>
      </c>
      <c r="C10" s="2" t="s">
        <v>32</v>
      </c>
      <c r="D10" s="2" t="s">
        <v>33</v>
      </c>
      <c r="F10" s="2" t="s">
        <v>34</v>
      </c>
      <c r="G10" s="2">
        <v>15770.15378</v>
      </c>
      <c r="H10" s="2" t="s">
        <v>27</v>
      </c>
    </row>
    <row r="11" ht="22.5" customHeight="1">
      <c r="A11" s="2" t="s">
        <v>19</v>
      </c>
      <c r="B11" s="2" t="s">
        <v>35</v>
      </c>
      <c r="C11" s="2" t="s">
        <v>21</v>
      </c>
      <c r="D11" s="2" t="s">
        <v>22</v>
      </c>
      <c r="E11" s="2" t="s">
        <v>36</v>
      </c>
      <c r="F11" s="2" t="s">
        <v>37</v>
      </c>
      <c r="G11" s="2">
        <v>13779.069051</v>
      </c>
      <c r="H11" s="2" t="s">
        <v>26</v>
      </c>
    </row>
    <row r="12" ht="22.5" customHeight="1">
      <c r="A12" s="2" t="s">
        <v>19</v>
      </c>
      <c r="B12" s="2" t="s">
        <v>35</v>
      </c>
      <c r="C12" s="2" t="s">
        <v>21</v>
      </c>
      <c r="D12" s="2" t="s">
        <v>22</v>
      </c>
      <c r="E12" s="2" t="s">
        <v>36</v>
      </c>
      <c r="F12" s="2" t="s">
        <v>37</v>
      </c>
      <c r="G12" s="2">
        <v>13493.097092</v>
      </c>
      <c r="H12" s="2" t="s">
        <v>27</v>
      </c>
    </row>
    <row r="13" ht="22.5" customHeight="1">
      <c r="A13" s="2" t="s">
        <v>19</v>
      </c>
      <c r="B13" s="2" t="s">
        <v>35</v>
      </c>
      <c r="C13" s="2" t="s">
        <v>21</v>
      </c>
      <c r="D13" s="2" t="s">
        <v>22</v>
      </c>
      <c r="E13" s="2" t="s">
        <v>36</v>
      </c>
      <c r="F13" s="2" t="s">
        <v>37</v>
      </c>
      <c r="G13" s="2">
        <v>13751.39405</v>
      </c>
      <c r="H13" s="2" t="s">
        <v>25</v>
      </c>
    </row>
    <row r="14" ht="22.5" customHeight="1">
      <c r="A14" s="2" t="s">
        <v>19</v>
      </c>
      <c r="B14" s="2" t="s">
        <v>38</v>
      </c>
      <c r="C14" s="2" t="s">
        <v>32</v>
      </c>
      <c r="D14" s="2" t="s">
        <v>39</v>
      </c>
      <c r="F14" s="2" t="s">
        <v>40</v>
      </c>
      <c r="G14" s="2">
        <v>19234.552952</v>
      </c>
      <c r="H14" s="2" t="s">
        <v>25</v>
      </c>
    </row>
    <row r="15" ht="22.5" customHeight="1">
      <c r="A15" s="2" t="s">
        <v>19</v>
      </c>
      <c r="B15" s="2" t="s">
        <v>38</v>
      </c>
      <c r="C15" s="2" t="s">
        <v>32</v>
      </c>
      <c r="D15" s="2" t="s">
        <v>39</v>
      </c>
      <c r="F15" s="2" t="s">
        <v>40</v>
      </c>
      <c r="G15" s="2">
        <v>23356.67895</v>
      </c>
      <c r="H15" s="2" t="s">
        <v>26</v>
      </c>
    </row>
    <row r="16" ht="22.5" customHeight="1">
      <c r="A16" s="2" t="s">
        <v>19</v>
      </c>
      <c r="B16" s="2" t="s">
        <v>38</v>
      </c>
      <c r="C16" s="2" t="s">
        <v>32</v>
      </c>
      <c r="D16" s="2" t="s">
        <v>39</v>
      </c>
      <c r="F16" s="2" t="s">
        <v>40</v>
      </c>
      <c r="G16" s="2">
        <v>18896.20395</v>
      </c>
      <c r="H16" s="2" t="s">
        <v>27</v>
      </c>
    </row>
    <row r="17" ht="22.5" customHeight="1">
      <c r="A17" s="2" t="s">
        <v>19</v>
      </c>
      <c r="B17" s="2" t="s">
        <v>41</v>
      </c>
      <c r="C17" s="2" t="s">
        <v>21</v>
      </c>
      <c r="D17" s="2" t="s">
        <v>22</v>
      </c>
      <c r="E17" s="2" t="s">
        <v>42</v>
      </c>
      <c r="F17" s="2" t="s">
        <v>43</v>
      </c>
      <c r="G17" s="2">
        <v>11487.986067</v>
      </c>
      <c r="H17" s="2" t="s">
        <v>26</v>
      </c>
    </row>
    <row r="18" ht="22.5" customHeight="1">
      <c r="A18" s="2" t="s">
        <v>19</v>
      </c>
      <c r="B18" s="2" t="s">
        <v>41</v>
      </c>
      <c r="C18" s="2" t="s">
        <v>21</v>
      </c>
      <c r="D18" s="2" t="s">
        <v>22</v>
      </c>
      <c r="E18" s="2" t="s">
        <v>42</v>
      </c>
      <c r="F18" s="2" t="s">
        <v>43</v>
      </c>
      <c r="G18" s="2">
        <v>17785.736044</v>
      </c>
      <c r="H18" s="2" t="s">
        <v>27</v>
      </c>
    </row>
    <row r="19" ht="22.5" customHeight="1">
      <c r="A19" s="2" t="s">
        <v>19</v>
      </c>
      <c r="B19" s="2" t="s">
        <v>41</v>
      </c>
      <c r="C19" s="2" t="s">
        <v>21</v>
      </c>
      <c r="D19" s="2" t="s">
        <v>22</v>
      </c>
      <c r="E19" s="2" t="s">
        <v>42</v>
      </c>
      <c r="F19" s="2" t="s">
        <v>43</v>
      </c>
      <c r="G19" s="2">
        <v>18125.363418</v>
      </c>
      <c r="H19" s="2" t="s">
        <v>25</v>
      </c>
    </row>
    <row r="20" ht="22.5" customHeight="1">
      <c r="A20" s="2" t="s">
        <v>19</v>
      </c>
      <c r="B20" s="2" t="s">
        <v>44</v>
      </c>
      <c r="C20" s="2" t="s">
        <v>21</v>
      </c>
      <c r="D20" s="2" t="s">
        <v>22</v>
      </c>
      <c r="E20" s="2" t="s">
        <v>45</v>
      </c>
      <c r="F20" s="2" t="s">
        <v>46</v>
      </c>
      <c r="G20" s="2">
        <v>19431.20395</v>
      </c>
      <c r="H20" s="2" t="s">
        <v>27</v>
      </c>
    </row>
    <row r="21" ht="22.5" customHeight="1">
      <c r="A21" s="2" t="s">
        <v>19</v>
      </c>
      <c r="B21" s="2" t="s">
        <v>44</v>
      </c>
      <c r="C21" s="2" t="s">
        <v>21</v>
      </c>
      <c r="D21" s="2" t="s">
        <v>22</v>
      </c>
      <c r="E21" s="2" t="s">
        <v>45</v>
      </c>
      <c r="F21" s="2" t="s">
        <v>46</v>
      </c>
      <c r="G21" s="2">
        <v>19779.552952</v>
      </c>
      <c r="H21" s="2" t="s">
        <v>25</v>
      </c>
    </row>
    <row r="22" ht="22.5" customHeight="1">
      <c r="A22" s="2" t="s">
        <v>19</v>
      </c>
      <c r="B22" s="2" t="s">
        <v>44</v>
      </c>
      <c r="C22" s="2" t="s">
        <v>21</v>
      </c>
      <c r="D22" s="2" t="s">
        <v>22</v>
      </c>
      <c r="E22" s="2" t="s">
        <v>45</v>
      </c>
      <c r="F22" s="2" t="s">
        <v>46</v>
      </c>
      <c r="G22" s="3">
        <v>15802.44</v>
      </c>
      <c r="H22" s="2" t="s">
        <v>26</v>
      </c>
    </row>
    <row r="23" ht="22.5" customHeight="1">
      <c r="A23" s="2" t="s">
        <v>19</v>
      </c>
      <c r="B23" s="2" t="s">
        <v>44</v>
      </c>
      <c r="C23" s="2" t="s">
        <v>21</v>
      </c>
      <c r="D23" s="2" t="s">
        <v>22</v>
      </c>
      <c r="E23" s="2" t="s">
        <v>45</v>
      </c>
      <c r="F23" s="2" t="s">
        <v>46</v>
      </c>
      <c r="G23" s="3">
        <v>10060.439999999999</v>
      </c>
      <c r="H23" s="4" t="s">
        <v>28</v>
      </c>
    </row>
    <row r="24" ht="22.5" customHeight="1">
      <c r="A24" s="2" t="s">
        <v>19</v>
      </c>
      <c r="B24" s="2" t="s">
        <v>47</v>
      </c>
      <c r="C24" s="2" t="s">
        <v>32</v>
      </c>
      <c r="D24" s="2" t="s">
        <v>48</v>
      </c>
      <c r="F24" s="2" t="s">
        <v>49</v>
      </c>
      <c r="G24" s="2">
        <v>18848.225941</v>
      </c>
      <c r="H24" s="2" t="s">
        <v>27</v>
      </c>
    </row>
    <row r="25" ht="22.5" customHeight="1">
      <c r="A25" s="2" t="s">
        <v>19</v>
      </c>
      <c r="B25" s="2" t="s">
        <v>47</v>
      </c>
      <c r="C25" s="2" t="s">
        <v>32</v>
      </c>
      <c r="D25" s="2" t="s">
        <v>48</v>
      </c>
      <c r="F25" s="2" t="s">
        <v>49</v>
      </c>
      <c r="G25" s="2">
        <v>19080.558312</v>
      </c>
      <c r="H25" s="2" t="s">
        <v>26</v>
      </c>
    </row>
    <row r="26" ht="22.5" customHeight="1">
      <c r="A26" s="2" t="s">
        <v>19</v>
      </c>
      <c r="B26" s="2" t="s">
        <v>47</v>
      </c>
      <c r="C26" s="2" t="s">
        <v>32</v>
      </c>
      <c r="D26" s="2" t="s">
        <v>48</v>
      </c>
      <c r="F26" s="2" t="s">
        <v>49</v>
      </c>
      <c r="G26" s="2">
        <v>19207.062778</v>
      </c>
      <c r="H26" s="2" t="s">
        <v>25</v>
      </c>
    </row>
    <row r="27" ht="22.5" customHeight="1">
      <c r="A27" s="2" t="s">
        <v>19</v>
      </c>
      <c r="B27" s="2" t="s">
        <v>50</v>
      </c>
      <c r="C27" s="2" t="s">
        <v>32</v>
      </c>
      <c r="D27" s="2" t="s">
        <v>39</v>
      </c>
      <c r="F27" s="2" t="s">
        <v>51</v>
      </c>
      <c r="G27" s="2">
        <v>20193.28296</v>
      </c>
      <c r="H27" s="2" t="s">
        <v>26</v>
      </c>
    </row>
    <row r="28" ht="22.5" customHeight="1">
      <c r="A28" s="2" t="s">
        <v>19</v>
      </c>
      <c r="B28" s="2" t="s">
        <v>50</v>
      </c>
      <c r="C28" s="2" t="s">
        <v>32</v>
      </c>
      <c r="D28" s="2" t="s">
        <v>39</v>
      </c>
      <c r="F28" s="2" t="s">
        <v>51</v>
      </c>
      <c r="G28" s="2">
        <v>20050.153784</v>
      </c>
      <c r="H28" s="2" t="s">
        <v>27</v>
      </c>
    </row>
    <row r="29" ht="22.5" customHeight="1">
      <c r="A29" s="2" t="s">
        <v>19</v>
      </c>
      <c r="B29" s="2" t="s">
        <v>50</v>
      </c>
      <c r="C29" s="2" t="s">
        <v>32</v>
      </c>
      <c r="D29" s="2" t="s">
        <v>39</v>
      </c>
      <c r="F29" s="2" t="s">
        <v>51</v>
      </c>
      <c r="G29" s="2">
        <v>20427.17472</v>
      </c>
      <c r="H29" s="2" t="s">
        <v>25</v>
      </c>
    </row>
    <row r="30" ht="22.5" customHeight="1">
      <c r="A30" s="2" t="s">
        <v>19</v>
      </c>
      <c r="B30" s="2" t="s">
        <v>52</v>
      </c>
      <c r="C30" s="2" t="s">
        <v>21</v>
      </c>
      <c r="D30" s="2" t="s">
        <v>22</v>
      </c>
      <c r="E30" s="2" t="s">
        <v>53</v>
      </c>
      <c r="F30" s="2" t="s">
        <v>54</v>
      </c>
      <c r="G30" s="2">
        <v>8107.360929</v>
      </c>
      <c r="H30" s="2" t="s">
        <v>27</v>
      </c>
    </row>
    <row r="31" ht="22.5" customHeight="1">
      <c r="A31" s="2" t="s">
        <v>19</v>
      </c>
      <c r="B31" s="2" t="s">
        <v>52</v>
      </c>
      <c r="C31" s="2" t="s">
        <v>21</v>
      </c>
      <c r="D31" s="2" t="s">
        <v>22</v>
      </c>
      <c r="E31" s="2" t="s">
        <v>53</v>
      </c>
      <c r="F31" s="2" t="s">
        <v>54</v>
      </c>
      <c r="G31" s="3">
        <v>20303.010580000002</v>
      </c>
      <c r="H31" s="2" t="s">
        <v>26</v>
      </c>
    </row>
    <row r="32" ht="22.5" customHeight="1">
      <c r="A32" s="2" t="s">
        <v>19</v>
      </c>
      <c r="B32" s="2" t="s">
        <v>52</v>
      </c>
      <c r="C32" s="2" t="s">
        <v>21</v>
      </c>
      <c r="D32" s="2" t="s">
        <v>22</v>
      </c>
      <c r="E32" s="2" t="s">
        <v>53</v>
      </c>
      <c r="F32" s="2" t="s">
        <v>54</v>
      </c>
      <c r="G32" s="3">
        <v>18427.440000000002</v>
      </c>
      <c r="H32" s="4" t="s">
        <v>28</v>
      </c>
    </row>
    <row r="33" ht="22.5" customHeight="1">
      <c r="A33" s="2" t="s">
        <v>19</v>
      </c>
      <c r="B33" s="2" t="s">
        <v>55</v>
      </c>
      <c r="C33" s="2" t="s">
        <v>21</v>
      </c>
      <c r="D33" s="2" t="s">
        <v>56</v>
      </c>
      <c r="F33" s="2" t="s">
        <v>57</v>
      </c>
      <c r="G33" s="2">
        <v>13202.829051</v>
      </c>
      <c r="H33" s="2" t="s">
        <v>26</v>
      </c>
    </row>
    <row r="34" ht="22.5" customHeight="1">
      <c r="A34" s="2" t="s">
        <v>19</v>
      </c>
      <c r="B34" s="2" t="s">
        <v>55</v>
      </c>
      <c r="C34" s="2" t="s">
        <v>21</v>
      </c>
      <c r="D34" s="2" t="s">
        <v>56</v>
      </c>
      <c r="F34" s="2" t="s">
        <v>57</v>
      </c>
      <c r="G34" s="2">
        <v>10059.743257</v>
      </c>
      <c r="H34" s="2" t="s">
        <v>27</v>
      </c>
    </row>
    <row r="35" ht="22.5" customHeight="1">
      <c r="A35" s="2" t="s">
        <v>19</v>
      </c>
      <c r="B35" s="2" t="s">
        <v>55</v>
      </c>
      <c r="C35" s="2" t="s">
        <v>21</v>
      </c>
      <c r="D35" s="2" t="s">
        <v>56</v>
      </c>
      <c r="F35" s="2" t="s">
        <v>57</v>
      </c>
      <c r="G35" s="2">
        <v>7350.0</v>
      </c>
      <c r="H35" s="2" t="s">
        <v>25</v>
      </c>
    </row>
    <row r="36" ht="22.5" customHeight="1">
      <c r="A36" s="2" t="s">
        <v>19</v>
      </c>
      <c r="B36" s="2" t="s">
        <v>58</v>
      </c>
      <c r="C36" s="2" t="s">
        <v>21</v>
      </c>
      <c r="D36" s="2" t="s">
        <v>22</v>
      </c>
      <c r="E36" s="4" t="s">
        <v>23</v>
      </c>
      <c r="F36" s="2" t="s">
        <v>59</v>
      </c>
      <c r="G36" s="3">
        <v>15770.03</v>
      </c>
      <c r="H36" s="2" t="s">
        <v>26</v>
      </c>
    </row>
    <row r="37" ht="22.5" customHeight="1">
      <c r="A37" s="2" t="s">
        <v>19</v>
      </c>
      <c r="B37" s="2" t="s">
        <v>58</v>
      </c>
      <c r="C37" s="2" t="s">
        <v>21</v>
      </c>
      <c r="D37" s="2" t="s">
        <v>22</v>
      </c>
      <c r="E37" s="4" t="s">
        <v>23</v>
      </c>
      <c r="F37" s="2" t="s">
        <v>59</v>
      </c>
      <c r="G37" s="3">
        <v>14071.391037000001</v>
      </c>
      <c r="H37" s="2" t="s">
        <v>27</v>
      </c>
    </row>
    <row r="38" ht="22.5" customHeight="1">
      <c r="A38" s="2" t="s">
        <v>19</v>
      </c>
      <c r="B38" s="2" t="s">
        <v>58</v>
      </c>
      <c r="C38" s="2" t="s">
        <v>21</v>
      </c>
      <c r="D38" s="2" t="s">
        <v>22</v>
      </c>
      <c r="E38" s="4" t="s">
        <v>23</v>
      </c>
      <c r="F38" s="2" t="s">
        <v>59</v>
      </c>
      <c r="G38" s="2">
        <v>3209.170779</v>
      </c>
      <c r="H38" s="2" t="s">
        <v>25</v>
      </c>
    </row>
    <row r="39" ht="22.5" customHeight="1">
      <c r="A39" s="2" t="s">
        <v>19</v>
      </c>
      <c r="B39" s="2" t="s">
        <v>58</v>
      </c>
      <c r="C39" s="2" t="s">
        <v>21</v>
      </c>
      <c r="D39" s="2" t="s">
        <v>22</v>
      </c>
      <c r="E39" s="4" t="s">
        <v>23</v>
      </c>
      <c r="F39" s="2" t="s">
        <v>59</v>
      </c>
      <c r="G39" s="3">
        <v>15277.44</v>
      </c>
      <c r="H39" s="4" t="s">
        <v>28</v>
      </c>
    </row>
    <row r="40" ht="22.5" customHeight="1">
      <c r="A40" s="2" t="s">
        <v>19</v>
      </c>
      <c r="B40" s="2" t="s">
        <v>60</v>
      </c>
      <c r="C40" s="2" t="s">
        <v>21</v>
      </c>
      <c r="D40" s="2" t="s">
        <v>22</v>
      </c>
      <c r="E40" s="2" t="s">
        <v>42</v>
      </c>
      <c r="F40" s="2" t="s">
        <v>61</v>
      </c>
      <c r="G40" s="2">
        <v>17823.580152</v>
      </c>
      <c r="H40" s="2" t="s">
        <v>27</v>
      </c>
    </row>
    <row r="41" ht="22.5" customHeight="1">
      <c r="A41" s="2" t="s">
        <v>19</v>
      </c>
      <c r="B41" s="2" t="s">
        <v>60</v>
      </c>
      <c r="C41" s="2" t="s">
        <v>21</v>
      </c>
      <c r="D41" s="2" t="s">
        <v>22</v>
      </c>
      <c r="E41" s="2" t="s">
        <v>42</v>
      </c>
      <c r="F41" s="2" t="s">
        <v>61</v>
      </c>
      <c r="G41" s="2">
        <v>18141.678181</v>
      </c>
      <c r="H41" s="2" t="s">
        <v>25</v>
      </c>
    </row>
    <row r="42" ht="22.5" customHeight="1">
      <c r="A42" s="2" t="s">
        <v>19</v>
      </c>
      <c r="B42" s="2" t="s">
        <v>60</v>
      </c>
      <c r="C42" s="2" t="s">
        <v>21</v>
      </c>
      <c r="D42" s="2" t="s">
        <v>22</v>
      </c>
      <c r="E42" s="2" t="s">
        <v>42</v>
      </c>
      <c r="F42" s="2" t="s">
        <v>61</v>
      </c>
      <c r="G42" s="3">
        <v>10866.0195</v>
      </c>
      <c r="H42" s="2" t="s">
        <v>26</v>
      </c>
    </row>
    <row r="43" ht="22.5" customHeight="1">
      <c r="A43" s="2" t="s">
        <v>19</v>
      </c>
      <c r="B43" s="2" t="s">
        <v>60</v>
      </c>
      <c r="C43" s="2" t="s">
        <v>21</v>
      </c>
      <c r="D43" s="2" t="s">
        <v>22</v>
      </c>
      <c r="E43" s="2" t="s">
        <v>42</v>
      </c>
      <c r="F43" s="2" t="s">
        <v>61</v>
      </c>
      <c r="G43" s="3">
        <v>7247.5095</v>
      </c>
      <c r="H43" s="4" t="s">
        <v>28</v>
      </c>
    </row>
    <row r="44" ht="22.5" customHeight="1">
      <c r="A44" s="2" t="s">
        <v>19</v>
      </c>
      <c r="B44" s="2" t="s">
        <v>62</v>
      </c>
      <c r="C44" s="2" t="s">
        <v>21</v>
      </c>
      <c r="D44" s="2" t="s">
        <v>22</v>
      </c>
      <c r="E44" s="2" t="s">
        <v>63</v>
      </c>
      <c r="F44" s="2" t="s">
        <v>64</v>
      </c>
      <c r="G44" s="2">
        <v>16006.678947</v>
      </c>
      <c r="H44" s="2" t="s">
        <v>26</v>
      </c>
    </row>
    <row r="45" ht="22.5" customHeight="1">
      <c r="A45" s="2" t="s">
        <v>19</v>
      </c>
      <c r="B45" s="2" t="s">
        <v>62</v>
      </c>
      <c r="C45" s="2" t="s">
        <v>21</v>
      </c>
      <c r="D45" s="2" t="s">
        <v>22</v>
      </c>
      <c r="E45" s="2" t="s">
        <v>63</v>
      </c>
      <c r="F45" s="2" t="s">
        <v>64</v>
      </c>
      <c r="G45" s="2">
        <v>15686.20395</v>
      </c>
      <c r="H45" s="2" t="s">
        <v>27</v>
      </c>
    </row>
    <row r="46" ht="22.5" customHeight="1">
      <c r="A46" s="2" t="s">
        <v>19</v>
      </c>
      <c r="B46" s="2" t="s">
        <v>62</v>
      </c>
      <c r="C46" s="2" t="s">
        <v>21</v>
      </c>
      <c r="D46" s="2" t="s">
        <v>22</v>
      </c>
      <c r="E46" s="2" t="s">
        <v>63</v>
      </c>
      <c r="F46" s="2" t="s">
        <v>64</v>
      </c>
      <c r="G46" s="2">
        <v>15964.552952</v>
      </c>
      <c r="H46" s="2" t="s">
        <v>25</v>
      </c>
    </row>
    <row r="47" ht="22.5" customHeight="1">
      <c r="A47" s="2" t="s">
        <v>19</v>
      </c>
      <c r="B47" s="2" t="s">
        <v>65</v>
      </c>
      <c r="C47" s="2" t="s">
        <v>21</v>
      </c>
      <c r="D47" s="2" t="s">
        <v>22</v>
      </c>
      <c r="E47" s="2" t="s">
        <v>23</v>
      </c>
      <c r="F47" s="2" t="s">
        <v>66</v>
      </c>
      <c r="G47" s="2">
        <v>14885.846693</v>
      </c>
      <c r="H47" s="2" t="s">
        <v>25</v>
      </c>
    </row>
    <row r="48" ht="22.5" customHeight="1">
      <c r="A48" s="2" t="s">
        <v>19</v>
      </c>
      <c r="B48" s="2" t="s">
        <v>65</v>
      </c>
      <c r="C48" s="2" t="s">
        <v>21</v>
      </c>
      <c r="D48" s="2" t="s">
        <v>22</v>
      </c>
      <c r="E48" s="2" t="s">
        <v>23</v>
      </c>
      <c r="F48" s="2" t="s">
        <v>66</v>
      </c>
      <c r="G48" s="2">
        <v>17068.442615</v>
      </c>
      <c r="H48" s="2" t="s">
        <v>26</v>
      </c>
    </row>
    <row r="49" ht="22.5" customHeight="1">
      <c r="A49" s="2" t="s">
        <v>19</v>
      </c>
      <c r="B49" s="2" t="s">
        <v>65</v>
      </c>
      <c r="C49" s="2" t="s">
        <v>21</v>
      </c>
      <c r="D49" s="2" t="s">
        <v>22</v>
      </c>
      <c r="E49" s="2" t="s">
        <v>23</v>
      </c>
      <c r="F49" s="2" t="s">
        <v>66</v>
      </c>
      <c r="G49" s="2">
        <v>16766.51173</v>
      </c>
      <c r="H49" s="2" t="s">
        <v>27</v>
      </c>
    </row>
    <row r="50" ht="22.5" customHeight="1">
      <c r="A50" s="2" t="s">
        <v>19</v>
      </c>
      <c r="B50" s="8" t="s">
        <v>67</v>
      </c>
      <c r="C50" s="4" t="s">
        <v>68</v>
      </c>
      <c r="D50" s="4" t="s">
        <v>69</v>
      </c>
      <c r="F50" s="8" t="s">
        <v>67</v>
      </c>
      <c r="G50" s="3">
        <v>143227.36</v>
      </c>
      <c r="H50" s="2" t="s">
        <v>25</v>
      </c>
    </row>
    <row r="51" ht="22.5" customHeight="1">
      <c r="A51" s="2" t="s">
        <v>19</v>
      </c>
      <c r="B51" s="8" t="s">
        <v>67</v>
      </c>
      <c r="C51" s="4" t="s">
        <v>68</v>
      </c>
      <c r="D51" s="4" t="s">
        <v>69</v>
      </c>
      <c r="F51" s="8" t="s">
        <v>67</v>
      </c>
      <c r="G51" s="3">
        <v>143228.86</v>
      </c>
      <c r="H51" s="4" t="s">
        <v>27</v>
      </c>
    </row>
    <row r="52" ht="22.5" customHeight="1">
      <c r="A52" s="2" t="s">
        <v>19</v>
      </c>
      <c r="B52" s="8" t="s">
        <v>67</v>
      </c>
      <c r="C52" s="4" t="s">
        <v>68</v>
      </c>
      <c r="D52" s="4" t="s">
        <v>69</v>
      </c>
      <c r="F52" s="8" t="s">
        <v>67</v>
      </c>
      <c r="G52" s="3">
        <v>143228.86</v>
      </c>
      <c r="H52" s="4" t="s">
        <v>26</v>
      </c>
    </row>
    <row r="53" ht="22.5" customHeight="1">
      <c r="A53" s="2" t="s">
        <v>19</v>
      </c>
      <c r="B53" s="8" t="s">
        <v>67</v>
      </c>
      <c r="C53" s="4" t="s">
        <v>68</v>
      </c>
      <c r="D53" s="4" t="s">
        <v>69</v>
      </c>
      <c r="F53" s="8" t="s">
        <v>67</v>
      </c>
      <c r="G53" s="3">
        <v>143228.86</v>
      </c>
      <c r="H53" s="4" t="s">
        <v>28</v>
      </c>
    </row>
    <row r="54" ht="22.5" customHeight="1">
      <c r="A54" s="2" t="s">
        <v>19</v>
      </c>
      <c r="B54" s="8" t="s">
        <v>70</v>
      </c>
      <c r="C54" s="4" t="s">
        <v>21</v>
      </c>
      <c r="D54" s="4" t="s">
        <v>22</v>
      </c>
      <c r="F54" s="8" t="s">
        <v>70</v>
      </c>
      <c r="G54" s="3">
        <v>20127.76</v>
      </c>
      <c r="H54" s="2" t="s">
        <v>25</v>
      </c>
    </row>
    <row r="55" ht="22.5" customHeight="1">
      <c r="A55" s="2" t="s">
        <v>19</v>
      </c>
      <c r="B55" s="4" t="s">
        <v>71</v>
      </c>
      <c r="C55" s="4" t="s">
        <v>68</v>
      </c>
      <c r="D55" s="4" t="s">
        <v>72</v>
      </c>
      <c r="F55" s="8" t="s">
        <v>73</v>
      </c>
      <c r="G55" s="6">
        <v>12999.9</v>
      </c>
      <c r="H55" s="2" t="s">
        <v>25</v>
      </c>
    </row>
    <row r="56" ht="22.5" customHeight="1">
      <c r="A56" s="2" t="s">
        <v>19</v>
      </c>
      <c r="B56" s="4" t="s">
        <v>71</v>
      </c>
      <c r="C56" s="4" t="s">
        <v>68</v>
      </c>
      <c r="D56" s="4" t="s">
        <v>72</v>
      </c>
      <c r="F56" s="8" t="s">
        <v>73</v>
      </c>
      <c r="G56" s="3">
        <v>12999.9</v>
      </c>
      <c r="H56" s="4" t="s">
        <v>27</v>
      </c>
    </row>
    <row r="57" ht="22.5" customHeight="1">
      <c r="A57" s="2" t="s">
        <v>19</v>
      </c>
      <c r="B57" s="4" t="s">
        <v>71</v>
      </c>
      <c r="C57" s="4" t="s">
        <v>68</v>
      </c>
      <c r="D57" s="4" t="s">
        <v>72</v>
      </c>
      <c r="F57" s="8" t="s">
        <v>73</v>
      </c>
      <c r="G57" s="3">
        <v>12999.9</v>
      </c>
      <c r="H57" s="4" t="s">
        <v>26</v>
      </c>
    </row>
    <row r="58" ht="22.5" customHeight="1">
      <c r="A58" s="2" t="s">
        <v>19</v>
      </c>
      <c r="B58" s="4" t="s">
        <v>71</v>
      </c>
      <c r="C58" s="4" t="s">
        <v>68</v>
      </c>
      <c r="D58" s="4" t="s">
        <v>72</v>
      </c>
      <c r="F58" s="8" t="s">
        <v>73</v>
      </c>
      <c r="G58" s="3">
        <v>12999.9</v>
      </c>
      <c r="H58" s="4" t="s">
        <v>28</v>
      </c>
    </row>
    <row r="59" ht="22.5" customHeight="1">
      <c r="A59" s="2" t="s">
        <v>19</v>
      </c>
      <c r="B59" s="4" t="s">
        <v>71</v>
      </c>
      <c r="C59" s="4" t="s">
        <v>68</v>
      </c>
      <c r="D59" s="4" t="s">
        <v>72</v>
      </c>
      <c r="F59" s="8" t="s">
        <v>74</v>
      </c>
      <c r="G59" s="3">
        <v>12999.9</v>
      </c>
      <c r="H59" s="2" t="s">
        <v>25</v>
      </c>
    </row>
    <row r="60" ht="22.5" customHeight="1">
      <c r="A60" s="2" t="s">
        <v>19</v>
      </c>
      <c r="B60" s="4" t="s">
        <v>71</v>
      </c>
      <c r="C60" s="4" t="s">
        <v>68</v>
      </c>
      <c r="D60" s="4" t="s">
        <v>72</v>
      </c>
      <c r="F60" s="8" t="s">
        <v>74</v>
      </c>
      <c r="G60" s="3">
        <v>12999.9</v>
      </c>
      <c r="H60" s="4" t="s">
        <v>27</v>
      </c>
    </row>
    <row r="61" ht="22.5" customHeight="1">
      <c r="A61" s="2" t="s">
        <v>19</v>
      </c>
      <c r="B61" s="4" t="s">
        <v>71</v>
      </c>
      <c r="C61" s="4" t="s">
        <v>68</v>
      </c>
      <c r="D61" s="4" t="s">
        <v>72</v>
      </c>
      <c r="F61" s="8" t="s">
        <v>74</v>
      </c>
      <c r="G61" s="3">
        <v>12999.9</v>
      </c>
      <c r="H61" s="4" t="s">
        <v>26</v>
      </c>
    </row>
    <row r="62" ht="22.5" customHeight="1">
      <c r="A62" s="2" t="s">
        <v>19</v>
      </c>
      <c r="B62" s="4" t="s">
        <v>71</v>
      </c>
      <c r="C62" s="4" t="s">
        <v>68</v>
      </c>
      <c r="D62" s="4" t="s">
        <v>72</v>
      </c>
      <c r="F62" s="8" t="s">
        <v>74</v>
      </c>
      <c r="G62" s="3">
        <v>12999.9</v>
      </c>
      <c r="H62" s="4" t="s">
        <v>28</v>
      </c>
    </row>
    <row r="63" ht="22.5" customHeight="1">
      <c r="A63" s="2" t="s">
        <v>19</v>
      </c>
      <c r="B63" s="8" t="s">
        <v>75</v>
      </c>
      <c r="C63" s="4" t="s">
        <v>32</v>
      </c>
      <c r="D63" s="4" t="s">
        <v>48</v>
      </c>
      <c r="F63" s="8" t="s">
        <v>75</v>
      </c>
      <c r="G63" s="3">
        <v>16219.1</v>
      </c>
      <c r="H63" s="2" t="s">
        <v>25</v>
      </c>
    </row>
    <row r="64" ht="22.5" customHeight="1">
      <c r="A64" s="2" t="s">
        <v>19</v>
      </c>
      <c r="B64" s="8" t="s">
        <v>75</v>
      </c>
      <c r="C64" s="4" t="s">
        <v>32</v>
      </c>
      <c r="D64" s="4" t="s">
        <v>48</v>
      </c>
      <c r="F64" s="8" t="s">
        <v>75</v>
      </c>
      <c r="G64" s="3">
        <v>22000.14</v>
      </c>
      <c r="H64" s="4" t="s">
        <v>27</v>
      </c>
    </row>
    <row r="65" ht="22.5" customHeight="1">
      <c r="A65" s="2" t="s">
        <v>19</v>
      </c>
      <c r="B65" s="8" t="s">
        <v>75</v>
      </c>
      <c r="C65" s="4" t="s">
        <v>32</v>
      </c>
      <c r="D65" s="4" t="s">
        <v>48</v>
      </c>
      <c r="F65" s="8" t="s">
        <v>75</v>
      </c>
      <c r="G65" s="3">
        <v>22000.14</v>
      </c>
      <c r="H65" s="4" t="s">
        <v>26</v>
      </c>
    </row>
    <row r="66" ht="22.5" customHeight="1">
      <c r="A66" s="2" t="s">
        <v>19</v>
      </c>
      <c r="B66" s="8" t="s">
        <v>75</v>
      </c>
      <c r="C66" s="4" t="s">
        <v>32</v>
      </c>
      <c r="D66" s="4" t="s">
        <v>48</v>
      </c>
      <c r="F66" s="8" t="s">
        <v>75</v>
      </c>
      <c r="G66" s="3">
        <v>22000.14</v>
      </c>
      <c r="H66" s="4" t="s">
        <v>28</v>
      </c>
    </row>
    <row r="67" ht="22.5" customHeight="1">
      <c r="A67" s="2" t="s">
        <v>19</v>
      </c>
      <c r="B67" s="8" t="s">
        <v>76</v>
      </c>
      <c r="C67" s="4" t="s">
        <v>21</v>
      </c>
      <c r="D67" s="4" t="s">
        <v>22</v>
      </c>
      <c r="F67" s="8" t="s">
        <v>76</v>
      </c>
      <c r="G67" s="3">
        <v>5192.95</v>
      </c>
      <c r="H67" s="2" t="s">
        <v>25</v>
      </c>
    </row>
    <row r="68" ht="22.5" customHeight="1">
      <c r="A68" s="2" t="s">
        <v>19</v>
      </c>
      <c r="B68" s="8" t="s">
        <v>76</v>
      </c>
      <c r="C68" s="4" t="s">
        <v>21</v>
      </c>
      <c r="D68" s="4" t="s">
        <v>22</v>
      </c>
      <c r="F68" s="8" t="s">
        <v>76</v>
      </c>
      <c r="G68" s="3">
        <v>12182.49</v>
      </c>
      <c r="H68" s="4" t="s">
        <v>27</v>
      </c>
    </row>
    <row r="69" ht="22.5" customHeight="1">
      <c r="A69" s="2" t="s">
        <v>19</v>
      </c>
      <c r="B69" s="8" t="s">
        <v>76</v>
      </c>
      <c r="C69" s="4" t="s">
        <v>21</v>
      </c>
      <c r="D69" s="4" t="s">
        <v>22</v>
      </c>
      <c r="F69" s="8" t="s">
        <v>76</v>
      </c>
      <c r="G69" s="3">
        <v>13977.58</v>
      </c>
      <c r="H69" s="4" t="s">
        <v>26</v>
      </c>
    </row>
    <row r="70" ht="22.5" customHeight="1">
      <c r="A70" s="2" t="s">
        <v>19</v>
      </c>
      <c r="B70" s="8" t="s">
        <v>76</v>
      </c>
      <c r="C70" s="4" t="s">
        <v>21</v>
      </c>
      <c r="D70" s="4" t="s">
        <v>22</v>
      </c>
      <c r="F70" s="8" t="s">
        <v>76</v>
      </c>
      <c r="G70" s="3">
        <v>13977.58</v>
      </c>
      <c r="H70" s="4" t="s">
        <v>28</v>
      </c>
    </row>
    <row r="71" ht="22.5" customHeight="1">
      <c r="A71" s="2" t="s">
        <v>19</v>
      </c>
      <c r="B71" s="2" t="s">
        <v>77</v>
      </c>
      <c r="C71" s="2" t="s">
        <v>32</v>
      </c>
      <c r="D71" s="2" t="s">
        <v>78</v>
      </c>
      <c r="F71" s="2" t="s">
        <v>79</v>
      </c>
      <c r="G71" s="2">
        <v>30450.0</v>
      </c>
      <c r="H71" s="2" t="s">
        <v>25</v>
      </c>
    </row>
    <row r="72" ht="22.5" customHeight="1">
      <c r="A72" s="2" t="s">
        <v>19</v>
      </c>
      <c r="B72" s="2" t="s">
        <v>77</v>
      </c>
      <c r="C72" s="2" t="s">
        <v>32</v>
      </c>
      <c r="D72" s="2" t="s">
        <v>78</v>
      </c>
      <c r="F72" s="2" t="s">
        <v>79</v>
      </c>
      <c r="G72" s="2">
        <v>30450.0</v>
      </c>
      <c r="H72" s="2" t="s">
        <v>26</v>
      </c>
    </row>
    <row r="73" ht="22.5" customHeight="1">
      <c r="A73" s="2" t="s">
        <v>19</v>
      </c>
      <c r="B73" s="2" t="s">
        <v>77</v>
      </c>
      <c r="C73" s="2" t="s">
        <v>32</v>
      </c>
      <c r="D73" s="2" t="s">
        <v>78</v>
      </c>
      <c r="F73" s="2" t="s">
        <v>79</v>
      </c>
      <c r="G73" s="2">
        <v>30450.0</v>
      </c>
      <c r="H73" s="2" t="s">
        <v>27</v>
      </c>
    </row>
    <row r="74" ht="22.5" customHeight="1">
      <c r="A74" s="2" t="s">
        <v>19</v>
      </c>
      <c r="B74" s="2" t="s">
        <v>80</v>
      </c>
      <c r="C74" s="2" t="s">
        <v>32</v>
      </c>
      <c r="D74" s="2" t="s">
        <v>56</v>
      </c>
      <c r="F74" s="2" t="s">
        <v>81</v>
      </c>
      <c r="G74" s="2">
        <v>23583.237293</v>
      </c>
      <c r="H74" s="2" t="s">
        <v>26</v>
      </c>
    </row>
    <row r="75" ht="22.5" customHeight="1">
      <c r="A75" s="2" t="s">
        <v>19</v>
      </c>
      <c r="B75" s="2" t="s">
        <v>80</v>
      </c>
      <c r="C75" s="2" t="s">
        <v>32</v>
      </c>
      <c r="D75" s="2" t="s">
        <v>56</v>
      </c>
      <c r="F75" s="2" t="s">
        <v>81</v>
      </c>
      <c r="G75" s="2">
        <v>13045.633175</v>
      </c>
      <c r="H75" s="2" t="s">
        <v>27</v>
      </c>
    </row>
    <row r="76" ht="22.5" customHeight="1">
      <c r="A76" s="2" t="s">
        <v>19</v>
      </c>
      <c r="B76" s="2" t="s">
        <v>80</v>
      </c>
      <c r="C76" s="2" t="s">
        <v>32</v>
      </c>
      <c r="D76" s="2" t="s">
        <v>56</v>
      </c>
      <c r="F76" s="2" t="s">
        <v>81</v>
      </c>
      <c r="G76" s="2">
        <v>13291.944052</v>
      </c>
      <c r="H76" s="2" t="s">
        <v>25</v>
      </c>
    </row>
    <row r="77" ht="22.5" customHeight="1">
      <c r="A77" s="2" t="s">
        <v>19</v>
      </c>
      <c r="B77" s="2" t="s">
        <v>82</v>
      </c>
      <c r="C77" s="2" t="s">
        <v>21</v>
      </c>
      <c r="D77" s="2" t="s">
        <v>56</v>
      </c>
      <c r="F77" s="2" t="s">
        <v>83</v>
      </c>
      <c r="G77" s="2">
        <v>16300.94857</v>
      </c>
      <c r="H77" s="2" t="s">
        <v>27</v>
      </c>
    </row>
    <row r="78" ht="22.5" customHeight="1">
      <c r="A78" s="2" t="s">
        <v>19</v>
      </c>
      <c r="B78" s="2" t="s">
        <v>82</v>
      </c>
      <c r="C78" s="2" t="s">
        <v>21</v>
      </c>
      <c r="D78" s="2" t="s">
        <v>56</v>
      </c>
      <c r="F78" s="2" t="s">
        <v>83</v>
      </c>
      <c r="G78" s="2">
        <v>16669.545683</v>
      </c>
      <c r="H78" s="2" t="s">
        <v>25</v>
      </c>
    </row>
    <row r="79" ht="22.5" customHeight="1">
      <c r="A79" s="2" t="s">
        <v>19</v>
      </c>
      <c r="B79" s="2" t="s">
        <v>82</v>
      </c>
      <c r="C79" s="2" t="s">
        <v>21</v>
      </c>
      <c r="D79" s="2" t="s">
        <v>56</v>
      </c>
      <c r="F79" s="2" t="s">
        <v>83</v>
      </c>
      <c r="G79" s="2">
        <v>16518.122589</v>
      </c>
      <c r="H79" s="2" t="s">
        <v>26</v>
      </c>
    </row>
    <row r="80" ht="22.5" customHeight="1">
      <c r="A80" s="2" t="s">
        <v>19</v>
      </c>
      <c r="B80" s="2" t="s">
        <v>84</v>
      </c>
      <c r="C80" s="2" t="s">
        <v>32</v>
      </c>
      <c r="D80" s="2" t="s">
        <v>48</v>
      </c>
      <c r="F80" s="2" t="s">
        <v>85</v>
      </c>
      <c r="G80" s="2">
        <v>18843.097092</v>
      </c>
      <c r="H80" s="2" t="s">
        <v>27</v>
      </c>
    </row>
    <row r="81" ht="22.5" customHeight="1">
      <c r="A81" s="2" t="s">
        <v>19</v>
      </c>
      <c r="B81" s="2" t="s">
        <v>84</v>
      </c>
      <c r="C81" s="2" t="s">
        <v>32</v>
      </c>
      <c r="D81" s="2" t="s">
        <v>48</v>
      </c>
      <c r="F81" s="2" t="s">
        <v>85</v>
      </c>
      <c r="G81" s="2">
        <v>15931.39405</v>
      </c>
      <c r="H81" s="2" t="s">
        <v>25</v>
      </c>
    </row>
    <row r="82" ht="22.5" customHeight="1">
      <c r="A82" s="2" t="s">
        <v>19</v>
      </c>
      <c r="B82" s="2" t="s">
        <v>84</v>
      </c>
      <c r="C82" s="2" t="s">
        <v>32</v>
      </c>
      <c r="D82" s="2" t="s">
        <v>48</v>
      </c>
      <c r="F82" s="2" t="s">
        <v>85</v>
      </c>
      <c r="G82" s="2">
        <v>19074.754614</v>
      </c>
      <c r="H82" s="2" t="s">
        <v>26</v>
      </c>
    </row>
    <row r="83" ht="22.5" customHeight="1">
      <c r="A83" s="2" t="s">
        <v>19</v>
      </c>
      <c r="B83" s="2" t="s">
        <v>86</v>
      </c>
      <c r="C83" s="2" t="s">
        <v>32</v>
      </c>
      <c r="D83" s="2" t="s">
        <v>39</v>
      </c>
      <c r="F83" s="2" t="s">
        <v>87</v>
      </c>
      <c r="G83" s="2">
        <v>14165.15378</v>
      </c>
      <c r="H83" s="2" t="s">
        <v>27</v>
      </c>
    </row>
    <row r="84" ht="22.5" customHeight="1">
      <c r="A84" s="2" t="s">
        <v>19</v>
      </c>
      <c r="B84" s="2" t="s">
        <v>86</v>
      </c>
      <c r="C84" s="2" t="s">
        <v>32</v>
      </c>
      <c r="D84" s="2" t="s">
        <v>39</v>
      </c>
      <c r="F84" s="2" t="s">
        <v>87</v>
      </c>
      <c r="G84" s="2">
        <v>14432.174718</v>
      </c>
      <c r="H84" s="2" t="s">
        <v>25</v>
      </c>
    </row>
    <row r="85" ht="22.5" customHeight="1">
      <c r="A85" s="2" t="s">
        <v>19</v>
      </c>
      <c r="B85" s="2" t="s">
        <v>86</v>
      </c>
      <c r="C85" s="2" t="s">
        <v>32</v>
      </c>
      <c r="D85" s="2" t="s">
        <v>39</v>
      </c>
      <c r="F85" s="2" t="s">
        <v>87</v>
      </c>
      <c r="G85" s="2">
        <v>14418.282958</v>
      </c>
      <c r="H85" s="2" t="s">
        <v>26</v>
      </c>
    </row>
    <row r="86" ht="22.5" customHeight="1">
      <c r="A86" s="2" t="s">
        <v>19</v>
      </c>
      <c r="B86" s="2" t="s">
        <v>88</v>
      </c>
      <c r="C86" s="2" t="s">
        <v>21</v>
      </c>
      <c r="D86" s="2" t="s">
        <v>22</v>
      </c>
      <c r="E86" s="2" t="s">
        <v>45</v>
      </c>
      <c r="F86" s="2" t="s">
        <v>89</v>
      </c>
      <c r="G86" s="2">
        <v>15633.097092</v>
      </c>
      <c r="H86" s="2" t="s">
        <v>27</v>
      </c>
    </row>
    <row r="87" ht="22.5" customHeight="1">
      <c r="A87" s="2" t="s">
        <v>19</v>
      </c>
      <c r="B87" s="2" t="s">
        <v>88</v>
      </c>
      <c r="C87" s="2" t="s">
        <v>21</v>
      </c>
      <c r="D87" s="2" t="s">
        <v>22</v>
      </c>
      <c r="E87" s="2" t="s">
        <v>45</v>
      </c>
      <c r="F87" s="2" t="s">
        <v>89</v>
      </c>
      <c r="G87" s="2">
        <v>3181.752788</v>
      </c>
      <c r="H87" s="2" t="s">
        <v>25</v>
      </c>
    </row>
    <row r="88" ht="22.5" customHeight="1">
      <c r="A88" s="2" t="s">
        <v>19</v>
      </c>
      <c r="B88" s="2" t="s">
        <v>88</v>
      </c>
      <c r="C88" s="2" t="s">
        <v>21</v>
      </c>
      <c r="D88" s="2" t="s">
        <v>22</v>
      </c>
      <c r="E88" s="2" t="s">
        <v>45</v>
      </c>
      <c r="F88" s="2" t="s">
        <v>89</v>
      </c>
      <c r="G88" s="2">
        <v>15924.754614</v>
      </c>
      <c r="H88" s="2" t="s">
        <v>26</v>
      </c>
    </row>
    <row r="89" ht="22.5" customHeight="1">
      <c r="A89" s="2" t="s">
        <v>19</v>
      </c>
      <c r="B89" s="2" t="s">
        <v>90</v>
      </c>
      <c r="C89" s="2" t="s">
        <v>21</v>
      </c>
      <c r="D89" s="2" t="s">
        <v>22</v>
      </c>
      <c r="E89" s="2" t="s">
        <v>45</v>
      </c>
      <c r="F89" s="2" t="s">
        <v>91</v>
      </c>
      <c r="G89" s="2">
        <v>17051.678181</v>
      </c>
      <c r="H89" s="2" t="s">
        <v>25</v>
      </c>
    </row>
    <row r="90" ht="22.5" customHeight="1">
      <c r="A90" s="2" t="s">
        <v>19</v>
      </c>
      <c r="B90" s="2" t="s">
        <v>90</v>
      </c>
      <c r="C90" s="2" t="s">
        <v>21</v>
      </c>
      <c r="D90" s="2" t="s">
        <v>22</v>
      </c>
      <c r="E90" s="2" t="s">
        <v>45</v>
      </c>
      <c r="F90" s="2" t="s">
        <v>91</v>
      </c>
      <c r="G90" s="2">
        <v>8493.071037</v>
      </c>
      <c r="H90" s="2" t="s">
        <v>27</v>
      </c>
    </row>
    <row r="91" ht="22.5" customHeight="1">
      <c r="A91" s="2" t="s">
        <v>19</v>
      </c>
      <c r="B91" s="2" t="s">
        <v>92</v>
      </c>
      <c r="C91" s="2" t="s">
        <v>21</v>
      </c>
      <c r="D91" s="2" t="s">
        <v>22</v>
      </c>
      <c r="E91" s="2" t="s">
        <v>93</v>
      </c>
      <c r="F91" s="2" t="s">
        <v>94</v>
      </c>
      <c r="G91" s="2">
        <v>14652.097092</v>
      </c>
      <c r="H91" s="2" t="s">
        <v>27</v>
      </c>
    </row>
    <row r="92" ht="22.5" customHeight="1">
      <c r="A92" s="2" t="s">
        <v>19</v>
      </c>
      <c r="B92" s="2" t="s">
        <v>92</v>
      </c>
      <c r="C92" s="2" t="s">
        <v>21</v>
      </c>
      <c r="D92" s="2" t="s">
        <v>22</v>
      </c>
      <c r="E92" s="2" t="s">
        <v>93</v>
      </c>
      <c r="F92" s="2" t="s">
        <v>94</v>
      </c>
      <c r="G92" s="2">
        <v>13969.39405</v>
      </c>
      <c r="H92" s="2" t="s">
        <v>25</v>
      </c>
    </row>
    <row r="93" ht="22.5" customHeight="1">
      <c r="A93" s="2" t="s">
        <v>19</v>
      </c>
      <c r="B93" s="2" t="s">
        <v>92</v>
      </c>
      <c r="C93" s="2" t="s">
        <v>21</v>
      </c>
      <c r="D93" s="2" t="s">
        <v>22</v>
      </c>
      <c r="E93" s="2" t="s">
        <v>93</v>
      </c>
      <c r="F93" s="2" t="s">
        <v>94</v>
      </c>
      <c r="G93" s="2">
        <v>15924.754614</v>
      </c>
      <c r="H93" s="2" t="s">
        <v>26</v>
      </c>
    </row>
    <row r="94" ht="22.5" customHeight="1">
      <c r="A94" s="2" t="s">
        <v>19</v>
      </c>
      <c r="B94" s="2" t="s">
        <v>95</v>
      </c>
      <c r="C94" s="2" t="s">
        <v>68</v>
      </c>
      <c r="D94" s="2" t="s">
        <v>56</v>
      </c>
      <c r="F94" s="2" t="s">
        <v>96</v>
      </c>
      <c r="G94" s="2">
        <v>17571.832089</v>
      </c>
      <c r="H94" s="2" t="s">
        <v>26</v>
      </c>
    </row>
    <row r="95" ht="22.5" customHeight="1">
      <c r="A95" s="2" t="s">
        <v>19</v>
      </c>
      <c r="B95" s="2" t="s">
        <v>95</v>
      </c>
      <c r="C95" s="2" t="s">
        <v>68</v>
      </c>
      <c r="D95" s="2" t="s">
        <v>56</v>
      </c>
      <c r="F95" s="2" t="s">
        <v>96</v>
      </c>
      <c r="G95" s="2">
        <v>17355.964058</v>
      </c>
      <c r="H95" s="2" t="s">
        <v>27</v>
      </c>
    </row>
    <row r="96" ht="22.5" customHeight="1">
      <c r="A96" s="2" t="s">
        <v>19</v>
      </c>
      <c r="B96" s="2" t="s">
        <v>95</v>
      </c>
      <c r="C96" s="2" t="s">
        <v>68</v>
      </c>
      <c r="D96" s="2" t="s">
        <v>56</v>
      </c>
      <c r="F96" s="2" t="s">
        <v>96</v>
      </c>
      <c r="G96" s="2">
        <v>17763.364907</v>
      </c>
      <c r="H96" s="2" t="s">
        <v>25</v>
      </c>
    </row>
    <row r="97" ht="22.5" customHeight="1">
      <c r="A97" s="2" t="s">
        <v>19</v>
      </c>
      <c r="B97" s="2" t="s">
        <v>97</v>
      </c>
      <c r="C97" s="2" t="s">
        <v>21</v>
      </c>
      <c r="D97" s="2" t="s">
        <v>22</v>
      </c>
      <c r="E97" s="2" t="s">
        <v>98</v>
      </c>
      <c r="F97" s="2" t="s">
        <v>99</v>
      </c>
      <c r="G97" s="2">
        <v>26433.84557</v>
      </c>
      <c r="H97" s="2" t="s">
        <v>26</v>
      </c>
    </row>
    <row r="98" ht="22.5" customHeight="1">
      <c r="A98" s="2" t="s">
        <v>19</v>
      </c>
      <c r="B98" s="2" t="s">
        <v>97</v>
      </c>
      <c r="C98" s="2" t="s">
        <v>21</v>
      </c>
      <c r="D98" s="2" t="s">
        <v>22</v>
      </c>
      <c r="E98" s="2" t="s">
        <v>98</v>
      </c>
      <c r="F98" s="2" t="s">
        <v>99</v>
      </c>
      <c r="G98" s="2">
        <v>18888.877198</v>
      </c>
      <c r="H98" s="2" t="s">
        <v>27</v>
      </c>
    </row>
    <row r="99" ht="22.5" customHeight="1">
      <c r="A99" s="2" t="s">
        <v>19</v>
      </c>
      <c r="B99" s="2" t="s">
        <v>97</v>
      </c>
      <c r="C99" s="2" t="s">
        <v>21</v>
      </c>
      <c r="D99" s="2" t="s">
        <v>22</v>
      </c>
      <c r="E99" s="2" t="s">
        <v>98</v>
      </c>
      <c r="F99" s="2" t="s">
        <v>99</v>
      </c>
      <c r="G99" s="2">
        <v>20299.69469</v>
      </c>
      <c r="H99" s="2" t="s">
        <v>25</v>
      </c>
    </row>
    <row r="100" ht="22.5" customHeight="1">
      <c r="A100" s="2" t="s">
        <v>19</v>
      </c>
      <c r="B100" s="2" t="s">
        <v>100</v>
      </c>
      <c r="C100" s="2" t="s">
        <v>21</v>
      </c>
      <c r="D100" s="2" t="s">
        <v>22</v>
      </c>
      <c r="F100" s="2" t="s">
        <v>101</v>
      </c>
      <c r="G100" s="2">
        <v>16929.069051</v>
      </c>
      <c r="H100" s="2" t="s">
        <v>26</v>
      </c>
    </row>
    <row r="101" ht="22.5" customHeight="1">
      <c r="A101" s="2" t="s">
        <v>19</v>
      </c>
      <c r="B101" s="2" t="s">
        <v>100</v>
      </c>
      <c r="C101" s="2" t="s">
        <v>21</v>
      </c>
      <c r="D101" s="2" t="s">
        <v>22</v>
      </c>
      <c r="F101" s="2" t="s">
        <v>101</v>
      </c>
      <c r="G101" s="2">
        <v>4494.62529</v>
      </c>
      <c r="H101" s="2" t="s">
        <v>27</v>
      </c>
    </row>
    <row r="102" ht="22.5" customHeight="1">
      <c r="A102" s="2" t="s">
        <v>19</v>
      </c>
      <c r="B102" s="2" t="s">
        <v>102</v>
      </c>
      <c r="C102" s="2" t="s">
        <v>32</v>
      </c>
      <c r="D102" s="2" t="s">
        <v>103</v>
      </c>
      <c r="F102" s="2" t="s">
        <v>104</v>
      </c>
      <c r="G102" s="2">
        <v>19146.252292</v>
      </c>
      <c r="H102" s="2" t="s">
        <v>26</v>
      </c>
    </row>
    <row r="103" ht="22.5" customHeight="1">
      <c r="A103" s="2" t="s">
        <v>19</v>
      </c>
      <c r="B103" s="2" t="s">
        <v>102</v>
      </c>
      <c r="C103" s="2" t="s">
        <v>32</v>
      </c>
      <c r="D103" s="2" t="s">
        <v>103</v>
      </c>
      <c r="F103" s="2" t="s">
        <v>104</v>
      </c>
      <c r="G103" s="2">
        <v>15198.144052</v>
      </c>
      <c r="H103" s="2" t="s">
        <v>25</v>
      </c>
    </row>
    <row r="104" ht="22.5" customHeight="1">
      <c r="A104" s="2" t="s">
        <v>19</v>
      </c>
      <c r="B104" s="2" t="s">
        <v>102</v>
      </c>
      <c r="C104" s="2" t="s">
        <v>32</v>
      </c>
      <c r="D104" s="2" t="s">
        <v>103</v>
      </c>
      <c r="F104" s="2" t="s">
        <v>104</v>
      </c>
      <c r="G104" s="2">
        <v>17892.853175</v>
      </c>
      <c r="H104" s="2" t="s">
        <v>27</v>
      </c>
    </row>
    <row r="105" ht="22.5" customHeight="1">
      <c r="A105" s="2" t="s">
        <v>19</v>
      </c>
      <c r="B105" s="2" t="s">
        <v>105</v>
      </c>
      <c r="C105" s="2" t="s">
        <v>21</v>
      </c>
      <c r="D105" s="2" t="s">
        <v>22</v>
      </c>
      <c r="F105" s="2" t="s">
        <v>106</v>
      </c>
      <c r="G105" s="2">
        <v>7350.0</v>
      </c>
      <c r="H105" s="2" t="s">
        <v>25</v>
      </c>
    </row>
    <row r="106" ht="22.5" customHeight="1">
      <c r="A106" s="2" t="s">
        <v>19</v>
      </c>
      <c r="B106" s="2" t="s">
        <v>105</v>
      </c>
      <c r="C106" s="2" t="s">
        <v>21</v>
      </c>
      <c r="D106" s="2" t="s">
        <v>22</v>
      </c>
      <c r="F106" s="2" t="s">
        <v>106</v>
      </c>
      <c r="G106" s="2">
        <v>3675.0</v>
      </c>
      <c r="H106" s="2" t="s">
        <v>26</v>
      </c>
    </row>
    <row r="107" ht="22.5" customHeight="1">
      <c r="A107" s="2" t="s">
        <v>19</v>
      </c>
      <c r="B107" s="2" t="s">
        <v>105</v>
      </c>
      <c r="C107" s="2" t="s">
        <v>21</v>
      </c>
      <c r="D107" s="2" t="s">
        <v>22</v>
      </c>
      <c r="F107" s="2" t="s">
        <v>106</v>
      </c>
      <c r="G107" s="2">
        <v>7350.0</v>
      </c>
      <c r="H107" s="2" t="s">
        <v>27</v>
      </c>
    </row>
    <row r="108" ht="22.5" customHeight="1">
      <c r="A108" s="2" t="s">
        <v>19</v>
      </c>
      <c r="B108" s="2" t="s">
        <v>107</v>
      </c>
      <c r="C108" s="2" t="s">
        <v>32</v>
      </c>
      <c r="D108" s="2" t="s">
        <v>48</v>
      </c>
      <c r="F108" s="2" t="s">
        <v>108</v>
      </c>
      <c r="G108" s="2">
        <v>20297.06278</v>
      </c>
      <c r="H108" s="2" t="s">
        <v>25</v>
      </c>
    </row>
    <row r="109" ht="22.5" customHeight="1">
      <c r="A109" s="2" t="s">
        <v>19</v>
      </c>
      <c r="B109" s="2" t="s">
        <v>107</v>
      </c>
      <c r="C109" s="2" t="s">
        <v>32</v>
      </c>
      <c r="D109" s="2" t="s">
        <v>48</v>
      </c>
      <c r="F109" s="2" t="s">
        <v>108</v>
      </c>
      <c r="G109" s="2">
        <v>20130.558316</v>
      </c>
      <c r="H109" s="2" t="s">
        <v>26</v>
      </c>
    </row>
    <row r="110" ht="22.5" customHeight="1">
      <c r="A110" s="2" t="s">
        <v>19</v>
      </c>
      <c r="B110" s="2" t="s">
        <v>107</v>
      </c>
      <c r="C110" s="2" t="s">
        <v>32</v>
      </c>
      <c r="D110" s="2" t="s">
        <v>48</v>
      </c>
      <c r="F110" s="2" t="s">
        <v>108</v>
      </c>
      <c r="G110" s="2">
        <v>19918.225945</v>
      </c>
      <c r="H110" s="2" t="s">
        <v>27</v>
      </c>
    </row>
    <row r="111" ht="22.5" customHeight="1">
      <c r="A111" s="2" t="s">
        <v>19</v>
      </c>
      <c r="B111" s="2" t="s">
        <v>109</v>
      </c>
      <c r="C111" s="2" t="s">
        <v>21</v>
      </c>
      <c r="D111" s="2" t="s">
        <v>22</v>
      </c>
      <c r="E111" s="2" t="s">
        <v>53</v>
      </c>
      <c r="F111" s="2" t="s">
        <v>110</v>
      </c>
      <c r="G111" s="2">
        <v>16974.754614</v>
      </c>
      <c r="H111" s="2" t="s">
        <v>26</v>
      </c>
    </row>
    <row r="112" ht="22.5" customHeight="1">
      <c r="A112" s="2" t="s">
        <v>19</v>
      </c>
      <c r="B112" s="2" t="s">
        <v>109</v>
      </c>
      <c r="C112" s="2" t="s">
        <v>21</v>
      </c>
      <c r="D112" s="2" t="s">
        <v>22</v>
      </c>
      <c r="E112" s="2" t="s">
        <v>53</v>
      </c>
      <c r="F112" s="2" t="s">
        <v>110</v>
      </c>
      <c r="G112" s="2">
        <v>13884.567962</v>
      </c>
      <c r="H112" s="2" t="s">
        <v>27</v>
      </c>
    </row>
    <row r="113" ht="22.5" customHeight="1">
      <c r="A113" s="2" t="s">
        <v>19</v>
      </c>
      <c r="B113" s="2" t="s">
        <v>111</v>
      </c>
      <c r="C113" s="2" t="s">
        <v>21</v>
      </c>
      <c r="D113" s="2" t="s">
        <v>22</v>
      </c>
      <c r="E113" s="2" t="s">
        <v>53</v>
      </c>
      <c r="F113" s="2" t="s">
        <v>112</v>
      </c>
      <c r="G113" s="2">
        <v>15635.661516</v>
      </c>
      <c r="H113" s="2" t="s">
        <v>27</v>
      </c>
    </row>
    <row r="114" ht="22.5" customHeight="1">
      <c r="A114" s="2" t="s">
        <v>19</v>
      </c>
      <c r="B114" s="2" t="s">
        <v>111</v>
      </c>
      <c r="C114" s="2" t="s">
        <v>21</v>
      </c>
      <c r="D114" s="2" t="s">
        <v>22</v>
      </c>
      <c r="E114" s="2" t="s">
        <v>53</v>
      </c>
      <c r="F114" s="2" t="s">
        <v>112</v>
      </c>
      <c r="G114" s="2">
        <v>15934.228414</v>
      </c>
      <c r="H114" s="2" t="s">
        <v>25</v>
      </c>
    </row>
    <row r="115" ht="22.5" customHeight="1">
      <c r="A115" s="2" t="s">
        <v>19</v>
      </c>
      <c r="B115" s="2" t="s">
        <v>111</v>
      </c>
      <c r="C115" s="2" t="s">
        <v>21</v>
      </c>
      <c r="D115" s="2" t="s">
        <v>22</v>
      </c>
      <c r="E115" s="2" t="s">
        <v>53</v>
      </c>
      <c r="F115" s="2" t="s">
        <v>112</v>
      </c>
      <c r="G115" s="2">
        <v>15927.656463</v>
      </c>
      <c r="H115" s="2" t="s">
        <v>26</v>
      </c>
    </row>
    <row r="116" ht="22.5" customHeight="1">
      <c r="A116" s="2" t="s">
        <v>19</v>
      </c>
      <c r="B116" s="2" t="s">
        <v>113</v>
      </c>
      <c r="C116" s="2" t="s">
        <v>32</v>
      </c>
      <c r="D116" s="2" t="s">
        <v>56</v>
      </c>
      <c r="F116" s="2" t="s">
        <v>114</v>
      </c>
      <c r="G116" s="2">
        <v>23200.97604</v>
      </c>
      <c r="H116" s="2" t="s">
        <v>27</v>
      </c>
    </row>
    <row r="117" ht="22.5" customHeight="1">
      <c r="A117" s="2" t="s">
        <v>19</v>
      </c>
      <c r="B117" s="2" t="s">
        <v>113</v>
      </c>
      <c r="C117" s="2" t="s">
        <v>32</v>
      </c>
      <c r="D117" s="2" t="s">
        <v>56</v>
      </c>
      <c r="F117" s="2" t="s">
        <v>114</v>
      </c>
      <c r="G117" s="2">
        <v>22655.84342</v>
      </c>
      <c r="H117" s="2" t="s">
        <v>25</v>
      </c>
    </row>
    <row r="118" ht="22.5" customHeight="1">
      <c r="A118" s="2" t="s">
        <v>19</v>
      </c>
      <c r="B118" s="2" t="s">
        <v>113</v>
      </c>
      <c r="C118" s="2" t="s">
        <v>32</v>
      </c>
      <c r="D118" s="2" t="s">
        <v>56</v>
      </c>
      <c r="F118" s="2" t="s">
        <v>114</v>
      </c>
      <c r="G118" s="3">
        <v>20527.440000000002</v>
      </c>
      <c r="H118" s="2" t="s">
        <v>26</v>
      </c>
    </row>
    <row r="119" ht="22.5" customHeight="1">
      <c r="A119" s="2" t="s">
        <v>19</v>
      </c>
      <c r="B119" s="2" t="s">
        <v>113</v>
      </c>
      <c r="C119" s="2" t="s">
        <v>32</v>
      </c>
      <c r="D119" s="2" t="s">
        <v>56</v>
      </c>
      <c r="F119" s="2" t="s">
        <v>114</v>
      </c>
      <c r="G119" s="3">
        <v>20527.440000000002</v>
      </c>
      <c r="H119" s="4" t="s">
        <v>28</v>
      </c>
    </row>
    <row r="120" ht="22.5" customHeight="1">
      <c r="A120" s="2" t="s">
        <v>19</v>
      </c>
      <c r="B120" s="2" t="s">
        <v>115</v>
      </c>
      <c r="C120" s="2" t="s">
        <v>21</v>
      </c>
      <c r="D120" s="2" t="s">
        <v>22</v>
      </c>
      <c r="F120" s="2" t="s">
        <v>116</v>
      </c>
      <c r="G120" s="2">
        <v>10128.07104</v>
      </c>
      <c r="H120" s="2" t="s">
        <v>27</v>
      </c>
    </row>
    <row r="121" ht="22.5" customHeight="1">
      <c r="A121" s="2" t="s">
        <v>19</v>
      </c>
      <c r="B121" s="2" t="s">
        <v>115</v>
      </c>
      <c r="C121" s="2" t="s">
        <v>21</v>
      </c>
      <c r="D121" s="2" t="s">
        <v>22</v>
      </c>
      <c r="F121" s="2" t="s">
        <v>116</v>
      </c>
      <c r="G121" s="2">
        <v>20321.67818</v>
      </c>
      <c r="H121" s="2" t="s">
        <v>25</v>
      </c>
    </row>
    <row r="122" ht="22.5" customHeight="1">
      <c r="A122" s="2" t="s">
        <v>19</v>
      </c>
      <c r="B122" s="2" t="s">
        <v>117</v>
      </c>
      <c r="C122" s="2" t="s">
        <v>32</v>
      </c>
      <c r="D122" s="2" t="s">
        <v>118</v>
      </c>
      <c r="F122" s="2" t="s">
        <v>119</v>
      </c>
      <c r="G122" s="3">
        <v>34524.9</v>
      </c>
      <c r="H122" s="2" t="s">
        <v>27</v>
      </c>
    </row>
    <row r="123" ht="22.5" customHeight="1">
      <c r="A123" s="2" t="s">
        <v>19</v>
      </c>
      <c r="B123" s="2" t="s">
        <v>117</v>
      </c>
      <c r="C123" s="2" t="s">
        <v>32</v>
      </c>
      <c r="D123" s="2" t="s">
        <v>118</v>
      </c>
      <c r="F123" s="2" t="s">
        <v>119</v>
      </c>
      <c r="G123" s="3">
        <v>34524.9</v>
      </c>
      <c r="H123" s="2" t="s">
        <v>26</v>
      </c>
    </row>
    <row r="124" ht="22.5" customHeight="1">
      <c r="A124" s="2" t="s">
        <v>19</v>
      </c>
      <c r="B124" s="2" t="s">
        <v>117</v>
      </c>
      <c r="C124" s="2" t="s">
        <v>32</v>
      </c>
      <c r="D124" s="2" t="s">
        <v>118</v>
      </c>
      <c r="F124" s="2" t="s">
        <v>119</v>
      </c>
      <c r="G124" s="3">
        <v>34524.9</v>
      </c>
      <c r="H124" s="2" t="s">
        <v>25</v>
      </c>
    </row>
    <row r="125" ht="22.5" customHeight="1">
      <c r="A125" s="2" t="s">
        <v>19</v>
      </c>
      <c r="B125" s="2" t="s">
        <v>117</v>
      </c>
      <c r="C125" s="2" t="s">
        <v>32</v>
      </c>
      <c r="D125" s="2" t="s">
        <v>118</v>
      </c>
      <c r="F125" s="2" t="s">
        <v>119</v>
      </c>
      <c r="G125" s="3">
        <v>34524.9</v>
      </c>
      <c r="H125" s="4" t="s">
        <v>28</v>
      </c>
    </row>
    <row r="126" ht="22.5" customHeight="1">
      <c r="A126" s="2" t="s">
        <v>19</v>
      </c>
      <c r="B126" s="2" t="s">
        <v>120</v>
      </c>
      <c r="C126" s="2" t="s">
        <v>21</v>
      </c>
      <c r="D126" s="2" t="s">
        <v>22</v>
      </c>
      <c r="E126" s="2" t="s">
        <v>23</v>
      </c>
      <c r="F126" s="2" t="s">
        <v>121</v>
      </c>
      <c r="G126" s="3">
        <v>14368.28</v>
      </c>
      <c r="H126" s="2" t="s">
        <v>26</v>
      </c>
    </row>
    <row r="127" ht="22.5" customHeight="1">
      <c r="A127" s="2" t="s">
        <v>19</v>
      </c>
      <c r="B127" s="2" t="s">
        <v>120</v>
      </c>
      <c r="C127" s="2" t="s">
        <v>21</v>
      </c>
      <c r="D127" s="2" t="s">
        <v>22</v>
      </c>
      <c r="E127" s="2" t="s">
        <v>23</v>
      </c>
      <c r="F127" s="2" t="s">
        <v>121</v>
      </c>
      <c r="G127" s="3">
        <v>13001.391037000001</v>
      </c>
      <c r="H127" s="2" t="s">
        <v>27</v>
      </c>
    </row>
    <row r="128" ht="22.5" customHeight="1">
      <c r="A128" s="2" t="s">
        <v>19</v>
      </c>
      <c r="B128" s="2" t="s">
        <v>120</v>
      </c>
      <c r="C128" s="2" t="s">
        <v>21</v>
      </c>
      <c r="D128" s="2" t="s">
        <v>22</v>
      </c>
      <c r="E128" s="2" t="s">
        <v>23</v>
      </c>
      <c r="F128" s="2" t="s">
        <v>121</v>
      </c>
      <c r="G128" s="2">
        <v>11540.051364</v>
      </c>
      <c r="H128" s="2" t="s">
        <v>25</v>
      </c>
    </row>
    <row r="129" ht="22.5" customHeight="1">
      <c r="A129" s="2" t="s">
        <v>19</v>
      </c>
      <c r="B129" s="2" t="s">
        <v>120</v>
      </c>
      <c r="C129" s="2" t="s">
        <v>21</v>
      </c>
      <c r="D129" s="2" t="s">
        <v>22</v>
      </c>
      <c r="E129" s="2" t="s">
        <v>23</v>
      </c>
      <c r="F129" s="2" t="s">
        <v>121</v>
      </c>
      <c r="G129" s="3">
        <v>13513.4925</v>
      </c>
      <c r="H129" s="4" t="s">
        <v>28</v>
      </c>
    </row>
    <row r="130" ht="22.5" customHeight="1">
      <c r="A130" s="2" t="s">
        <v>19</v>
      </c>
      <c r="B130" s="2" t="s">
        <v>122</v>
      </c>
      <c r="C130" s="2" t="s">
        <v>32</v>
      </c>
      <c r="D130" s="2" t="s">
        <v>48</v>
      </c>
      <c r="F130" s="2" t="s">
        <v>123</v>
      </c>
      <c r="G130" s="2">
        <v>16555.654738</v>
      </c>
      <c r="H130" s="2" t="s">
        <v>26</v>
      </c>
    </row>
    <row r="131" ht="22.5" customHeight="1">
      <c r="A131" s="2" t="s">
        <v>19</v>
      </c>
      <c r="B131" s="2" t="s">
        <v>122</v>
      </c>
      <c r="C131" s="2" t="s">
        <v>32</v>
      </c>
      <c r="D131" s="2" t="s">
        <v>48</v>
      </c>
      <c r="F131" s="2" t="s">
        <v>123</v>
      </c>
      <c r="G131" s="2">
        <v>17783.171619</v>
      </c>
      <c r="H131" s="2" t="s">
        <v>27</v>
      </c>
    </row>
    <row r="132" ht="22.5" customHeight="1">
      <c r="A132" s="2" t="s">
        <v>19</v>
      </c>
      <c r="B132" s="2" t="s">
        <v>122</v>
      </c>
      <c r="C132" s="2" t="s">
        <v>32</v>
      </c>
      <c r="D132" s="2" t="s">
        <v>48</v>
      </c>
      <c r="F132" s="2" t="s">
        <v>123</v>
      </c>
      <c r="G132" s="2">
        <v>18122.529054</v>
      </c>
      <c r="H132" s="2" t="s">
        <v>25</v>
      </c>
    </row>
    <row r="133" ht="22.5" customHeight="1">
      <c r="A133" s="2" t="s">
        <v>19</v>
      </c>
      <c r="B133" s="2" t="s">
        <v>124</v>
      </c>
      <c r="C133" s="2" t="s">
        <v>21</v>
      </c>
      <c r="D133" s="2" t="s">
        <v>22</v>
      </c>
      <c r="E133" s="2" t="s">
        <v>42</v>
      </c>
      <c r="F133" s="2" t="s">
        <v>125</v>
      </c>
      <c r="G133" s="2">
        <v>13205.68591</v>
      </c>
      <c r="H133" s="2" t="s">
        <v>26</v>
      </c>
    </row>
    <row r="134" ht="22.5" customHeight="1">
      <c r="A134" s="2" t="s">
        <v>19</v>
      </c>
      <c r="B134" s="2" t="s">
        <v>124</v>
      </c>
      <c r="C134" s="2" t="s">
        <v>21</v>
      </c>
      <c r="D134" s="2" t="s">
        <v>22</v>
      </c>
      <c r="E134" s="2" t="s">
        <v>42</v>
      </c>
      <c r="F134" s="2" t="s">
        <v>125</v>
      </c>
      <c r="G134" s="2">
        <v>12908.441516</v>
      </c>
      <c r="H134" s="2" t="s">
        <v>27</v>
      </c>
    </row>
    <row r="135" ht="22.5" customHeight="1">
      <c r="A135" s="2" t="s">
        <v>19</v>
      </c>
      <c r="B135" s="2" t="s">
        <v>124</v>
      </c>
      <c r="C135" s="2" t="s">
        <v>21</v>
      </c>
      <c r="D135" s="2" t="s">
        <v>22</v>
      </c>
      <c r="E135" s="2" t="s">
        <v>42</v>
      </c>
      <c r="F135" s="2" t="s">
        <v>125</v>
      </c>
      <c r="G135" s="2">
        <v>13156.028414</v>
      </c>
      <c r="H135" s="2" t="s">
        <v>25</v>
      </c>
    </row>
    <row r="136" ht="22.5" customHeight="1">
      <c r="A136" s="2" t="s">
        <v>19</v>
      </c>
      <c r="B136" s="2" t="s">
        <v>126</v>
      </c>
      <c r="C136" s="2" t="s">
        <v>32</v>
      </c>
      <c r="D136" s="2" t="s">
        <v>48</v>
      </c>
      <c r="F136" s="2" t="s">
        <v>127</v>
      </c>
      <c r="G136" s="2">
        <v>15924.754614</v>
      </c>
      <c r="H136" s="2" t="s">
        <v>26</v>
      </c>
    </row>
    <row r="137" ht="22.5" customHeight="1">
      <c r="A137" s="2" t="s">
        <v>19</v>
      </c>
      <c r="B137" s="2" t="s">
        <v>126</v>
      </c>
      <c r="C137" s="2" t="s">
        <v>32</v>
      </c>
      <c r="D137" s="2" t="s">
        <v>48</v>
      </c>
      <c r="F137" s="2" t="s">
        <v>127</v>
      </c>
      <c r="G137" s="2">
        <v>7699.68742</v>
      </c>
      <c r="H137" s="2" t="s">
        <v>27</v>
      </c>
    </row>
    <row r="138" ht="22.5" customHeight="1">
      <c r="A138" s="2" t="s">
        <v>19</v>
      </c>
      <c r="B138" s="2" t="s">
        <v>128</v>
      </c>
      <c r="C138" s="2" t="s">
        <v>21</v>
      </c>
      <c r="D138" s="2" t="s">
        <v>22</v>
      </c>
      <c r="E138" s="2" t="s">
        <v>23</v>
      </c>
      <c r="F138" s="2" t="s">
        <v>129</v>
      </c>
      <c r="G138" s="3">
        <v>18920.03</v>
      </c>
      <c r="H138" s="2" t="s">
        <v>26</v>
      </c>
    </row>
    <row r="139" ht="22.5" customHeight="1">
      <c r="A139" s="2" t="s">
        <v>19</v>
      </c>
      <c r="B139" s="2" t="s">
        <v>128</v>
      </c>
      <c r="C139" s="2" t="s">
        <v>21</v>
      </c>
      <c r="D139" s="2" t="s">
        <v>22</v>
      </c>
      <c r="E139" s="2" t="s">
        <v>23</v>
      </c>
      <c r="F139" s="2" t="s">
        <v>129</v>
      </c>
      <c r="G139" s="2">
        <v>20790.280388</v>
      </c>
      <c r="H139" s="2" t="s">
        <v>27</v>
      </c>
    </row>
    <row r="140" ht="22.5" customHeight="1">
      <c r="A140" s="2" t="s">
        <v>19</v>
      </c>
      <c r="B140" s="2" t="s">
        <v>128</v>
      </c>
      <c r="C140" s="2" t="s">
        <v>21</v>
      </c>
      <c r="D140" s="2" t="s">
        <v>22</v>
      </c>
      <c r="E140" s="2" t="s">
        <v>23</v>
      </c>
      <c r="F140" s="2" t="s">
        <v>129</v>
      </c>
      <c r="G140" s="2">
        <v>22501.67818</v>
      </c>
      <c r="H140" s="2" t="s">
        <v>25</v>
      </c>
    </row>
    <row r="141" ht="22.5" customHeight="1">
      <c r="A141" s="2" t="s">
        <v>19</v>
      </c>
      <c r="B141" s="2" t="s">
        <v>128</v>
      </c>
      <c r="C141" s="2" t="s">
        <v>21</v>
      </c>
      <c r="D141" s="2" t="s">
        <v>22</v>
      </c>
      <c r="E141" s="2" t="s">
        <v>23</v>
      </c>
      <c r="F141" s="2" t="s">
        <v>129</v>
      </c>
      <c r="G141" s="3">
        <v>18427.440000000002</v>
      </c>
      <c r="H141" s="4" t="s">
        <v>28</v>
      </c>
    </row>
    <row r="142" ht="22.5" customHeight="1">
      <c r="A142" s="2" t="s">
        <v>19</v>
      </c>
      <c r="B142" s="2" t="s">
        <v>130</v>
      </c>
      <c r="C142" s="2" t="s">
        <v>21</v>
      </c>
      <c r="D142" s="2" t="s">
        <v>22</v>
      </c>
      <c r="F142" s="2" t="s">
        <v>131</v>
      </c>
      <c r="G142" s="2">
        <v>12571.67402</v>
      </c>
      <c r="H142" s="2" t="s">
        <v>25</v>
      </c>
    </row>
    <row r="143" ht="22.5" customHeight="1">
      <c r="A143" s="2" t="s">
        <v>19</v>
      </c>
      <c r="B143" s="2" t="s">
        <v>132</v>
      </c>
      <c r="C143" s="2" t="s">
        <v>21</v>
      </c>
      <c r="D143" s="2" t="s">
        <v>56</v>
      </c>
      <c r="F143" s="2" t="s">
        <v>133</v>
      </c>
      <c r="G143" s="2">
        <v>7350.0</v>
      </c>
      <c r="H143" s="2" t="s">
        <v>25</v>
      </c>
    </row>
    <row r="144" ht="22.5" customHeight="1">
      <c r="A144" s="2" t="s">
        <v>19</v>
      </c>
      <c r="B144" s="2" t="s">
        <v>132</v>
      </c>
      <c r="C144" s="2" t="s">
        <v>21</v>
      </c>
      <c r="D144" s="2" t="s">
        <v>56</v>
      </c>
      <c r="F144" s="2" t="s">
        <v>133</v>
      </c>
      <c r="G144" s="3">
        <v>6615.84</v>
      </c>
      <c r="H144" s="2" t="s">
        <v>26</v>
      </c>
    </row>
    <row r="145" ht="22.5" customHeight="1">
      <c r="A145" s="2" t="s">
        <v>19</v>
      </c>
      <c r="B145" s="2" t="s">
        <v>132</v>
      </c>
      <c r="C145" s="2" t="s">
        <v>21</v>
      </c>
      <c r="D145" s="2" t="s">
        <v>56</v>
      </c>
      <c r="F145" s="2" t="s">
        <v>133</v>
      </c>
      <c r="G145" s="2">
        <v>10059.743257</v>
      </c>
      <c r="H145" s="2" t="s">
        <v>27</v>
      </c>
    </row>
    <row r="146" ht="22.5" customHeight="1">
      <c r="A146" s="2" t="s">
        <v>19</v>
      </c>
      <c r="B146" s="2" t="s">
        <v>132</v>
      </c>
      <c r="C146" s="2" t="s">
        <v>21</v>
      </c>
      <c r="D146" s="2" t="s">
        <v>56</v>
      </c>
      <c r="F146" s="2" t="s">
        <v>133</v>
      </c>
      <c r="G146" s="3">
        <v>9451.2</v>
      </c>
      <c r="H146" s="4" t="s">
        <v>28</v>
      </c>
    </row>
    <row r="147" ht="22.5" customHeight="1">
      <c r="A147" s="2" t="s">
        <v>19</v>
      </c>
      <c r="B147" s="2" t="s">
        <v>134</v>
      </c>
      <c r="C147" s="2" t="s">
        <v>21</v>
      </c>
      <c r="D147" s="2" t="s">
        <v>56</v>
      </c>
      <c r="F147" s="2" t="s">
        <v>135</v>
      </c>
      <c r="G147" s="2">
        <v>24665.36342</v>
      </c>
      <c r="H147" s="2" t="s">
        <v>25</v>
      </c>
    </row>
    <row r="148" ht="22.5" customHeight="1">
      <c r="A148" s="2" t="s">
        <v>19</v>
      </c>
      <c r="B148" s="2" t="s">
        <v>134</v>
      </c>
      <c r="C148" s="2" t="s">
        <v>21</v>
      </c>
      <c r="D148" s="2" t="s">
        <v>56</v>
      </c>
      <c r="F148" s="2" t="s">
        <v>135</v>
      </c>
      <c r="G148" s="2">
        <v>24293.14929</v>
      </c>
      <c r="H148" s="2" t="s">
        <v>26</v>
      </c>
    </row>
    <row r="149" ht="22.5" customHeight="1">
      <c r="A149" s="2" t="s">
        <v>19</v>
      </c>
      <c r="B149" s="2" t="s">
        <v>134</v>
      </c>
      <c r="C149" s="2" t="s">
        <v>21</v>
      </c>
      <c r="D149" s="2" t="s">
        <v>56</v>
      </c>
      <c r="F149" s="2" t="s">
        <v>135</v>
      </c>
      <c r="G149" s="2">
        <v>24205.73604</v>
      </c>
      <c r="H149" s="2" t="s">
        <v>27</v>
      </c>
    </row>
    <row r="150" ht="22.5" customHeight="1">
      <c r="A150" s="2" t="s">
        <v>19</v>
      </c>
      <c r="B150" s="2" t="s">
        <v>136</v>
      </c>
      <c r="C150" s="2" t="s">
        <v>21</v>
      </c>
      <c r="D150" s="2" t="s">
        <v>22</v>
      </c>
      <c r="E150" s="2" t="s">
        <v>23</v>
      </c>
      <c r="F150" s="2" t="s">
        <v>137</v>
      </c>
      <c r="G150" s="2">
        <v>18141.678181</v>
      </c>
      <c r="H150" s="2" t="s">
        <v>25</v>
      </c>
    </row>
    <row r="151" ht="22.5" customHeight="1">
      <c r="A151" s="2" t="s">
        <v>19</v>
      </c>
      <c r="B151" s="2" t="s">
        <v>136</v>
      </c>
      <c r="C151" s="2" t="s">
        <v>21</v>
      </c>
      <c r="D151" s="2" t="s">
        <v>22</v>
      </c>
      <c r="E151" s="2" t="s">
        <v>23</v>
      </c>
      <c r="F151" s="2" t="s">
        <v>137</v>
      </c>
      <c r="G151" s="3">
        <v>14227.44</v>
      </c>
      <c r="H151" s="2" t="s">
        <v>26</v>
      </c>
    </row>
    <row r="152" ht="22.5" customHeight="1">
      <c r="A152" s="2" t="s">
        <v>19</v>
      </c>
      <c r="B152" s="2" t="s">
        <v>136</v>
      </c>
      <c r="C152" s="2" t="s">
        <v>21</v>
      </c>
      <c r="D152" s="2" t="s">
        <v>22</v>
      </c>
      <c r="E152" s="2" t="s">
        <v>23</v>
      </c>
      <c r="F152" s="2" t="s">
        <v>137</v>
      </c>
      <c r="G152" s="3">
        <v>14227.44</v>
      </c>
      <c r="H152" s="4" t="s">
        <v>28</v>
      </c>
    </row>
    <row r="153" ht="22.5" customHeight="1">
      <c r="A153" s="2" t="s">
        <v>19</v>
      </c>
      <c r="B153" s="2" t="s">
        <v>136</v>
      </c>
      <c r="C153" s="2" t="s">
        <v>21</v>
      </c>
      <c r="D153" s="2" t="s">
        <v>22</v>
      </c>
      <c r="E153" s="2" t="s">
        <v>23</v>
      </c>
      <c r="F153" s="2" t="s">
        <v>137</v>
      </c>
      <c r="G153" s="2">
        <v>17823.581037</v>
      </c>
      <c r="H153" s="2" t="s">
        <v>27</v>
      </c>
    </row>
    <row r="154" ht="22.5" customHeight="1">
      <c r="A154" s="2" t="s">
        <v>19</v>
      </c>
      <c r="B154" s="2" t="s">
        <v>138</v>
      </c>
      <c r="C154" s="2" t="s">
        <v>21</v>
      </c>
      <c r="D154" s="2" t="s">
        <v>22</v>
      </c>
      <c r="E154" s="2" t="s">
        <v>45</v>
      </c>
      <c r="F154" s="2" t="s">
        <v>139</v>
      </c>
      <c r="G154" s="2">
        <v>18141.678181</v>
      </c>
      <c r="H154" s="2" t="s">
        <v>25</v>
      </c>
    </row>
    <row r="155" ht="22.5" customHeight="1">
      <c r="A155" s="2" t="s">
        <v>19</v>
      </c>
      <c r="B155" s="2" t="s">
        <v>138</v>
      </c>
      <c r="C155" s="2" t="s">
        <v>21</v>
      </c>
      <c r="D155" s="2" t="s">
        <v>22</v>
      </c>
      <c r="E155" s="2" t="s">
        <v>45</v>
      </c>
      <c r="F155" s="2" t="s">
        <v>139</v>
      </c>
      <c r="G155" s="3">
        <v>15802.44</v>
      </c>
      <c r="H155" s="2" t="s">
        <v>26</v>
      </c>
    </row>
    <row r="156" ht="22.5" customHeight="1">
      <c r="A156" s="2" t="s">
        <v>19</v>
      </c>
      <c r="B156" s="2" t="s">
        <v>138</v>
      </c>
      <c r="C156" s="2" t="s">
        <v>21</v>
      </c>
      <c r="D156" s="2" t="s">
        <v>22</v>
      </c>
      <c r="E156" s="2" t="s">
        <v>45</v>
      </c>
      <c r="F156" s="2" t="s">
        <v>139</v>
      </c>
      <c r="G156" s="2">
        <v>19428.580152</v>
      </c>
      <c r="H156" s="2" t="s">
        <v>27</v>
      </c>
    </row>
    <row r="157" ht="22.5" customHeight="1">
      <c r="A157" s="2" t="s">
        <v>19</v>
      </c>
      <c r="B157" s="2" t="s">
        <v>138</v>
      </c>
      <c r="C157" s="2" t="s">
        <v>21</v>
      </c>
      <c r="D157" s="2" t="s">
        <v>22</v>
      </c>
      <c r="E157" s="2" t="s">
        <v>45</v>
      </c>
      <c r="F157" s="2" t="s">
        <v>139</v>
      </c>
      <c r="G157" s="3">
        <v>15802.44</v>
      </c>
      <c r="H157" s="4" t="s">
        <v>28</v>
      </c>
    </row>
    <row r="158" ht="22.5" customHeight="1">
      <c r="A158" s="2" t="s">
        <v>19</v>
      </c>
      <c r="B158" s="2" t="s">
        <v>140</v>
      </c>
      <c r="C158" s="2" t="s">
        <v>21</v>
      </c>
      <c r="D158" s="2" t="s">
        <v>56</v>
      </c>
      <c r="F158" s="2" t="s">
        <v>141</v>
      </c>
      <c r="G158" s="2">
        <v>13208.291322</v>
      </c>
      <c r="H158" s="2" t="s">
        <v>25</v>
      </c>
    </row>
    <row r="159" ht="22.5" customHeight="1">
      <c r="A159" s="2" t="s">
        <v>19</v>
      </c>
      <c r="B159" s="2" t="s">
        <v>140</v>
      </c>
      <c r="C159" s="2" t="s">
        <v>21</v>
      </c>
      <c r="D159" s="2" t="s">
        <v>56</v>
      </c>
      <c r="F159" s="2" t="s">
        <v>141</v>
      </c>
      <c r="G159" s="2">
        <v>12955.727005</v>
      </c>
      <c r="H159" s="2" t="s">
        <v>27</v>
      </c>
    </row>
    <row r="160" ht="22.5" customHeight="1">
      <c r="A160" s="2" t="s">
        <v>19</v>
      </c>
      <c r="B160" s="2" t="s">
        <v>140</v>
      </c>
      <c r="C160" s="2" t="s">
        <v>21</v>
      </c>
      <c r="D160" s="2" t="s">
        <v>56</v>
      </c>
      <c r="F160" s="2" t="s">
        <v>141</v>
      </c>
      <c r="G160" s="2">
        <v>13202.829051</v>
      </c>
      <c r="H160" s="2" t="s">
        <v>26</v>
      </c>
    </row>
    <row r="161" ht="22.5" customHeight="1">
      <c r="A161" s="2" t="s">
        <v>19</v>
      </c>
      <c r="B161" s="2" t="s">
        <v>142</v>
      </c>
      <c r="C161" s="2" t="s">
        <v>21</v>
      </c>
      <c r="D161" s="2" t="s">
        <v>22</v>
      </c>
      <c r="E161" s="2" t="s">
        <v>143</v>
      </c>
      <c r="F161" s="2" t="s">
        <v>144</v>
      </c>
      <c r="G161" s="2">
        <v>14563.097092</v>
      </c>
      <c r="H161" s="2" t="s">
        <v>27</v>
      </c>
    </row>
    <row r="162" ht="22.5" customHeight="1">
      <c r="A162" s="2" t="s">
        <v>19</v>
      </c>
      <c r="B162" s="2" t="s">
        <v>142</v>
      </c>
      <c r="C162" s="2" t="s">
        <v>21</v>
      </c>
      <c r="D162" s="2" t="s">
        <v>22</v>
      </c>
      <c r="E162" s="2" t="s">
        <v>143</v>
      </c>
      <c r="F162" s="2" t="s">
        <v>144</v>
      </c>
      <c r="G162" s="2">
        <v>14841.39405</v>
      </c>
      <c r="H162" s="2" t="s">
        <v>25</v>
      </c>
    </row>
    <row r="163" ht="22.5" customHeight="1">
      <c r="A163" s="2" t="s">
        <v>19</v>
      </c>
      <c r="B163" s="2" t="s">
        <v>142</v>
      </c>
      <c r="C163" s="2" t="s">
        <v>21</v>
      </c>
      <c r="D163" s="2" t="s">
        <v>22</v>
      </c>
      <c r="E163" s="2" t="s">
        <v>143</v>
      </c>
      <c r="F163" s="2" t="s">
        <v>144</v>
      </c>
      <c r="G163" s="2">
        <v>14874.754614</v>
      </c>
      <c r="H163" s="2" t="s">
        <v>26</v>
      </c>
    </row>
    <row r="164" ht="22.5" customHeight="1">
      <c r="A164" s="2" t="s">
        <v>19</v>
      </c>
      <c r="B164" s="2" t="s">
        <v>145</v>
      </c>
      <c r="C164" s="2" t="s">
        <v>21</v>
      </c>
      <c r="D164" s="2" t="s">
        <v>22</v>
      </c>
      <c r="E164" s="2" t="s">
        <v>23</v>
      </c>
      <c r="F164" s="2" t="s">
        <v>146</v>
      </c>
      <c r="G164" s="2">
        <v>13884.567962</v>
      </c>
      <c r="H164" s="2" t="s">
        <v>27</v>
      </c>
    </row>
    <row r="165" ht="22.5" customHeight="1">
      <c r="A165" s="2" t="s">
        <v>19</v>
      </c>
      <c r="B165" s="2" t="s">
        <v>145</v>
      </c>
      <c r="C165" s="2" t="s">
        <v>21</v>
      </c>
      <c r="D165" s="2" t="s">
        <v>22</v>
      </c>
      <c r="E165" s="2" t="s">
        <v>23</v>
      </c>
      <c r="F165" s="2" t="s">
        <v>146</v>
      </c>
      <c r="G165" s="2">
        <v>16974.754614</v>
      </c>
      <c r="H165" s="2" t="s">
        <v>26</v>
      </c>
    </row>
    <row r="166" ht="22.5" customHeight="1">
      <c r="A166" s="2" t="s">
        <v>19</v>
      </c>
      <c r="B166" s="2" t="s">
        <v>147</v>
      </c>
      <c r="C166" s="2" t="s">
        <v>21</v>
      </c>
      <c r="D166" s="2" t="s">
        <v>22</v>
      </c>
      <c r="E166" s="2" t="s">
        <v>23</v>
      </c>
      <c r="F166" s="2" t="s">
        <v>148</v>
      </c>
      <c r="G166" s="2">
        <v>21033.58015</v>
      </c>
      <c r="H166" s="2" t="s">
        <v>27</v>
      </c>
    </row>
    <row r="167" ht="22.5" customHeight="1">
      <c r="A167" s="2" t="s">
        <v>19</v>
      </c>
      <c r="B167" s="2" t="s">
        <v>147</v>
      </c>
      <c r="C167" s="2" t="s">
        <v>21</v>
      </c>
      <c r="D167" s="2" t="s">
        <v>22</v>
      </c>
      <c r="E167" s="2" t="s">
        <v>23</v>
      </c>
      <c r="F167" s="2" t="s">
        <v>148</v>
      </c>
      <c r="G167" s="2">
        <v>21411.67818</v>
      </c>
      <c r="H167" s="2" t="s">
        <v>25</v>
      </c>
    </row>
    <row r="168" ht="22.5" customHeight="1">
      <c r="A168" s="2" t="s">
        <v>19</v>
      </c>
      <c r="B168" s="2" t="s">
        <v>147</v>
      </c>
      <c r="C168" s="2" t="s">
        <v>21</v>
      </c>
      <c r="D168" s="2" t="s">
        <v>22</v>
      </c>
      <c r="E168" s="2" t="s">
        <v>23</v>
      </c>
      <c r="F168" s="2" t="s">
        <v>148</v>
      </c>
      <c r="G168" s="2">
        <v>21253.68456</v>
      </c>
      <c r="H168" s="2" t="s">
        <v>26</v>
      </c>
    </row>
    <row r="169" ht="22.5" customHeight="1">
      <c r="A169" s="2" t="s">
        <v>19</v>
      </c>
      <c r="B169" s="2" t="s">
        <v>149</v>
      </c>
      <c r="C169" s="4" t="s">
        <v>21</v>
      </c>
      <c r="D169" s="2" t="s">
        <v>22</v>
      </c>
      <c r="E169" s="2" t="s">
        <v>23</v>
      </c>
      <c r="F169" s="2" t="s">
        <v>150</v>
      </c>
      <c r="G169" s="2">
        <v>26544.05659</v>
      </c>
      <c r="H169" s="2" t="s">
        <v>26</v>
      </c>
    </row>
    <row r="170" ht="22.5" customHeight="1">
      <c r="A170" s="2" t="s">
        <v>19</v>
      </c>
      <c r="B170" s="2" t="s">
        <v>149</v>
      </c>
      <c r="C170" s="4" t="s">
        <v>21</v>
      </c>
      <c r="D170" s="2" t="s">
        <v>22</v>
      </c>
      <c r="E170" s="2" t="s">
        <v>23</v>
      </c>
      <c r="F170" s="2" t="s">
        <v>150</v>
      </c>
      <c r="G170" s="2">
        <v>25031.60342</v>
      </c>
      <c r="H170" s="2" t="s">
        <v>25</v>
      </c>
    </row>
    <row r="171" ht="22.5" customHeight="1">
      <c r="A171" s="2" t="s">
        <v>19</v>
      </c>
      <c r="B171" s="2" t="s">
        <v>149</v>
      </c>
      <c r="C171" s="4" t="s">
        <v>21</v>
      </c>
      <c r="D171" s="2" t="s">
        <v>22</v>
      </c>
      <c r="E171" s="2" t="s">
        <v>23</v>
      </c>
      <c r="F171" s="2" t="s">
        <v>150</v>
      </c>
      <c r="G171" s="2">
        <v>24558.95604</v>
      </c>
      <c r="H171" s="2" t="s">
        <v>27</v>
      </c>
    </row>
    <row r="172" ht="22.5" customHeight="1">
      <c r="A172" s="2" t="s">
        <v>19</v>
      </c>
      <c r="B172" s="2" t="s">
        <v>151</v>
      </c>
      <c r="C172" s="4" t="s">
        <v>21</v>
      </c>
      <c r="D172" s="2" t="s">
        <v>22</v>
      </c>
      <c r="E172" s="2" t="s">
        <v>53</v>
      </c>
      <c r="F172" s="2" t="s">
        <v>152</v>
      </c>
      <c r="G172" s="2">
        <v>24203.17162</v>
      </c>
      <c r="H172" s="2" t="s">
        <v>27</v>
      </c>
    </row>
    <row r="173" ht="22.5" customHeight="1">
      <c r="A173" s="2" t="s">
        <v>19</v>
      </c>
      <c r="B173" s="2" t="s">
        <v>151</v>
      </c>
      <c r="C173" s="4" t="s">
        <v>21</v>
      </c>
      <c r="D173" s="2" t="s">
        <v>22</v>
      </c>
      <c r="E173" s="2" t="s">
        <v>53</v>
      </c>
      <c r="F173" s="2" t="s">
        <v>152</v>
      </c>
      <c r="G173" s="2">
        <v>24662.52906</v>
      </c>
      <c r="H173" s="2" t="s">
        <v>25</v>
      </c>
    </row>
    <row r="174" ht="22.5" customHeight="1">
      <c r="A174" s="2" t="s">
        <v>19</v>
      </c>
      <c r="B174" s="2" t="s">
        <v>151</v>
      </c>
      <c r="C174" s="4" t="s">
        <v>21</v>
      </c>
      <c r="D174" s="2" t="s">
        <v>22</v>
      </c>
      <c r="E174" s="2" t="s">
        <v>53</v>
      </c>
      <c r="F174" s="2" t="s">
        <v>152</v>
      </c>
      <c r="G174" s="2">
        <v>24290.29243</v>
      </c>
      <c r="H174" s="2" t="s">
        <v>26</v>
      </c>
    </row>
    <row r="175" ht="22.5" customHeight="1">
      <c r="A175" s="2" t="s">
        <v>19</v>
      </c>
      <c r="B175" s="2" t="s">
        <v>153</v>
      </c>
      <c r="C175" s="2" t="s">
        <v>21</v>
      </c>
      <c r="D175" s="2" t="s">
        <v>22</v>
      </c>
      <c r="E175" s="2" t="s">
        <v>23</v>
      </c>
      <c r="F175" s="2" t="s">
        <v>154</v>
      </c>
      <c r="G175" s="2">
        <v>17823.580152</v>
      </c>
      <c r="H175" s="2" t="s">
        <v>27</v>
      </c>
    </row>
    <row r="176" ht="22.5" customHeight="1">
      <c r="A176" s="2" t="s">
        <v>19</v>
      </c>
      <c r="B176" s="2" t="s">
        <v>153</v>
      </c>
      <c r="C176" s="2" t="s">
        <v>21</v>
      </c>
      <c r="D176" s="2" t="s">
        <v>22</v>
      </c>
      <c r="E176" s="2" t="s">
        <v>23</v>
      </c>
      <c r="F176" s="2" t="s">
        <v>154</v>
      </c>
      <c r="G176" s="2">
        <v>17456.613181</v>
      </c>
      <c r="H176" s="2" t="s">
        <v>25</v>
      </c>
    </row>
    <row r="177" ht="22.5" customHeight="1">
      <c r="A177" s="2" t="s">
        <v>19</v>
      </c>
      <c r="B177" s="2" t="s">
        <v>153</v>
      </c>
      <c r="C177" s="2" t="s">
        <v>21</v>
      </c>
      <c r="D177" s="2" t="s">
        <v>22</v>
      </c>
      <c r="E177" s="2" t="s">
        <v>23</v>
      </c>
      <c r="F177" s="2" t="s">
        <v>154</v>
      </c>
      <c r="G177" s="3">
        <v>14227.44</v>
      </c>
      <c r="H177" s="4" t="s">
        <v>28</v>
      </c>
    </row>
    <row r="178" ht="22.5" customHeight="1">
      <c r="A178" s="2" t="s">
        <v>19</v>
      </c>
      <c r="B178" s="2" t="s">
        <v>153</v>
      </c>
      <c r="C178" s="2" t="s">
        <v>21</v>
      </c>
      <c r="D178" s="2" t="s">
        <v>22</v>
      </c>
      <c r="E178" s="2" t="s">
        <v>23</v>
      </c>
      <c r="F178" s="2" t="s">
        <v>154</v>
      </c>
      <c r="G178" s="3">
        <v>14227.44</v>
      </c>
      <c r="H178" s="2" t="s">
        <v>26</v>
      </c>
    </row>
    <row r="179" ht="22.5" customHeight="1">
      <c r="A179" s="2" t="s">
        <v>19</v>
      </c>
      <c r="B179" s="2" t="s">
        <v>155</v>
      </c>
      <c r="C179" s="2" t="s">
        <v>32</v>
      </c>
      <c r="D179" s="2" t="s">
        <v>48</v>
      </c>
      <c r="F179" s="2" t="s">
        <v>156</v>
      </c>
      <c r="G179" s="2">
        <v>20063.457943</v>
      </c>
      <c r="H179" s="2" t="s">
        <v>27</v>
      </c>
    </row>
    <row r="180" ht="22.5" customHeight="1">
      <c r="A180" s="2" t="s">
        <v>19</v>
      </c>
      <c r="B180" s="2" t="s">
        <v>155</v>
      </c>
      <c r="C180" s="2" t="s">
        <v>32</v>
      </c>
      <c r="D180" s="2" t="s">
        <v>48</v>
      </c>
      <c r="F180" s="2" t="s">
        <v>156</v>
      </c>
      <c r="G180" s="2">
        <v>20207.91754</v>
      </c>
      <c r="H180" s="2" t="s">
        <v>26</v>
      </c>
    </row>
    <row r="181" ht="22.5" customHeight="1">
      <c r="A181" s="2" t="s">
        <v>19</v>
      </c>
      <c r="B181" s="2" t="s">
        <v>155</v>
      </c>
      <c r="C181" s="2" t="s">
        <v>32</v>
      </c>
      <c r="D181" s="2" t="s">
        <v>48</v>
      </c>
      <c r="F181" s="2" t="s">
        <v>156</v>
      </c>
      <c r="G181" s="2">
        <v>20441.8093</v>
      </c>
      <c r="H181" s="2" t="s">
        <v>25</v>
      </c>
    </row>
    <row r="182" ht="22.5" customHeight="1">
      <c r="A182" s="2" t="s">
        <v>19</v>
      </c>
      <c r="B182" s="2" t="s">
        <v>157</v>
      </c>
      <c r="C182" s="2" t="s">
        <v>21</v>
      </c>
      <c r="D182" s="2" t="s">
        <v>22</v>
      </c>
      <c r="E182" s="2" t="s">
        <v>93</v>
      </c>
      <c r="F182" s="2" t="s">
        <v>158</v>
      </c>
      <c r="G182" s="2">
        <v>13493.097092</v>
      </c>
      <c r="H182" s="2" t="s">
        <v>27</v>
      </c>
    </row>
    <row r="183" ht="22.5" customHeight="1">
      <c r="A183" s="2" t="s">
        <v>19</v>
      </c>
      <c r="B183" s="2" t="s">
        <v>157</v>
      </c>
      <c r="C183" s="2" t="s">
        <v>21</v>
      </c>
      <c r="D183" s="2" t="s">
        <v>22</v>
      </c>
      <c r="E183" s="2" t="s">
        <v>93</v>
      </c>
      <c r="F183" s="2" t="s">
        <v>158</v>
      </c>
      <c r="G183" s="2">
        <v>13751.39405</v>
      </c>
      <c r="H183" s="2" t="s">
        <v>25</v>
      </c>
    </row>
    <row r="184" ht="22.5" customHeight="1">
      <c r="A184" s="2" t="s">
        <v>19</v>
      </c>
      <c r="B184" s="2" t="s">
        <v>157</v>
      </c>
      <c r="C184" s="2" t="s">
        <v>21</v>
      </c>
      <c r="D184" s="2" t="s">
        <v>22</v>
      </c>
      <c r="E184" s="2" t="s">
        <v>93</v>
      </c>
      <c r="F184" s="2" t="s">
        <v>158</v>
      </c>
      <c r="G184" s="2">
        <v>13779.069051</v>
      </c>
      <c r="H184" s="2" t="s">
        <v>26</v>
      </c>
    </row>
    <row r="185" ht="22.5" customHeight="1">
      <c r="A185" s="2" t="s">
        <v>19</v>
      </c>
      <c r="B185" s="2" t="s">
        <v>159</v>
      </c>
      <c r="C185" s="2" t="s">
        <v>21</v>
      </c>
      <c r="D185" s="2" t="s">
        <v>22</v>
      </c>
      <c r="E185" s="2" t="s">
        <v>23</v>
      </c>
      <c r="F185" s="2" t="s">
        <v>160</v>
      </c>
      <c r="G185" s="3">
        <v>19510.715549</v>
      </c>
      <c r="H185" s="2" t="s">
        <v>27</v>
      </c>
    </row>
    <row r="186" ht="22.5" customHeight="1">
      <c r="A186" s="2" t="s">
        <v>19</v>
      </c>
      <c r="B186" s="2" t="s">
        <v>159</v>
      </c>
      <c r="C186" s="2" t="s">
        <v>21</v>
      </c>
      <c r="D186" s="2" t="s">
        <v>22</v>
      </c>
      <c r="E186" s="2" t="s">
        <v>23</v>
      </c>
      <c r="F186" s="2" t="s">
        <v>160</v>
      </c>
      <c r="G186" s="3">
        <v>17062.58</v>
      </c>
      <c r="H186" s="2" t="s">
        <v>26</v>
      </c>
    </row>
    <row r="187" ht="22.5" customHeight="1">
      <c r="A187" s="2" t="s">
        <v>19</v>
      </c>
      <c r="B187" s="2" t="s">
        <v>159</v>
      </c>
      <c r="C187" s="2" t="s">
        <v>21</v>
      </c>
      <c r="D187" s="2" t="s">
        <v>22</v>
      </c>
      <c r="E187" s="2" t="s">
        <v>23</v>
      </c>
      <c r="F187" s="2" t="s">
        <v>160</v>
      </c>
      <c r="G187" s="2">
        <v>20989.3887</v>
      </c>
      <c r="H187" s="2" t="s">
        <v>25</v>
      </c>
    </row>
    <row r="188" ht="22.5" customHeight="1">
      <c r="A188" s="2" t="s">
        <v>19</v>
      </c>
      <c r="B188" s="2" t="s">
        <v>159</v>
      </c>
      <c r="C188" s="2" t="s">
        <v>21</v>
      </c>
      <c r="D188" s="2" t="s">
        <v>22</v>
      </c>
      <c r="E188" s="2" t="s">
        <v>23</v>
      </c>
      <c r="F188" s="2" t="s">
        <v>160</v>
      </c>
      <c r="G188" s="3">
        <v>16128.8955</v>
      </c>
      <c r="H188" s="4" t="s">
        <v>28</v>
      </c>
    </row>
    <row r="189" ht="22.5" customHeight="1">
      <c r="A189" s="2" t="s">
        <v>19</v>
      </c>
      <c r="B189" s="2" t="s">
        <v>161</v>
      </c>
      <c r="C189" s="2" t="s">
        <v>21</v>
      </c>
      <c r="D189" s="2" t="s">
        <v>22</v>
      </c>
      <c r="F189" s="2" t="s">
        <v>162</v>
      </c>
      <c r="G189" s="2">
        <v>22103.58015</v>
      </c>
      <c r="H189" s="2" t="s">
        <v>27</v>
      </c>
    </row>
    <row r="190" ht="22.5" customHeight="1">
      <c r="A190" s="2" t="s">
        <v>19</v>
      </c>
      <c r="B190" s="2" t="s">
        <v>161</v>
      </c>
      <c r="C190" s="2" t="s">
        <v>21</v>
      </c>
      <c r="D190" s="2" t="s">
        <v>22</v>
      </c>
      <c r="F190" s="2" t="s">
        <v>162</v>
      </c>
      <c r="G190" s="2">
        <v>8223.170779</v>
      </c>
      <c r="H190" s="2" t="s">
        <v>25</v>
      </c>
    </row>
    <row r="191" ht="22.5" customHeight="1">
      <c r="A191" s="2" t="s">
        <v>19</v>
      </c>
      <c r="B191" s="2" t="s">
        <v>163</v>
      </c>
      <c r="C191" s="2" t="s">
        <v>21</v>
      </c>
      <c r="D191" s="2" t="s">
        <v>22</v>
      </c>
      <c r="E191" s="2" t="s">
        <v>45</v>
      </c>
      <c r="F191" s="2" t="s">
        <v>164</v>
      </c>
      <c r="G191" s="2">
        <v>12956.360152</v>
      </c>
      <c r="H191" s="2" t="s">
        <v>27</v>
      </c>
    </row>
    <row r="192" ht="22.5" customHeight="1">
      <c r="A192" s="2" t="s">
        <v>19</v>
      </c>
      <c r="B192" s="2" t="s">
        <v>163</v>
      </c>
      <c r="C192" s="2" t="s">
        <v>21</v>
      </c>
      <c r="D192" s="2" t="s">
        <v>22</v>
      </c>
      <c r="E192" s="2" t="s">
        <v>45</v>
      </c>
      <c r="F192" s="2" t="s">
        <v>164</v>
      </c>
      <c r="G192" s="2">
        <v>13183.478181</v>
      </c>
      <c r="H192" s="2" t="s">
        <v>25</v>
      </c>
    </row>
    <row r="193" ht="22.5" customHeight="1">
      <c r="A193" s="2" t="s">
        <v>19</v>
      </c>
      <c r="B193" s="2" t="s">
        <v>163</v>
      </c>
      <c r="C193" s="2" t="s">
        <v>21</v>
      </c>
      <c r="D193" s="2" t="s">
        <v>22</v>
      </c>
      <c r="E193" s="2" t="s">
        <v>45</v>
      </c>
      <c r="F193" s="2" t="s">
        <v>164</v>
      </c>
      <c r="G193" s="2">
        <v>13327.44456</v>
      </c>
      <c r="H193" s="2" t="s">
        <v>26</v>
      </c>
    </row>
    <row r="194" ht="22.5" customHeight="1">
      <c r="A194" s="2" t="s">
        <v>19</v>
      </c>
      <c r="B194" s="2" t="s">
        <v>165</v>
      </c>
      <c r="C194" s="2" t="s">
        <v>68</v>
      </c>
      <c r="D194" s="2" t="s">
        <v>166</v>
      </c>
      <c r="F194" s="2" t="s">
        <v>167</v>
      </c>
      <c r="G194" s="2">
        <v>28041.74439</v>
      </c>
      <c r="H194" s="2" t="s">
        <v>25</v>
      </c>
    </row>
    <row r="195" ht="22.5" customHeight="1">
      <c r="A195" s="2" t="s">
        <v>19</v>
      </c>
      <c r="B195" s="2" t="s">
        <v>165</v>
      </c>
      <c r="C195" s="2" t="s">
        <v>68</v>
      </c>
      <c r="D195" s="2" t="s">
        <v>166</v>
      </c>
      <c r="F195" s="2" t="s">
        <v>167</v>
      </c>
      <c r="G195" s="2">
        <v>27445.13804</v>
      </c>
      <c r="H195" s="2" t="s">
        <v>26</v>
      </c>
    </row>
    <row r="196" ht="22.5" customHeight="1">
      <c r="A196" s="2" t="s">
        <v>19</v>
      </c>
      <c r="B196" s="2" t="s">
        <v>165</v>
      </c>
      <c r="C196" s="2" t="s">
        <v>68</v>
      </c>
      <c r="D196" s="2" t="s">
        <v>166</v>
      </c>
      <c r="F196" s="2" t="s">
        <v>167</v>
      </c>
      <c r="G196" s="2">
        <v>29183.312</v>
      </c>
      <c r="H196" s="2" t="s">
        <v>27</v>
      </c>
    </row>
    <row r="197" ht="22.5" customHeight="1">
      <c r="A197" s="2" t="s">
        <v>19</v>
      </c>
      <c r="B197" s="2" t="s">
        <v>168</v>
      </c>
      <c r="C197" s="2" t="s">
        <v>21</v>
      </c>
      <c r="D197" s="2" t="s">
        <v>22</v>
      </c>
      <c r="E197" s="2" t="s">
        <v>23</v>
      </c>
      <c r="F197" s="2" t="s">
        <v>169</v>
      </c>
      <c r="G197" s="2">
        <v>15614.330722</v>
      </c>
      <c r="H197" s="2" t="s">
        <v>25</v>
      </c>
    </row>
    <row r="198" ht="22.5" customHeight="1">
      <c r="A198" s="2" t="s">
        <v>19</v>
      </c>
      <c r="B198" s="2" t="s">
        <v>168</v>
      </c>
      <c r="C198" s="2" t="s">
        <v>21</v>
      </c>
      <c r="D198" s="2" t="s">
        <v>22</v>
      </c>
      <c r="E198" s="2" t="s">
        <v>23</v>
      </c>
      <c r="F198" s="2" t="s">
        <v>169</v>
      </c>
      <c r="G198" s="3">
        <v>7953.96</v>
      </c>
      <c r="H198" s="2" t="s">
        <v>26</v>
      </c>
    </row>
    <row r="199" ht="22.5" customHeight="1">
      <c r="A199" s="2" t="s">
        <v>19</v>
      </c>
      <c r="B199" s="2" t="s">
        <v>168</v>
      </c>
      <c r="C199" s="2" t="s">
        <v>21</v>
      </c>
      <c r="D199" s="2" t="s">
        <v>22</v>
      </c>
      <c r="E199" s="2" t="s">
        <v>23</v>
      </c>
      <c r="F199" s="2" t="s">
        <v>169</v>
      </c>
      <c r="G199" s="2">
        <v>15688.827749</v>
      </c>
      <c r="H199" s="2" t="s">
        <v>27</v>
      </c>
    </row>
    <row r="200" ht="22.5" customHeight="1">
      <c r="A200" s="2" t="s">
        <v>19</v>
      </c>
      <c r="B200" s="2" t="s">
        <v>168</v>
      </c>
      <c r="C200" s="2" t="s">
        <v>21</v>
      </c>
      <c r="D200" s="2" t="s">
        <v>22</v>
      </c>
      <c r="E200" s="2" t="s">
        <v>23</v>
      </c>
      <c r="F200" s="2" t="s">
        <v>169</v>
      </c>
      <c r="G200" s="3">
        <v>6300.8</v>
      </c>
      <c r="H200" s="4" t="s">
        <v>28</v>
      </c>
    </row>
    <row r="201" ht="22.5" customHeight="1">
      <c r="A201" s="2" t="s">
        <v>19</v>
      </c>
      <c r="B201" s="2" t="s">
        <v>170</v>
      </c>
      <c r="C201" s="2" t="s">
        <v>32</v>
      </c>
      <c r="D201" s="2" t="s">
        <v>56</v>
      </c>
      <c r="F201" s="2" t="s">
        <v>171</v>
      </c>
      <c r="G201" s="2">
        <v>7353.691922</v>
      </c>
      <c r="H201" s="2" t="s">
        <v>25</v>
      </c>
    </row>
    <row r="202" ht="22.5" customHeight="1">
      <c r="A202" s="2" t="s">
        <v>19</v>
      </c>
      <c r="B202" s="2" t="s">
        <v>170</v>
      </c>
      <c r="C202" s="2" t="s">
        <v>32</v>
      </c>
      <c r="D202" s="2" t="s">
        <v>56</v>
      </c>
      <c r="F202" s="2" t="s">
        <v>171</v>
      </c>
      <c r="G202" s="3">
        <v>12538.329216</v>
      </c>
      <c r="H202" s="2" t="s">
        <v>26</v>
      </c>
    </row>
    <row r="203" ht="22.5" customHeight="1">
      <c r="A203" s="2" t="s">
        <v>19</v>
      </c>
      <c r="B203" s="2" t="s">
        <v>170</v>
      </c>
      <c r="C203" s="2" t="s">
        <v>32</v>
      </c>
      <c r="D203" s="2" t="s">
        <v>56</v>
      </c>
      <c r="F203" s="2" t="s">
        <v>171</v>
      </c>
      <c r="G203" s="2">
        <v>16763.887932</v>
      </c>
      <c r="H203" s="2" t="s">
        <v>27</v>
      </c>
    </row>
    <row r="204" ht="22.5" customHeight="1">
      <c r="A204" s="2" t="s">
        <v>19</v>
      </c>
      <c r="B204" s="2" t="s">
        <v>170</v>
      </c>
      <c r="C204" s="2" t="s">
        <v>32</v>
      </c>
      <c r="D204" s="2" t="s">
        <v>56</v>
      </c>
      <c r="F204" s="2" t="s">
        <v>171</v>
      </c>
      <c r="G204" s="3">
        <v>13177.44</v>
      </c>
      <c r="H204" s="4" t="s">
        <v>28</v>
      </c>
    </row>
    <row r="205" ht="22.5" customHeight="1">
      <c r="A205" s="2" t="s">
        <v>19</v>
      </c>
      <c r="B205" s="2" t="s">
        <v>172</v>
      </c>
      <c r="C205" s="2" t="s">
        <v>21</v>
      </c>
      <c r="D205" s="2" t="s">
        <v>22</v>
      </c>
      <c r="E205" s="2" t="s">
        <v>98</v>
      </c>
      <c r="F205" s="2" t="s">
        <v>173</v>
      </c>
      <c r="G205" s="2">
        <v>15927.656463</v>
      </c>
      <c r="H205" s="2" t="s">
        <v>26</v>
      </c>
    </row>
    <row r="206" ht="22.5" customHeight="1">
      <c r="A206" s="2" t="s">
        <v>19</v>
      </c>
      <c r="B206" s="2" t="s">
        <v>172</v>
      </c>
      <c r="C206" s="2" t="s">
        <v>21</v>
      </c>
      <c r="D206" s="2" t="s">
        <v>22</v>
      </c>
      <c r="E206" s="2" t="s">
        <v>98</v>
      </c>
      <c r="F206" s="2" t="s">
        <v>173</v>
      </c>
      <c r="G206" s="2">
        <v>15635.661516</v>
      </c>
      <c r="H206" s="2" t="s">
        <v>27</v>
      </c>
    </row>
    <row r="207" ht="22.5" customHeight="1">
      <c r="A207" s="2" t="s">
        <v>19</v>
      </c>
      <c r="B207" s="2" t="s">
        <v>172</v>
      </c>
      <c r="C207" s="2" t="s">
        <v>21</v>
      </c>
      <c r="D207" s="2" t="s">
        <v>22</v>
      </c>
      <c r="E207" s="2" t="s">
        <v>98</v>
      </c>
      <c r="F207" s="2" t="s">
        <v>173</v>
      </c>
      <c r="G207" s="2">
        <v>15934.228414</v>
      </c>
      <c r="H207" s="2" t="s">
        <v>25</v>
      </c>
    </row>
    <row r="208" ht="22.5" customHeight="1">
      <c r="A208" s="2" t="s">
        <v>19</v>
      </c>
      <c r="B208" s="2" t="s">
        <v>174</v>
      </c>
      <c r="C208" s="2" t="s">
        <v>21</v>
      </c>
      <c r="D208" s="2" t="s">
        <v>22</v>
      </c>
      <c r="E208" s="2" t="s">
        <v>63</v>
      </c>
      <c r="F208" s="2" t="s">
        <v>175</v>
      </c>
      <c r="G208" s="2">
        <v>15967.427722</v>
      </c>
      <c r="H208" s="2" t="s">
        <v>25</v>
      </c>
    </row>
    <row r="209" ht="22.5" customHeight="1">
      <c r="A209" s="2" t="s">
        <v>19</v>
      </c>
      <c r="B209" s="2" t="s">
        <v>174</v>
      </c>
      <c r="C209" s="2" t="s">
        <v>21</v>
      </c>
      <c r="D209" s="2" t="s">
        <v>22</v>
      </c>
      <c r="E209" s="2" t="s">
        <v>63</v>
      </c>
      <c r="F209" s="2" t="s">
        <v>175</v>
      </c>
      <c r="G209" s="3">
        <v>12127.44</v>
      </c>
      <c r="H209" s="2" t="s">
        <v>26</v>
      </c>
    </row>
    <row r="210" ht="22.5" customHeight="1">
      <c r="A210" s="2" t="s">
        <v>19</v>
      </c>
      <c r="B210" s="2" t="s">
        <v>174</v>
      </c>
      <c r="C210" s="2" t="s">
        <v>21</v>
      </c>
      <c r="D210" s="2" t="s">
        <v>22</v>
      </c>
      <c r="E210" s="2" t="s">
        <v>63</v>
      </c>
      <c r="F210" s="2" t="s">
        <v>175</v>
      </c>
      <c r="G210" s="2">
        <v>15688.827749</v>
      </c>
      <c r="H210" s="2" t="s">
        <v>27</v>
      </c>
    </row>
    <row r="211" ht="22.5" customHeight="1">
      <c r="A211" s="2" t="s">
        <v>19</v>
      </c>
      <c r="B211" s="2" t="s">
        <v>174</v>
      </c>
      <c r="C211" s="2" t="s">
        <v>21</v>
      </c>
      <c r="D211" s="2" t="s">
        <v>22</v>
      </c>
      <c r="E211" s="2" t="s">
        <v>63</v>
      </c>
      <c r="F211" s="2" t="s">
        <v>175</v>
      </c>
      <c r="G211" s="3">
        <v>12127.44</v>
      </c>
      <c r="H211" s="4" t="s">
        <v>28</v>
      </c>
    </row>
    <row r="212" ht="22.5" customHeight="1">
      <c r="A212" s="2" t="s">
        <v>19</v>
      </c>
      <c r="B212" s="2" t="s">
        <v>176</v>
      </c>
      <c r="C212" s="2" t="s">
        <v>21</v>
      </c>
      <c r="D212" s="2" t="s">
        <v>22</v>
      </c>
      <c r="E212" s="2" t="s">
        <v>42</v>
      </c>
      <c r="F212" s="2" t="s">
        <v>177</v>
      </c>
      <c r="G212" s="2">
        <v>7350.0</v>
      </c>
      <c r="H212" s="2" t="s">
        <v>27</v>
      </c>
    </row>
    <row r="213" ht="22.5" customHeight="1">
      <c r="A213" s="2" t="s">
        <v>19</v>
      </c>
      <c r="B213" s="2" t="s">
        <v>176</v>
      </c>
      <c r="C213" s="2" t="s">
        <v>21</v>
      </c>
      <c r="D213" s="2" t="s">
        <v>22</v>
      </c>
      <c r="E213" s="2" t="s">
        <v>42</v>
      </c>
      <c r="F213" s="2" t="s">
        <v>177</v>
      </c>
      <c r="G213" s="2">
        <v>7350.0</v>
      </c>
      <c r="H213" s="2" t="s">
        <v>25</v>
      </c>
    </row>
    <row r="214" ht="22.5" customHeight="1">
      <c r="A214" s="2" t="s">
        <v>19</v>
      </c>
      <c r="B214" s="2" t="s">
        <v>176</v>
      </c>
      <c r="C214" s="2" t="s">
        <v>21</v>
      </c>
      <c r="D214" s="2" t="s">
        <v>22</v>
      </c>
      <c r="E214" s="2" t="s">
        <v>42</v>
      </c>
      <c r="F214" s="2" t="s">
        <v>177</v>
      </c>
      <c r="G214" s="2">
        <v>7350.0</v>
      </c>
      <c r="H214" s="2" t="s">
        <v>26</v>
      </c>
    </row>
    <row r="215" ht="22.5" customHeight="1">
      <c r="A215" s="2" t="s">
        <v>19</v>
      </c>
      <c r="B215" s="2" t="s">
        <v>178</v>
      </c>
      <c r="C215" s="2" t="s">
        <v>32</v>
      </c>
      <c r="D215" s="2" t="s">
        <v>56</v>
      </c>
      <c r="F215" s="2" t="s">
        <v>179</v>
      </c>
      <c r="G215" s="3">
        <v>14227.44</v>
      </c>
      <c r="H215" s="2" t="s">
        <v>26</v>
      </c>
    </row>
    <row r="216" ht="22.5" customHeight="1">
      <c r="A216" s="2" t="s">
        <v>19</v>
      </c>
      <c r="B216" s="2" t="s">
        <v>178</v>
      </c>
      <c r="C216" s="2" t="s">
        <v>32</v>
      </c>
      <c r="D216" s="2" t="s">
        <v>56</v>
      </c>
      <c r="F216" s="2" t="s">
        <v>179</v>
      </c>
      <c r="G216" s="2">
        <v>17835.913761</v>
      </c>
      <c r="H216" s="2" t="s">
        <v>27</v>
      </c>
    </row>
    <row r="217" ht="22.5" customHeight="1">
      <c r="A217" s="2" t="s">
        <v>19</v>
      </c>
      <c r="B217" s="2" t="s">
        <v>178</v>
      </c>
      <c r="C217" s="2" t="s">
        <v>32</v>
      </c>
      <c r="D217" s="2" t="s">
        <v>56</v>
      </c>
      <c r="F217" s="2" t="s">
        <v>179</v>
      </c>
      <c r="G217" s="2">
        <v>18180.823</v>
      </c>
      <c r="H217" s="2" t="s">
        <v>25</v>
      </c>
    </row>
    <row r="218" ht="22.5" customHeight="1">
      <c r="A218" s="2" t="s">
        <v>19</v>
      </c>
      <c r="B218" s="2" t="s">
        <v>178</v>
      </c>
      <c r="C218" s="2" t="s">
        <v>32</v>
      </c>
      <c r="D218" s="2" t="s">
        <v>56</v>
      </c>
      <c r="F218" s="2" t="s">
        <v>179</v>
      </c>
      <c r="G218" s="3">
        <v>14227.44</v>
      </c>
      <c r="H218" s="4" t="s">
        <v>28</v>
      </c>
    </row>
    <row r="219" ht="22.5" customHeight="1">
      <c r="A219" s="2" t="s">
        <v>19</v>
      </c>
      <c r="B219" s="2" t="s">
        <v>180</v>
      </c>
      <c r="C219" s="2" t="s">
        <v>32</v>
      </c>
      <c r="D219" s="2" t="s">
        <v>48</v>
      </c>
      <c r="F219" s="2" t="s">
        <v>181</v>
      </c>
      <c r="G219" s="2">
        <v>32765.73604</v>
      </c>
      <c r="H219" s="2" t="s">
        <v>27</v>
      </c>
    </row>
    <row r="220" ht="22.5" customHeight="1">
      <c r="A220" s="2" t="s">
        <v>19</v>
      </c>
      <c r="B220" s="2" t="s">
        <v>180</v>
      </c>
      <c r="C220" s="2" t="s">
        <v>32</v>
      </c>
      <c r="D220" s="2" t="s">
        <v>48</v>
      </c>
      <c r="F220" s="2" t="s">
        <v>181</v>
      </c>
      <c r="G220" s="2">
        <v>33385.36342</v>
      </c>
      <c r="H220" s="2" t="s">
        <v>25</v>
      </c>
    </row>
    <row r="221" ht="22.5" customHeight="1">
      <c r="A221" s="2" t="s">
        <v>19</v>
      </c>
      <c r="B221" s="2" t="s">
        <v>180</v>
      </c>
      <c r="C221" s="2" t="s">
        <v>32</v>
      </c>
      <c r="D221" s="2" t="s">
        <v>48</v>
      </c>
      <c r="F221" s="2" t="s">
        <v>181</v>
      </c>
      <c r="G221" s="2">
        <v>32739.05659</v>
      </c>
      <c r="H221" s="2" t="s">
        <v>26</v>
      </c>
    </row>
    <row r="222" ht="22.5" customHeight="1">
      <c r="A222" s="2" t="s">
        <v>19</v>
      </c>
      <c r="B222" s="2" t="s">
        <v>182</v>
      </c>
      <c r="C222" s="2" t="s">
        <v>21</v>
      </c>
      <c r="D222" s="2" t="s">
        <v>22</v>
      </c>
      <c r="E222" s="2" t="s">
        <v>143</v>
      </c>
      <c r="F222" s="2" t="s">
        <v>183</v>
      </c>
      <c r="G222" s="2">
        <v>15638.225941</v>
      </c>
      <c r="H222" s="2" t="s">
        <v>27</v>
      </c>
    </row>
    <row r="223" ht="22.5" customHeight="1">
      <c r="A223" s="2" t="s">
        <v>19</v>
      </c>
      <c r="B223" s="2" t="s">
        <v>182</v>
      </c>
      <c r="C223" s="2" t="s">
        <v>21</v>
      </c>
      <c r="D223" s="2" t="s">
        <v>22</v>
      </c>
      <c r="E223" s="2" t="s">
        <v>143</v>
      </c>
      <c r="F223" s="2" t="s">
        <v>183</v>
      </c>
      <c r="G223" s="2">
        <v>15930.558312</v>
      </c>
      <c r="H223" s="2" t="s">
        <v>26</v>
      </c>
    </row>
    <row r="224" ht="22.5" customHeight="1">
      <c r="A224" s="2" t="s">
        <v>19</v>
      </c>
      <c r="B224" s="2" t="s">
        <v>182</v>
      </c>
      <c r="C224" s="2" t="s">
        <v>21</v>
      </c>
      <c r="D224" s="2" t="s">
        <v>22</v>
      </c>
      <c r="E224" s="2" t="s">
        <v>143</v>
      </c>
      <c r="F224" s="2" t="s">
        <v>183</v>
      </c>
      <c r="G224" s="2">
        <v>15937.062778</v>
      </c>
      <c r="H224" s="2" t="s">
        <v>25</v>
      </c>
    </row>
    <row r="225" ht="22.5" customHeight="1">
      <c r="A225" s="2" t="s">
        <v>19</v>
      </c>
      <c r="B225" s="2" t="s">
        <v>184</v>
      </c>
      <c r="C225" s="2" t="s">
        <v>32</v>
      </c>
      <c r="D225" s="2" t="s">
        <v>56</v>
      </c>
      <c r="F225" s="2" t="s">
        <v>185</v>
      </c>
      <c r="G225" s="2">
        <v>12911.005941</v>
      </c>
      <c r="H225" s="2" t="s">
        <v>27</v>
      </c>
    </row>
    <row r="226" ht="22.5" customHeight="1">
      <c r="A226" s="2" t="s">
        <v>19</v>
      </c>
      <c r="B226" s="2" t="s">
        <v>184</v>
      </c>
      <c r="C226" s="2" t="s">
        <v>32</v>
      </c>
      <c r="D226" s="2" t="s">
        <v>56</v>
      </c>
      <c r="F226" s="2" t="s">
        <v>185</v>
      </c>
      <c r="G226" s="2">
        <v>13158.862778</v>
      </c>
      <c r="H226" s="2" t="s">
        <v>25</v>
      </c>
    </row>
    <row r="227" ht="22.5" customHeight="1">
      <c r="A227" s="2" t="s">
        <v>19</v>
      </c>
      <c r="B227" s="2" t="s">
        <v>184</v>
      </c>
      <c r="C227" s="2" t="s">
        <v>32</v>
      </c>
      <c r="D227" s="2" t="s">
        <v>56</v>
      </c>
      <c r="F227" s="2" t="s">
        <v>185</v>
      </c>
      <c r="G227" s="2">
        <v>13254.318312</v>
      </c>
      <c r="H227" s="2" t="s">
        <v>26</v>
      </c>
    </row>
    <row r="228" ht="22.5" customHeight="1">
      <c r="A228" s="2" t="s">
        <v>19</v>
      </c>
      <c r="B228" s="2" t="s">
        <v>186</v>
      </c>
      <c r="C228" s="2" t="s">
        <v>21</v>
      </c>
      <c r="D228" s="2" t="s">
        <v>56</v>
      </c>
      <c r="F228" s="2" t="s">
        <v>187</v>
      </c>
      <c r="G228" s="2">
        <v>15879.069051</v>
      </c>
      <c r="H228" s="2" t="s">
        <v>26</v>
      </c>
    </row>
    <row r="229" ht="22.5" customHeight="1">
      <c r="A229" s="2" t="s">
        <v>19</v>
      </c>
      <c r="B229" s="2" t="s">
        <v>186</v>
      </c>
      <c r="C229" s="2" t="s">
        <v>21</v>
      </c>
      <c r="D229" s="2" t="s">
        <v>56</v>
      </c>
      <c r="F229" s="2" t="s">
        <v>187</v>
      </c>
      <c r="G229" s="2">
        <v>15931.39405</v>
      </c>
      <c r="H229" s="2" t="s">
        <v>25</v>
      </c>
    </row>
    <row r="230" ht="22.5" customHeight="1">
      <c r="A230" s="2" t="s">
        <v>19</v>
      </c>
      <c r="B230" s="2" t="s">
        <v>186</v>
      </c>
      <c r="C230" s="2" t="s">
        <v>21</v>
      </c>
      <c r="D230" s="2" t="s">
        <v>56</v>
      </c>
      <c r="F230" s="2" t="s">
        <v>187</v>
      </c>
      <c r="G230" s="2">
        <v>15475.597092</v>
      </c>
      <c r="H230" s="2" t="s">
        <v>27</v>
      </c>
    </row>
    <row r="231" ht="22.5" customHeight="1">
      <c r="A231" s="2" t="s">
        <v>19</v>
      </c>
      <c r="B231" s="2" t="s">
        <v>188</v>
      </c>
      <c r="C231" s="2" t="s">
        <v>21</v>
      </c>
      <c r="D231" s="2" t="s">
        <v>22</v>
      </c>
      <c r="F231" s="2" t="s">
        <v>189</v>
      </c>
      <c r="G231" s="2">
        <v>15961.678181</v>
      </c>
      <c r="H231" s="2" t="s">
        <v>25</v>
      </c>
    </row>
    <row r="232" ht="22.5" customHeight="1">
      <c r="A232" s="2" t="s">
        <v>19</v>
      </c>
      <c r="B232" s="2" t="s">
        <v>190</v>
      </c>
      <c r="C232" s="2" t="s">
        <v>32</v>
      </c>
      <c r="D232" s="4" t="s">
        <v>118</v>
      </c>
      <c r="F232" s="2" t="s">
        <v>191</v>
      </c>
      <c r="G232" s="3">
        <v>43974.899999999994</v>
      </c>
      <c r="H232" s="2" t="s">
        <v>25</v>
      </c>
    </row>
    <row r="233" ht="22.5" customHeight="1">
      <c r="A233" s="2" t="s">
        <v>19</v>
      </c>
      <c r="B233" s="2" t="s">
        <v>190</v>
      </c>
      <c r="C233" s="2" t="s">
        <v>32</v>
      </c>
      <c r="D233" s="4" t="s">
        <v>118</v>
      </c>
      <c r="F233" s="2" t="s">
        <v>191</v>
      </c>
      <c r="G233" s="3">
        <v>43974.899999999994</v>
      </c>
      <c r="H233" s="2" t="s">
        <v>27</v>
      </c>
    </row>
    <row r="234" ht="22.5" customHeight="1">
      <c r="A234" s="2" t="s">
        <v>19</v>
      </c>
      <c r="B234" s="2" t="s">
        <v>190</v>
      </c>
      <c r="C234" s="2" t="s">
        <v>32</v>
      </c>
      <c r="D234" s="4" t="s">
        <v>118</v>
      </c>
      <c r="F234" s="2" t="s">
        <v>191</v>
      </c>
      <c r="G234" s="3">
        <v>43974.899999999994</v>
      </c>
      <c r="H234" s="2" t="s">
        <v>26</v>
      </c>
    </row>
    <row r="235" ht="22.5" customHeight="1">
      <c r="A235" s="2" t="s">
        <v>19</v>
      </c>
      <c r="B235" s="2" t="s">
        <v>190</v>
      </c>
      <c r="C235" s="2" t="s">
        <v>32</v>
      </c>
      <c r="D235" s="4" t="s">
        <v>118</v>
      </c>
      <c r="F235" s="2" t="s">
        <v>191</v>
      </c>
      <c r="G235" s="3">
        <v>43974.899999999994</v>
      </c>
      <c r="H235" s="4" t="s">
        <v>28</v>
      </c>
    </row>
    <row r="236" ht="22.5" customHeight="1">
      <c r="A236" s="2" t="s">
        <v>19</v>
      </c>
      <c r="B236" s="2" t="s">
        <v>192</v>
      </c>
      <c r="C236" s="2" t="s">
        <v>32</v>
      </c>
      <c r="D236" s="2" t="s">
        <v>193</v>
      </c>
      <c r="E236" s="2" t="s">
        <v>23</v>
      </c>
      <c r="F236" s="2" t="s">
        <v>194</v>
      </c>
      <c r="G236" s="2">
        <v>17027.062778</v>
      </c>
      <c r="H236" s="2" t="s">
        <v>25</v>
      </c>
    </row>
    <row r="237" ht="22.5" customHeight="1">
      <c r="A237" s="2" t="s">
        <v>19</v>
      </c>
      <c r="B237" s="2" t="s">
        <v>192</v>
      </c>
      <c r="C237" s="2" t="s">
        <v>32</v>
      </c>
      <c r="D237" s="2" t="s">
        <v>193</v>
      </c>
      <c r="E237" s="2" t="s">
        <v>23</v>
      </c>
      <c r="F237" s="2" t="s">
        <v>194</v>
      </c>
      <c r="G237" s="2">
        <v>16934.78277</v>
      </c>
      <c r="H237" s="2" t="s">
        <v>26</v>
      </c>
    </row>
    <row r="238" ht="22.5" customHeight="1">
      <c r="A238" s="2" t="s">
        <v>19</v>
      </c>
      <c r="B238" s="2" t="s">
        <v>192</v>
      </c>
      <c r="C238" s="2" t="s">
        <v>32</v>
      </c>
      <c r="D238" s="2" t="s">
        <v>193</v>
      </c>
      <c r="E238" s="2" t="s">
        <v>23</v>
      </c>
      <c r="F238" s="2" t="s">
        <v>194</v>
      </c>
      <c r="G238" s="2">
        <v>17652.899441</v>
      </c>
      <c r="H238" s="2" t="s">
        <v>27</v>
      </c>
    </row>
    <row r="239" ht="22.5" customHeight="1">
      <c r="A239" s="2" t="s">
        <v>19</v>
      </c>
      <c r="B239" s="2" t="s">
        <v>195</v>
      </c>
      <c r="C239" s="2" t="s">
        <v>32</v>
      </c>
      <c r="D239" s="2" t="s">
        <v>56</v>
      </c>
      <c r="F239" s="2" t="s">
        <v>196</v>
      </c>
      <c r="G239" s="2">
        <v>20305.36342</v>
      </c>
      <c r="H239" s="2" t="s">
        <v>25</v>
      </c>
    </row>
    <row r="240" ht="22.5" customHeight="1">
      <c r="A240" s="2" t="s">
        <v>19</v>
      </c>
      <c r="B240" s="2" t="s">
        <v>195</v>
      </c>
      <c r="C240" s="2" t="s">
        <v>32</v>
      </c>
      <c r="D240" s="2" t="s">
        <v>56</v>
      </c>
      <c r="F240" s="2" t="s">
        <v>196</v>
      </c>
      <c r="G240" s="2">
        <v>20093.14929</v>
      </c>
      <c r="H240" s="2" t="s">
        <v>26</v>
      </c>
    </row>
    <row r="241" ht="22.5" customHeight="1">
      <c r="A241" s="2" t="s">
        <v>19</v>
      </c>
      <c r="B241" s="2" t="s">
        <v>195</v>
      </c>
      <c r="C241" s="2" t="s">
        <v>32</v>
      </c>
      <c r="D241" s="2" t="s">
        <v>56</v>
      </c>
      <c r="F241" s="2" t="s">
        <v>196</v>
      </c>
      <c r="G241" s="2">
        <v>19925.736044</v>
      </c>
      <c r="H241" s="2" t="s">
        <v>27</v>
      </c>
    </row>
    <row r="242" ht="22.5" customHeight="1">
      <c r="A242" s="2" t="s">
        <v>19</v>
      </c>
      <c r="B242" s="2" t="s">
        <v>197</v>
      </c>
      <c r="C242" s="2" t="s">
        <v>68</v>
      </c>
      <c r="D242" s="2" t="s">
        <v>198</v>
      </c>
      <c r="F242" s="2" t="s">
        <v>199</v>
      </c>
      <c r="G242" s="2">
        <v>16512.962652</v>
      </c>
      <c r="H242" s="2" t="s">
        <v>26</v>
      </c>
    </row>
    <row r="243" ht="22.5" customHeight="1">
      <c r="A243" s="2" t="s">
        <v>19</v>
      </c>
      <c r="B243" s="2" t="s">
        <v>197</v>
      </c>
      <c r="C243" s="2" t="s">
        <v>68</v>
      </c>
      <c r="D243" s="2" t="s">
        <v>198</v>
      </c>
      <c r="F243" s="2" t="s">
        <v>199</v>
      </c>
      <c r="G243" s="2">
        <v>16708.225941</v>
      </c>
      <c r="H243" s="2" t="s">
        <v>27</v>
      </c>
    </row>
    <row r="244" ht="22.5" customHeight="1">
      <c r="A244" s="2" t="s">
        <v>19</v>
      </c>
      <c r="B244" s="2" t="s">
        <v>197</v>
      </c>
      <c r="C244" s="2" t="s">
        <v>68</v>
      </c>
      <c r="D244" s="2" t="s">
        <v>198</v>
      </c>
      <c r="F244" s="2" t="s">
        <v>199</v>
      </c>
      <c r="G244" s="2">
        <v>17027.062778</v>
      </c>
      <c r="H244" s="2" t="s">
        <v>25</v>
      </c>
    </row>
    <row r="245" ht="22.5" customHeight="1">
      <c r="A245" s="2" t="s">
        <v>19</v>
      </c>
      <c r="B245" s="2" t="s">
        <v>200</v>
      </c>
      <c r="C245" s="2" t="s">
        <v>32</v>
      </c>
      <c r="D245" s="2" t="s">
        <v>48</v>
      </c>
      <c r="F245" s="2" t="s">
        <v>201</v>
      </c>
      <c r="G245" s="2">
        <v>18855.736044</v>
      </c>
      <c r="H245" s="2" t="s">
        <v>27</v>
      </c>
    </row>
    <row r="246" ht="22.5" customHeight="1">
      <c r="A246" s="2" t="s">
        <v>19</v>
      </c>
      <c r="B246" s="2" t="s">
        <v>200</v>
      </c>
      <c r="C246" s="2" t="s">
        <v>32</v>
      </c>
      <c r="D246" s="2" t="s">
        <v>48</v>
      </c>
      <c r="F246" s="2" t="s">
        <v>201</v>
      </c>
      <c r="G246" s="2">
        <v>19215.363418</v>
      </c>
      <c r="H246" s="2" t="s">
        <v>25</v>
      </c>
    </row>
    <row r="247" ht="22.5" customHeight="1">
      <c r="A247" s="2" t="s">
        <v>19</v>
      </c>
      <c r="B247" s="2" t="s">
        <v>200</v>
      </c>
      <c r="C247" s="2" t="s">
        <v>32</v>
      </c>
      <c r="D247" s="2" t="s">
        <v>48</v>
      </c>
      <c r="F247" s="2" t="s">
        <v>201</v>
      </c>
      <c r="G247" s="2">
        <v>18459.056587</v>
      </c>
      <c r="H247" s="2" t="s">
        <v>26</v>
      </c>
    </row>
    <row r="248" ht="22.5" customHeight="1">
      <c r="A248" s="2" t="s">
        <v>19</v>
      </c>
      <c r="B248" s="2" t="s">
        <v>202</v>
      </c>
      <c r="C248" s="2" t="s">
        <v>21</v>
      </c>
      <c r="D248" s="2" t="s">
        <v>56</v>
      </c>
      <c r="F248" s="2" t="s">
        <v>203</v>
      </c>
      <c r="G248" s="2">
        <v>40917.85954</v>
      </c>
      <c r="H248" s="2" t="s">
        <v>27</v>
      </c>
    </row>
    <row r="249" ht="22.5" customHeight="1">
      <c r="A249" s="2" t="s">
        <v>19</v>
      </c>
      <c r="B249" s="2" t="s">
        <v>202</v>
      </c>
      <c r="C249" s="2" t="s">
        <v>21</v>
      </c>
      <c r="D249" s="2" t="s">
        <v>56</v>
      </c>
      <c r="F249" s="2" t="s">
        <v>203</v>
      </c>
      <c r="G249" s="2">
        <v>41647.00913</v>
      </c>
      <c r="H249" s="2" t="s">
        <v>25</v>
      </c>
    </row>
    <row r="250" ht="22.5" customHeight="1">
      <c r="A250" s="2" t="s">
        <v>19</v>
      </c>
      <c r="B250" s="2" t="s">
        <v>202</v>
      </c>
      <c r="C250" s="2" t="s">
        <v>21</v>
      </c>
      <c r="D250" s="2" t="s">
        <v>56</v>
      </c>
      <c r="F250" s="2" t="s">
        <v>203</v>
      </c>
      <c r="G250" s="2">
        <v>40675.54158999999</v>
      </c>
      <c r="H250" s="2" t="s">
        <v>26</v>
      </c>
    </row>
    <row r="251" ht="22.5" customHeight="1">
      <c r="A251" s="2" t="s">
        <v>19</v>
      </c>
      <c r="B251" s="2" t="s">
        <v>204</v>
      </c>
      <c r="C251" s="2" t="s">
        <v>32</v>
      </c>
      <c r="D251" s="2" t="s">
        <v>103</v>
      </c>
      <c r="F251" s="2" t="s">
        <v>205</v>
      </c>
      <c r="G251" s="2">
        <v>19340.144052</v>
      </c>
      <c r="H251" s="2" t="s">
        <v>25</v>
      </c>
    </row>
    <row r="252" ht="22.5" customHeight="1">
      <c r="A252" s="2" t="s">
        <v>19</v>
      </c>
      <c r="B252" s="2" t="s">
        <v>204</v>
      </c>
      <c r="C252" s="2" t="s">
        <v>32</v>
      </c>
      <c r="D252" s="2" t="s">
        <v>103</v>
      </c>
      <c r="F252" s="2" t="s">
        <v>205</v>
      </c>
      <c r="G252" s="2">
        <v>18982.853175</v>
      </c>
      <c r="H252" s="2" t="s">
        <v>27</v>
      </c>
    </row>
    <row r="253" ht="22.5" customHeight="1">
      <c r="A253" s="2" t="s">
        <v>19</v>
      </c>
      <c r="B253" s="2" t="s">
        <v>204</v>
      </c>
      <c r="C253" s="2" t="s">
        <v>32</v>
      </c>
      <c r="D253" s="2" t="s">
        <v>103</v>
      </c>
      <c r="F253" s="2" t="s">
        <v>205</v>
      </c>
      <c r="G253" s="2">
        <v>19146.252292</v>
      </c>
      <c r="H253" s="2" t="s">
        <v>26</v>
      </c>
    </row>
    <row r="254" ht="22.5" customHeight="1">
      <c r="A254" s="2" t="s">
        <v>19</v>
      </c>
      <c r="B254" s="2" t="s">
        <v>206</v>
      </c>
      <c r="C254" s="2" t="s">
        <v>21</v>
      </c>
      <c r="D254" s="2" t="s">
        <v>22</v>
      </c>
      <c r="E254" s="2" t="s">
        <v>23</v>
      </c>
      <c r="F254" s="2" t="s">
        <v>207</v>
      </c>
      <c r="G254" s="3">
        <v>12879.87</v>
      </c>
      <c r="H254" s="2" t="s">
        <v>26</v>
      </c>
    </row>
    <row r="255" ht="22.5" customHeight="1">
      <c r="A255" s="2" t="s">
        <v>19</v>
      </c>
      <c r="B255" s="2" t="s">
        <v>206</v>
      </c>
      <c r="C255" s="2" t="s">
        <v>21</v>
      </c>
      <c r="D255" s="2" t="s">
        <v>22</v>
      </c>
      <c r="E255" s="2" t="s">
        <v>23</v>
      </c>
      <c r="F255" s="2" t="s">
        <v>207</v>
      </c>
      <c r="G255" s="2">
        <v>17288.580152</v>
      </c>
      <c r="H255" s="2" t="s">
        <v>27</v>
      </c>
    </row>
    <row r="256" ht="22.5" customHeight="1">
      <c r="A256" s="2" t="s">
        <v>19</v>
      </c>
      <c r="B256" s="2" t="s">
        <v>206</v>
      </c>
      <c r="C256" s="2" t="s">
        <v>21</v>
      </c>
      <c r="D256" s="2" t="s">
        <v>22</v>
      </c>
      <c r="E256" s="2" t="s">
        <v>23</v>
      </c>
      <c r="F256" s="2" t="s">
        <v>207</v>
      </c>
      <c r="G256" s="2">
        <v>15604.598181</v>
      </c>
      <c r="H256" s="2" t="s">
        <v>25</v>
      </c>
    </row>
    <row r="257" ht="22.5" customHeight="1">
      <c r="A257" s="2" t="s">
        <v>19</v>
      </c>
      <c r="B257" s="2" t="s">
        <v>206</v>
      </c>
      <c r="C257" s="2" t="s">
        <v>21</v>
      </c>
      <c r="D257" s="2" t="s">
        <v>22</v>
      </c>
      <c r="E257" s="2" t="s">
        <v>23</v>
      </c>
      <c r="F257" s="2" t="s">
        <v>207</v>
      </c>
      <c r="G257" s="3">
        <v>11689.548</v>
      </c>
      <c r="H257" s="4" t="s">
        <v>28</v>
      </c>
    </row>
    <row r="258" ht="22.5" customHeight="1">
      <c r="A258" s="2" t="s">
        <v>19</v>
      </c>
      <c r="B258" s="2" t="s">
        <v>208</v>
      </c>
      <c r="C258" s="2" t="s">
        <v>32</v>
      </c>
      <c r="D258" s="2" t="s">
        <v>103</v>
      </c>
      <c r="F258" s="2" t="s">
        <v>209</v>
      </c>
      <c r="G258" s="2">
        <v>19337.174718</v>
      </c>
      <c r="H258" s="2" t="s">
        <v>25</v>
      </c>
    </row>
    <row r="259" ht="22.5" customHeight="1">
      <c r="A259" s="2" t="s">
        <v>19</v>
      </c>
      <c r="B259" s="2" t="s">
        <v>208</v>
      </c>
      <c r="C259" s="2" t="s">
        <v>32</v>
      </c>
      <c r="D259" s="2" t="s">
        <v>103</v>
      </c>
      <c r="F259" s="2" t="s">
        <v>209</v>
      </c>
      <c r="G259" s="2">
        <v>19143.282958</v>
      </c>
      <c r="H259" s="2" t="s">
        <v>26</v>
      </c>
    </row>
    <row r="260" ht="22.5" customHeight="1">
      <c r="A260" s="2" t="s">
        <v>19</v>
      </c>
      <c r="B260" s="2" t="s">
        <v>208</v>
      </c>
      <c r="C260" s="2" t="s">
        <v>32</v>
      </c>
      <c r="D260" s="2" t="s">
        <v>103</v>
      </c>
      <c r="F260" s="2" t="s">
        <v>209</v>
      </c>
      <c r="G260" s="2">
        <v>18980.15378</v>
      </c>
      <c r="H260" s="2" t="s">
        <v>27</v>
      </c>
    </row>
    <row r="261" ht="22.5" customHeight="1">
      <c r="A261" s="2" t="s">
        <v>19</v>
      </c>
      <c r="B261" s="2" t="s">
        <v>210</v>
      </c>
      <c r="C261" s="2" t="s">
        <v>21</v>
      </c>
      <c r="D261" s="2" t="s">
        <v>22</v>
      </c>
      <c r="E261" s="2" t="s">
        <v>23</v>
      </c>
      <c r="F261" s="2" t="s">
        <v>211</v>
      </c>
      <c r="G261" s="2">
        <v>18141.678181</v>
      </c>
      <c r="H261" s="2" t="s">
        <v>25</v>
      </c>
    </row>
    <row r="262" ht="22.5" customHeight="1">
      <c r="A262" s="2" t="s">
        <v>19</v>
      </c>
      <c r="B262" s="2" t="s">
        <v>210</v>
      </c>
      <c r="C262" s="2" t="s">
        <v>21</v>
      </c>
      <c r="D262" s="2" t="s">
        <v>22</v>
      </c>
      <c r="E262" s="2" t="s">
        <v>23</v>
      </c>
      <c r="F262" s="2" t="s">
        <v>211</v>
      </c>
      <c r="G262" s="2">
        <v>17823.581037</v>
      </c>
      <c r="H262" s="2" t="s">
        <v>27</v>
      </c>
    </row>
    <row r="263" ht="22.5" customHeight="1">
      <c r="A263" s="2" t="s">
        <v>19</v>
      </c>
      <c r="B263" s="2" t="s">
        <v>210</v>
      </c>
      <c r="C263" s="2" t="s">
        <v>21</v>
      </c>
      <c r="D263" s="2" t="s">
        <v>22</v>
      </c>
      <c r="E263" s="2" t="s">
        <v>23</v>
      </c>
      <c r="F263" s="2" t="s">
        <v>211</v>
      </c>
      <c r="G263" s="3">
        <v>15509.760583000001</v>
      </c>
      <c r="H263" s="2" t="s">
        <v>26</v>
      </c>
    </row>
    <row r="264" ht="22.5" customHeight="1">
      <c r="A264" s="2" t="s">
        <v>19</v>
      </c>
      <c r="B264" s="2" t="s">
        <v>210</v>
      </c>
      <c r="C264" s="2" t="s">
        <v>21</v>
      </c>
      <c r="D264" s="2" t="s">
        <v>22</v>
      </c>
      <c r="E264" s="2" t="s">
        <v>23</v>
      </c>
      <c r="F264" s="2" t="s">
        <v>211</v>
      </c>
      <c r="G264" s="3">
        <v>13715.04</v>
      </c>
      <c r="H264" s="4" t="s">
        <v>28</v>
      </c>
    </row>
    <row r="265" ht="22.5" customHeight="1">
      <c r="A265" s="2" t="s">
        <v>19</v>
      </c>
      <c r="B265" s="2" t="s">
        <v>212</v>
      </c>
      <c r="C265" s="2" t="s">
        <v>32</v>
      </c>
      <c r="D265" s="2" t="s">
        <v>39</v>
      </c>
      <c r="F265" s="2" t="s">
        <v>213</v>
      </c>
      <c r="G265" s="2">
        <v>7350.0</v>
      </c>
      <c r="H265" s="2" t="s">
        <v>27</v>
      </c>
    </row>
    <row r="266" ht="22.5" customHeight="1">
      <c r="A266" s="2" t="s">
        <v>19</v>
      </c>
      <c r="B266" s="2" t="s">
        <v>212</v>
      </c>
      <c r="C266" s="2" t="s">
        <v>32</v>
      </c>
      <c r="D266" s="2" t="s">
        <v>39</v>
      </c>
      <c r="F266" s="2" t="s">
        <v>213</v>
      </c>
      <c r="G266" s="2">
        <v>7350.0</v>
      </c>
      <c r="H266" s="2" t="s">
        <v>26</v>
      </c>
    </row>
    <row r="267" ht="22.5" customHeight="1">
      <c r="A267" s="2" t="s">
        <v>19</v>
      </c>
      <c r="B267" s="2" t="s">
        <v>212</v>
      </c>
      <c r="C267" s="2" t="s">
        <v>32</v>
      </c>
      <c r="D267" s="2" t="s">
        <v>39</v>
      </c>
      <c r="F267" s="2" t="s">
        <v>213</v>
      </c>
      <c r="G267" s="2">
        <v>7350.0</v>
      </c>
      <c r="H267" s="2" t="s">
        <v>25</v>
      </c>
    </row>
    <row r="268" ht="22.5" customHeight="1">
      <c r="A268" s="2" t="s">
        <v>19</v>
      </c>
      <c r="B268" s="2" t="s">
        <v>214</v>
      </c>
      <c r="C268" s="2" t="s">
        <v>21</v>
      </c>
      <c r="D268" s="2" t="s">
        <v>56</v>
      </c>
      <c r="F268" s="2" t="s">
        <v>215</v>
      </c>
      <c r="G268" s="2">
        <v>13202.829051</v>
      </c>
      <c r="H268" s="2" t="s">
        <v>26</v>
      </c>
    </row>
    <row r="269" ht="22.5" customHeight="1">
      <c r="A269" s="2" t="s">
        <v>19</v>
      </c>
      <c r="B269" s="2" t="s">
        <v>214</v>
      </c>
      <c r="C269" s="2" t="s">
        <v>21</v>
      </c>
      <c r="D269" s="2" t="s">
        <v>56</v>
      </c>
      <c r="F269" s="2" t="s">
        <v>215</v>
      </c>
      <c r="G269" s="2">
        <v>10059.743257</v>
      </c>
      <c r="H269" s="2" t="s">
        <v>27</v>
      </c>
    </row>
    <row r="270" ht="22.5" customHeight="1">
      <c r="A270" s="2" t="s">
        <v>19</v>
      </c>
      <c r="B270" s="2" t="s">
        <v>214</v>
      </c>
      <c r="C270" s="2" t="s">
        <v>21</v>
      </c>
      <c r="D270" s="2" t="s">
        <v>56</v>
      </c>
      <c r="F270" s="2" t="s">
        <v>215</v>
      </c>
      <c r="G270" s="2">
        <v>7350.0</v>
      </c>
      <c r="H270" s="2" t="s">
        <v>25</v>
      </c>
    </row>
    <row r="271" ht="22.5" customHeight="1">
      <c r="A271" s="2" t="s">
        <v>19</v>
      </c>
      <c r="B271" s="2" t="s">
        <v>216</v>
      </c>
      <c r="C271" s="2" t="s">
        <v>21</v>
      </c>
      <c r="D271" s="2" t="s">
        <v>22</v>
      </c>
      <c r="F271" s="2" t="s">
        <v>217</v>
      </c>
      <c r="G271" s="2">
        <v>18087.178181</v>
      </c>
      <c r="H271" s="2" t="s">
        <v>25</v>
      </c>
    </row>
    <row r="272" ht="22.5" customHeight="1">
      <c r="A272" s="2" t="s">
        <v>19</v>
      </c>
      <c r="B272" s="2" t="s">
        <v>216</v>
      </c>
      <c r="C272" s="2" t="s">
        <v>21</v>
      </c>
      <c r="D272" s="2" t="s">
        <v>22</v>
      </c>
      <c r="F272" s="2" t="s">
        <v>217</v>
      </c>
      <c r="G272" s="2">
        <v>7290.245537</v>
      </c>
      <c r="H272" s="2" t="s">
        <v>27</v>
      </c>
    </row>
    <row r="273" ht="22.5" customHeight="1">
      <c r="A273" s="2" t="s">
        <v>19</v>
      </c>
      <c r="B273" s="2" t="s">
        <v>218</v>
      </c>
      <c r="C273" s="2" t="s">
        <v>21</v>
      </c>
      <c r="D273" s="2" t="s">
        <v>22</v>
      </c>
      <c r="E273" s="2" t="s">
        <v>63</v>
      </c>
      <c r="F273" s="2" t="s">
        <v>219</v>
      </c>
      <c r="G273" s="2">
        <v>15934.228414</v>
      </c>
      <c r="H273" s="2" t="s">
        <v>25</v>
      </c>
    </row>
    <row r="274" ht="22.5" customHeight="1">
      <c r="A274" s="2" t="s">
        <v>19</v>
      </c>
      <c r="B274" s="2" t="s">
        <v>218</v>
      </c>
      <c r="C274" s="2" t="s">
        <v>21</v>
      </c>
      <c r="D274" s="2" t="s">
        <v>22</v>
      </c>
      <c r="E274" s="2" t="s">
        <v>63</v>
      </c>
      <c r="F274" s="2" t="s">
        <v>219</v>
      </c>
      <c r="G274" s="2">
        <v>15881.92591</v>
      </c>
      <c r="H274" s="2" t="s">
        <v>26</v>
      </c>
    </row>
    <row r="275" ht="22.5" customHeight="1">
      <c r="A275" s="2" t="s">
        <v>19</v>
      </c>
      <c r="B275" s="2" t="s">
        <v>218</v>
      </c>
      <c r="C275" s="2" t="s">
        <v>21</v>
      </c>
      <c r="D275" s="2" t="s">
        <v>22</v>
      </c>
      <c r="E275" s="2" t="s">
        <v>63</v>
      </c>
      <c r="F275" s="2" t="s">
        <v>219</v>
      </c>
      <c r="G275" s="2">
        <v>15635.661516</v>
      </c>
      <c r="H275" s="2" t="s">
        <v>27</v>
      </c>
    </row>
    <row r="276" ht="22.5" customHeight="1">
      <c r="A276" s="2" t="s">
        <v>19</v>
      </c>
      <c r="B276" s="2" t="s">
        <v>220</v>
      </c>
      <c r="C276" s="4" t="s">
        <v>32</v>
      </c>
      <c r="D276" s="2" t="s">
        <v>56</v>
      </c>
      <c r="F276" s="2" t="s">
        <v>221</v>
      </c>
      <c r="G276" s="3">
        <v>35960.1</v>
      </c>
      <c r="H276" s="2" t="s">
        <v>26</v>
      </c>
    </row>
    <row r="277" ht="22.5" customHeight="1">
      <c r="A277" s="2" t="s">
        <v>19</v>
      </c>
      <c r="B277" s="2" t="s">
        <v>220</v>
      </c>
      <c r="C277" s="4" t="s">
        <v>32</v>
      </c>
      <c r="D277" s="2" t="s">
        <v>56</v>
      </c>
      <c r="F277" s="2" t="s">
        <v>221</v>
      </c>
      <c r="G277" s="3">
        <v>32546.1</v>
      </c>
      <c r="H277" s="2" t="s">
        <v>25</v>
      </c>
    </row>
    <row r="278" ht="22.5" customHeight="1">
      <c r="A278" s="2" t="s">
        <v>19</v>
      </c>
      <c r="B278" s="2" t="s">
        <v>220</v>
      </c>
      <c r="C278" s="4" t="s">
        <v>32</v>
      </c>
      <c r="D278" s="2" t="s">
        <v>56</v>
      </c>
      <c r="F278" s="2" t="s">
        <v>221</v>
      </c>
      <c r="G278" s="3">
        <v>32547.6</v>
      </c>
      <c r="H278" s="2" t="s">
        <v>27</v>
      </c>
    </row>
    <row r="279" ht="22.5" customHeight="1">
      <c r="A279" s="2" t="s">
        <v>19</v>
      </c>
      <c r="B279" s="2" t="s">
        <v>220</v>
      </c>
      <c r="C279" s="4" t="s">
        <v>32</v>
      </c>
      <c r="D279" s="2" t="s">
        <v>56</v>
      </c>
      <c r="F279" s="2" t="s">
        <v>221</v>
      </c>
      <c r="G279" s="3">
        <v>58917.79564</v>
      </c>
      <c r="H279" s="4" t="s">
        <v>28</v>
      </c>
    </row>
    <row r="280" ht="22.5" customHeight="1">
      <c r="A280" s="2" t="s">
        <v>19</v>
      </c>
      <c r="B280" s="2" t="s">
        <v>222</v>
      </c>
      <c r="C280" s="2" t="s">
        <v>32</v>
      </c>
      <c r="D280" s="2" t="s">
        <v>39</v>
      </c>
      <c r="F280" s="2" t="s">
        <v>223</v>
      </c>
      <c r="G280" s="2">
        <v>21447.91512</v>
      </c>
      <c r="H280" s="2" t="s">
        <v>25</v>
      </c>
    </row>
    <row r="281" ht="22.5" customHeight="1">
      <c r="A281" s="2" t="s">
        <v>19</v>
      </c>
      <c r="B281" s="2" t="s">
        <v>222</v>
      </c>
      <c r="C281" s="2" t="s">
        <v>32</v>
      </c>
      <c r="D281" s="2" t="s">
        <v>39</v>
      </c>
      <c r="F281" s="2" t="s">
        <v>223</v>
      </c>
      <c r="G281" s="2">
        <v>21043.28283</v>
      </c>
      <c r="H281" s="2" t="s">
        <v>27</v>
      </c>
    </row>
    <row r="282" ht="22.5" customHeight="1">
      <c r="A282" s="2" t="s">
        <v>19</v>
      </c>
      <c r="B282" s="2" t="s">
        <v>224</v>
      </c>
      <c r="C282" s="2" t="s">
        <v>21</v>
      </c>
      <c r="D282" s="2" t="s">
        <v>22</v>
      </c>
      <c r="F282" s="2" t="s">
        <v>225</v>
      </c>
      <c r="G282" s="2">
        <v>12664.666657</v>
      </c>
      <c r="H282" s="2" t="s">
        <v>26</v>
      </c>
    </row>
    <row r="283" ht="22.5" customHeight="1">
      <c r="A283" s="2" t="s">
        <v>19</v>
      </c>
      <c r="B283" s="2" t="s">
        <v>224</v>
      </c>
      <c r="C283" s="2" t="s">
        <v>21</v>
      </c>
      <c r="D283" s="2" t="s">
        <v>22</v>
      </c>
      <c r="F283" s="2" t="s">
        <v>225</v>
      </c>
      <c r="G283" s="2">
        <v>8107.360929</v>
      </c>
      <c r="H283" s="2" t="s">
        <v>27</v>
      </c>
    </row>
    <row r="284" ht="22.5" customHeight="1">
      <c r="A284" s="2" t="s">
        <v>19</v>
      </c>
      <c r="B284" s="2" t="s">
        <v>226</v>
      </c>
      <c r="C284" s="4" t="s">
        <v>21</v>
      </c>
      <c r="D284" s="2" t="s">
        <v>22</v>
      </c>
      <c r="E284" s="2" t="s">
        <v>42</v>
      </c>
      <c r="F284" s="2" t="s">
        <v>227</v>
      </c>
      <c r="G284" s="2">
        <v>24662.52906</v>
      </c>
      <c r="H284" s="2" t="s">
        <v>25</v>
      </c>
    </row>
    <row r="285" ht="22.5" customHeight="1">
      <c r="A285" s="2" t="s">
        <v>19</v>
      </c>
      <c r="B285" s="2" t="s">
        <v>226</v>
      </c>
      <c r="C285" s="4" t="s">
        <v>21</v>
      </c>
      <c r="D285" s="2" t="s">
        <v>22</v>
      </c>
      <c r="E285" s="2" t="s">
        <v>42</v>
      </c>
      <c r="F285" s="2" t="s">
        <v>227</v>
      </c>
      <c r="G285" s="2">
        <v>24290.29243</v>
      </c>
      <c r="H285" s="2" t="s">
        <v>26</v>
      </c>
    </row>
    <row r="286" ht="22.5" customHeight="1">
      <c r="A286" s="2" t="s">
        <v>19</v>
      </c>
      <c r="B286" s="2" t="s">
        <v>226</v>
      </c>
      <c r="C286" s="4" t="s">
        <v>21</v>
      </c>
      <c r="D286" s="2" t="s">
        <v>22</v>
      </c>
      <c r="E286" s="2" t="s">
        <v>42</v>
      </c>
      <c r="F286" s="2" t="s">
        <v>227</v>
      </c>
      <c r="G286" s="2">
        <v>24203.17162</v>
      </c>
      <c r="H286" s="2" t="s">
        <v>27</v>
      </c>
    </row>
    <row r="287" ht="22.5" customHeight="1">
      <c r="A287" s="2" t="s">
        <v>19</v>
      </c>
      <c r="B287" s="2" t="s">
        <v>228</v>
      </c>
      <c r="C287" s="2" t="s">
        <v>32</v>
      </c>
      <c r="D287" s="2" t="s">
        <v>118</v>
      </c>
      <c r="F287" s="2" t="s">
        <v>229</v>
      </c>
      <c r="G287" s="2">
        <v>68390.14405</v>
      </c>
      <c r="H287" s="2" t="s">
        <v>25</v>
      </c>
    </row>
    <row r="288" ht="22.5" customHeight="1">
      <c r="A288" s="2" t="s">
        <v>19</v>
      </c>
      <c r="B288" s="2" t="s">
        <v>228</v>
      </c>
      <c r="C288" s="2" t="s">
        <v>32</v>
      </c>
      <c r="D288" s="2" t="s">
        <v>118</v>
      </c>
      <c r="F288" s="2" t="s">
        <v>229</v>
      </c>
      <c r="G288" s="2">
        <v>76896.25229</v>
      </c>
      <c r="H288" s="2" t="s">
        <v>26</v>
      </c>
    </row>
    <row r="289" ht="22.5" customHeight="1">
      <c r="A289" s="2" t="s">
        <v>19</v>
      </c>
      <c r="B289" s="2" t="s">
        <v>228</v>
      </c>
      <c r="C289" s="2" t="s">
        <v>32</v>
      </c>
      <c r="D289" s="2" t="s">
        <v>118</v>
      </c>
      <c r="F289" s="2" t="s">
        <v>229</v>
      </c>
      <c r="G289" s="2">
        <v>77832.85317</v>
      </c>
      <c r="H289" s="2" t="s">
        <v>27</v>
      </c>
    </row>
    <row r="290" ht="22.5" customHeight="1">
      <c r="A290" s="2" t="s">
        <v>19</v>
      </c>
      <c r="B290" s="2" t="s">
        <v>230</v>
      </c>
      <c r="C290" s="2" t="s">
        <v>32</v>
      </c>
      <c r="D290" s="2" t="s">
        <v>48</v>
      </c>
      <c r="F290" s="2" t="s">
        <v>231</v>
      </c>
      <c r="G290" s="2">
        <v>19207.062778</v>
      </c>
      <c r="H290" s="2" t="s">
        <v>25</v>
      </c>
    </row>
    <row r="291" ht="22.5" customHeight="1">
      <c r="A291" s="2" t="s">
        <v>19</v>
      </c>
      <c r="B291" s="2" t="s">
        <v>230</v>
      </c>
      <c r="C291" s="2" t="s">
        <v>32</v>
      </c>
      <c r="D291" s="2" t="s">
        <v>48</v>
      </c>
      <c r="F291" s="2" t="s">
        <v>231</v>
      </c>
      <c r="G291" s="3">
        <v>8031.52</v>
      </c>
      <c r="H291" s="2" t="s">
        <v>26</v>
      </c>
    </row>
    <row r="292" ht="22.5" customHeight="1">
      <c r="A292" s="2" t="s">
        <v>19</v>
      </c>
      <c r="B292" s="2" t="s">
        <v>230</v>
      </c>
      <c r="C292" s="2" t="s">
        <v>32</v>
      </c>
      <c r="D292" s="2" t="s">
        <v>48</v>
      </c>
      <c r="F292" s="2" t="s">
        <v>231</v>
      </c>
      <c r="G292" s="2">
        <v>18848.225941</v>
      </c>
      <c r="H292" s="2" t="s">
        <v>27</v>
      </c>
    </row>
    <row r="293" ht="22.5" customHeight="1">
      <c r="A293" s="2" t="s">
        <v>19</v>
      </c>
      <c r="B293" s="2" t="s">
        <v>230</v>
      </c>
      <c r="C293" s="2" t="s">
        <v>32</v>
      </c>
      <c r="D293" s="2" t="s">
        <v>48</v>
      </c>
      <c r="F293" s="2" t="s">
        <v>231</v>
      </c>
      <c r="G293" s="3">
        <v>15277.44</v>
      </c>
      <c r="H293" s="4" t="s">
        <v>28</v>
      </c>
    </row>
    <row r="294" ht="22.5" customHeight="1">
      <c r="A294" s="2" t="s">
        <v>19</v>
      </c>
      <c r="B294" s="2" t="s">
        <v>232</v>
      </c>
      <c r="C294" s="2" t="s">
        <v>68</v>
      </c>
      <c r="D294" s="2" t="s">
        <v>198</v>
      </c>
      <c r="F294" s="2" t="s">
        <v>233</v>
      </c>
      <c r="G294" s="2">
        <v>20203.68456</v>
      </c>
      <c r="H294" s="2" t="s">
        <v>26</v>
      </c>
    </row>
    <row r="295" ht="22.5" customHeight="1">
      <c r="A295" s="2" t="s">
        <v>19</v>
      </c>
      <c r="B295" s="2" t="s">
        <v>232</v>
      </c>
      <c r="C295" s="2" t="s">
        <v>68</v>
      </c>
      <c r="D295" s="2" t="s">
        <v>198</v>
      </c>
      <c r="F295" s="2" t="s">
        <v>233</v>
      </c>
      <c r="G295" s="2">
        <v>19963.580155</v>
      </c>
      <c r="H295" s="2" t="s">
        <v>27</v>
      </c>
    </row>
    <row r="296" ht="22.5" customHeight="1">
      <c r="A296" s="2" t="s">
        <v>19</v>
      </c>
      <c r="B296" s="2" t="s">
        <v>232</v>
      </c>
      <c r="C296" s="2" t="s">
        <v>68</v>
      </c>
      <c r="D296" s="2" t="s">
        <v>198</v>
      </c>
      <c r="F296" s="2" t="s">
        <v>233</v>
      </c>
      <c r="G296" s="2">
        <v>20321.67818</v>
      </c>
      <c r="H296" s="2" t="s">
        <v>25</v>
      </c>
    </row>
    <row r="297" ht="22.5" customHeight="1">
      <c r="A297" s="2" t="s">
        <v>19</v>
      </c>
      <c r="B297" s="2" t="s">
        <v>234</v>
      </c>
      <c r="C297" s="2" t="s">
        <v>21</v>
      </c>
      <c r="D297" s="2" t="s">
        <v>22</v>
      </c>
      <c r="F297" s="2" t="s">
        <v>235</v>
      </c>
      <c r="G297" s="2">
        <v>18141.678181</v>
      </c>
      <c r="H297" s="2" t="s">
        <v>25</v>
      </c>
    </row>
    <row r="298" ht="22.5" customHeight="1">
      <c r="A298" s="2" t="s">
        <v>19</v>
      </c>
      <c r="B298" s="8" t="s">
        <v>236</v>
      </c>
      <c r="C298" s="4" t="s">
        <v>21</v>
      </c>
      <c r="D298" s="2" t="s">
        <v>22</v>
      </c>
      <c r="E298" s="4" t="s">
        <v>53</v>
      </c>
      <c r="F298" s="8" t="s">
        <v>236</v>
      </c>
      <c r="G298" s="3">
        <v>630.08</v>
      </c>
      <c r="H298" s="4" t="s">
        <v>26</v>
      </c>
    </row>
    <row r="299" ht="22.5" customHeight="1">
      <c r="A299" s="2" t="s">
        <v>19</v>
      </c>
      <c r="B299" s="8" t="s">
        <v>236</v>
      </c>
      <c r="C299" s="4" t="s">
        <v>21</v>
      </c>
      <c r="D299" s="2" t="s">
        <v>22</v>
      </c>
      <c r="E299" s="4" t="s">
        <v>53</v>
      </c>
      <c r="F299" s="8" t="s">
        <v>236</v>
      </c>
      <c r="G299" s="3">
        <v>19025.856</v>
      </c>
      <c r="H299" s="4" t="s">
        <v>28</v>
      </c>
    </row>
    <row r="300" ht="22.5" customHeight="1">
      <c r="A300" s="2" t="s">
        <v>19</v>
      </c>
      <c r="B300" s="2" t="s">
        <v>237</v>
      </c>
      <c r="C300" s="2" t="s">
        <v>21</v>
      </c>
      <c r="D300" s="2" t="s">
        <v>22</v>
      </c>
      <c r="E300" s="2" t="s">
        <v>42</v>
      </c>
      <c r="F300" s="2" t="s">
        <v>238</v>
      </c>
      <c r="G300" s="2">
        <v>12552.513977</v>
      </c>
      <c r="H300" s="2" t="s">
        <v>26</v>
      </c>
    </row>
    <row r="301" ht="22.5" customHeight="1">
      <c r="A301" s="2" t="s">
        <v>19</v>
      </c>
      <c r="B301" s="8" t="s">
        <v>239</v>
      </c>
      <c r="C301" s="4" t="s">
        <v>21</v>
      </c>
      <c r="D301" s="4" t="s">
        <v>22</v>
      </c>
      <c r="E301" s="4" t="s">
        <v>42</v>
      </c>
      <c r="F301" s="8" t="s">
        <v>239</v>
      </c>
      <c r="G301" s="3">
        <v>15356.2</v>
      </c>
      <c r="H301" s="4" t="s">
        <v>28</v>
      </c>
    </row>
    <row r="302" ht="22.5" customHeight="1">
      <c r="A302" s="2" t="s">
        <v>19</v>
      </c>
      <c r="B302" s="8" t="s">
        <v>240</v>
      </c>
      <c r="C302" s="4" t="s">
        <v>21</v>
      </c>
      <c r="D302" s="4" t="s">
        <v>22</v>
      </c>
      <c r="E302" s="4" t="s">
        <v>23</v>
      </c>
      <c r="F302" s="8" t="s">
        <v>240</v>
      </c>
      <c r="G302" s="3">
        <v>6588.72</v>
      </c>
      <c r="H302" s="4" t="s">
        <v>28</v>
      </c>
    </row>
    <row r="303" ht="22.5" customHeight="1">
      <c r="A303" s="2" t="s">
        <v>19</v>
      </c>
      <c r="B303" s="8" t="s">
        <v>241</v>
      </c>
      <c r="C303" s="4" t="s">
        <v>21</v>
      </c>
      <c r="D303" s="4" t="s">
        <v>22</v>
      </c>
      <c r="E303" s="4" t="s">
        <v>53</v>
      </c>
      <c r="F303" s="8" t="s">
        <v>241</v>
      </c>
      <c r="G303" s="3">
        <v>8163.72</v>
      </c>
      <c r="H303" s="4" t="s">
        <v>28</v>
      </c>
    </row>
    <row r="304" ht="22.5" customHeight="1">
      <c r="A304" s="2" t="s">
        <v>19</v>
      </c>
      <c r="B304" s="8" t="s">
        <v>242</v>
      </c>
      <c r="C304" s="4" t="s">
        <v>21</v>
      </c>
      <c r="D304" s="4" t="s">
        <v>22</v>
      </c>
      <c r="E304" s="4" t="s">
        <v>45</v>
      </c>
      <c r="F304" s="8" t="s">
        <v>242</v>
      </c>
      <c r="G304" s="3">
        <v>1756.9885000000002</v>
      </c>
      <c r="H304" s="4" t="s">
        <v>28</v>
      </c>
    </row>
    <row r="305" ht="22.5" customHeight="1">
      <c r="A305" s="2" t="s">
        <v>19</v>
      </c>
      <c r="B305" s="2" t="s">
        <v>237</v>
      </c>
      <c r="C305" s="2" t="s">
        <v>21</v>
      </c>
      <c r="D305" s="2" t="s">
        <v>22</v>
      </c>
      <c r="E305" s="2" t="s">
        <v>42</v>
      </c>
      <c r="F305" s="2" t="s">
        <v>238</v>
      </c>
      <c r="G305" s="2">
        <v>18893.580152</v>
      </c>
      <c r="H305" s="2" t="s">
        <v>27</v>
      </c>
    </row>
    <row r="306" ht="22.5" customHeight="1">
      <c r="A306" s="2" t="s">
        <v>19</v>
      </c>
      <c r="B306" s="2" t="s">
        <v>237</v>
      </c>
      <c r="C306" s="2" t="s">
        <v>21</v>
      </c>
      <c r="D306" s="2" t="s">
        <v>22</v>
      </c>
      <c r="E306" s="2" t="s">
        <v>42</v>
      </c>
      <c r="F306" s="2" t="s">
        <v>238</v>
      </c>
      <c r="G306" s="2">
        <v>19231.678181</v>
      </c>
      <c r="H306" s="2" t="s">
        <v>25</v>
      </c>
    </row>
    <row r="307" ht="22.5" customHeight="1">
      <c r="A307" s="2" t="s">
        <v>19</v>
      </c>
      <c r="B307" s="2" t="s">
        <v>243</v>
      </c>
      <c r="C307" s="2" t="s">
        <v>21</v>
      </c>
      <c r="D307" s="2" t="s">
        <v>56</v>
      </c>
      <c r="F307" s="2" t="s">
        <v>244</v>
      </c>
      <c r="G307" s="2">
        <v>28074.40406</v>
      </c>
      <c r="H307" s="2" t="s">
        <v>27</v>
      </c>
    </row>
    <row r="308" ht="22.5" customHeight="1">
      <c r="A308" s="2" t="s">
        <v>19</v>
      </c>
      <c r="B308" s="2" t="s">
        <v>243</v>
      </c>
      <c r="C308" s="2" t="s">
        <v>21</v>
      </c>
      <c r="D308" s="2" t="s">
        <v>56</v>
      </c>
      <c r="F308" s="2" t="s">
        <v>244</v>
      </c>
      <c r="G308" s="2">
        <v>28361.56091</v>
      </c>
      <c r="H308" s="2" t="s">
        <v>25</v>
      </c>
    </row>
    <row r="309" ht="22.5" customHeight="1">
      <c r="A309" s="2" t="s">
        <v>19</v>
      </c>
      <c r="B309" s="2" t="s">
        <v>243</v>
      </c>
      <c r="C309" s="2" t="s">
        <v>21</v>
      </c>
      <c r="D309" s="2" t="s">
        <v>56</v>
      </c>
      <c r="F309" s="2" t="s">
        <v>244</v>
      </c>
      <c r="G309" s="2">
        <v>27403.82208</v>
      </c>
      <c r="H309" s="2" t="s">
        <v>26</v>
      </c>
    </row>
    <row r="310" ht="22.5" customHeight="1">
      <c r="A310" s="2" t="s">
        <v>19</v>
      </c>
      <c r="B310" s="2" t="s">
        <v>245</v>
      </c>
      <c r="C310" s="2" t="s">
        <v>21</v>
      </c>
      <c r="D310" s="2" t="s">
        <v>22</v>
      </c>
      <c r="E310" s="2" t="s">
        <v>63</v>
      </c>
      <c r="F310" s="2" t="s">
        <v>246</v>
      </c>
      <c r="G310" s="3">
        <v>9501.84</v>
      </c>
      <c r="H310" s="2" t="s">
        <v>26</v>
      </c>
    </row>
    <row r="311" ht="22.5" customHeight="1">
      <c r="A311" s="2" t="s">
        <v>19</v>
      </c>
      <c r="B311" s="2" t="s">
        <v>245</v>
      </c>
      <c r="C311" s="2" t="s">
        <v>21</v>
      </c>
      <c r="D311" s="2" t="s">
        <v>22</v>
      </c>
      <c r="E311" s="2" t="s">
        <v>63</v>
      </c>
      <c r="F311" s="2" t="s">
        <v>246</v>
      </c>
      <c r="G311" s="2">
        <v>18141.678181</v>
      </c>
      <c r="H311" s="2" t="s">
        <v>25</v>
      </c>
    </row>
    <row r="312" ht="22.5" customHeight="1">
      <c r="A312" s="2" t="s">
        <v>19</v>
      </c>
      <c r="B312" s="2" t="s">
        <v>245</v>
      </c>
      <c r="C312" s="2" t="s">
        <v>21</v>
      </c>
      <c r="D312" s="2" t="s">
        <v>22</v>
      </c>
      <c r="E312" s="2" t="s">
        <v>63</v>
      </c>
      <c r="F312" s="2" t="s">
        <v>246</v>
      </c>
      <c r="G312" s="2">
        <v>17823.580152</v>
      </c>
      <c r="H312" s="2" t="s">
        <v>27</v>
      </c>
    </row>
    <row r="313" ht="22.5" customHeight="1">
      <c r="A313" s="2" t="s">
        <v>19</v>
      </c>
      <c r="B313" s="2" t="s">
        <v>245</v>
      </c>
      <c r="C313" s="2" t="s">
        <v>21</v>
      </c>
      <c r="D313" s="2" t="s">
        <v>22</v>
      </c>
      <c r="E313" s="2" t="s">
        <v>63</v>
      </c>
      <c r="F313" s="2" t="s">
        <v>246</v>
      </c>
      <c r="G313" s="3">
        <v>14227.44</v>
      </c>
      <c r="H313" s="4" t="s">
        <v>28</v>
      </c>
    </row>
    <row r="314" ht="22.5" customHeight="1">
      <c r="A314" s="2" t="s">
        <v>19</v>
      </c>
      <c r="B314" s="2" t="s">
        <v>247</v>
      </c>
      <c r="C314" s="2" t="s">
        <v>21</v>
      </c>
      <c r="D314" s="2" t="s">
        <v>22</v>
      </c>
      <c r="E314" s="2" t="s">
        <v>23</v>
      </c>
      <c r="F314" s="2" t="s">
        <v>248</v>
      </c>
      <c r="G314" s="2">
        <v>7350.0</v>
      </c>
      <c r="H314" s="2" t="s">
        <v>26</v>
      </c>
    </row>
    <row r="315" ht="22.5" customHeight="1">
      <c r="A315" s="2" t="s">
        <v>19</v>
      </c>
      <c r="B315" s="2" t="s">
        <v>247</v>
      </c>
      <c r="C315" s="2" t="s">
        <v>21</v>
      </c>
      <c r="D315" s="2" t="s">
        <v>22</v>
      </c>
      <c r="E315" s="2" t="s">
        <v>23</v>
      </c>
      <c r="F315" s="2" t="s">
        <v>248</v>
      </c>
      <c r="G315" s="2">
        <v>7350.0</v>
      </c>
      <c r="H315" s="2" t="s">
        <v>25</v>
      </c>
    </row>
    <row r="316" ht="22.5" customHeight="1">
      <c r="A316" s="2" t="s">
        <v>19</v>
      </c>
      <c r="B316" s="2" t="s">
        <v>247</v>
      </c>
      <c r="C316" s="2" t="s">
        <v>21</v>
      </c>
      <c r="D316" s="2" t="s">
        <v>22</v>
      </c>
      <c r="E316" s="2" t="s">
        <v>23</v>
      </c>
      <c r="F316" s="2" t="s">
        <v>248</v>
      </c>
      <c r="G316" s="2">
        <v>7350.0</v>
      </c>
      <c r="H316" s="2" t="s">
        <v>27</v>
      </c>
    </row>
    <row r="317" ht="22.5" customHeight="1">
      <c r="A317" s="2" t="s">
        <v>19</v>
      </c>
      <c r="B317" s="2" t="s">
        <v>249</v>
      </c>
      <c r="C317" s="2" t="s">
        <v>21</v>
      </c>
      <c r="D317" s="2" t="s">
        <v>56</v>
      </c>
      <c r="F317" s="2" t="s">
        <v>250</v>
      </c>
      <c r="G317" s="2">
        <v>13202.829051</v>
      </c>
      <c r="H317" s="2" t="s">
        <v>26</v>
      </c>
    </row>
    <row r="318" ht="22.5" customHeight="1">
      <c r="A318" s="2" t="s">
        <v>19</v>
      </c>
      <c r="B318" s="2" t="s">
        <v>249</v>
      </c>
      <c r="C318" s="2" t="s">
        <v>21</v>
      </c>
      <c r="D318" s="2" t="s">
        <v>56</v>
      </c>
      <c r="F318" s="2" t="s">
        <v>250</v>
      </c>
      <c r="G318" s="2">
        <v>12905.877092</v>
      </c>
      <c r="H318" s="2" t="s">
        <v>27</v>
      </c>
    </row>
    <row r="319" ht="22.5" customHeight="1">
      <c r="A319" s="2" t="s">
        <v>19</v>
      </c>
      <c r="B319" s="2" t="s">
        <v>249</v>
      </c>
      <c r="C319" s="2" t="s">
        <v>21</v>
      </c>
      <c r="D319" s="2" t="s">
        <v>56</v>
      </c>
      <c r="F319" s="2" t="s">
        <v>250</v>
      </c>
      <c r="G319" s="2">
        <v>13153.19405</v>
      </c>
      <c r="H319" s="2" t="s">
        <v>25</v>
      </c>
    </row>
    <row r="320" ht="22.5" customHeight="1">
      <c r="A320" s="2" t="s">
        <v>19</v>
      </c>
      <c r="B320" s="2" t="s">
        <v>251</v>
      </c>
      <c r="C320" s="2" t="s">
        <v>21</v>
      </c>
      <c r="D320" s="2" t="s">
        <v>56</v>
      </c>
      <c r="F320" s="2" t="s">
        <v>252</v>
      </c>
      <c r="G320" s="2">
        <v>7350.0</v>
      </c>
      <c r="H320" s="2" t="s">
        <v>25</v>
      </c>
    </row>
    <row r="321" ht="22.5" customHeight="1">
      <c r="A321" s="2" t="s">
        <v>19</v>
      </c>
      <c r="B321" s="2" t="s">
        <v>251</v>
      </c>
      <c r="C321" s="2" t="s">
        <v>21</v>
      </c>
      <c r="D321" s="2" t="s">
        <v>56</v>
      </c>
      <c r="F321" s="2" t="s">
        <v>252</v>
      </c>
      <c r="G321" s="2">
        <v>7350.0</v>
      </c>
      <c r="H321" s="2" t="s">
        <v>26</v>
      </c>
    </row>
    <row r="322" ht="22.5" customHeight="1">
      <c r="A322" s="2" t="s">
        <v>19</v>
      </c>
      <c r="B322" s="2" t="s">
        <v>251</v>
      </c>
      <c r="C322" s="2" t="s">
        <v>21</v>
      </c>
      <c r="D322" s="2" t="s">
        <v>56</v>
      </c>
      <c r="F322" s="2" t="s">
        <v>252</v>
      </c>
      <c r="G322" s="2">
        <v>7350.0</v>
      </c>
      <c r="H322" s="2" t="s">
        <v>27</v>
      </c>
    </row>
    <row r="323" ht="22.5" customHeight="1">
      <c r="A323" s="2" t="s">
        <v>19</v>
      </c>
      <c r="B323" s="2" t="s">
        <v>253</v>
      </c>
      <c r="C323" s="2" t="s">
        <v>32</v>
      </c>
      <c r="D323" s="2" t="s">
        <v>56</v>
      </c>
      <c r="F323" s="2" t="s">
        <v>254</v>
      </c>
      <c r="G323" s="2">
        <v>21139.39677</v>
      </c>
      <c r="H323" s="2" t="s">
        <v>26</v>
      </c>
    </row>
    <row r="324" ht="22.5" customHeight="1">
      <c r="A324" s="2" t="s">
        <v>19</v>
      </c>
      <c r="B324" s="2" t="s">
        <v>253</v>
      </c>
      <c r="C324" s="2" t="s">
        <v>32</v>
      </c>
      <c r="D324" s="2" t="s">
        <v>56</v>
      </c>
      <c r="F324" s="2" t="s">
        <v>254</v>
      </c>
      <c r="G324" s="2">
        <v>19315.770457</v>
      </c>
      <c r="H324" s="2" t="s">
        <v>25</v>
      </c>
    </row>
    <row r="325" ht="22.5" customHeight="1">
      <c r="A325" s="2" t="s">
        <v>19</v>
      </c>
      <c r="B325" s="2" t="s">
        <v>253</v>
      </c>
      <c r="C325" s="2" t="s">
        <v>32</v>
      </c>
      <c r="D325" s="2" t="s">
        <v>56</v>
      </c>
      <c r="F325" s="2" t="s">
        <v>254</v>
      </c>
      <c r="G325" s="2">
        <v>19996.580507</v>
      </c>
      <c r="H325" s="2" t="s">
        <v>27</v>
      </c>
    </row>
    <row r="326" ht="22.5" customHeight="1">
      <c r="A326" s="2" t="s">
        <v>19</v>
      </c>
      <c r="B326" s="2" t="s">
        <v>255</v>
      </c>
      <c r="C326" s="2" t="s">
        <v>21</v>
      </c>
      <c r="D326" s="2" t="s">
        <v>22</v>
      </c>
      <c r="E326" s="2" t="s">
        <v>63</v>
      </c>
      <c r="F326" s="2" t="s">
        <v>256</v>
      </c>
      <c r="G326" s="3">
        <v>16854.666</v>
      </c>
      <c r="H326" s="2" t="s">
        <v>26</v>
      </c>
    </row>
    <row r="327" ht="22.5" customHeight="1">
      <c r="A327" s="2" t="s">
        <v>19</v>
      </c>
      <c r="B327" s="2" t="s">
        <v>255</v>
      </c>
      <c r="C327" s="2" t="s">
        <v>21</v>
      </c>
      <c r="D327" s="2" t="s">
        <v>22</v>
      </c>
      <c r="E327" s="2" t="s">
        <v>63</v>
      </c>
      <c r="F327" s="2" t="s">
        <v>256</v>
      </c>
      <c r="G327" s="2">
        <v>21425.8467</v>
      </c>
      <c r="H327" s="2" t="s">
        <v>25</v>
      </c>
    </row>
    <row r="328" ht="22.5" customHeight="1">
      <c r="A328" s="2" t="s">
        <v>19</v>
      </c>
      <c r="B328" s="2" t="s">
        <v>255</v>
      </c>
      <c r="C328" s="2" t="s">
        <v>21</v>
      </c>
      <c r="D328" s="2" t="s">
        <v>22</v>
      </c>
      <c r="E328" s="2" t="s">
        <v>63</v>
      </c>
      <c r="F328" s="2" t="s">
        <v>256</v>
      </c>
      <c r="G328" s="2">
        <v>21046.5104</v>
      </c>
      <c r="H328" s="2" t="s">
        <v>27</v>
      </c>
    </row>
    <row r="329" ht="22.5" customHeight="1">
      <c r="A329" s="2" t="s">
        <v>19</v>
      </c>
      <c r="B329" s="2" t="s">
        <v>255</v>
      </c>
      <c r="C329" s="2" t="s">
        <v>21</v>
      </c>
      <c r="D329" s="2" t="s">
        <v>22</v>
      </c>
      <c r="E329" s="2" t="s">
        <v>63</v>
      </c>
      <c r="F329" s="2" t="s">
        <v>256</v>
      </c>
      <c r="G329" s="3">
        <v>17377.440000000002</v>
      </c>
      <c r="H329" s="4" t="s">
        <v>28</v>
      </c>
    </row>
    <row r="330" ht="22.5" customHeight="1">
      <c r="A330" s="2" t="s">
        <v>19</v>
      </c>
      <c r="B330" s="2" t="s">
        <v>257</v>
      </c>
      <c r="C330" s="2" t="s">
        <v>32</v>
      </c>
      <c r="D330" s="2" t="s">
        <v>39</v>
      </c>
      <c r="F330" s="2" t="s">
        <v>258</v>
      </c>
      <c r="G330" s="2">
        <v>14700.15378</v>
      </c>
      <c r="H330" s="2" t="s">
        <v>27</v>
      </c>
    </row>
    <row r="331" ht="22.5" customHeight="1">
      <c r="A331" s="2" t="s">
        <v>19</v>
      </c>
      <c r="B331" s="2" t="s">
        <v>257</v>
      </c>
      <c r="C331" s="2" t="s">
        <v>32</v>
      </c>
      <c r="D331" s="2" t="s">
        <v>39</v>
      </c>
      <c r="F331" s="2" t="s">
        <v>258</v>
      </c>
      <c r="G331" s="2">
        <v>14977.174718</v>
      </c>
      <c r="H331" s="2" t="s">
        <v>25</v>
      </c>
    </row>
    <row r="332" ht="22.5" customHeight="1">
      <c r="A332" s="2" t="s">
        <v>19</v>
      </c>
      <c r="B332" s="2" t="s">
        <v>257</v>
      </c>
      <c r="C332" s="2" t="s">
        <v>32</v>
      </c>
      <c r="D332" s="2" t="s">
        <v>39</v>
      </c>
      <c r="F332" s="2" t="s">
        <v>258</v>
      </c>
      <c r="G332" s="2">
        <v>14943.282958</v>
      </c>
      <c r="H332" s="2" t="s">
        <v>26</v>
      </c>
    </row>
    <row r="333" ht="22.5" customHeight="1">
      <c r="A333" s="2" t="s">
        <v>19</v>
      </c>
      <c r="B333" s="2" t="s">
        <v>259</v>
      </c>
      <c r="C333" s="2" t="s">
        <v>21</v>
      </c>
      <c r="D333" s="2" t="s">
        <v>22</v>
      </c>
      <c r="E333" s="2" t="s">
        <v>63</v>
      </c>
      <c r="F333" s="2" t="s">
        <v>260</v>
      </c>
      <c r="G333" s="2">
        <v>16715.736044</v>
      </c>
      <c r="H333" s="2" t="s">
        <v>27</v>
      </c>
    </row>
    <row r="334" ht="22.5" customHeight="1">
      <c r="A334" s="2" t="s">
        <v>19</v>
      </c>
      <c r="B334" s="2" t="s">
        <v>259</v>
      </c>
      <c r="C334" s="2" t="s">
        <v>21</v>
      </c>
      <c r="D334" s="2" t="s">
        <v>22</v>
      </c>
      <c r="E334" s="2" t="s">
        <v>63</v>
      </c>
      <c r="F334" s="2" t="s">
        <v>260</v>
      </c>
      <c r="G334" s="2">
        <v>18670.363418</v>
      </c>
      <c r="H334" s="2" t="s">
        <v>25</v>
      </c>
    </row>
    <row r="335" ht="22.5" customHeight="1">
      <c r="A335" s="2" t="s">
        <v>19</v>
      </c>
      <c r="B335" s="2" t="s">
        <v>259</v>
      </c>
      <c r="C335" s="2" t="s">
        <v>21</v>
      </c>
      <c r="D335" s="2" t="s">
        <v>22</v>
      </c>
      <c r="E335" s="2" t="s">
        <v>63</v>
      </c>
      <c r="F335" s="2" t="s">
        <v>260</v>
      </c>
      <c r="G335" s="2">
        <v>18039.056587</v>
      </c>
      <c r="H335" s="2" t="s">
        <v>26</v>
      </c>
    </row>
    <row r="336" ht="22.5" customHeight="1">
      <c r="A336" s="2" t="s">
        <v>19</v>
      </c>
      <c r="B336" s="2" t="s">
        <v>261</v>
      </c>
      <c r="C336" s="2" t="s">
        <v>21</v>
      </c>
      <c r="D336" s="2" t="s">
        <v>22</v>
      </c>
      <c r="E336" s="2" t="s">
        <v>53</v>
      </c>
      <c r="F336" s="2" t="s">
        <v>262</v>
      </c>
      <c r="G336" s="2">
        <v>15147.448181</v>
      </c>
      <c r="H336" s="2" t="s">
        <v>25</v>
      </c>
    </row>
    <row r="337" ht="22.5" customHeight="1">
      <c r="A337" s="2" t="s">
        <v>19</v>
      </c>
      <c r="B337" s="2" t="s">
        <v>261</v>
      </c>
      <c r="C337" s="2" t="s">
        <v>21</v>
      </c>
      <c r="D337" s="2" t="s">
        <v>22</v>
      </c>
      <c r="E337" s="2" t="s">
        <v>53</v>
      </c>
      <c r="F337" s="2" t="s">
        <v>262</v>
      </c>
      <c r="G337" s="2">
        <v>17038.780152</v>
      </c>
      <c r="H337" s="2" t="s">
        <v>27</v>
      </c>
    </row>
    <row r="338" ht="22.5" customHeight="1">
      <c r="A338" s="2" t="s">
        <v>19</v>
      </c>
      <c r="B338" s="2" t="s">
        <v>261</v>
      </c>
      <c r="C338" s="2" t="s">
        <v>21</v>
      </c>
      <c r="D338" s="2" t="s">
        <v>22</v>
      </c>
      <c r="E338" s="2" t="s">
        <v>53</v>
      </c>
      <c r="F338" s="2" t="s">
        <v>262</v>
      </c>
      <c r="G338" s="3">
        <v>14227.44</v>
      </c>
      <c r="H338" s="2" t="s">
        <v>26</v>
      </c>
    </row>
    <row r="339" ht="22.5" customHeight="1">
      <c r="A339" s="2" t="s">
        <v>19</v>
      </c>
      <c r="B339" s="2" t="s">
        <v>261</v>
      </c>
      <c r="C339" s="2" t="s">
        <v>21</v>
      </c>
      <c r="D339" s="2" t="s">
        <v>22</v>
      </c>
      <c r="E339" s="2" t="s">
        <v>53</v>
      </c>
      <c r="F339" s="2" t="s">
        <v>262</v>
      </c>
      <c r="G339" s="3">
        <v>10075.824</v>
      </c>
      <c r="H339" s="4" t="s">
        <v>28</v>
      </c>
    </row>
    <row r="340" ht="22.5" customHeight="1">
      <c r="A340" s="2" t="s">
        <v>19</v>
      </c>
      <c r="B340" s="2" t="s">
        <v>263</v>
      </c>
      <c r="C340" s="2" t="s">
        <v>21</v>
      </c>
      <c r="D340" s="2" t="s">
        <v>22</v>
      </c>
      <c r="F340" s="2" t="s">
        <v>264</v>
      </c>
      <c r="G340" s="2">
        <v>7350.0</v>
      </c>
      <c r="H340" s="2" t="s">
        <v>27</v>
      </c>
    </row>
    <row r="341" ht="22.5" customHeight="1">
      <c r="A341" s="2" t="s">
        <v>19</v>
      </c>
      <c r="B341" s="2" t="s">
        <v>263</v>
      </c>
      <c r="C341" s="2" t="s">
        <v>21</v>
      </c>
      <c r="D341" s="2" t="s">
        <v>22</v>
      </c>
      <c r="F341" s="2" t="s">
        <v>264</v>
      </c>
      <c r="G341" s="2">
        <v>7350.0</v>
      </c>
      <c r="H341" s="2" t="s">
        <v>25</v>
      </c>
    </row>
    <row r="342" ht="22.5" customHeight="1">
      <c r="A342" s="2" t="s">
        <v>19</v>
      </c>
      <c r="B342" s="2" t="s">
        <v>263</v>
      </c>
      <c r="C342" s="2" t="s">
        <v>21</v>
      </c>
      <c r="D342" s="2" t="s">
        <v>22</v>
      </c>
      <c r="F342" s="2" t="s">
        <v>264</v>
      </c>
      <c r="G342" s="2">
        <v>3675.0</v>
      </c>
      <c r="H342" s="2" t="s">
        <v>26</v>
      </c>
    </row>
    <row r="343" ht="22.5" customHeight="1">
      <c r="A343" s="2" t="s">
        <v>19</v>
      </c>
      <c r="B343" s="2" t="s">
        <v>265</v>
      </c>
      <c r="C343" s="2" t="s">
        <v>32</v>
      </c>
      <c r="D343" s="2" t="s">
        <v>193</v>
      </c>
      <c r="E343" s="2" t="s">
        <v>23</v>
      </c>
      <c r="F343" s="2" t="s">
        <v>266</v>
      </c>
      <c r="G343" s="2">
        <v>23508.75854</v>
      </c>
      <c r="H343" s="2" t="s">
        <v>27</v>
      </c>
    </row>
    <row r="344" ht="22.5" customHeight="1">
      <c r="A344" s="2" t="s">
        <v>19</v>
      </c>
      <c r="B344" s="2" t="s">
        <v>265</v>
      </c>
      <c r="C344" s="2" t="s">
        <v>32</v>
      </c>
      <c r="D344" s="2" t="s">
        <v>193</v>
      </c>
      <c r="E344" s="2" t="s">
        <v>23</v>
      </c>
      <c r="F344" s="2" t="s">
        <v>266</v>
      </c>
      <c r="G344" s="2">
        <v>22304.9482</v>
      </c>
      <c r="H344" s="2" t="s">
        <v>26</v>
      </c>
    </row>
    <row r="345" ht="22.5" customHeight="1">
      <c r="A345" s="2" t="s">
        <v>19</v>
      </c>
      <c r="B345" s="2" t="s">
        <v>265</v>
      </c>
      <c r="C345" s="2" t="s">
        <v>32</v>
      </c>
      <c r="D345" s="2" t="s">
        <v>193</v>
      </c>
      <c r="E345" s="2" t="s">
        <v>23</v>
      </c>
      <c r="F345" s="2" t="s">
        <v>266</v>
      </c>
      <c r="G345" s="2">
        <v>22618.83996</v>
      </c>
      <c r="H345" s="2" t="s">
        <v>25</v>
      </c>
    </row>
    <row r="346" ht="22.5" customHeight="1">
      <c r="A346" s="2" t="s">
        <v>19</v>
      </c>
      <c r="B346" s="2" t="s">
        <v>267</v>
      </c>
      <c r="C346" s="2" t="s">
        <v>21</v>
      </c>
      <c r="D346" s="2" t="s">
        <v>22</v>
      </c>
      <c r="E346" s="2" t="s">
        <v>23</v>
      </c>
      <c r="F346" s="2" t="s">
        <v>268</v>
      </c>
      <c r="G346" s="2">
        <v>7350.0</v>
      </c>
      <c r="H346" s="2" t="s">
        <v>25</v>
      </c>
    </row>
    <row r="347" ht="22.5" customHeight="1">
      <c r="A347" s="2" t="s">
        <v>19</v>
      </c>
      <c r="B347" s="2" t="s">
        <v>267</v>
      </c>
      <c r="C347" s="2" t="s">
        <v>21</v>
      </c>
      <c r="D347" s="2" t="s">
        <v>22</v>
      </c>
      <c r="E347" s="2" t="s">
        <v>23</v>
      </c>
      <c r="F347" s="2" t="s">
        <v>268</v>
      </c>
      <c r="G347" s="2">
        <v>7350.0</v>
      </c>
      <c r="H347" s="2" t="s">
        <v>26</v>
      </c>
    </row>
    <row r="348" ht="22.5" customHeight="1">
      <c r="A348" s="2" t="s">
        <v>19</v>
      </c>
      <c r="B348" s="2" t="s">
        <v>267</v>
      </c>
      <c r="C348" s="2" t="s">
        <v>21</v>
      </c>
      <c r="D348" s="2" t="s">
        <v>22</v>
      </c>
      <c r="E348" s="2" t="s">
        <v>23</v>
      </c>
      <c r="F348" s="2" t="s">
        <v>268</v>
      </c>
      <c r="G348" s="2">
        <v>7350.0</v>
      </c>
      <c r="H348" s="2" t="s">
        <v>27</v>
      </c>
    </row>
    <row r="349" ht="22.5" customHeight="1">
      <c r="A349" s="2" t="s">
        <v>19</v>
      </c>
      <c r="B349" s="2" t="s">
        <v>269</v>
      </c>
      <c r="C349" s="2" t="s">
        <v>21</v>
      </c>
      <c r="D349" s="2" t="s">
        <v>22</v>
      </c>
      <c r="E349" s="2" t="s">
        <v>36</v>
      </c>
      <c r="F349" s="2" t="s">
        <v>270</v>
      </c>
      <c r="G349" s="2">
        <v>15927.656463</v>
      </c>
      <c r="H349" s="2" t="s">
        <v>26</v>
      </c>
    </row>
    <row r="350" ht="22.5" customHeight="1">
      <c r="A350" s="2" t="s">
        <v>19</v>
      </c>
      <c r="B350" s="2" t="s">
        <v>269</v>
      </c>
      <c r="C350" s="2" t="s">
        <v>21</v>
      </c>
      <c r="D350" s="2" t="s">
        <v>22</v>
      </c>
      <c r="E350" s="2" t="s">
        <v>36</v>
      </c>
      <c r="F350" s="2" t="s">
        <v>270</v>
      </c>
      <c r="G350" s="2">
        <v>15635.661516</v>
      </c>
      <c r="H350" s="2" t="s">
        <v>27</v>
      </c>
    </row>
    <row r="351" ht="22.5" customHeight="1">
      <c r="A351" s="2" t="s">
        <v>19</v>
      </c>
      <c r="B351" s="2" t="s">
        <v>269</v>
      </c>
      <c r="C351" s="2" t="s">
        <v>21</v>
      </c>
      <c r="D351" s="2" t="s">
        <v>22</v>
      </c>
      <c r="E351" s="2" t="s">
        <v>36</v>
      </c>
      <c r="F351" s="2" t="s">
        <v>270</v>
      </c>
      <c r="G351" s="2">
        <v>15934.228414</v>
      </c>
      <c r="H351" s="2" t="s">
        <v>25</v>
      </c>
    </row>
    <row r="352" ht="22.5" customHeight="1">
      <c r="A352" s="2" t="s">
        <v>19</v>
      </c>
      <c r="B352" s="2" t="s">
        <v>271</v>
      </c>
      <c r="C352" s="2" t="s">
        <v>32</v>
      </c>
      <c r="D352" s="2" t="s">
        <v>48</v>
      </c>
      <c r="F352" s="2" t="s">
        <v>272</v>
      </c>
      <c r="G352" s="2">
        <v>29400.0</v>
      </c>
      <c r="H352" s="2" t="s">
        <v>26</v>
      </c>
    </row>
    <row r="353" ht="22.5" customHeight="1">
      <c r="A353" s="2" t="s">
        <v>19</v>
      </c>
      <c r="B353" s="2" t="s">
        <v>271</v>
      </c>
      <c r="C353" s="2" t="s">
        <v>32</v>
      </c>
      <c r="D353" s="2" t="s">
        <v>48</v>
      </c>
      <c r="F353" s="2" t="s">
        <v>272</v>
      </c>
      <c r="G353" s="2">
        <v>29400.0</v>
      </c>
      <c r="H353" s="2" t="s">
        <v>27</v>
      </c>
    </row>
    <row r="354" ht="22.5" customHeight="1">
      <c r="A354" s="2" t="s">
        <v>19</v>
      </c>
      <c r="B354" s="2" t="s">
        <v>271</v>
      </c>
      <c r="C354" s="2" t="s">
        <v>32</v>
      </c>
      <c r="D354" s="2" t="s">
        <v>48</v>
      </c>
      <c r="F354" s="2" t="s">
        <v>272</v>
      </c>
      <c r="G354" s="2">
        <v>29400.0</v>
      </c>
      <c r="H354" s="2" t="s">
        <v>25</v>
      </c>
    </row>
    <row r="355" ht="22.5" customHeight="1">
      <c r="A355" s="2" t="s">
        <v>19</v>
      </c>
      <c r="B355" s="2" t="s">
        <v>273</v>
      </c>
      <c r="C355" s="2" t="s">
        <v>21</v>
      </c>
      <c r="D355" s="2" t="s">
        <v>22</v>
      </c>
      <c r="E355" s="2" t="s">
        <v>23</v>
      </c>
      <c r="F355" s="2" t="s">
        <v>274</v>
      </c>
      <c r="G355" s="3">
        <v>15802.44</v>
      </c>
      <c r="H355" s="2" t="s">
        <v>26</v>
      </c>
    </row>
    <row r="356" ht="22.5" customHeight="1">
      <c r="A356" s="2" t="s">
        <v>19</v>
      </c>
      <c r="B356" s="2" t="s">
        <v>273</v>
      </c>
      <c r="C356" s="2" t="s">
        <v>21</v>
      </c>
      <c r="D356" s="2" t="s">
        <v>22</v>
      </c>
      <c r="E356" s="2" t="s">
        <v>23</v>
      </c>
      <c r="F356" s="2" t="s">
        <v>274</v>
      </c>
      <c r="G356" s="2">
        <v>18115.280385000002</v>
      </c>
      <c r="H356" s="2" t="s">
        <v>27</v>
      </c>
    </row>
    <row r="357" ht="22.5" customHeight="1">
      <c r="A357" s="2" t="s">
        <v>19</v>
      </c>
      <c r="B357" s="2" t="s">
        <v>273</v>
      </c>
      <c r="C357" s="2" t="s">
        <v>21</v>
      </c>
      <c r="D357" s="2" t="s">
        <v>22</v>
      </c>
      <c r="E357" s="2" t="s">
        <v>23</v>
      </c>
      <c r="F357" s="2" t="s">
        <v>274</v>
      </c>
      <c r="G357" s="2">
        <v>18822.928181</v>
      </c>
      <c r="H357" s="2" t="s">
        <v>25</v>
      </c>
    </row>
    <row r="358" ht="22.5" customHeight="1">
      <c r="A358" s="2" t="s">
        <v>19</v>
      </c>
      <c r="B358" s="2" t="s">
        <v>273</v>
      </c>
      <c r="C358" s="2" t="s">
        <v>21</v>
      </c>
      <c r="D358" s="2" t="s">
        <v>22</v>
      </c>
      <c r="E358" s="2" t="s">
        <v>23</v>
      </c>
      <c r="F358" s="2" t="s">
        <v>274</v>
      </c>
      <c r="G358" s="3">
        <v>15564.090000000002</v>
      </c>
      <c r="H358" s="4" t="s">
        <v>28</v>
      </c>
    </row>
    <row r="359" ht="22.5" customHeight="1">
      <c r="A359" s="2" t="s">
        <v>19</v>
      </c>
      <c r="B359" s="2" t="s">
        <v>275</v>
      </c>
      <c r="C359" s="2" t="s">
        <v>21</v>
      </c>
      <c r="D359" s="2" t="s">
        <v>22</v>
      </c>
      <c r="E359" s="2" t="s">
        <v>23</v>
      </c>
      <c r="F359" s="2" t="s">
        <v>276</v>
      </c>
      <c r="G359" s="2">
        <v>16974.754614</v>
      </c>
      <c r="H359" s="2" t="s">
        <v>26</v>
      </c>
    </row>
    <row r="360" ht="22.5" customHeight="1">
      <c r="A360" s="2" t="s">
        <v>19</v>
      </c>
      <c r="B360" s="2" t="s">
        <v>275</v>
      </c>
      <c r="C360" s="2" t="s">
        <v>21</v>
      </c>
      <c r="D360" s="2" t="s">
        <v>22</v>
      </c>
      <c r="E360" s="2" t="s">
        <v>23</v>
      </c>
      <c r="F360" s="2" t="s">
        <v>276</v>
      </c>
      <c r="G360" s="2">
        <v>16703.097092</v>
      </c>
      <c r="H360" s="2" t="s">
        <v>27</v>
      </c>
    </row>
    <row r="361" ht="22.5" customHeight="1">
      <c r="A361" s="2" t="s">
        <v>19</v>
      </c>
      <c r="B361" s="2" t="s">
        <v>275</v>
      </c>
      <c r="C361" s="2" t="s">
        <v>21</v>
      </c>
      <c r="D361" s="2" t="s">
        <v>22</v>
      </c>
      <c r="E361" s="2" t="s">
        <v>23</v>
      </c>
      <c r="F361" s="2" t="s">
        <v>276</v>
      </c>
      <c r="G361" s="2">
        <v>17021.39405</v>
      </c>
      <c r="H361" s="2" t="s">
        <v>25</v>
      </c>
    </row>
    <row r="362" ht="22.5" customHeight="1">
      <c r="A362" s="2" t="s">
        <v>19</v>
      </c>
      <c r="B362" s="2" t="s">
        <v>277</v>
      </c>
      <c r="C362" s="2" t="s">
        <v>32</v>
      </c>
      <c r="D362" s="2" t="s">
        <v>56</v>
      </c>
      <c r="F362" s="2" t="s">
        <v>278</v>
      </c>
      <c r="G362" s="2">
        <v>21778.98612</v>
      </c>
      <c r="H362" s="2" t="s">
        <v>26</v>
      </c>
    </row>
    <row r="363" ht="22.5" customHeight="1">
      <c r="A363" s="2" t="s">
        <v>19</v>
      </c>
      <c r="B363" s="2" t="s">
        <v>277</v>
      </c>
      <c r="C363" s="2" t="s">
        <v>32</v>
      </c>
      <c r="D363" s="2" t="s">
        <v>56</v>
      </c>
      <c r="F363" s="2" t="s">
        <v>278</v>
      </c>
      <c r="G363" s="2">
        <v>20697.705549</v>
      </c>
      <c r="H363" s="2" t="s">
        <v>25</v>
      </c>
    </row>
    <row r="364" ht="22.5" customHeight="1">
      <c r="A364" s="2" t="s">
        <v>19</v>
      </c>
      <c r="B364" s="2" t="s">
        <v>277</v>
      </c>
      <c r="C364" s="2" t="s">
        <v>32</v>
      </c>
      <c r="D364" s="2" t="s">
        <v>56</v>
      </c>
      <c r="F364" s="2" t="s">
        <v>278</v>
      </c>
      <c r="G364" s="2">
        <v>21661.06821</v>
      </c>
      <c r="H364" s="2" t="s">
        <v>27</v>
      </c>
    </row>
    <row r="365" ht="22.5" customHeight="1">
      <c r="A365" s="2" t="s">
        <v>19</v>
      </c>
      <c r="B365" s="2" t="s">
        <v>279</v>
      </c>
      <c r="C365" s="4" t="s">
        <v>68</v>
      </c>
      <c r="D365" s="4" t="s">
        <v>69</v>
      </c>
      <c r="E365" s="2"/>
      <c r="F365" s="2" t="s">
        <v>279</v>
      </c>
      <c r="G365" s="7">
        <v>131250.0</v>
      </c>
      <c r="H365" s="4" t="s">
        <v>25</v>
      </c>
    </row>
    <row r="366" ht="22.5" customHeight="1">
      <c r="A366" s="2" t="s">
        <v>19</v>
      </c>
      <c r="B366" s="2" t="s">
        <v>279</v>
      </c>
      <c r="C366" s="4" t="s">
        <v>68</v>
      </c>
      <c r="D366" s="4" t="s">
        <v>69</v>
      </c>
      <c r="E366" s="2"/>
      <c r="F366" s="2" t="s">
        <v>279</v>
      </c>
      <c r="G366" s="7">
        <v>131250.0</v>
      </c>
      <c r="H366" s="4" t="s">
        <v>27</v>
      </c>
    </row>
    <row r="367" ht="22.5" customHeight="1">
      <c r="A367" s="2" t="s">
        <v>19</v>
      </c>
      <c r="B367" s="2" t="s">
        <v>279</v>
      </c>
      <c r="C367" s="4" t="s">
        <v>68</v>
      </c>
      <c r="D367" s="4" t="s">
        <v>69</v>
      </c>
      <c r="E367" s="2"/>
      <c r="F367" s="2" t="s">
        <v>279</v>
      </c>
      <c r="G367" s="7">
        <v>131250.0</v>
      </c>
      <c r="H367" s="4" t="s">
        <v>26</v>
      </c>
    </row>
    <row r="368" ht="22.5" customHeight="1">
      <c r="A368" s="2" t="s">
        <v>19</v>
      </c>
      <c r="B368" s="2" t="s">
        <v>279</v>
      </c>
      <c r="C368" s="4" t="s">
        <v>68</v>
      </c>
      <c r="D368" s="4" t="s">
        <v>69</v>
      </c>
      <c r="E368" s="2"/>
      <c r="F368" s="2" t="s">
        <v>279</v>
      </c>
      <c r="G368" s="7">
        <v>131250.0</v>
      </c>
      <c r="H368" s="4" t="s">
        <v>28</v>
      </c>
    </row>
    <row r="369" ht="22.5" customHeight="1">
      <c r="A369" s="2" t="s">
        <v>19</v>
      </c>
      <c r="B369" s="2" t="s">
        <v>280</v>
      </c>
      <c r="C369" s="2" t="s">
        <v>32</v>
      </c>
      <c r="D369" s="2" t="s">
        <v>193</v>
      </c>
      <c r="E369" s="2" t="s">
        <v>23</v>
      </c>
      <c r="F369" s="2" t="s">
        <v>281</v>
      </c>
      <c r="G369" s="2">
        <v>13291.944052</v>
      </c>
      <c r="H369" s="2" t="s">
        <v>25</v>
      </c>
    </row>
    <row r="370" ht="22.5" customHeight="1">
      <c r="A370" s="2" t="s">
        <v>19</v>
      </c>
      <c r="B370" s="2" t="s">
        <v>280</v>
      </c>
      <c r="C370" s="2" t="s">
        <v>32</v>
      </c>
      <c r="D370" s="2" t="s">
        <v>193</v>
      </c>
      <c r="E370" s="2" t="s">
        <v>23</v>
      </c>
      <c r="F370" s="2" t="s">
        <v>281</v>
      </c>
      <c r="G370" s="2">
        <v>14658.132292</v>
      </c>
      <c r="H370" s="2" t="s">
        <v>26</v>
      </c>
    </row>
    <row r="371" ht="22.5" customHeight="1">
      <c r="A371" s="2" t="s">
        <v>19</v>
      </c>
      <c r="B371" s="2" t="s">
        <v>280</v>
      </c>
      <c r="C371" s="2" t="s">
        <v>32</v>
      </c>
      <c r="D371" s="2" t="s">
        <v>193</v>
      </c>
      <c r="E371" s="2" t="s">
        <v>23</v>
      </c>
      <c r="F371" s="2" t="s">
        <v>281</v>
      </c>
      <c r="G371" s="2">
        <v>13045.633175</v>
      </c>
      <c r="H371" s="2" t="s">
        <v>27</v>
      </c>
    </row>
    <row r="372" ht="22.5" customHeight="1">
      <c r="A372" s="2" t="s">
        <v>19</v>
      </c>
      <c r="B372" s="2" t="s">
        <v>282</v>
      </c>
      <c r="C372" s="2" t="s">
        <v>21</v>
      </c>
      <c r="D372" s="2" t="s">
        <v>56</v>
      </c>
      <c r="F372" s="2" t="s">
        <v>283</v>
      </c>
      <c r="G372" s="2">
        <v>21381.39405</v>
      </c>
      <c r="H372" s="2" t="s">
        <v>25</v>
      </c>
    </row>
    <row r="373" ht="22.5" customHeight="1">
      <c r="A373" s="2" t="s">
        <v>19</v>
      </c>
      <c r="B373" s="2" t="s">
        <v>282</v>
      </c>
      <c r="C373" s="2" t="s">
        <v>21</v>
      </c>
      <c r="D373" s="2" t="s">
        <v>56</v>
      </c>
      <c r="F373" s="2" t="s">
        <v>283</v>
      </c>
      <c r="G373" s="2">
        <v>19452.096152</v>
      </c>
      <c r="H373" s="2" t="s">
        <v>26</v>
      </c>
    </row>
    <row r="374" ht="22.5" customHeight="1">
      <c r="A374" s="2" t="s">
        <v>19</v>
      </c>
      <c r="B374" s="2" t="s">
        <v>282</v>
      </c>
      <c r="C374" s="2" t="s">
        <v>21</v>
      </c>
      <c r="D374" s="2" t="s">
        <v>56</v>
      </c>
      <c r="F374" s="2" t="s">
        <v>283</v>
      </c>
      <c r="G374" s="2">
        <v>14542.782092</v>
      </c>
      <c r="H374" s="2" t="s">
        <v>27</v>
      </c>
    </row>
    <row r="375" ht="22.5" customHeight="1">
      <c r="A375" s="2" t="s">
        <v>19</v>
      </c>
      <c r="B375" s="2" t="s">
        <v>284</v>
      </c>
      <c r="C375" s="2" t="s">
        <v>21</v>
      </c>
      <c r="D375" s="2" t="s">
        <v>22</v>
      </c>
      <c r="E375" s="2" t="s">
        <v>23</v>
      </c>
      <c r="F375" s="2" t="s">
        <v>285</v>
      </c>
      <c r="G375" s="2">
        <v>17778.225941</v>
      </c>
      <c r="H375" s="2" t="s">
        <v>27</v>
      </c>
    </row>
    <row r="376" ht="22.5" customHeight="1">
      <c r="A376" s="2" t="s">
        <v>19</v>
      </c>
      <c r="B376" s="2" t="s">
        <v>284</v>
      </c>
      <c r="C376" s="2" t="s">
        <v>21</v>
      </c>
      <c r="D376" s="2" t="s">
        <v>22</v>
      </c>
      <c r="E376" s="2" t="s">
        <v>23</v>
      </c>
      <c r="F376" s="2" t="s">
        <v>285</v>
      </c>
      <c r="G376" s="2">
        <v>18117.062778</v>
      </c>
      <c r="H376" s="2" t="s">
        <v>25</v>
      </c>
    </row>
    <row r="377" ht="22.5" customHeight="1">
      <c r="A377" s="2" t="s">
        <v>19</v>
      </c>
      <c r="B377" s="2" t="s">
        <v>284</v>
      </c>
      <c r="C377" s="2" t="s">
        <v>21</v>
      </c>
      <c r="D377" s="2" t="s">
        <v>22</v>
      </c>
      <c r="E377" s="2" t="s">
        <v>23</v>
      </c>
      <c r="F377" s="2" t="s">
        <v>285</v>
      </c>
      <c r="G377" s="2">
        <v>18030.558312</v>
      </c>
      <c r="H377" s="2" t="s">
        <v>26</v>
      </c>
    </row>
    <row r="378" ht="22.5" customHeight="1">
      <c r="A378" s="2" t="s">
        <v>19</v>
      </c>
      <c r="B378" s="2" t="s">
        <v>286</v>
      </c>
      <c r="C378" s="2" t="s">
        <v>21</v>
      </c>
      <c r="D378" s="2" t="s">
        <v>22</v>
      </c>
      <c r="E378" s="2" t="s">
        <v>63</v>
      </c>
      <c r="F378" s="2" t="s">
        <v>287</v>
      </c>
      <c r="G378" s="3">
        <v>9292.08</v>
      </c>
      <c r="H378" s="2" t="s">
        <v>26</v>
      </c>
    </row>
    <row r="379" ht="22.5" customHeight="1">
      <c r="A379" s="2" t="s">
        <v>19</v>
      </c>
      <c r="B379" s="2" t="s">
        <v>286</v>
      </c>
      <c r="C379" s="2" t="s">
        <v>21</v>
      </c>
      <c r="D379" s="2" t="s">
        <v>22</v>
      </c>
      <c r="E379" s="2" t="s">
        <v>63</v>
      </c>
      <c r="F379" s="2" t="s">
        <v>287</v>
      </c>
      <c r="G379" s="2">
        <v>15686.20395</v>
      </c>
      <c r="H379" s="2" t="s">
        <v>27</v>
      </c>
    </row>
    <row r="380" ht="22.5" customHeight="1">
      <c r="A380" s="2" t="s">
        <v>19</v>
      </c>
      <c r="B380" s="2" t="s">
        <v>286</v>
      </c>
      <c r="C380" s="2" t="s">
        <v>21</v>
      </c>
      <c r="D380" s="2" t="s">
        <v>22</v>
      </c>
      <c r="E380" s="2" t="s">
        <v>63</v>
      </c>
      <c r="F380" s="2" t="s">
        <v>287</v>
      </c>
      <c r="G380" s="2">
        <v>15964.552952</v>
      </c>
      <c r="H380" s="2" t="s">
        <v>25</v>
      </c>
    </row>
    <row r="381" ht="22.5" customHeight="1">
      <c r="A381" s="2" t="s">
        <v>19</v>
      </c>
      <c r="B381" s="2" t="s">
        <v>286</v>
      </c>
      <c r="C381" s="2" t="s">
        <v>21</v>
      </c>
      <c r="D381" s="2" t="s">
        <v>22</v>
      </c>
      <c r="E381" s="2" t="s">
        <v>63</v>
      </c>
      <c r="F381" s="2" t="s">
        <v>287</v>
      </c>
      <c r="G381" s="3">
        <v>12127.44</v>
      </c>
      <c r="H381" s="4" t="s">
        <v>28</v>
      </c>
    </row>
    <row r="382" ht="22.5" customHeight="1">
      <c r="A382" s="2" t="s">
        <v>19</v>
      </c>
      <c r="B382" s="2" t="s">
        <v>288</v>
      </c>
      <c r="C382" s="2" t="s">
        <v>32</v>
      </c>
      <c r="D382" s="2" t="s">
        <v>48</v>
      </c>
      <c r="F382" s="2" t="s">
        <v>289</v>
      </c>
      <c r="G382" s="2">
        <v>18843.097092</v>
      </c>
      <c r="H382" s="2" t="s">
        <v>27</v>
      </c>
    </row>
    <row r="383" ht="22.5" customHeight="1">
      <c r="A383" s="2" t="s">
        <v>19</v>
      </c>
      <c r="B383" s="2" t="s">
        <v>288</v>
      </c>
      <c r="C383" s="2" t="s">
        <v>32</v>
      </c>
      <c r="D383" s="2" t="s">
        <v>48</v>
      </c>
      <c r="F383" s="2" t="s">
        <v>289</v>
      </c>
      <c r="G383" s="2">
        <v>19201.39405</v>
      </c>
      <c r="H383" s="2" t="s">
        <v>25</v>
      </c>
    </row>
    <row r="384" ht="22.5" customHeight="1">
      <c r="A384" s="2" t="s">
        <v>19</v>
      </c>
      <c r="B384" s="2" t="s">
        <v>288</v>
      </c>
      <c r="C384" s="2" t="s">
        <v>32</v>
      </c>
      <c r="D384" s="2" t="s">
        <v>48</v>
      </c>
      <c r="F384" s="2" t="s">
        <v>289</v>
      </c>
      <c r="G384" s="2">
        <v>19074.754614</v>
      </c>
      <c r="H384" s="2" t="s">
        <v>26</v>
      </c>
    </row>
    <row r="385" ht="22.5" customHeight="1">
      <c r="A385" s="2" t="s">
        <v>19</v>
      </c>
      <c r="B385" s="2" t="s">
        <v>290</v>
      </c>
      <c r="C385" s="2" t="s">
        <v>32</v>
      </c>
      <c r="D385" s="2" t="s">
        <v>56</v>
      </c>
      <c r="F385" s="2" t="s">
        <v>291</v>
      </c>
      <c r="G385" s="2">
        <v>13161.494689</v>
      </c>
      <c r="H385" s="2" t="s">
        <v>25</v>
      </c>
    </row>
    <row r="386" ht="22.5" customHeight="1">
      <c r="A386" s="2" t="s">
        <v>19</v>
      </c>
      <c r="B386" s="2" t="s">
        <v>290</v>
      </c>
      <c r="C386" s="2" t="s">
        <v>32</v>
      </c>
      <c r="D386" s="2" t="s">
        <v>56</v>
      </c>
      <c r="F386" s="2" t="s">
        <v>291</v>
      </c>
      <c r="G386" s="2">
        <v>12913.387193</v>
      </c>
      <c r="H386" s="2" t="s">
        <v>27</v>
      </c>
    </row>
    <row r="387" ht="22.5" customHeight="1">
      <c r="A387" s="2" t="s">
        <v>19</v>
      </c>
      <c r="B387" s="2" t="s">
        <v>290</v>
      </c>
      <c r="C387" s="2" t="s">
        <v>32</v>
      </c>
      <c r="D387" s="2" t="s">
        <v>56</v>
      </c>
      <c r="F387" s="2" t="s">
        <v>291</v>
      </c>
      <c r="G387" s="2">
        <v>13257.012887</v>
      </c>
      <c r="H387" s="2" t="s">
        <v>26</v>
      </c>
    </row>
    <row r="388" ht="22.5" customHeight="1">
      <c r="A388" s="2" t="s">
        <v>19</v>
      </c>
      <c r="B388" s="2" t="s">
        <v>292</v>
      </c>
      <c r="C388" s="2" t="s">
        <v>68</v>
      </c>
      <c r="D388" s="2" t="s">
        <v>198</v>
      </c>
      <c r="F388" s="2" t="s">
        <v>293</v>
      </c>
      <c r="G388" s="2">
        <v>20207.91754</v>
      </c>
      <c r="H388" s="2" t="s">
        <v>26</v>
      </c>
    </row>
    <row r="389" ht="22.5" customHeight="1">
      <c r="A389" s="2" t="s">
        <v>19</v>
      </c>
      <c r="B389" s="2" t="s">
        <v>292</v>
      </c>
      <c r="C389" s="2" t="s">
        <v>68</v>
      </c>
      <c r="D389" s="2" t="s">
        <v>198</v>
      </c>
      <c r="F389" s="2" t="s">
        <v>293</v>
      </c>
      <c r="G389" s="2">
        <v>20063.457943</v>
      </c>
      <c r="H389" s="2" t="s">
        <v>27</v>
      </c>
    </row>
    <row r="390" ht="22.5" customHeight="1">
      <c r="A390" s="2" t="s">
        <v>19</v>
      </c>
      <c r="B390" s="2" t="s">
        <v>292</v>
      </c>
      <c r="C390" s="2" t="s">
        <v>68</v>
      </c>
      <c r="D390" s="2" t="s">
        <v>198</v>
      </c>
      <c r="F390" s="2" t="s">
        <v>293</v>
      </c>
      <c r="G390" s="2">
        <v>20441.8093</v>
      </c>
      <c r="H390" s="2" t="s">
        <v>25</v>
      </c>
    </row>
    <row r="391" ht="22.5" customHeight="1">
      <c r="A391" s="2" t="s">
        <v>19</v>
      </c>
      <c r="B391" s="2" t="s">
        <v>294</v>
      </c>
      <c r="C391" s="4" t="s">
        <v>21</v>
      </c>
      <c r="D391" s="2" t="s">
        <v>22</v>
      </c>
      <c r="E391" s="2" t="s">
        <v>295</v>
      </c>
      <c r="F391" s="2" t="s">
        <v>296</v>
      </c>
      <c r="G391" s="2">
        <v>24296.58051</v>
      </c>
      <c r="H391" s="2" t="s">
        <v>27</v>
      </c>
    </row>
    <row r="392" ht="22.5" customHeight="1">
      <c r="A392" s="2" t="s">
        <v>19</v>
      </c>
      <c r="B392" s="2" t="s">
        <v>294</v>
      </c>
      <c r="C392" s="4" t="s">
        <v>21</v>
      </c>
      <c r="D392" s="2" t="s">
        <v>22</v>
      </c>
      <c r="E392" s="2" t="s">
        <v>295</v>
      </c>
      <c r="F392" s="2" t="s">
        <v>296</v>
      </c>
      <c r="G392" s="2">
        <v>24765.77046</v>
      </c>
      <c r="H392" s="2" t="s">
        <v>25</v>
      </c>
    </row>
    <row r="393" ht="22.5" customHeight="1">
      <c r="A393" s="2" t="s">
        <v>19</v>
      </c>
      <c r="B393" s="2" t="s">
        <v>294</v>
      </c>
      <c r="C393" s="4" t="s">
        <v>21</v>
      </c>
      <c r="D393" s="2" t="s">
        <v>22</v>
      </c>
      <c r="E393" s="2" t="s">
        <v>295</v>
      </c>
      <c r="F393" s="2" t="s">
        <v>296</v>
      </c>
      <c r="G393" s="2">
        <v>24289.39677</v>
      </c>
      <c r="H393" s="2" t="s">
        <v>26</v>
      </c>
    </row>
    <row r="394" ht="22.5" customHeight="1">
      <c r="A394" s="2" t="s">
        <v>19</v>
      </c>
      <c r="B394" s="2" t="s">
        <v>297</v>
      </c>
      <c r="C394" s="2" t="s">
        <v>21</v>
      </c>
      <c r="D394" s="2" t="s">
        <v>22</v>
      </c>
      <c r="E394" s="2" t="s">
        <v>45</v>
      </c>
      <c r="F394" s="2" t="s">
        <v>298</v>
      </c>
      <c r="G394" s="2">
        <v>19153.68456</v>
      </c>
      <c r="H394" s="2" t="s">
        <v>26</v>
      </c>
    </row>
    <row r="395" ht="22.5" customHeight="1">
      <c r="A395" s="2" t="s">
        <v>19</v>
      </c>
      <c r="B395" s="2" t="s">
        <v>297</v>
      </c>
      <c r="C395" s="2" t="s">
        <v>21</v>
      </c>
      <c r="D395" s="2" t="s">
        <v>22</v>
      </c>
      <c r="E395" s="2" t="s">
        <v>45</v>
      </c>
      <c r="F395" s="2" t="s">
        <v>298</v>
      </c>
      <c r="G395" s="2">
        <v>18893.580152</v>
      </c>
      <c r="H395" s="2" t="s">
        <v>27</v>
      </c>
    </row>
    <row r="396" ht="22.5" customHeight="1">
      <c r="A396" s="2" t="s">
        <v>19</v>
      </c>
      <c r="B396" s="2" t="s">
        <v>297</v>
      </c>
      <c r="C396" s="2" t="s">
        <v>21</v>
      </c>
      <c r="D396" s="2" t="s">
        <v>22</v>
      </c>
      <c r="E396" s="2" t="s">
        <v>45</v>
      </c>
      <c r="F396" s="2" t="s">
        <v>298</v>
      </c>
      <c r="G396" s="2">
        <v>19231.678181</v>
      </c>
      <c r="H396" s="2" t="s">
        <v>25</v>
      </c>
    </row>
    <row r="397" ht="22.5" customHeight="1">
      <c r="A397" s="2" t="s">
        <v>19</v>
      </c>
      <c r="B397" s="2" t="s">
        <v>299</v>
      </c>
      <c r="C397" s="2" t="s">
        <v>32</v>
      </c>
      <c r="D397" s="2" t="s">
        <v>193</v>
      </c>
      <c r="E397" s="2" t="s">
        <v>23</v>
      </c>
      <c r="F397" s="2" t="s">
        <v>300</v>
      </c>
      <c r="G397" s="2">
        <v>17773.097092</v>
      </c>
      <c r="H397" s="2" t="s">
        <v>27</v>
      </c>
    </row>
    <row r="398" ht="22.5" customHeight="1">
      <c r="A398" s="2" t="s">
        <v>19</v>
      </c>
      <c r="B398" s="2" t="s">
        <v>299</v>
      </c>
      <c r="C398" s="2" t="s">
        <v>32</v>
      </c>
      <c r="D398" s="2" t="s">
        <v>193</v>
      </c>
      <c r="E398" s="2" t="s">
        <v>23</v>
      </c>
      <c r="F398" s="2" t="s">
        <v>300</v>
      </c>
      <c r="G398" s="2">
        <v>18111.39405</v>
      </c>
      <c r="H398" s="2" t="s">
        <v>25</v>
      </c>
    </row>
    <row r="399" ht="22.5" customHeight="1">
      <c r="A399" s="2" t="s">
        <v>19</v>
      </c>
      <c r="B399" s="2" t="s">
        <v>299</v>
      </c>
      <c r="C399" s="2" t="s">
        <v>32</v>
      </c>
      <c r="D399" s="2" t="s">
        <v>193</v>
      </c>
      <c r="E399" s="2" t="s">
        <v>23</v>
      </c>
      <c r="F399" s="2" t="s">
        <v>300</v>
      </c>
      <c r="G399" s="2">
        <v>18024.754614</v>
      </c>
      <c r="H399" s="2" t="s">
        <v>26</v>
      </c>
    </row>
    <row r="400" ht="22.5" customHeight="1">
      <c r="A400" s="2" t="s">
        <v>19</v>
      </c>
      <c r="B400" s="2" t="s">
        <v>301</v>
      </c>
      <c r="C400" s="2" t="s">
        <v>32</v>
      </c>
      <c r="D400" s="2" t="s">
        <v>56</v>
      </c>
      <c r="F400" s="2" t="s">
        <v>302</v>
      </c>
      <c r="G400" s="2">
        <v>21786.40512</v>
      </c>
      <c r="H400" s="2" t="s">
        <v>26</v>
      </c>
    </row>
    <row r="401" ht="22.5" customHeight="1">
      <c r="A401" s="2" t="s">
        <v>19</v>
      </c>
      <c r="B401" s="2" t="s">
        <v>301</v>
      </c>
      <c r="C401" s="2" t="s">
        <v>32</v>
      </c>
      <c r="D401" s="2" t="s">
        <v>56</v>
      </c>
      <c r="F401" s="2" t="s">
        <v>302</v>
      </c>
      <c r="G401" s="2">
        <v>20686.97919</v>
      </c>
      <c r="H401" s="2" t="s">
        <v>27</v>
      </c>
    </row>
    <row r="402" ht="22.5" customHeight="1">
      <c r="A402" s="2" t="s">
        <v>19</v>
      </c>
      <c r="B402" s="2" t="s">
        <v>301</v>
      </c>
      <c r="C402" s="2" t="s">
        <v>32</v>
      </c>
      <c r="D402" s="2" t="s">
        <v>56</v>
      </c>
      <c r="F402" s="2" t="s">
        <v>302</v>
      </c>
      <c r="G402" s="2">
        <v>20176.369</v>
      </c>
      <c r="H402" s="2" t="s">
        <v>25</v>
      </c>
    </row>
    <row r="403" ht="22.5" customHeight="1">
      <c r="A403" s="2" t="s">
        <v>19</v>
      </c>
      <c r="B403" s="2" t="s">
        <v>303</v>
      </c>
      <c r="C403" s="2" t="s">
        <v>21</v>
      </c>
      <c r="D403" s="2" t="s">
        <v>22</v>
      </c>
      <c r="E403" s="2" t="s">
        <v>42</v>
      </c>
      <c r="F403" s="2" t="s">
        <v>304</v>
      </c>
      <c r="G403" s="3">
        <v>9213.720000000001</v>
      </c>
      <c r="H403" s="4" t="s">
        <v>28</v>
      </c>
    </row>
    <row r="404" ht="22.5" customHeight="1">
      <c r="A404" s="2" t="s">
        <v>19</v>
      </c>
      <c r="B404" s="2" t="s">
        <v>303</v>
      </c>
      <c r="C404" s="2" t="s">
        <v>21</v>
      </c>
      <c r="D404" s="2" t="s">
        <v>22</v>
      </c>
      <c r="E404" s="2" t="s">
        <v>42</v>
      </c>
      <c r="F404" s="2" t="s">
        <v>304</v>
      </c>
      <c r="G404" s="3">
        <v>19567.74224</v>
      </c>
      <c r="H404" s="2" t="s">
        <v>26</v>
      </c>
    </row>
    <row r="405" ht="22.5" customHeight="1">
      <c r="A405" s="2" t="s">
        <v>19</v>
      </c>
      <c r="B405" s="2" t="s">
        <v>305</v>
      </c>
      <c r="C405" s="2" t="s">
        <v>21</v>
      </c>
      <c r="D405" s="2" t="s">
        <v>56</v>
      </c>
      <c r="F405" s="2" t="s">
        <v>306</v>
      </c>
      <c r="G405" s="2">
        <v>9599.206537</v>
      </c>
      <c r="H405" s="2" t="s">
        <v>27</v>
      </c>
    </row>
    <row r="406" ht="22.5" customHeight="1">
      <c r="A406" s="2" t="s">
        <v>19</v>
      </c>
      <c r="B406" s="2" t="s">
        <v>305</v>
      </c>
      <c r="C406" s="2" t="s">
        <v>21</v>
      </c>
      <c r="D406" s="2" t="s">
        <v>56</v>
      </c>
      <c r="F406" s="2" t="s">
        <v>306</v>
      </c>
      <c r="G406" s="2">
        <v>19037.435568</v>
      </c>
      <c r="H406" s="2" t="s">
        <v>26</v>
      </c>
    </row>
    <row r="407" ht="22.5" customHeight="1">
      <c r="A407" s="2" t="s">
        <v>19</v>
      </c>
      <c r="B407" s="2" t="s">
        <v>305</v>
      </c>
      <c r="C407" s="2" t="s">
        <v>21</v>
      </c>
      <c r="D407" s="2" t="s">
        <v>56</v>
      </c>
      <c r="F407" s="2" t="s">
        <v>306</v>
      </c>
      <c r="G407" s="2">
        <v>19265.007247</v>
      </c>
      <c r="H407" s="2" t="s">
        <v>25</v>
      </c>
    </row>
    <row r="408" ht="22.5" customHeight="1">
      <c r="A408" s="2" t="s">
        <v>19</v>
      </c>
      <c r="B408" s="2" t="s">
        <v>307</v>
      </c>
      <c r="C408" s="2" t="s">
        <v>21</v>
      </c>
      <c r="D408" s="2" t="s">
        <v>56</v>
      </c>
      <c r="F408" s="2" t="s">
        <v>308</v>
      </c>
      <c r="G408" s="2">
        <v>7350.0</v>
      </c>
      <c r="H408" s="2" t="s">
        <v>25</v>
      </c>
    </row>
    <row r="409" ht="22.5" customHeight="1">
      <c r="A409" s="2" t="s">
        <v>19</v>
      </c>
      <c r="B409" s="2" t="s">
        <v>307</v>
      </c>
      <c r="C409" s="2" t="s">
        <v>21</v>
      </c>
      <c r="D409" s="2" t="s">
        <v>56</v>
      </c>
      <c r="F409" s="2" t="s">
        <v>308</v>
      </c>
      <c r="G409" s="2">
        <v>10059.743257</v>
      </c>
      <c r="H409" s="2" t="s">
        <v>27</v>
      </c>
    </row>
    <row r="410" ht="22.5" customHeight="1">
      <c r="A410" s="2" t="s">
        <v>19</v>
      </c>
      <c r="B410" s="2" t="s">
        <v>307</v>
      </c>
      <c r="C410" s="2" t="s">
        <v>21</v>
      </c>
      <c r="D410" s="2" t="s">
        <v>56</v>
      </c>
      <c r="F410" s="2" t="s">
        <v>308</v>
      </c>
      <c r="G410" s="2">
        <v>13202.829051</v>
      </c>
      <c r="H410" s="2" t="s">
        <v>26</v>
      </c>
    </row>
    <row r="411" ht="22.5" customHeight="1">
      <c r="A411" s="2" t="s">
        <v>19</v>
      </c>
      <c r="B411" s="2" t="s">
        <v>309</v>
      </c>
      <c r="C411" s="2" t="s">
        <v>21</v>
      </c>
      <c r="D411" s="2" t="s">
        <v>22</v>
      </c>
      <c r="E411" s="2" t="s">
        <v>45</v>
      </c>
      <c r="F411" s="2" t="s">
        <v>310</v>
      </c>
      <c r="G411" s="2">
        <v>17051.678181</v>
      </c>
      <c r="H411" s="2" t="s">
        <v>25</v>
      </c>
    </row>
    <row r="412" ht="22.5" customHeight="1">
      <c r="A412" s="2" t="s">
        <v>19</v>
      </c>
      <c r="B412" s="2" t="s">
        <v>309</v>
      </c>
      <c r="C412" s="2" t="s">
        <v>21</v>
      </c>
      <c r="D412" s="2" t="s">
        <v>22</v>
      </c>
      <c r="E412" s="2" t="s">
        <v>45</v>
      </c>
      <c r="F412" s="2" t="s">
        <v>310</v>
      </c>
      <c r="G412" s="2">
        <v>16753.580152</v>
      </c>
      <c r="H412" s="2" t="s">
        <v>27</v>
      </c>
    </row>
    <row r="413" ht="22.5" customHeight="1">
      <c r="A413" s="2" t="s">
        <v>19</v>
      </c>
      <c r="B413" s="2" t="s">
        <v>309</v>
      </c>
      <c r="C413" s="2" t="s">
        <v>21</v>
      </c>
      <c r="D413" s="2" t="s">
        <v>22</v>
      </c>
      <c r="E413" s="2" t="s">
        <v>45</v>
      </c>
      <c r="F413" s="2" t="s">
        <v>310</v>
      </c>
      <c r="G413" s="2">
        <v>16686.18456</v>
      </c>
      <c r="H413" s="2" t="s">
        <v>26</v>
      </c>
    </row>
    <row r="414" ht="22.5" customHeight="1">
      <c r="A414" s="2" t="s">
        <v>19</v>
      </c>
      <c r="B414" s="2" t="s">
        <v>311</v>
      </c>
      <c r="C414" s="2" t="s">
        <v>21</v>
      </c>
      <c r="D414" s="2" t="s">
        <v>22</v>
      </c>
      <c r="E414" s="2" t="s">
        <v>45</v>
      </c>
      <c r="F414" s="2" t="s">
        <v>312</v>
      </c>
      <c r="G414" s="2">
        <v>14145.9939</v>
      </c>
      <c r="H414" s="2" t="s">
        <v>26</v>
      </c>
    </row>
    <row r="415" ht="22.5" customHeight="1">
      <c r="A415" s="2" t="s">
        <v>19</v>
      </c>
      <c r="B415" s="2" t="s">
        <v>311</v>
      </c>
      <c r="C415" s="2" t="s">
        <v>21</v>
      </c>
      <c r="D415" s="2" t="s">
        <v>22</v>
      </c>
      <c r="E415" s="2" t="s">
        <v>45</v>
      </c>
      <c r="F415" s="2" t="s">
        <v>312</v>
      </c>
      <c r="G415" s="2">
        <v>16753.580152</v>
      </c>
      <c r="H415" s="2" t="s">
        <v>27</v>
      </c>
    </row>
    <row r="416" ht="22.5" customHeight="1">
      <c r="A416" s="2" t="s">
        <v>19</v>
      </c>
      <c r="B416" s="2" t="s">
        <v>311</v>
      </c>
      <c r="C416" s="2" t="s">
        <v>21</v>
      </c>
      <c r="D416" s="2" t="s">
        <v>22</v>
      </c>
      <c r="E416" s="2" t="s">
        <v>45</v>
      </c>
      <c r="F416" s="2" t="s">
        <v>312</v>
      </c>
      <c r="G416" s="2">
        <v>17051.678181</v>
      </c>
      <c r="H416" s="2" t="s">
        <v>25</v>
      </c>
    </row>
    <row r="417" ht="22.5" customHeight="1">
      <c r="A417" s="2" t="s">
        <v>19</v>
      </c>
      <c r="B417" s="2" t="s">
        <v>313</v>
      </c>
      <c r="C417" s="2" t="s">
        <v>21</v>
      </c>
      <c r="D417" s="2" t="s">
        <v>22</v>
      </c>
      <c r="E417" s="2" t="s">
        <v>295</v>
      </c>
      <c r="F417" s="2" t="s">
        <v>314</v>
      </c>
      <c r="G417" s="2">
        <v>15685.577941</v>
      </c>
      <c r="H417" s="2" t="s">
        <v>27</v>
      </c>
    </row>
    <row r="418" ht="22.5" customHeight="1">
      <c r="A418" s="2" t="s">
        <v>19</v>
      </c>
      <c r="B418" s="2" t="s">
        <v>313</v>
      </c>
      <c r="C418" s="2" t="s">
        <v>21</v>
      </c>
      <c r="D418" s="2" t="s">
        <v>22</v>
      </c>
      <c r="E418" s="2" t="s">
        <v>295</v>
      </c>
      <c r="F418" s="2" t="s">
        <v>314</v>
      </c>
      <c r="G418" s="2">
        <v>15989.399199</v>
      </c>
      <c r="H418" s="2" t="s">
        <v>25</v>
      </c>
    </row>
    <row r="419" ht="22.5" customHeight="1">
      <c r="A419" s="2" t="s">
        <v>19</v>
      </c>
      <c r="B419" s="2" t="s">
        <v>313</v>
      </c>
      <c r="C419" s="2" t="s">
        <v>21</v>
      </c>
      <c r="D419" s="2" t="s">
        <v>22</v>
      </c>
      <c r="E419" s="2" t="s">
        <v>295</v>
      </c>
      <c r="F419" s="2" t="s">
        <v>314</v>
      </c>
      <c r="G419" s="2">
        <v>15881.92591</v>
      </c>
      <c r="H419" s="2" t="s">
        <v>26</v>
      </c>
    </row>
    <row r="420" ht="22.5" customHeight="1">
      <c r="A420" s="2" t="s">
        <v>19</v>
      </c>
      <c r="B420" s="2" t="s">
        <v>315</v>
      </c>
      <c r="C420" s="2" t="s">
        <v>32</v>
      </c>
      <c r="D420" s="2" t="s">
        <v>193</v>
      </c>
      <c r="F420" s="2" t="s">
        <v>316</v>
      </c>
      <c r="G420" s="2">
        <v>7350.0</v>
      </c>
      <c r="H420" s="2" t="s">
        <v>25</v>
      </c>
    </row>
    <row r="421" ht="22.5" customHeight="1">
      <c r="A421" s="2" t="s">
        <v>19</v>
      </c>
      <c r="B421" s="2" t="s">
        <v>317</v>
      </c>
      <c r="C421" s="2" t="s">
        <v>21</v>
      </c>
      <c r="D421" s="2" t="s">
        <v>22</v>
      </c>
      <c r="E421" s="2" t="s">
        <v>42</v>
      </c>
      <c r="F421" s="2" t="s">
        <v>318</v>
      </c>
      <c r="G421" s="2">
        <v>16335.548181</v>
      </c>
      <c r="H421" s="2" t="s">
        <v>25</v>
      </c>
    </row>
    <row r="422" ht="22.5" customHeight="1">
      <c r="A422" s="2" t="s">
        <v>19</v>
      </c>
      <c r="B422" s="2" t="s">
        <v>317</v>
      </c>
      <c r="C422" s="2" t="s">
        <v>21</v>
      </c>
      <c r="D422" s="2" t="s">
        <v>22</v>
      </c>
      <c r="E422" s="2" t="s">
        <v>42</v>
      </c>
      <c r="F422" s="2" t="s">
        <v>318</v>
      </c>
      <c r="G422" s="3">
        <v>14227.44</v>
      </c>
      <c r="H422" s="2" t="s">
        <v>26</v>
      </c>
    </row>
    <row r="423" ht="22.5" customHeight="1">
      <c r="A423" s="2" t="s">
        <v>19</v>
      </c>
      <c r="B423" s="2" t="s">
        <v>317</v>
      </c>
      <c r="C423" s="2" t="s">
        <v>21</v>
      </c>
      <c r="D423" s="2" t="s">
        <v>22</v>
      </c>
      <c r="E423" s="2" t="s">
        <v>42</v>
      </c>
      <c r="F423" s="2" t="s">
        <v>318</v>
      </c>
      <c r="G423" s="2">
        <v>17823.580152</v>
      </c>
      <c r="H423" s="2" t="s">
        <v>27</v>
      </c>
    </row>
    <row r="424" ht="22.5" customHeight="1">
      <c r="A424" s="2" t="s">
        <v>19</v>
      </c>
      <c r="B424" s="2" t="s">
        <v>317</v>
      </c>
      <c r="C424" s="2" t="s">
        <v>21</v>
      </c>
      <c r="D424" s="2" t="s">
        <v>22</v>
      </c>
      <c r="E424" s="2" t="s">
        <v>42</v>
      </c>
      <c r="F424" s="2" t="s">
        <v>318</v>
      </c>
      <c r="G424" s="3">
        <v>14227.44</v>
      </c>
      <c r="H424" s="4" t="s">
        <v>28</v>
      </c>
    </row>
    <row r="425" ht="22.5" customHeight="1">
      <c r="A425" s="2" t="s">
        <v>19</v>
      </c>
      <c r="B425" s="2" t="s">
        <v>319</v>
      </c>
      <c r="C425" s="2" t="s">
        <v>32</v>
      </c>
      <c r="D425" s="2" t="s">
        <v>103</v>
      </c>
      <c r="F425" s="2" t="s">
        <v>320</v>
      </c>
      <c r="G425" s="2">
        <v>21120.15378</v>
      </c>
      <c r="H425" s="2" t="s">
        <v>27</v>
      </c>
    </row>
    <row r="426" ht="22.5" customHeight="1">
      <c r="A426" s="2" t="s">
        <v>19</v>
      </c>
      <c r="B426" s="2" t="s">
        <v>319</v>
      </c>
      <c r="C426" s="2" t="s">
        <v>32</v>
      </c>
      <c r="D426" s="2" t="s">
        <v>103</v>
      </c>
      <c r="F426" s="2" t="s">
        <v>320</v>
      </c>
      <c r="G426" s="2">
        <v>21517.17472</v>
      </c>
      <c r="H426" s="2" t="s">
        <v>25</v>
      </c>
    </row>
    <row r="427" ht="22.5" customHeight="1">
      <c r="A427" s="2" t="s">
        <v>19</v>
      </c>
      <c r="B427" s="2" t="s">
        <v>319</v>
      </c>
      <c r="C427" s="2" t="s">
        <v>32</v>
      </c>
      <c r="D427" s="2" t="s">
        <v>103</v>
      </c>
      <c r="F427" s="2" t="s">
        <v>320</v>
      </c>
      <c r="G427" s="2">
        <v>21243.28296</v>
      </c>
      <c r="H427" s="2" t="s">
        <v>26</v>
      </c>
    </row>
    <row r="428" ht="22.5" customHeight="1">
      <c r="A428" s="2" t="s">
        <v>19</v>
      </c>
      <c r="B428" s="2" t="s">
        <v>321</v>
      </c>
      <c r="C428" s="2" t="s">
        <v>32</v>
      </c>
      <c r="D428" s="2" t="s">
        <v>193</v>
      </c>
      <c r="E428" s="2" t="s">
        <v>23</v>
      </c>
      <c r="F428" s="2" t="s">
        <v>322</v>
      </c>
      <c r="G428" s="2">
        <v>13045.633175</v>
      </c>
      <c r="H428" s="2" t="s">
        <v>27</v>
      </c>
    </row>
    <row r="429" ht="22.5" customHeight="1">
      <c r="A429" s="2" t="s">
        <v>19</v>
      </c>
      <c r="B429" s="2" t="s">
        <v>321</v>
      </c>
      <c r="C429" s="2" t="s">
        <v>32</v>
      </c>
      <c r="D429" s="2" t="s">
        <v>193</v>
      </c>
      <c r="E429" s="2" t="s">
        <v>23</v>
      </c>
      <c r="F429" s="2" t="s">
        <v>322</v>
      </c>
      <c r="G429" s="2">
        <v>13291.944052</v>
      </c>
      <c r="H429" s="2" t="s">
        <v>25</v>
      </c>
    </row>
    <row r="430" ht="22.5" customHeight="1">
      <c r="A430" s="2" t="s">
        <v>19</v>
      </c>
      <c r="B430" s="2" t="s">
        <v>321</v>
      </c>
      <c r="C430" s="2" t="s">
        <v>32</v>
      </c>
      <c r="D430" s="2" t="s">
        <v>193</v>
      </c>
      <c r="E430" s="2" t="s">
        <v>23</v>
      </c>
      <c r="F430" s="2" t="s">
        <v>322</v>
      </c>
      <c r="G430" s="2">
        <v>14658.132292</v>
      </c>
      <c r="H430" s="2" t="s">
        <v>26</v>
      </c>
    </row>
    <row r="431" ht="22.5" customHeight="1">
      <c r="A431" s="2" t="s">
        <v>19</v>
      </c>
      <c r="B431" s="2" t="s">
        <v>323</v>
      </c>
      <c r="C431" s="2" t="s">
        <v>21</v>
      </c>
      <c r="D431" s="2" t="s">
        <v>56</v>
      </c>
      <c r="F431" s="2" t="s">
        <v>324</v>
      </c>
      <c r="G431" s="2">
        <v>16518.122589</v>
      </c>
      <c r="H431" s="2" t="s">
        <v>26</v>
      </c>
    </row>
    <row r="432" ht="22.5" customHeight="1">
      <c r="A432" s="2" t="s">
        <v>19</v>
      </c>
      <c r="B432" s="2" t="s">
        <v>323</v>
      </c>
      <c r="C432" s="2" t="s">
        <v>21</v>
      </c>
      <c r="D432" s="2" t="s">
        <v>56</v>
      </c>
      <c r="F432" s="2" t="s">
        <v>324</v>
      </c>
      <c r="G432" s="2">
        <v>16300.94857</v>
      </c>
      <c r="H432" s="2" t="s">
        <v>27</v>
      </c>
    </row>
    <row r="433" ht="22.5" customHeight="1">
      <c r="A433" s="2" t="s">
        <v>19</v>
      </c>
      <c r="B433" s="2" t="s">
        <v>323</v>
      </c>
      <c r="C433" s="2" t="s">
        <v>21</v>
      </c>
      <c r="D433" s="2" t="s">
        <v>56</v>
      </c>
      <c r="F433" s="2" t="s">
        <v>324</v>
      </c>
      <c r="G433" s="2">
        <v>16598.800683</v>
      </c>
      <c r="H433" s="2" t="s">
        <v>25</v>
      </c>
    </row>
    <row r="434" ht="22.5" customHeight="1">
      <c r="A434" s="2" t="s">
        <v>19</v>
      </c>
      <c r="B434" s="2" t="s">
        <v>325</v>
      </c>
      <c r="C434" s="2" t="s">
        <v>32</v>
      </c>
      <c r="D434" s="2" t="s">
        <v>118</v>
      </c>
      <c r="F434" s="2" t="s">
        <v>326</v>
      </c>
      <c r="G434" s="2">
        <v>66396.25229</v>
      </c>
      <c r="H434" s="2" t="s">
        <v>26</v>
      </c>
    </row>
    <row r="435" ht="22.5" customHeight="1">
      <c r="A435" s="2" t="s">
        <v>19</v>
      </c>
      <c r="B435" s="2" t="s">
        <v>327</v>
      </c>
      <c r="C435" s="2" t="s">
        <v>32</v>
      </c>
      <c r="D435" s="2" t="s">
        <v>118</v>
      </c>
      <c r="F435" s="2" t="s">
        <v>326</v>
      </c>
      <c r="G435" s="2">
        <v>68390.14405</v>
      </c>
      <c r="H435" s="2" t="s">
        <v>25</v>
      </c>
    </row>
    <row r="436" ht="22.5" customHeight="1">
      <c r="A436" s="2" t="s">
        <v>19</v>
      </c>
      <c r="B436" s="2" t="s">
        <v>327</v>
      </c>
      <c r="C436" s="2" t="s">
        <v>32</v>
      </c>
      <c r="D436" s="2" t="s">
        <v>118</v>
      </c>
      <c r="F436" s="2" t="s">
        <v>326</v>
      </c>
      <c r="G436" s="2">
        <v>67132.85317</v>
      </c>
      <c r="H436" s="2" t="s">
        <v>27</v>
      </c>
    </row>
    <row r="437" ht="22.5" customHeight="1">
      <c r="A437" s="2" t="s">
        <v>19</v>
      </c>
      <c r="B437" s="2" t="s">
        <v>328</v>
      </c>
      <c r="C437" s="2" t="s">
        <v>21</v>
      </c>
      <c r="D437" s="2" t="s">
        <v>22</v>
      </c>
      <c r="E437" s="2" t="s">
        <v>45</v>
      </c>
      <c r="F437" s="2" t="s">
        <v>329</v>
      </c>
      <c r="G437" s="2">
        <v>12011.248991</v>
      </c>
      <c r="H437" s="2" t="s">
        <v>26</v>
      </c>
    </row>
    <row r="438" ht="22.5" customHeight="1">
      <c r="A438" s="2" t="s">
        <v>19</v>
      </c>
      <c r="B438" s="2" t="s">
        <v>330</v>
      </c>
      <c r="C438" s="2" t="s">
        <v>21</v>
      </c>
      <c r="D438" s="2" t="s">
        <v>22</v>
      </c>
      <c r="E438" s="2" t="s">
        <v>45</v>
      </c>
      <c r="F438" s="2" t="s">
        <v>331</v>
      </c>
      <c r="G438" s="2">
        <v>18118.442615</v>
      </c>
      <c r="H438" s="2" t="s">
        <v>26</v>
      </c>
    </row>
    <row r="439" ht="22.5" customHeight="1">
      <c r="A439" s="2" t="s">
        <v>19</v>
      </c>
      <c r="B439" s="2" t="s">
        <v>330</v>
      </c>
      <c r="C439" s="2" t="s">
        <v>21</v>
      </c>
      <c r="D439" s="2" t="s">
        <v>22</v>
      </c>
      <c r="E439" s="2" t="s">
        <v>45</v>
      </c>
      <c r="F439" s="2" t="s">
        <v>331</v>
      </c>
      <c r="G439" s="2">
        <v>17836.51173</v>
      </c>
      <c r="H439" s="2" t="s">
        <v>27</v>
      </c>
    </row>
    <row r="440" ht="22.5" customHeight="1">
      <c r="A440" s="2" t="s">
        <v>19</v>
      </c>
      <c r="B440" s="2" t="s">
        <v>330</v>
      </c>
      <c r="C440" s="2" t="s">
        <v>21</v>
      </c>
      <c r="D440" s="2" t="s">
        <v>22</v>
      </c>
      <c r="E440" s="2" t="s">
        <v>45</v>
      </c>
      <c r="F440" s="2" t="s">
        <v>331</v>
      </c>
      <c r="G440" s="2">
        <v>17789.606693</v>
      </c>
      <c r="H440" s="2" t="s">
        <v>25</v>
      </c>
    </row>
    <row r="441" ht="22.5" customHeight="1">
      <c r="A441" s="2" t="s">
        <v>19</v>
      </c>
      <c r="B441" s="2" t="s">
        <v>332</v>
      </c>
      <c r="C441" s="2" t="s">
        <v>21</v>
      </c>
      <c r="D441" s="2" t="s">
        <v>22</v>
      </c>
      <c r="E441" s="2" t="s">
        <v>45</v>
      </c>
      <c r="F441" s="2" t="s">
        <v>333</v>
      </c>
      <c r="G441" s="2">
        <v>3184.9965</v>
      </c>
      <c r="H441" s="2" t="s">
        <v>26</v>
      </c>
    </row>
    <row r="442" ht="22.5" customHeight="1">
      <c r="A442" s="2" t="s">
        <v>19</v>
      </c>
      <c r="B442" s="2" t="s">
        <v>334</v>
      </c>
      <c r="C442" s="2" t="s">
        <v>21</v>
      </c>
      <c r="D442" s="2" t="s">
        <v>22</v>
      </c>
      <c r="E442" s="2" t="s">
        <v>45</v>
      </c>
      <c r="F442" s="2" t="s">
        <v>335</v>
      </c>
      <c r="G442" s="3">
        <v>16103.010583000001</v>
      </c>
      <c r="H442" s="2" t="s">
        <v>26</v>
      </c>
    </row>
    <row r="443" ht="22.5" customHeight="1">
      <c r="A443" s="2" t="s">
        <v>19</v>
      </c>
      <c r="B443" s="2" t="s">
        <v>334</v>
      </c>
      <c r="C443" s="2" t="s">
        <v>21</v>
      </c>
      <c r="D443" s="2" t="s">
        <v>22</v>
      </c>
      <c r="E443" s="2" t="s">
        <v>45</v>
      </c>
      <c r="F443" s="2" t="s">
        <v>335</v>
      </c>
      <c r="G443" s="2">
        <v>17823.580152</v>
      </c>
      <c r="H443" s="2" t="s">
        <v>27</v>
      </c>
    </row>
    <row r="444" ht="22.5" customHeight="1">
      <c r="A444" s="2" t="s">
        <v>19</v>
      </c>
      <c r="B444" s="2" t="s">
        <v>334</v>
      </c>
      <c r="C444" s="2" t="s">
        <v>21</v>
      </c>
      <c r="D444" s="2" t="s">
        <v>22</v>
      </c>
      <c r="E444" s="2" t="s">
        <v>45</v>
      </c>
      <c r="F444" s="2" t="s">
        <v>335</v>
      </c>
      <c r="G444" s="2">
        <v>18141.678181</v>
      </c>
      <c r="H444" s="2" t="s">
        <v>25</v>
      </c>
    </row>
    <row r="445" ht="22.5" customHeight="1">
      <c r="A445" s="2" t="s">
        <v>19</v>
      </c>
      <c r="B445" s="2" t="s">
        <v>334</v>
      </c>
      <c r="C445" s="2" t="s">
        <v>21</v>
      </c>
      <c r="D445" s="2" t="s">
        <v>22</v>
      </c>
      <c r="E445" s="2" t="s">
        <v>45</v>
      </c>
      <c r="F445" s="2" t="s">
        <v>335</v>
      </c>
      <c r="G445" s="3">
        <v>14227.44</v>
      </c>
      <c r="H445" s="4" t="s">
        <v>28</v>
      </c>
    </row>
    <row r="446" ht="22.5" customHeight="1">
      <c r="A446" s="2" t="s">
        <v>19</v>
      </c>
      <c r="B446" s="2" t="s">
        <v>336</v>
      </c>
      <c r="C446" s="2" t="s">
        <v>21</v>
      </c>
      <c r="D446" s="2" t="s">
        <v>22</v>
      </c>
      <c r="E446" s="2" t="s">
        <v>42</v>
      </c>
      <c r="F446" s="2" t="s">
        <v>337</v>
      </c>
      <c r="G446" s="3">
        <v>19567.74224</v>
      </c>
      <c r="H446" s="2" t="s">
        <v>26</v>
      </c>
    </row>
    <row r="447" ht="22.5" customHeight="1">
      <c r="A447" s="2" t="s">
        <v>19</v>
      </c>
      <c r="B447" s="2" t="s">
        <v>336</v>
      </c>
      <c r="C447" s="2" t="s">
        <v>21</v>
      </c>
      <c r="D447" s="2" t="s">
        <v>22</v>
      </c>
      <c r="E447" s="2" t="s">
        <v>42</v>
      </c>
      <c r="F447" s="2" t="s">
        <v>337</v>
      </c>
      <c r="G447" s="3">
        <v>13768.16</v>
      </c>
      <c r="H447" s="4" t="s">
        <v>28</v>
      </c>
    </row>
    <row r="448" ht="22.5" customHeight="1">
      <c r="A448" s="2" t="s">
        <v>19</v>
      </c>
      <c r="B448" s="2" t="s">
        <v>338</v>
      </c>
      <c r="C448" s="2" t="s">
        <v>21</v>
      </c>
      <c r="D448" s="2" t="s">
        <v>22</v>
      </c>
      <c r="E448" s="2" t="s">
        <v>23</v>
      </c>
      <c r="F448" s="2" t="s">
        <v>339</v>
      </c>
      <c r="G448" s="2">
        <v>7350.0</v>
      </c>
      <c r="H448" s="2" t="s">
        <v>25</v>
      </c>
    </row>
    <row r="449" ht="22.5" customHeight="1">
      <c r="A449" s="2" t="s">
        <v>19</v>
      </c>
      <c r="B449" s="2" t="s">
        <v>338</v>
      </c>
      <c r="C449" s="2" t="s">
        <v>21</v>
      </c>
      <c r="D449" s="2" t="s">
        <v>22</v>
      </c>
      <c r="E449" s="2" t="s">
        <v>23</v>
      </c>
      <c r="F449" s="2" t="s">
        <v>339</v>
      </c>
      <c r="G449" s="2">
        <v>3675.0</v>
      </c>
      <c r="H449" s="2" t="s">
        <v>27</v>
      </c>
    </row>
    <row r="450" ht="22.5" customHeight="1">
      <c r="A450" s="2" t="s">
        <v>19</v>
      </c>
      <c r="B450" s="2" t="s">
        <v>340</v>
      </c>
      <c r="C450" s="2" t="s">
        <v>21</v>
      </c>
      <c r="D450" s="2" t="s">
        <v>22</v>
      </c>
      <c r="E450" s="2" t="s">
        <v>45</v>
      </c>
      <c r="F450" s="2" t="s">
        <v>341</v>
      </c>
      <c r="G450" s="3">
        <v>18427.440000000002</v>
      </c>
      <c r="H450" s="2" t="s">
        <v>26</v>
      </c>
    </row>
    <row r="451" ht="22.5" customHeight="1">
      <c r="A451" s="2" t="s">
        <v>19</v>
      </c>
      <c r="B451" s="2" t="s">
        <v>340</v>
      </c>
      <c r="C451" s="2" t="s">
        <v>21</v>
      </c>
      <c r="D451" s="2" t="s">
        <v>22</v>
      </c>
      <c r="E451" s="2" t="s">
        <v>45</v>
      </c>
      <c r="F451" s="2" t="s">
        <v>341</v>
      </c>
      <c r="G451" s="2">
        <v>22103.58015</v>
      </c>
      <c r="H451" s="2" t="s">
        <v>27</v>
      </c>
    </row>
    <row r="452" ht="22.5" customHeight="1">
      <c r="A452" s="2" t="s">
        <v>19</v>
      </c>
      <c r="B452" s="2" t="s">
        <v>340</v>
      </c>
      <c r="C452" s="2" t="s">
        <v>21</v>
      </c>
      <c r="D452" s="2" t="s">
        <v>22</v>
      </c>
      <c r="E452" s="2" t="s">
        <v>45</v>
      </c>
      <c r="F452" s="2" t="s">
        <v>341</v>
      </c>
      <c r="G452" s="2">
        <v>8223.170779</v>
      </c>
      <c r="H452" s="2" t="s">
        <v>25</v>
      </c>
    </row>
    <row r="453" ht="22.5" customHeight="1">
      <c r="A453" s="2" t="s">
        <v>19</v>
      </c>
      <c r="B453" s="2" t="s">
        <v>340</v>
      </c>
      <c r="C453" s="2" t="s">
        <v>21</v>
      </c>
      <c r="D453" s="2" t="s">
        <v>22</v>
      </c>
      <c r="E453" s="2" t="s">
        <v>45</v>
      </c>
      <c r="F453" s="2" t="s">
        <v>341</v>
      </c>
      <c r="G453" s="3">
        <v>18427.440000000002</v>
      </c>
      <c r="H453" s="4" t="s">
        <v>28</v>
      </c>
    </row>
    <row r="454" ht="22.5" customHeight="1">
      <c r="A454" s="2" t="s">
        <v>19</v>
      </c>
      <c r="B454" s="2" t="s">
        <v>342</v>
      </c>
      <c r="C454" s="2" t="s">
        <v>21</v>
      </c>
      <c r="D454" s="2" t="s">
        <v>22</v>
      </c>
      <c r="E454" s="2" t="s">
        <v>23</v>
      </c>
      <c r="F454" s="2" t="s">
        <v>343</v>
      </c>
      <c r="G454" s="2">
        <v>14597.59959</v>
      </c>
      <c r="H454" s="2" t="s">
        <v>27</v>
      </c>
    </row>
    <row r="455" ht="22.5" customHeight="1">
      <c r="A455" s="2" t="s">
        <v>19</v>
      </c>
      <c r="B455" s="2" t="s">
        <v>342</v>
      </c>
      <c r="C455" s="2" t="s">
        <v>21</v>
      </c>
      <c r="D455" s="2" t="s">
        <v>22</v>
      </c>
      <c r="E455" s="2" t="s">
        <v>23</v>
      </c>
      <c r="F455" s="2" t="s">
        <v>343</v>
      </c>
      <c r="G455" s="2">
        <v>15931.39405</v>
      </c>
      <c r="H455" s="2" t="s">
        <v>25</v>
      </c>
    </row>
    <row r="456" ht="22.5" customHeight="1">
      <c r="A456" s="2" t="s">
        <v>19</v>
      </c>
      <c r="B456" s="2" t="s">
        <v>342</v>
      </c>
      <c r="C456" s="2" t="s">
        <v>21</v>
      </c>
      <c r="D456" s="2" t="s">
        <v>22</v>
      </c>
      <c r="E456" s="2" t="s">
        <v>23</v>
      </c>
      <c r="F456" s="2" t="s">
        <v>343</v>
      </c>
      <c r="G456" s="2">
        <v>11622.781714</v>
      </c>
      <c r="H456" s="2" t="s">
        <v>26</v>
      </c>
    </row>
    <row r="457" ht="22.5" customHeight="1">
      <c r="A457" s="2" t="s">
        <v>19</v>
      </c>
      <c r="B457" s="2" t="s">
        <v>344</v>
      </c>
      <c r="C457" s="2" t="s">
        <v>21</v>
      </c>
      <c r="D457" s="2" t="s">
        <v>22</v>
      </c>
      <c r="E457" s="2" t="s">
        <v>45</v>
      </c>
      <c r="F457" s="2" t="s">
        <v>345</v>
      </c>
      <c r="G457" s="3">
        <v>28370.03</v>
      </c>
      <c r="H457" s="2" t="s">
        <v>26</v>
      </c>
    </row>
    <row r="458" ht="22.5" customHeight="1">
      <c r="A458" s="2" t="s">
        <v>19</v>
      </c>
      <c r="B458" s="2" t="s">
        <v>344</v>
      </c>
      <c r="C458" s="2" t="s">
        <v>21</v>
      </c>
      <c r="D458" s="2" t="s">
        <v>22</v>
      </c>
      <c r="E458" s="2" t="s">
        <v>45</v>
      </c>
      <c r="F458" s="2" t="s">
        <v>345</v>
      </c>
      <c r="G458" s="3">
        <v>29809.41921</v>
      </c>
      <c r="H458" s="2" t="s">
        <v>27</v>
      </c>
    </row>
    <row r="459" ht="22.5" customHeight="1">
      <c r="A459" s="2" t="s">
        <v>19</v>
      </c>
      <c r="B459" s="2" t="s">
        <v>344</v>
      </c>
      <c r="C459" s="2" t="s">
        <v>21</v>
      </c>
      <c r="D459" s="2" t="s">
        <v>22</v>
      </c>
      <c r="E459" s="2" t="s">
        <v>45</v>
      </c>
      <c r="F459" s="2" t="s">
        <v>345</v>
      </c>
      <c r="G459" s="2">
        <v>22339.29715</v>
      </c>
      <c r="H459" s="2" t="s">
        <v>25</v>
      </c>
    </row>
    <row r="460" ht="22.5" customHeight="1">
      <c r="A460" s="2" t="s">
        <v>19</v>
      </c>
      <c r="B460" s="2" t="s">
        <v>344</v>
      </c>
      <c r="C460" s="2" t="s">
        <v>21</v>
      </c>
      <c r="D460" s="2" t="s">
        <v>22</v>
      </c>
      <c r="E460" s="2" t="s">
        <v>45</v>
      </c>
      <c r="F460" s="2" t="s">
        <v>345</v>
      </c>
      <c r="G460" s="3">
        <v>27877.440000000002</v>
      </c>
      <c r="H460" s="4" t="s">
        <v>28</v>
      </c>
    </row>
    <row r="461" ht="22.5" customHeight="1">
      <c r="A461" s="2" t="s">
        <v>19</v>
      </c>
      <c r="B461" s="2" t="s">
        <v>346</v>
      </c>
      <c r="C461" s="2" t="s">
        <v>21</v>
      </c>
      <c r="D461" s="2" t="s">
        <v>22</v>
      </c>
      <c r="E461" s="2" t="s">
        <v>63</v>
      </c>
      <c r="F461" s="2" t="s">
        <v>347</v>
      </c>
      <c r="G461" s="2">
        <v>14563.097092</v>
      </c>
      <c r="H461" s="2" t="s">
        <v>27</v>
      </c>
    </row>
    <row r="462" ht="22.5" customHeight="1">
      <c r="A462" s="2" t="s">
        <v>19</v>
      </c>
      <c r="B462" s="2" t="s">
        <v>346</v>
      </c>
      <c r="C462" s="2" t="s">
        <v>21</v>
      </c>
      <c r="D462" s="2" t="s">
        <v>22</v>
      </c>
      <c r="E462" s="2" t="s">
        <v>63</v>
      </c>
      <c r="F462" s="2" t="s">
        <v>347</v>
      </c>
      <c r="G462" s="3">
        <v>8242.08</v>
      </c>
      <c r="H462" s="2" t="s">
        <v>26</v>
      </c>
    </row>
    <row r="463" ht="22.5" customHeight="1">
      <c r="A463" s="2" t="s">
        <v>19</v>
      </c>
      <c r="B463" s="2" t="s">
        <v>346</v>
      </c>
      <c r="C463" s="2" t="s">
        <v>21</v>
      </c>
      <c r="D463" s="2" t="s">
        <v>22</v>
      </c>
      <c r="E463" s="2" t="s">
        <v>63</v>
      </c>
      <c r="F463" s="2" t="s">
        <v>347</v>
      </c>
      <c r="G463" s="2">
        <v>8845.99814</v>
      </c>
      <c r="H463" s="2" t="s">
        <v>25</v>
      </c>
    </row>
    <row r="464" ht="22.5" customHeight="1">
      <c r="A464" s="2" t="s">
        <v>19</v>
      </c>
      <c r="B464" s="2" t="s">
        <v>346</v>
      </c>
      <c r="C464" s="2" t="s">
        <v>21</v>
      </c>
      <c r="D464" s="2" t="s">
        <v>22</v>
      </c>
      <c r="E464" s="2" t="s">
        <v>63</v>
      </c>
      <c r="F464" s="2" t="s">
        <v>347</v>
      </c>
      <c r="G464" s="3">
        <v>11077.44</v>
      </c>
      <c r="H464" s="4" t="s">
        <v>28</v>
      </c>
    </row>
    <row r="465" ht="22.5" customHeight="1">
      <c r="A465" s="2" t="s">
        <v>19</v>
      </c>
      <c r="B465" s="2" t="s">
        <v>348</v>
      </c>
      <c r="C465" s="2" t="s">
        <v>21</v>
      </c>
      <c r="D465" s="2" t="s">
        <v>22</v>
      </c>
      <c r="E465" s="2" t="s">
        <v>23</v>
      </c>
      <c r="F465" s="2" t="s">
        <v>349</v>
      </c>
      <c r="G465" s="2">
        <v>18627.68746</v>
      </c>
      <c r="H465" s="2" t="s">
        <v>27</v>
      </c>
    </row>
    <row r="466" ht="22.5" customHeight="1">
      <c r="A466" s="2" t="s">
        <v>19</v>
      </c>
      <c r="B466" s="2" t="s">
        <v>348</v>
      </c>
      <c r="C466" s="2" t="s">
        <v>21</v>
      </c>
      <c r="D466" s="2" t="s">
        <v>22</v>
      </c>
      <c r="E466" s="2" t="s">
        <v>23</v>
      </c>
      <c r="F466" s="2" t="s">
        <v>349</v>
      </c>
      <c r="G466" s="3">
        <v>16820.03</v>
      </c>
      <c r="H466" s="2" t="s">
        <v>26</v>
      </c>
    </row>
    <row r="467" ht="22.5" customHeight="1">
      <c r="A467" s="2" t="s">
        <v>19</v>
      </c>
      <c r="B467" s="2" t="s">
        <v>348</v>
      </c>
      <c r="C467" s="2" t="s">
        <v>21</v>
      </c>
      <c r="D467" s="2" t="s">
        <v>22</v>
      </c>
      <c r="E467" s="2" t="s">
        <v>23</v>
      </c>
      <c r="F467" s="2" t="s">
        <v>349</v>
      </c>
      <c r="G467" s="3">
        <v>16327.44</v>
      </c>
      <c r="H467" s="4" t="s">
        <v>28</v>
      </c>
    </row>
    <row r="468" ht="22.5" customHeight="1">
      <c r="A468" s="2" t="s">
        <v>19</v>
      </c>
      <c r="B468" s="2" t="s">
        <v>348</v>
      </c>
      <c r="C468" s="2" t="s">
        <v>21</v>
      </c>
      <c r="D468" s="2" t="s">
        <v>22</v>
      </c>
      <c r="E468" s="2" t="s">
        <v>23</v>
      </c>
      <c r="F468" s="2" t="s">
        <v>349</v>
      </c>
      <c r="G468" s="2">
        <v>20291.39405</v>
      </c>
      <c r="H468" s="2" t="s">
        <v>25</v>
      </c>
    </row>
    <row r="469" ht="22.5" customHeight="1">
      <c r="A469" s="2" t="s">
        <v>19</v>
      </c>
      <c r="B469" s="2" t="s">
        <v>350</v>
      </c>
      <c r="C469" s="4" t="s">
        <v>21</v>
      </c>
      <c r="D469" s="2" t="s">
        <v>22</v>
      </c>
      <c r="E469" s="2" t="s">
        <v>45</v>
      </c>
      <c r="F469" s="2" t="s">
        <v>351</v>
      </c>
      <c r="G469" s="2">
        <v>33868.44261</v>
      </c>
      <c r="H469" s="2" t="s">
        <v>26</v>
      </c>
    </row>
    <row r="470" ht="22.5" customHeight="1">
      <c r="A470" s="2" t="s">
        <v>19</v>
      </c>
      <c r="B470" s="2" t="s">
        <v>350</v>
      </c>
      <c r="C470" s="4" t="s">
        <v>21</v>
      </c>
      <c r="D470" s="2" t="s">
        <v>22</v>
      </c>
      <c r="E470" s="2" t="s">
        <v>45</v>
      </c>
      <c r="F470" s="2" t="s">
        <v>351</v>
      </c>
      <c r="G470" s="2">
        <v>32935.3767</v>
      </c>
      <c r="H470" s="2" t="s">
        <v>25</v>
      </c>
    </row>
    <row r="471" ht="22.5" customHeight="1">
      <c r="A471" s="2" t="s">
        <v>19</v>
      </c>
      <c r="B471" s="2" t="s">
        <v>350</v>
      </c>
      <c r="C471" s="4" t="s">
        <v>21</v>
      </c>
      <c r="D471" s="2" t="s">
        <v>22</v>
      </c>
      <c r="E471" s="2" t="s">
        <v>45</v>
      </c>
      <c r="F471" s="2" t="s">
        <v>351</v>
      </c>
      <c r="G471" s="2">
        <v>33886.51173</v>
      </c>
      <c r="H471" s="2" t="s">
        <v>27</v>
      </c>
    </row>
    <row r="472" ht="22.5" customHeight="1">
      <c r="A472" s="2" t="s">
        <v>19</v>
      </c>
      <c r="B472" s="2" t="s">
        <v>352</v>
      </c>
      <c r="C472" s="2" t="s">
        <v>21</v>
      </c>
      <c r="D472" s="2" t="s">
        <v>22</v>
      </c>
      <c r="E472" s="2" t="s">
        <v>53</v>
      </c>
      <c r="F472" s="2" t="s">
        <v>353</v>
      </c>
      <c r="G472" s="2">
        <v>21568.41622</v>
      </c>
      <c r="H472" s="2" t="s">
        <v>26</v>
      </c>
    </row>
    <row r="473" ht="22.5" customHeight="1">
      <c r="A473" s="2" t="s">
        <v>19</v>
      </c>
      <c r="B473" s="2" t="s">
        <v>354</v>
      </c>
      <c r="C473" s="2" t="s">
        <v>21</v>
      </c>
      <c r="D473" s="2" t="s">
        <v>22</v>
      </c>
      <c r="E473" s="2" t="s">
        <v>23</v>
      </c>
      <c r="F473" s="2" t="s">
        <v>355</v>
      </c>
      <c r="G473" s="2">
        <v>13042.93378</v>
      </c>
      <c r="H473" s="2" t="s">
        <v>27</v>
      </c>
    </row>
    <row r="474" ht="22.5" customHeight="1">
      <c r="A474" s="2" t="s">
        <v>19</v>
      </c>
      <c r="B474" s="2" t="s">
        <v>354</v>
      </c>
      <c r="C474" s="2" t="s">
        <v>21</v>
      </c>
      <c r="D474" s="2" t="s">
        <v>22</v>
      </c>
      <c r="E474" s="2" t="s">
        <v>23</v>
      </c>
      <c r="F474" s="2" t="s">
        <v>355</v>
      </c>
      <c r="G474" s="2">
        <v>13288.974718</v>
      </c>
      <c r="H474" s="2" t="s">
        <v>25</v>
      </c>
    </row>
    <row r="475" ht="22.5" customHeight="1">
      <c r="A475" s="2" t="s">
        <v>19</v>
      </c>
      <c r="B475" s="2" t="s">
        <v>354</v>
      </c>
      <c r="C475" s="2" t="s">
        <v>21</v>
      </c>
      <c r="D475" s="2" t="s">
        <v>22</v>
      </c>
      <c r="E475" s="2" t="s">
        <v>23</v>
      </c>
      <c r="F475" s="2" t="s">
        <v>355</v>
      </c>
      <c r="G475" s="3">
        <v>12127.44</v>
      </c>
      <c r="H475" s="4" t="s">
        <v>28</v>
      </c>
    </row>
    <row r="476" ht="22.5" customHeight="1">
      <c r="A476" s="2" t="s">
        <v>19</v>
      </c>
      <c r="B476" s="2" t="s">
        <v>354</v>
      </c>
      <c r="C476" s="2" t="s">
        <v>21</v>
      </c>
      <c r="D476" s="2" t="s">
        <v>22</v>
      </c>
      <c r="E476" s="2" t="s">
        <v>23</v>
      </c>
      <c r="F476" s="2" t="s">
        <v>355</v>
      </c>
      <c r="G476" s="3">
        <v>9292.08</v>
      </c>
      <c r="H476" s="2" t="s">
        <v>26</v>
      </c>
    </row>
    <row r="508">
      <c r="B508" s="25" t="s">
        <v>24</v>
      </c>
      <c r="C508" s="26" t="s">
        <v>551</v>
      </c>
    </row>
    <row r="509">
      <c r="B509" s="27" t="s">
        <v>46</v>
      </c>
      <c r="C509" s="26" t="s">
        <v>551</v>
      </c>
    </row>
    <row r="510">
      <c r="B510" s="25" t="s">
        <v>54</v>
      </c>
      <c r="C510" s="26" t="s">
        <v>551</v>
      </c>
    </row>
    <row r="511">
      <c r="B511" s="27" t="s">
        <v>59</v>
      </c>
      <c r="C511" s="26" t="s">
        <v>551</v>
      </c>
    </row>
    <row r="512">
      <c r="B512" s="25" t="s">
        <v>61</v>
      </c>
      <c r="C512" s="26" t="s">
        <v>551</v>
      </c>
    </row>
    <row r="513">
      <c r="B513" s="27" t="s">
        <v>67</v>
      </c>
      <c r="C513" s="26" t="s">
        <v>551</v>
      </c>
    </row>
    <row r="514">
      <c r="B514" s="25" t="s">
        <v>73</v>
      </c>
      <c r="C514" s="26" t="s">
        <v>551</v>
      </c>
    </row>
    <row r="515">
      <c r="B515" s="27" t="s">
        <v>74</v>
      </c>
      <c r="C515" s="26" t="s">
        <v>551</v>
      </c>
    </row>
    <row r="516">
      <c r="B516" s="25" t="s">
        <v>75</v>
      </c>
      <c r="C516" s="26" t="s">
        <v>551</v>
      </c>
    </row>
    <row r="517">
      <c r="B517" s="27" t="s">
        <v>76</v>
      </c>
      <c r="C517" s="26" t="s">
        <v>551</v>
      </c>
    </row>
    <row r="518">
      <c r="B518" s="25" t="s">
        <v>114</v>
      </c>
      <c r="C518" s="26" t="s">
        <v>551</v>
      </c>
    </row>
    <row r="519">
      <c r="B519" s="27" t="s">
        <v>119</v>
      </c>
      <c r="C519" s="26" t="s">
        <v>551</v>
      </c>
    </row>
    <row r="520">
      <c r="B520" s="25" t="s">
        <v>121</v>
      </c>
      <c r="C520" s="26" t="s">
        <v>551</v>
      </c>
    </row>
    <row r="521">
      <c r="B521" s="27" t="s">
        <v>129</v>
      </c>
      <c r="C521" s="26" t="s">
        <v>551</v>
      </c>
    </row>
    <row r="522">
      <c r="B522" s="25" t="s">
        <v>133</v>
      </c>
      <c r="C522" s="26" t="s">
        <v>551</v>
      </c>
    </row>
    <row r="523">
      <c r="B523" s="27" t="s">
        <v>137</v>
      </c>
      <c r="C523" s="26" t="s">
        <v>551</v>
      </c>
    </row>
    <row r="524">
      <c r="B524" s="25" t="s">
        <v>139</v>
      </c>
      <c r="C524" s="26" t="s">
        <v>551</v>
      </c>
    </row>
    <row r="525">
      <c r="B525" s="27" t="s">
        <v>154</v>
      </c>
      <c r="C525" s="26" t="s">
        <v>551</v>
      </c>
    </row>
    <row r="526">
      <c r="B526" s="25" t="s">
        <v>160</v>
      </c>
      <c r="C526" s="26" t="s">
        <v>551</v>
      </c>
    </row>
    <row r="527">
      <c r="B527" s="27" t="s">
        <v>169</v>
      </c>
      <c r="C527" s="26" t="s">
        <v>551</v>
      </c>
    </row>
    <row r="528">
      <c r="B528" s="25" t="s">
        <v>171</v>
      </c>
      <c r="C528" s="26" t="s">
        <v>551</v>
      </c>
    </row>
    <row r="529">
      <c r="B529" s="27" t="s">
        <v>175</v>
      </c>
      <c r="C529" s="26" t="s">
        <v>551</v>
      </c>
    </row>
    <row r="530">
      <c r="B530" s="25" t="s">
        <v>179</v>
      </c>
      <c r="C530" s="26" t="s">
        <v>551</v>
      </c>
    </row>
    <row r="531">
      <c r="B531" s="27" t="s">
        <v>191</v>
      </c>
      <c r="C531" s="26" t="s">
        <v>551</v>
      </c>
    </row>
    <row r="532">
      <c r="B532" s="25" t="s">
        <v>207</v>
      </c>
      <c r="C532" s="26" t="s">
        <v>551</v>
      </c>
    </row>
    <row r="533">
      <c r="B533" s="27" t="s">
        <v>211</v>
      </c>
      <c r="C533" s="26" t="s">
        <v>551</v>
      </c>
    </row>
    <row r="534">
      <c r="B534" s="25" t="s">
        <v>221</v>
      </c>
      <c r="C534" s="26" t="s">
        <v>551</v>
      </c>
    </row>
    <row r="535">
      <c r="B535" s="27" t="s">
        <v>231</v>
      </c>
      <c r="C535" s="26" t="s">
        <v>551</v>
      </c>
    </row>
    <row r="536">
      <c r="B536" s="25" t="s">
        <v>236</v>
      </c>
      <c r="C536" s="26" t="s">
        <v>551</v>
      </c>
    </row>
    <row r="537">
      <c r="B537" s="27" t="s">
        <v>239</v>
      </c>
      <c r="C537" s="26" t="s">
        <v>551</v>
      </c>
    </row>
    <row r="538">
      <c r="B538" s="25" t="s">
        <v>240</v>
      </c>
      <c r="C538" s="26" t="s">
        <v>551</v>
      </c>
    </row>
    <row r="539">
      <c r="B539" s="27" t="s">
        <v>241</v>
      </c>
      <c r="C539" s="26" t="s">
        <v>551</v>
      </c>
    </row>
    <row r="540">
      <c r="B540" s="25" t="s">
        <v>242</v>
      </c>
      <c r="C540" s="26" t="s">
        <v>551</v>
      </c>
    </row>
    <row r="541">
      <c r="B541" s="27" t="s">
        <v>246</v>
      </c>
      <c r="C541" s="26" t="s">
        <v>551</v>
      </c>
    </row>
    <row r="542">
      <c r="B542" s="25" t="s">
        <v>256</v>
      </c>
      <c r="C542" s="26" t="s">
        <v>551</v>
      </c>
    </row>
    <row r="543">
      <c r="B543" s="27" t="s">
        <v>262</v>
      </c>
      <c r="C543" s="26" t="s">
        <v>551</v>
      </c>
    </row>
    <row r="544">
      <c r="B544" s="25" t="s">
        <v>274</v>
      </c>
      <c r="C544" s="26" t="s">
        <v>551</v>
      </c>
    </row>
    <row r="545">
      <c r="B545" s="27" t="s">
        <v>279</v>
      </c>
      <c r="C545" s="26" t="s">
        <v>551</v>
      </c>
    </row>
    <row r="546">
      <c r="B546" s="25" t="s">
        <v>287</v>
      </c>
      <c r="C546" s="26" t="s">
        <v>551</v>
      </c>
    </row>
    <row r="547">
      <c r="B547" s="27" t="s">
        <v>304</v>
      </c>
      <c r="C547" s="26" t="s">
        <v>551</v>
      </c>
    </row>
    <row r="548">
      <c r="B548" s="25" t="s">
        <v>318</v>
      </c>
      <c r="C548" s="26" t="s">
        <v>551</v>
      </c>
    </row>
    <row r="549">
      <c r="B549" s="27" t="s">
        <v>335</v>
      </c>
      <c r="C549" s="26" t="s">
        <v>551</v>
      </c>
    </row>
    <row r="550">
      <c r="B550" s="25" t="s">
        <v>337</v>
      </c>
      <c r="C550" s="26" t="s">
        <v>551</v>
      </c>
    </row>
    <row r="551">
      <c r="B551" s="27" t="s">
        <v>341</v>
      </c>
      <c r="C551" s="26" t="s">
        <v>551</v>
      </c>
    </row>
    <row r="552">
      <c r="B552" s="25" t="s">
        <v>345</v>
      </c>
      <c r="C552" s="26" t="s">
        <v>551</v>
      </c>
    </row>
    <row r="553">
      <c r="B553" s="27" t="s">
        <v>347</v>
      </c>
      <c r="C553" s="26" t="s">
        <v>551</v>
      </c>
    </row>
    <row r="554">
      <c r="B554" s="25" t="s">
        <v>349</v>
      </c>
      <c r="C554" s="26" t="s">
        <v>551</v>
      </c>
    </row>
    <row r="555">
      <c r="B555" s="27" t="s">
        <v>355</v>
      </c>
      <c r="C555" s="26" t="s">
        <v>551</v>
      </c>
    </row>
    <row r="565">
      <c r="A565" s="28" t="s">
        <v>5</v>
      </c>
      <c r="B565" s="28"/>
      <c r="F565" s="29" t="s">
        <v>552</v>
      </c>
      <c r="G565" s="29" t="s">
        <v>9</v>
      </c>
      <c r="H565" s="29" t="s">
        <v>18</v>
      </c>
      <c r="I565" s="29" t="s">
        <v>553</v>
      </c>
      <c r="J565" s="29" t="s">
        <v>17</v>
      </c>
      <c r="K565" s="29" t="s">
        <v>554</v>
      </c>
      <c r="L565" s="29" t="s">
        <v>555</v>
      </c>
      <c r="M565" s="29" t="s">
        <v>556</v>
      </c>
      <c r="N565" s="29" t="s">
        <v>557</v>
      </c>
      <c r="O565" s="29" t="s">
        <v>558</v>
      </c>
      <c r="P565" s="29" t="s">
        <v>559</v>
      </c>
      <c r="Q565" s="29" t="s">
        <v>560</v>
      </c>
      <c r="R565" s="29" t="s">
        <v>561</v>
      </c>
      <c r="S565" s="29" t="s">
        <v>562</v>
      </c>
      <c r="T565" s="29" t="s">
        <v>563</v>
      </c>
      <c r="U565" s="29" t="s">
        <v>564</v>
      </c>
      <c r="V565" s="29" t="s">
        <v>565</v>
      </c>
      <c r="W565" s="29" t="s">
        <v>566</v>
      </c>
      <c r="X565" s="29" t="s">
        <v>567</v>
      </c>
      <c r="Y565" s="29" t="s">
        <v>568</v>
      </c>
      <c r="Z565" s="29" t="s">
        <v>569</v>
      </c>
      <c r="AA565" s="29" t="s">
        <v>570</v>
      </c>
      <c r="AB565" s="29" t="s">
        <v>571</v>
      </c>
      <c r="AC565" s="30" t="s">
        <v>572</v>
      </c>
      <c r="AD565" s="29" t="s">
        <v>573</v>
      </c>
      <c r="AE565" s="29" t="s">
        <v>574</v>
      </c>
      <c r="AF565" s="29" t="s">
        <v>575</v>
      </c>
    </row>
    <row r="566">
      <c r="A566" s="28"/>
      <c r="B566" s="28"/>
      <c r="F566" s="31" t="s">
        <v>20</v>
      </c>
      <c r="G566" s="31" t="s">
        <v>576</v>
      </c>
      <c r="H566" s="31" t="s">
        <v>577</v>
      </c>
      <c r="I566" s="31"/>
      <c r="J566" s="31" t="s">
        <v>578</v>
      </c>
      <c r="K566" s="32">
        <v>50.46</v>
      </c>
      <c r="L566" s="32">
        <v>1274.4</v>
      </c>
      <c r="M566" s="32">
        <v>0.0</v>
      </c>
      <c r="N566" s="32">
        <v>0.0</v>
      </c>
      <c r="O566" s="32">
        <v>0.0</v>
      </c>
      <c r="P566" s="32">
        <v>0.0</v>
      </c>
      <c r="Q566" s="32">
        <v>2.523</v>
      </c>
      <c r="R566" s="32">
        <v>63.72000000000001</v>
      </c>
      <c r="S566" s="32">
        <v>52.983</v>
      </c>
      <c r="T566" s="32">
        <v>1338.12</v>
      </c>
      <c r="U566" s="32">
        <v>8.47728</v>
      </c>
      <c r="V566" s="32">
        <v>214.0992</v>
      </c>
      <c r="W566" s="32">
        <v>61.46028</v>
      </c>
      <c r="X566" s="32">
        <v>1552.2192</v>
      </c>
      <c r="Y566" s="32">
        <v>1324.86</v>
      </c>
      <c r="Z566" s="32">
        <v>0.0</v>
      </c>
      <c r="AA566" s="32">
        <v>0.0</v>
      </c>
      <c r="AB566" s="32">
        <v>66.24300000000001</v>
      </c>
      <c r="AC566" s="33">
        <v>1391.103</v>
      </c>
      <c r="AD566" s="32">
        <v>222.57648</v>
      </c>
      <c r="AE566" s="32">
        <v>1613.67948</v>
      </c>
      <c r="AF566" s="32">
        <v>1391.103</v>
      </c>
    </row>
    <row r="567">
      <c r="A567" s="28" t="s">
        <v>59</v>
      </c>
      <c r="B567" s="28"/>
      <c r="D567" s="28" t="str">
        <f t="shared" ref="D567:D725" si="1">LOOKUP(A567, B$501:B$555,C$501:C$555)</f>
        <v>SI</v>
      </c>
      <c r="F567" s="31" t="s">
        <v>29</v>
      </c>
      <c r="G567" s="31" t="s">
        <v>576</v>
      </c>
      <c r="H567" s="31" t="s">
        <v>577</v>
      </c>
      <c r="I567" s="31"/>
      <c r="J567" s="31" t="s">
        <v>579</v>
      </c>
      <c r="K567" s="32">
        <v>9999.998</v>
      </c>
      <c r="L567" s="32">
        <v>9665.998</v>
      </c>
      <c r="M567" s="32">
        <v>1482.706896029158</v>
      </c>
      <c r="N567" s="32">
        <v>1436.372305528247</v>
      </c>
      <c r="O567" s="32">
        <v>189.02</v>
      </c>
      <c r="P567" s="32">
        <v>189.02</v>
      </c>
      <c r="Q567" s="32">
        <v>499.9999</v>
      </c>
      <c r="R567" s="32">
        <v>483.2999</v>
      </c>
      <c r="S567" s="32">
        <v>12171.72479602916</v>
      </c>
      <c r="T567" s="32">
        <v>11774.69020552825</v>
      </c>
      <c r="U567" s="32">
        <v>1947.475967364665</v>
      </c>
      <c r="V567" s="32">
        <v>1883.950432884519</v>
      </c>
      <c r="W567" s="32">
        <v>14119.20076339382</v>
      </c>
      <c r="X567" s="32">
        <v>13658.64063841277</v>
      </c>
      <c r="Y567" s="32">
        <v>19665.996</v>
      </c>
      <c r="Z567" s="32">
        <v>2919.079201557405</v>
      </c>
      <c r="AA567" s="32">
        <v>378.04</v>
      </c>
      <c r="AB567" s="32">
        <v>983.2998</v>
      </c>
      <c r="AC567" s="33">
        <v>23946.41500155741</v>
      </c>
      <c r="AD567" s="32">
        <v>3831.426400249185</v>
      </c>
      <c r="AE567" s="32">
        <v>27777.84140180659</v>
      </c>
      <c r="AF567" s="32">
        <v>23946.41500155741</v>
      </c>
    </row>
    <row r="568">
      <c r="A568" s="28" t="s">
        <v>54</v>
      </c>
      <c r="B568" s="28"/>
      <c r="D568" s="28" t="str">
        <f t="shared" si="1"/>
        <v>SI</v>
      </c>
      <c r="F568" s="31" t="s">
        <v>31</v>
      </c>
      <c r="G568" s="31" t="s">
        <v>580</v>
      </c>
      <c r="H568" s="31" t="s">
        <v>581</v>
      </c>
      <c r="I568" s="31" t="s">
        <v>582</v>
      </c>
      <c r="J568" s="31" t="s">
        <v>583</v>
      </c>
      <c r="K568" s="32">
        <v>5999.998000000001</v>
      </c>
      <c r="L568" s="32">
        <v>5999.998000000001</v>
      </c>
      <c r="M568" s="32">
        <v>1461.93801604352</v>
      </c>
      <c r="N568" s="32">
        <v>1416.25245304216</v>
      </c>
      <c r="O568" s="32">
        <v>189.02</v>
      </c>
      <c r="P568" s="32">
        <v>189.02</v>
      </c>
      <c r="Q568" s="32">
        <v>299.9999</v>
      </c>
      <c r="R568" s="32">
        <v>299.9999</v>
      </c>
      <c r="S568" s="32">
        <v>7950.95591604352</v>
      </c>
      <c r="T568" s="32">
        <v>7905.27035304216</v>
      </c>
      <c r="U568" s="32">
        <v>1272.152946566963</v>
      </c>
      <c r="V568" s="32">
        <v>1264.843256486746</v>
      </c>
      <c r="W568" s="32">
        <v>9223.108862610483</v>
      </c>
      <c r="X568" s="32">
        <v>9170.113609528906</v>
      </c>
      <c r="Y568" s="32">
        <v>11999.996</v>
      </c>
      <c r="Z568" s="32">
        <v>2878.19046908568</v>
      </c>
      <c r="AA568" s="32">
        <v>378.04</v>
      </c>
      <c r="AB568" s="32">
        <v>599.9998</v>
      </c>
      <c r="AC568" s="33">
        <v>15856.22626908568</v>
      </c>
      <c r="AD568" s="32">
        <v>2536.996203053709</v>
      </c>
      <c r="AE568" s="32">
        <v>18393.22247213939</v>
      </c>
      <c r="AF568" s="32">
        <v>15856.22626908568</v>
      </c>
    </row>
    <row r="569">
      <c r="A569" s="28" t="s">
        <v>221</v>
      </c>
      <c r="B569" s="28"/>
      <c r="D569" s="28" t="str">
        <f t="shared" si="1"/>
        <v>SI</v>
      </c>
      <c r="F569" s="31" t="s">
        <v>35</v>
      </c>
      <c r="G569" s="31" t="s">
        <v>580</v>
      </c>
      <c r="H569" s="31" t="s">
        <v>584</v>
      </c>
      <c r="I569" s="31"/>
      <c r="J569" s="31" t="s">
        <v>585</v>
      </c>
      <c r="K569" s="32">
        <v>4999.998000000001</v>
      </c>
      <c r="L569" s="32">
        <v>4999.998000000001</v>
      </c>
      <c r="M569" s="32">
        <v>1461.93801604352</v>
      </c>
      <c r="N569" s="32">
        <v>1416.25245304216</v>
      </c>
      <c r="O569" s="32">
        <v>189.02</v>
      </c>
      <c r="P569" s="32">
        <v>189.02</v>
      </c>
      <c r="Q569" s="32">
        <v>249.9999</v>
      </c>
      <c r="R569" s="32">
        <v>249.9999</v>
      </c>
      <c r="S569" s="32">
        <v>6900.95591604352</v>
      </c>
      <c r="T569" s="32">
        <v>6855.27035304216</v>
      </c>
      <c r="U569" s="32">
        <v>1104.152946566963</v>
      </c>
      <c r="V569" s="32">
        <v>1096.843256486746</v>
      </c>
      <c r="W569" s="32">
        <v>8005.108862610483</v>
      </c>
      <c r="X569" s="32">
        <v>7952.113609528906</v>
      </c>
      <c r="Y569" s="32">
        <v>9999.996000000001</v>
      </c>
      <c r="Z569" s="32">
        <v>2878.19046908568</v>
      </c>
      <c r="AA569" s="32">
        <v>378.04</v>
      </c>
      <c r="AB569" s="32">
        <v>499.9998000000001</v>
      </c>
      <c r="AC569" s="33">
        <v>13756.22626908568</v>
      </c>
      <c r="AD569" s="32">
        <v>2200.996203053709</v>
      </c>
      <c r="AE569" s="32">
        <v>15957.22247213939</v>
      </c>
      <c r="AF569" s="32">
        <v>13756.22626908568</v>
      </c>
    </row>
    <row r="570">
      <c r="A570" s="28" t="s">
        <v>57</v>
      </c>
      <c r="B570" s="28"/>
      <c r="D570" s="28" t="str">
        <f t="shared" si="1"/>
        <v>SI</v>
      </c>
      <c r="F570" s="31" t="s">
        <v>38</v>
      </c>
      <c r="G570" s="31" t="s">
        <v>580</v>
      </c>
      <c r="H570" s="31" t="s">
        <v>577</v>
      </c>
      <c r="I570" s="31" t="s">
        <v>586</v>
      </c>
      <c r="J570" s="31" t="s">
        <v>587</v>
      </c>
      <c r="K570" s="32">
        <v>9499.998</v>
      </c>
      <c r="L570" s="32">
        <v>9499.998</v>
      </c>
      <c r="M570" s="32">
        <v>1484.174283695642</v>
      </c>
      <c r="N570" s="32">
        <v>1437.793837330153</v>
      </c>
      <c r="O570" s="32">
        <v>189.02</v>
      </c>
      <c r="P570" s="32">
        <v>189.02</v>
      </c>
      <c r="Q570" s="32">
        <v>474.9999</v>
      </c>
      <c r="R570" s="32">
        <v>474.9999</v>
      </c>
      <c r="S570" s="32">
        <v>11648.19218369564</v>
      </c>
      <c r="T570" s="32">
        <v>11601.81173733015</v>
      </c>
      <c r="U570" s="32">
        <v>1863.710749391303</v>
      </c>
      <c r="V570" s="32">
        <v>1856.289877972825</v>
      </c>
      <c r="W570" s="32">
        <v>13511.90293308695</v>
      </c>
      <c r="X570" s="32">
        <v>13458.10161530298</v>
      </c>
      <c r="Y570" s="32">
        <v>18999.996</v>
      </c>
      <c r="Z570" s="32">
        <v>2921.968121025795</v>
      </c>
      <c r="AA570" s="32">
        <v>378.04</v>
      </c>
      <c r="AB570" s="32">
        <v>949.9998</v>
      </c>
      <c r="AC570" s="33">
        <v>23250.0039210258</v>
      </c>
      <c r="AD570" s="32">
        <v>3720.000627364127</v>
      </c>
      <c r="AE570" s="32">
        <v>26970.00454838992</v>
      </c>
      <c r="AF570" s="32">
        <v>23250.0039210258</v>
      </c>
    </row>
    <row r="571">
      <c r="A571" s="28" t="s">
        <v>296</v>
      </c>
      <c r="B571" s="28"/>
      <c r="D571" s="28" t="str">
        <f t="shared" si="1"/>
        <v>SI</v>
      </c>
      <c r="F571" s="31" t="s">
        <v>41</v>
      </c>
      <c r="G571" s="31" t="s">
        <v>580</v>
      </c>
      <c r="H571" s="31" t="s">
        <v>588</v>
      </c>
      <c r="I571" s="31" t="s">
        <v>589</v>
      </c>
      <c r="J571" s="31" t="s">
        <v>590</v>
      </c>
      <c r="K571" s="32">
        <v>6999.998000000001</v>
      </c>
      <c r="L571" s="32">
        <v>6999.998000000001</v>
      </c>
      <c r="M571" s="32">
        <v>1469.03356871168</v>
      </c>
      <c r="N571" s="32">
        <v>1423.12626968944</v>
      </c>
      <c r="O571" s="32">
        <v>189.02</v>
      </c>
      <c r="P571" s="32">
        <v>189.02</v>
      </c>
      <c r="Q571" s="32">
        <v>349.9999</v>
      </c>
      <c r="R571" s="32">
        <v>349.9999</v>
      </c>
      <c r="S571" s="32">
        <v>9008.051468711681</v>
      </c>
      <c r="T571" s="32">
        <v>8962.144169689442</v>
      </c>
      <c r="U571" s="32">
        <v>1441.288234993869</v>
      </c>
      <c r="V571" s="32">
        <v>1433.943067150311</v>
      </c>
      <c r="W571" s="32">
        <v>10449.33970370555</v>
      </c>
      <c r="X571" s="32">
        <v>10396.08723683975</v>
      </c>
      <c r="Y571" s="32">
        <v>13999.996</v>
      </c>
      <c r="Z571" s="32">
        <v>2892.15983840112</v>
      </c>
      <c r="AA571" s="32">
        <v>378.04</v>
      </c>
      <c r="AB571" s="32">
        <v>699.9998</v>
      </c>
      <c r="AC571" s="33">
        <v>17970.19563840112</v>
      </c>
      <c r="AD571" s="32">
        <v>2875.23130214418</v>
      </c>
      <c r="AE571" s="32">
        <v>20845.4269405453</v>
      </c>
      <c r="AF571" s="32">
        <v>17970.19563840112</v>
      </c>
    </row>
    <row r="572">
      <c r="A572" s="28" t="s">
        <v>177</v>
      </c>
      <c r="B572" s="28"/>
      <c r="D572" s="28" t="str">
        <f t="shared" si="1"/>
        <v>SI</v>
      </c>
      <c r="F572" s="31" t="s">
        <v>44</v>
      </c>
      <c r="G572" s="31" t="s">
        <v>580</v>
      </c>
      <c r="H572" s="31" t="s">
        <v>577</v>
      </c>
      <c r="I572" s="31" t="s">
        <v>591</v>
      </c>
      <c r="J572" s="31" t="s">
        <v>592</v>
      </c>
      <c r="K572" s="32">
        <v>3024.4</v>
      </c>
      <c r="L572" s="32">
        <v>3024.4</v>
      </c>
      <c r="M572" s="32">
        <v>0.0</v>
      </c>
      <c r="N572" s="32">
        <v>0.0</v>
      </c>
      <c r="O572" s="32">
        <v>0.0</v>
      </c>
      <c r="P572" s="32">
        <v>0.0</v>
      </c>
      <c r="Q572" s="32">
        <v>151.22</v>
      </c>
      <c r="R572" s="32">
        <v>151.22</v>
      </c>
      <c r="S572" s="32">
        <v>3175.62</v>
      </c>
      <c r="T572" s="32">
        <v>3175.62</v>
      </c>
      <c r="U572" s="32">
        <v>508.0992</v>
      </c>
      <c r="V572" s="32">
        <v>508.0992</v>
      </c>
      <c r="W572" s="32">
        <v>3683.7192</v>
      </c>
      <c r="X572" s="32">
        <v>3683.7192</v>
      </c>
      <c r="Y572" s="32">
        <v>6048.8</v>
      </c>
      <c r="Z572" s="32">
        <v>0.0</v>
      </c>
      <c r="AA572" s="32">
        <v>0.0</v>
      </c>
      <c r="AB572" s="32">
        <v>302.44</v>
      </c>
      <c r="AC572" s="33">
        <v>6351.24</v>
      </c>
      <c r="AD572" s="32">
        <v>1016.1984</v>
      </c>
      <c r="AE572" s="32">
        <v>7367.4384</v>
      </c>
      <c r="AF572" s="32">
        <v>6351.24</v>
      </c>
    </row>
    <row r="573">
      <c r="A573" s="28" t="s">
        <v>201</v>
      </c>
      <c r="B573" s="28"/>
      <c r="D573" s="28" t="str">
        <f t="shared" si="1"/>
        <v>SI</v>
      </c>
      <c r="F573" s="31" t="s">
        <v>47</v>
      </c>
      <c r="G573" s="31" t="s">
        <v>580</v>
      </c>
      <c r="H573" s="31" t="s">
        <v>588</v>
      </c>
      <c r="I573" s="31" t="s">
        <v>593</v>
      </c>
      <c r="J573" s="31" t="s">
        <v>594</v>
      </c>
      <c r="K573" s="32">
        <v>7499.998000000001</v>
      </c>
      <c r="L573" s="32">
        <v>7499.998000000001</v>
      </c>
      <c r="M573" s="32">
        <v>1464.81737074944</v>
      </c>
      <c r="N573" s="32">
        <v>1419.04182791352</v>
      </c>
      <c r="O573" s="32">
        <v>189.02</v>
      </c>
      <c r="P573" s="32">
        <v>189.02</v>
      </c>
      <c r="Q573" s="32">
        <v>374.9999</v>
      </c>
      <c r="R573" s="32">
        <v>374.9999</v>
      </c>
      <c r="S573" s="32">
        <v>9528.835270749441</v>
      </c>
      <c r="T573" s="32">
        <v>9483.05972791352</v>
      </c>
      <c r="U573" s="32">
        <v>1524.613643319911</v>
      </c>
      <c r="V573" s="32">
        <v>1517.289556466163</v>
      </c>
      <c r="W573" s="32">
        <v>11053.44891406935</v>
      </c>
      <c r="X573" s="32">
        <v>11000.34928437968</v>
      </c>
      <c r="Y573" s="32">
        <v>14999.996</v>
      </c>
      <c r="Z573" s="32">
        <v>2883.85919866296</v>
      </c>
      <c r="AA573" s="32">
        <v>378.04</v>
      </c>
      <c r="AB573" s="32">
        <v>749.9998</v>
      </c>
      <c r="AC573" s="33">
        <v>19011.89499866296</v>
      </c>
      <c r="AD573" s="32">
        <v>3041.903199786074</v>
      </c>
      <c r="AE573" s="32">
        <v>22053.79819844903</v>
      </c>
      <c r="AF573" s="32">
        <v>19011.89499866296</v>
      </c>
    </row>
    <row r="574">
      <c r="A574" s="28" t="s">
        <v>343</v>
      </c>
      <c r="B574" s="28"/>
      <c r="D574" s="28" t="str">
        <f t="shared" si="1"/>
        <v>SI</v>
      </c>
      <c r="F574" s="31" t="s">
        <v>50</v>
      </c>
      <c r="G574" s="31" t="s">
        <v>576</v>
      </c>
      <c r="H574" s="31" t="s">
        <v>581</v>
      </c>
      <c r="I574" s="32">
        <v>0.0</v>
      </c>
      <c r="J574" s="31" t="s">
        <v>595</v>
      </c>
      <c r="K574" s="32">
        <v>7999.998000000001</v>
      </c>
      <c r="L574" s="32">
        <v>7999.998000000001</v>
      </c>
      <c r="M574" s="32">
        <v>1461.93801604352</v>
      </c>
      <c r="N574" s="32">
        <v>1416.25245304216</v>
      </c>
      <c r="O574" s="32">
        <v>189.02</v>
      </c>
      <c r="P574" s="32">
        <v>189.02</v>
      </c>
      <c r="Q574" s="32">
        <v>399.9999</v>
      </c>
      <c r="R574" s="32">
        <v>399.9999</v>
      </c>
      <c r="S574" s="32">
        <v>10050.95591604352</v>
      </c>
      <c r="T574" s="32">
        <v>10005.27035304216</v>
      </c>
      <c r="U574" s="32">
        <v>1608.152946566963</v>
      </c>
      <c r="V574" s="32">
        <v>1600.843256486746</v>
      </c>
      <c r="W574" s="32">
        <v>11659.10886261048</v>
      </c>
      <c r="X574" s="32">
        <v>11606.11360952891</v>
      </c>
      <c r="Y574" s="32">
        <v>15999.996</v>
      </c>
      <c r="Z574" s="32">
        <v>2878.19046908568</v>
      </c>
      <c r="AA574" s="32">
        <v>378.04</v>
      </c>
      <c r="AB574" s="32">
        <v>799.9998</v>
      </c>
      <c r="AC574" s="33">
        <v>20056.22626908568</v>
      </c>
      <c r="AD574" s="32">
        <v>3208.996203053709</v>
      </c>
      <c r="AE574" s="32">
        <v>23265.22247213939</v>
      </c>
      <c r="AF574" s="32">
        <v>20056.22626908568</v>
      </c>
    </row>
    <row r="575">
      <c r="A575" s="28" t="s">
        <v>236</v>
      </c>
      <c r="B575" s="28"/>
      <c r="D575" s="28" t="str">
        <f t="shared" si="1"/>
        <v>SI</v>
      </c>
      <c r="F575" s="31" t="s">
        <v>52</v>
      </c>
      <c r="G575" s="31" t="s">
        <v>576</v>
      </c>
      <c r="H575" s="31" t="s">
        <v>577</v>
      </c>
      <c r="I575" s="31"/>
      <c r="J575" s="31" t="s">
        <v>579</v>
      </c>
      <c r="K575" s="32">
        <v>4274.4</v>
      </c>
      <c r="L575" s="32">
        <v>4274.4</v>
      </c>
      <c r="M575" s="32">
        <v>0.0</v>
      </c>
      <c r="N575" s="32">
        <v>0.0</v>
      </c>
      <c r="O575" s="32">
        <v>0.0</v>
      </c>
      <c r="P575" s="32">
        <v>0.0</v>
      </c>
      <c r="Q575" s="32">
        <v>213.72</v>
      </c>
      <c r="R575" s="32">
        <v>213.72</v>
      </c>
      <c r="S575" s="32">
        <v>4488.12</v>
      </c>
      <c r="T575" s="32">
        <v>4488.12</v>
      </c>
      <c r="U575" s="32">
        <v>718.0992</v>
      </c>
      <c r="V575" s="32">
        <v>718.0992</v>
      </c>
      <c r="W575" s="32">
        <v>5206.2192</v>
      </c>
      <c r="X575" s="32">
        <v>5206.2192</v>
      </c>
      <c r="Y575" s="32">
        <v>8548.8</v>
      </c>
      <c r="Z575" s="32">
        <v>0.0</v>
      </c>
      <c r="AA575" s="32">
        <v>0.0</v>
      </c>
      <c r="AB575" s="32">
        <v>427.44</v>
      </c>
      <c r="AC575" s="33">
        <v>8976.24</v>
      </c>
      <c r="AD575" s="32">
        <v>1436.1984</v>
      </c>
      <c r="AE575" s="32">
        <v>10412.4384</v>
      </c>
      <c r="AF575" s="32">
        <v>8976.24</v>
      </c>
    </row>
    <row r="576">
      <c r="A576" s="28" t="s">
        <v>351</v>
      </c>
      <c r="B576" s="28"/>
      <c r="D576" s="28" t="str">
        <f t="shared" si="1"/>
        <v>SI</v>
      </c>
      <c r="F576" s="31" t="s">
        <v>55</v>
      </c>
      <c r="G576" s="31" t="s">
        <v>580</v>
      </c>
      <c r="H576" s="31" t="s">
        <v>596</v>
      </c>
      <c r="I576" s="31" t="s">
        <v>597</v>
      </c>
      <c r="J576" s="31" t="s">
        <v>597</v>
      </c>
      <c r="K576" s="32">
        <v>4725.598000000001</v>
      </c>
      <c r="L576" s="32">
        <v>4725.598000000001</v>
      </c>
      <c r="M576" s="32">
        <v>1461.93801604352</v>
      </c>
      <c r="N576" s="32">
        <v>1416.25245304216</v>
      </c>
      <c r="O576" s="32">
        <v>189.02</v>
      </c>
      <c r="P576" s="32">
        <v>189.02</v>
      </c>
      <c r="Q576" s="32">
        <v>236.2799000000001</v>
      </c>
      <c r="R576" s="32">
        <v>236.2799000000001</v>
      </c>
      <c r="S576" s="32">
        <v>6612.835916043521</v>
      </c>
      <c r="T576" s="32">
        <v>6567.150353042161</v>
      </c>
      <c r="U576" s="32">
        <v>1058.053746566963</v>
      </c>
      <c r="V576" s="32">
        <v>1050.744056486746</v>
      </c>
      <c r="W576" s="32">
        <v>7670.889662610484</v>
      </c>
      <c r="X576" s="32">
        <v>7617.894409528907</v>
      </c>
      <c r="Y576" s="32">
        <v>9451.196000000002</v>
      </c>
      <c r="Z576" s="32">
        <v>2878.19046908568</v>
      </c>
      <c r="AA576" s="32">
        <v>378.04</v>
      </c>
      <c r="AB576" s="32">
        <v>472.5598000000001</v>
      </c>
      <c r="AC576" s="33">
        <v>13179.98626908568</v>
      </c>
      <c r="AD576" s="32">
        <v>2108.797803053709</v>
      </c>
      <c r="AE576" s="32">
        <v>15288.78407213939</v>
      </c>
      <c r="AF576" s="32">
        <v>13179.98626908568</v>
      </c>
    </row>
    <row r="577">
      <c r="A577" s="28" t="s">
        <v>61</v>
      </c>
      <c r="B577" s="28"/>
      <c r="D577" s="28" t="str">
        <f t="shared" si="1"/>
        <v>SI</v>
      </c>
      <c r="F577" s="31" t="s">
        <v>58</v>
      </c>
      <c r="G577" s="31" t="s">
        <v>576</v>
      </c>
      <c r="H577" s="31" t="s">
        <v>577</v>
      </c>
      <c r="I577" s="31"/>
      <c r="J577" s="31" t="s">
        <v>598</v>
      </c>
      <c r="K577" s="32">
        <v>2774.4</v>
      </c>
      <c r="L577" s="32">
        <v>2774.4</v>
      </c>
      <c r="M577" s="32">
        <v>0.0</v>
      </c>
      <c r="N577" s="32">
        <v>0.0</v>
      </c>
      <c r="O577" s="32">
        <v>0.0</v>
      </c>
      <c r="P577" s="32">
        <v>0.0</v>
      </c>
      <c r="Q577" s="32">
        <v>138.72</v>
      </c>
      <c r="R577" s="32">
        <v>138.72</v>
      </c>
      <c r="S577" s="32">
        <v>2913.12</v>
      </c>
      <c r="T577" s="32">
        <v>2913.12</v>
      </c>
      <c r="U577" s="32">
        <v>466.0992</v>
      </c>
      <c r="V577" s="32">
        <v>466.0992</v>
      </c>
      <c r="W577" s="32">
        <v>3379.2192</v>
      </c>
      <c r="X577" s="32">
        <v>3379.2192</v>
      </c>
      <c r="Y577" s="32">
        <v>5548.8</v>
      </c>
      <c r="Z577" s="32">
        <v>0.0</v>
      </c>
      <c r="AA577" s="32">
        <v>0.0</v>
      </c>
      <c r="AB577" s="32">
        <v>277.44</v>
      </c>
      <c r="AC577" s="33">
        <v>5826.24</v>
      </c>
      <c r="AD577" s="32">
        <v>932.1984</v>
      </c>
      <c r="AE577" s="32">
        <v>6758.4384</v>
      </c>
      <c r="AF577" s="32">
        <v>5826.24</v>
      </c>
    </row>
    <row r="578">
      <c r="A578" s="28" t="s">
        <v>225</v>
      </c>
      <c r="B578" s="28"/>
      <c r="D578" s="28" t="str">
        <f t="shared" si="1"/>
        <v>SI</v>
      </c>
      <c r="F578" s="31" t="s">
        <v>60</v>
      </c>
      <c r="G578" s="31" t="s">
        <v>599</v>
      </c>
      <c r="H578" s="31" t="s">
        <v>577</v>
      </c>
      <c r="I578" s="31" t="s">
        <v>591</v>
      </c>
      <c r="J578" s="31" t="s">
        <v>592</v>
      </c>
      <c r="K578" s="32">
        <v>2274.4</v>
      </c>
      <c r="L578" s="32">
        <v>551.99</v>
      </c>
      <c r="M578" s="32">
        <v>0.0</v>
      </c>
      <c r="N578" s="32">
        <v>0.0</v>
      </c>
      <c r="O578" s="32">
        <v>0.0</v>
      </c>
      <c r="P578" s="32">
        <v>0.0</v>
      </c>
      <c r="Q578" s="32">
        <v>113.72</v>
      </c>
      <c r="R578" s="32">
        <v>27.5995</v>
      </c>
      <c r="S578" s="32">
        <v>2388.12</v>
      </c>
      <c r="T578" s="32">
        <v>579.5895</v>
      </c>
      <c r="U578" s="32">
        <v>382.0992</v>
      </c>
      <c r="V578" s="32">
        <v>92.73432000000001</v>
      </c>
      <c r="W578" s="32">
        <v>2770.2192</v>
      </c>
      <c r="X578" s="32">
        <v>672.3238200000001</v>
      </c>
      <c r="Y578" s="32">
        <v>2826.39</v>
      </c>
      <c r="Z578" s="32">
        <v>0.0</v>
      </c>
      <c r="AA578" s="32">
        <v>0.0</v>
      </c>
      <c r="AB578" s="32">
        <v>141.3195</v>
      </c>
      <c r="AC578" s="33">
        <v>2967.7095</v>
      </c>
      <c r="AD578" s="32">
        <v>474.83352</v>
      </c>
      <c r="AE578" s="32">
        <v>3442.54302</v>
      </c>
      <c r="AF578" s="32">
        <v>2967.7095</v>
      </c>
    </row>
    <row r="579">
      <c r="A579" s="28" t="s">
        <v>87</v>
      </c>
      <c r="B579" s="28"/>
      <c r="D579" s="28" t="str">
        <f t="shared" si="1"/>
        <v>SI</v>
      </c>
      <c r="F579" s="31" t="s">
        <v>62</v>
      </c>
      <c r="G579" s="31" t="s">
        <v>600</v>
      </c>
      <c r="H579" s="31" t="s">
        <v>577</v>
      </c>
      <c r="I579" s="31" t="s">
        <v>591</v>
      </c>
      <c r="J579" s="31" t="s">
        <v>592</v>
      </c>
      <c r="K579" s="32">
        <v>5999.998000000001</v>
      </c>
      <c r="L579" s="32">
        <v>5999.998000000001</v>
      </c>
      <c r="M579" s="32">
        <v>1484.174283695642</v>
      </c>
      <c r="N579" s="32">
        <v>1437.793837330153</v>
      </c>
      <c r="O579" s="32">
        <v>189.02</v>
      </c>
      <c r="P579" s="32">
        <v>189.02</v>
      </c>
      <c r="Q579" s="32">
        <v>299.9999</v>
      </c>
      <c r="R579" s="32">
        <v>299.9999</v>
      </c>
      <c r="S579" s="32">
        <v>7973.192183695643</v>
      </c>
      <c r="T579" s="32">
        <v>7926.811737330154</v>
      </c>
      <c r="U579" s="32">
        <v>1275.710749391303</v>
      </c>
      <c r="V579" s="32">
        <v>1268.289877972825</v>
      </c>
      <c r="W579" s="32">
        <v>9248.902933086945</v>
      </c>
      <c r="X579" s="32">
        <v>9195.101615302978</v>
      </c>
      <c r="Y579" s="32">
        <v>11999.996</v>
      </c>
      <c r="Z579" s="32">
        <v>2921.968121025795</v>
      </c>
      <c r="AA579" s="32">
        <v>378.04</v>
      </c>
      <c r="AB579" s="32">
        <v>599.9998</v>
      </c>
      <c r="AC579" s="33">
        <v>15900.0039210258</v>
      </c>
      <c r="AD579" s="32">
        <v>2544.000627364127</v>
      </c>
      <c r="AE579" s="32">
        <v>18444.00454838992</v>
      </c>
      <c r="AF579" s="32">
        <v>15900.0039210258</v>
      </c>
    </row>
    <row r="580">
      <c r="A580" s="28" t="s">
        <v>238</v>
      </c>
      <c r="B580" s="28"/>
      <c r="D580" s="28" t="str">
        <f t="shared" si="1"/>
        <v>SI</v>
      </c>
      <c r="F580" s="31" t="s">
        <v>65</v>
      </c>
      <c r="G580" s="31" t="s">
        <v>601</v>
      </c>
      <c r="H580" s="31" t="s">
        <v>577</v>
      </c>
      <c r="I580" s="31" t="s">
        <v>591</v>
      </c>
      <c r="J580" s="31" t="s">
        <v>592</v>
      </c>
      <c r="K580" s="32">
        <v>6499.998000000001</v>
      </c>
      <c r="L580" s="32">
        <v>6499.998000000001</v>
      </c>
      <c r="M580" s="32">
        <v>1489.939020956826</v>
      </c>
      <c r="N580" s="32">
        <v>1443.378426551925</v>
      </c>
      <c r="O580" s="32">
        <v>189.02</v>
      </c>
      <c r="P580" s="32">
        <v>189.02</v>
      </c>
      <c r="Q580" s="32">
        <v>324.9999</v>
      </c>
      <c r="R580" s="32">
        <v>324.9999</v>
      </c>
      <c r="S580" s="32">
        <v>8503.956920956825</v>
      </c>
      <c r="T580" s="32">
        <v>8457.396326551925</v>
      </c>
      <c r="U580" s="32">
        <v>1360.633107353092</v>
      </c>
      <c r="V580" s="32">
        <v>1353.183412248308</v>
      </c>
      <c r="W580" s="32">
        <v>9864.590028309918</v>
      </c>
      <c r="X580" s="32">
        <v>9810.579738800234</v>
      </c>
      <c r="Y580" s="32">
        <v>12999.996</v>
      </c>
      <c r="Z580" s="32">
        <v>2933.317447508751</v>
      </c>
      <c r="AA580" s="32">
        <v>378.04</v>
      </c>
      <c r="AB580" s="32">
        <v>649.9998</v>
      </c>
      <c r="AC580" s="33">
        <v>16961.35324750875</v>
      </c>
      <c r="AD580" s="32">
        <v>2713.8165196014</v>
      </c>
      <c r="AE580" s="32">
        <v>19675.16976711015</v>
      </c>
      <c r="AF580" s="32">
        <v>16961.35324750875</v>
      </c>
    </row>
    <row r="581">
      <c r="A581" s="28" t="s">
        <v>278</v>
      </c>
      <c r="B581" s="28"/>
      <c r="D581" s="28" t="str">
        <f t="shared" si="1"/>
        <v>SI</v>
      </c>
      <c r="F581" s="31" t="s">
        <v>77</v>
      </c>
      <c r="G581" s="31" t="s">
        <v>580</v>
      </c>
      <c r="H581" s="31" t="s">
        <v>602</v>
      </c>
      <c r="I581" s="31" t="s">
        <v>582</v>
      </c>
      <c r="J581" s="31" t="s">
        <v>582</v>
      </c>
      <c r="K581" s="32">
        <v>14500.0</v>
      </c>
      <c r="L581" s="32">
        <v>14500.0</v>
      </c>
      <c r="M581" s="32">
        <v>0.0</v>
      </c>
      <c r="N581" s="32">
        <v>0.0</v>
      </c>
      <c r="O581" s="32">
        <v>0.0</v>
      </c>
      <c r="P581" s="32">
        <v>0.0</v>
      </c>
      <c r="Q581" s="32">
        <v>725.0</v>
      </c>
      <c r="R581" s="32">
        <v>725.0</v>
      </c>
      <c r="S581" s="32">
        <v>15225.0</v>
      </c>
      <c r="T581" s="32">
        <v>15225.0</v>
      </c>
      <c r="U581" s="32">
        <v>2436.0</v>
      </c>
      <c r="V581" s="32">
        <v>2436.0</v>
      </c>
      <c r="W581" s="32">
        <v>17661.0</v>
      </c>
      <c r="X581" s="32">
        <v>17661.0</v>
      </c>
      <c r="Y581" s="32">
        <v>29000.0</v>
      </c>
      <c r="Z581" s="32">
        <v>0.0</v>
      </c>
      <c r="AA581" s="32">
        <v>0.0</v>
      </c>
      <c r="AB581" s="32">
        <v>1450.0</v>
      </c>
      <c r="AC581" s="33">
        <v>30450.0</v>
      </c>
      <c r="AD581" s="32">
        <v>4872.0</v>
      </c>
      <c r="AE581" s="32">
        <v>35322.0</v>
      </c>
      <c r="AF581" s="32">
        <v>30450.0</v>
      </c>
    </row>
    <row r="582">
      <c r="A582" s="28" t="s">
        <v>233</v>
      </c>
      <c r="B582" s="28"/>
      <c r="D582" s="28" t="str">
        <f t="shared" si="1"/>
        <v>SI</v>
      </c>
      <c r="F582" s="31" t="s">
        <v>80</v>
      </c>
      <c r="G582" s="31" t="s">
        <v>580</v>
      </c>
      <c r="H582" s="31" t="s">
        <v>581</v>
      </c>
      <c r="I582" s="31" t="s">
        <v>603</v>
      </c>
      <c r="J582" s="31" t="s">
        <v>603</v>
      </c>
      <c r="K582" s="32">
        <v>14500.098</v>
      </c>
      <c r="L582" s="32">
        <v>14500.098</v>
      </c>
      <c r="M582" s="32">
        <v>1463.37769339648</v>
      </c>
      <c r="N582" s="32">
        <v>1417.64714047784</v>
      </c>
      <c r="O582" s="32">
        <v>189.02</v>
      </c>
      <c r="P582" s="32">
        <v>189.02</v>
      </c>
      <c r="Q582" s="32">
        <v>725.0049000000001</v>
      </c>
      <c r="R582" s="32">
        <v>725.0049000000001</v>
      </c>
      <c r="S582" s="32">
        <v>16877.50059339648</v>
      </c>
      <c r="T582" s="32">
        <v>16831.77004047784</v>
      </c>
      <c r="U582" s="32">
        <v>2700.400094943437</v>
      </c>
      <c r="V582" s="32">
        <v>2693.083206476455</v>
      </c>
      <c r="W582" s="32">
        <v>19577.90068833992</v>
      </c>
      <c r="X582" s="32">
        <v>19524.8532469543</v>
      </c>
      <c r="Y582" s="32">
        <v>29000.196</v>
      </c>
      <c r="Z582" s="32">
        <v>2881.02483387432</v>
      </c>
      <c r="AA582" s="32">
        <v>378.04</v>
      </c>
      <c r="AB582" s="32">
        <v>1450.0098</v>
      </c>
      <c r="AC582" s="33">
        <v>33709.27063387432</v>
      </c>
      <c r="AD582" s="32">
        <v>5393.483301419892</v>
      </c>
      <c r="AE582" s="32">
        <v>39102.75393529421</v>
      </c>
      <c r="AF582" s="32">
        <v>33709.27063387432</v>
      </c>
    </row>
    <row r="583">
      <c r="A583" s="28" t="s">
        <v>144</v>
      </c>
      <c r="B583" s="28"/>
      <c r="D583" s="28" t="str">
        <f t="shared" si="1"/>
        <v>SI</v>
      </c>
      <c r="F583" s="31" t="s">
        <v>82</v>
      </c>
      <c r="G583" s="31" t="s">
        <v>580</v>
      </c>
      <c r="H583" s="31" t="s">
        <v>604</v>
      </c>
      <c r="I583" s="31" t="s">
        <v>530</v>
      </c>
      <c r="J583" s="31" t="s">
        <v>530</v>
      </c>
      <c r="K583" s="32">
        <v>5999.998000000001</v>
      </c>
      <c r="L583" s="32">
        <v>5999.998000000001</v>
      </c>
      <c r="M583" s="32">
        <v>1783.98074406592</v>
      </c>
      <c r="N583" s="32">
        <v>1728.23134581386</v>
      </c>
      <c r="O583" s="32">
        <v>189.02</v>
      </c>
      <c r="P583" s="32">
        <v>189.02</v>
      </c>
      <c r="Q583" s="32">
        <v>299.9999</v>
      </c>
      <c r="R583" s="32">
        <v>299.9999</v>
      </c>
      <c r="S583" s="32">
        <v>8272.99864406592</v>
      </c>
      <c r="T583" s="32">
        <v>8217.24924581386</v>
      </c>
      <c r="U583" s="32">
        <v>1323.679783050547</v>
      </c>
      <c r="V583" s="32">
        <v>1314.759879330218</v>
      </c>
      <c r="W583" s="32">
        <v>9596.678427116467</v>
      </c>
      <c r="X583" s="32">
        <v>9532.009125144079</v>
      </c>
      <c r="Y583" s="32">
        <v>11999.996</v>
      </c>
      <c r="Z583" s="32">
        <v>3512.212089879779</v>
      </c>
      <c r="AA583" s="32">
        <v>378.04</v>
      </c>
      <c r="AB583" s="32">
        <v>599.9998</v>
      </c>
      <c r="AC583" s="33">
        <v>16490.24788987978</v>
      </c>
      <c r="AD583" s="32">
        <v>2638.439662380765</v>
      </c>
      <c r="AE583" s="32">
        <v>19128.68755226055</v>
      </c>
      <c r="AF583" s="32">
        <v>16490.24788987978</v>
      </c>
    </row>
    <row r="584">
      <c r="A584" s="28" t="s">
        <v>131</v>
      </c>
      <c r="B584" s="28"/>
      <c r="D584" s="28" t="str">
        <f t="shared" si="1"/>
        <v>SI</v>
      </c>
      <c r="F584" s="31" t="s">
        <v>605</v>
      </c>
      <c r="G584" s="31" t="s">
        <v>576</v>
      </c>
      <c r="H584" s="31" t="s">
        <v>581</v>
      </c>
      <c r="I584" s="31"/>
      <c r="J584" s="31" t="s">
        <v>606</v>
      </c>
      <c r="K584" s="32">
        <v>8499.998</v>
      </c>
      <c r="L584" s="32">
        <v>8499.998</v>
      </c>
      <c r="M584" s="32">
        <v>1461.93801604352</v>
      </c>
      <c r="N584" s="32">
        <v>1416.25245304216</v>
      </c>
      <c r="O584" s="32">
        <v>189.02</v>
      </c>
      <c r="P584" s="32">
        <v>189.02</v>
      </c>
      <c r="Q584" s="32">
        <v>424.9999</v>
      </c>
      <c r="R584" s="32">
        <v>424.9999</v>
      </c>
      <c r="S584" s="32">
        <v>10575.95591604352</v>
      </c>
      <c r="T584" s="32">
        <v>10530.27035304216</v>
      </c>
      <c r="U584" s="32">
        <v>1692.152946566963</v>
      </c>
      <c r="V584" s="32">
        <v>1684.843256486746</v>
      </c>
      <c r="W584" s="32">
        <v>12268.10886261048</v>
      </c>
      <c r="X584" s="32">
        <v>12215.11360952891</v>
      </c>
      <c r="Y584" s="32">
        <v>16999.996</v>
      </c>
      <c r="Z584" s="32">
        <v>2878.19046908568</v>
      </c>
      <c r="AA584" s="32">
        <v>378.04</v>
      </c>
      <c r="AB584" s="32">
        <v>849.9998</v>
      </c>
      <c r="AC584" s="33">
        <v>21106.22626908568</v>
      </c>
      <c r="AD584" s="32">
        <v>3376.996203053709</v>
      </c>
      <c r="AE584" s="32">
        <v>24483.22247213939</v>
      </c>
      <c r="AF584" s="32">
        <v>21106.22626908568</v>
      </c>
    </row>
    <row r="585">
      <c r="A585" s="28" t="s">
        <v>171</v>
      </c>
      <c r="B585" s="28"/>
      <c r="D585" s="28" t="str">
        <f t="shared" si="1"/>
        <v>SI</v>
      </c>
      <c r="F585" s="31" t="s">
        <v>84</v>
      </c>
      <c r="G585" s="31" t="s">
        <v>580</v>
      </c>
      <c r="H585" s="31" t="s">
        <v>588</v>
      </c>
      <c r="I585" s="31" t="s">
        <v>593</v>
      </c>
      <c r="J585" s="31" t="s">
        <v>594</v>
      </c>
      <c r="K585" s="32">
        <v>7499.998000000001</v>
      </c>
      <c r="L585" s="32">
        <v>7499.998000000001</v>
      </c>
      <c r="M585" s="32">
        <v>1461.93801604352</v>
      </c>
      <c r="N585" s="32">
        <v>1416.25245304216</v>
      </c>
      <c r="O585" s="32">
        <v>189.02</v>
      </c>
      <c r="P585" s="32">
        <v>189.02</v>
      </c>
      <c r="Q585" s="32">
        <v>374.9999</v>
      </c>
      <c r="R585" s="32">
        <v>374.9999</v>
      </c>
      <c r="S585" s="32">
        <v>9525.95591604352</v>
      </c>
      <c r="T585" s="32">
        <v>9480.27035304216</v>
      </c>
      <c r="U585" s="32">
        <v>1524.152946566963</v>
      </c>
      <c r="V585" s="32">
        <v>1516.843256486746</v>
      </c>
      <c r="W585" s="32">
        <v>11050.10886261048</v>
      </c>
      <c r="X585" s="32">
        <v>10997.11360952891</v>
      </c>
      <c r="Y585" s="32">
        <v>14999.996</v>
      </c>
      <c r="Z585" s="32">
        <v>2878.19046908568</v>
      </c>
      <c r="AA585" s="32">
        <v>378.04</v>
      </c>
      <c r="AB585" s="32">
        <v>749.9998</v>
      </c>
      <c r="AC585" s="33">
        <v>19006.22626908568</v>
      </c>
      <c r="AD585" s="32">
        <v>3040.996203053709</v>
      </c>
      <c r="AE585" s="32">
        <v>22047.22247213939</v>
      </c>
      <c r="AF585" s="32">
        <v>19006.22626908568</v>
      </c>
    </row>
    <row r="586">
      <c r="A586" s="28" t="s">
        <v>333</v>
      </c>
      <c r="B586" s="28"/>
      <c r="D586" s="28" t="str">
        <f t="shared" si="1"/>
        <v>SI</v>
      </c>
      <c r="F586" s="31" t="s">
        <v>86</v>
      </c>
      <c r="G586" s="31" t="s">
        <v>576</v>
      </c>
      <c r="H586" s="31" t="s">
        <v>581</v>
      </c>
      <c r="I586" s="32">
        <v>0.0</v>
      </c>
      <c r="J586" s="31" t="s">
        <v>607</v>
      </c>
      <c r="K586" s="32">
        <v>5249.998000000001</v>
      </c>
      <c r="L586" s="32">
        <v>5249.998000000001</v>
      </c>
      <c r="M586" s="32">
        <v>1461.93801604352</v>
      </c>
      <c r="N586" s="32">
        <v>1416.25245304216</v>
      </c>
      <c r="O586" s="32">
        <v>189.02</v>
      </c>
      <c r="P586" s="32">
        <v>189.02</v>
      </c>
      <c r="Q586" s="32">
        <v>262.4999</v>
      </c>
      <c r="R586" s="32">
        <v>262.4999</v>
      </c>
      <c r="S586" s="32">
        <v>7163.45591604352</v>
      </c>
      <c r="T586" s="32">
        <v>7117.77035304216</v>
      </c>
      <c r="U586" s="32">
        <v>1146.152946566963</v>
      </c>
      <c r="V586" s="32">
        <v>1138.843256486746</v>
      </c>
      <c r="W586" s="32">
        <v>8309.608862610483</v>
      </c>
      <c r="X586" s="32">
        <v>8256.613609528906</v>
      </c>
      <c r="Y586" s="32">
        <v>10499.996</v>
      </c>
      <c r="Z586" s="32">
        <v>2878.19046908568</v>
      </c>
      <c r="AA586" s="32">
        <v>378.04</v>
      </c>
      <c r="AB586" s="32">
        <v>524.9998</v>
      </c>
      <c r="AC586" s="33">
        <v>14281.22626908568</v>
      </c>
      <c r="AD586" s="32">
        <v>2284.996203053709</v>
      </c>
      <c r="AE586" s="32">
        <v>16566.22247213939</v>
      </c>
      <c r="AF586" s="32">
        <v>14281.22626908568</v>
      </c>
    </row>
    <row r="587">
      <c r="A587" s="28" t="s">
        <v>252</v>
      </c>
      <c r="B587" s="28"/>
      <c r="D587" s="28" t="str">
        <f t="shared" si="1"/>
        <v>SI</v>
      </c>
      <c r="F587" s="31" t="s">
        <v>88</v>
      </c>
      <c r="G587" s="31" t="s">
        <v>580</v>
      </c>
      <c r="H587" s="31" t="s">
        <v>588</v>
      </c>
      <c r="I587" s="31"/>
      <c r="J587" s="31" t="s">
        <v>608</v>
      </c>
      <c r="K587" s="32">
        <v>5999.998000000001</v>
      </c>
      <c r="L587" s="32">
        <v>5999.998000000001</v>
      </c>
      <c r="M587" s="32">
        <v>1461.93801604352</v>
      </c>
      <c r="N587" s="32">
        <v>1416.25245304216</v>
      </c>
      <c r="O587" s="32">
        <v>189.02</v>
      </c>
      <c r="P587" s="32">
        <v>189.02</v>
      </c>
      <c r="Q587" s="32">
        <v>299.9999</v>
      </c>
      <c r="R587" s="32">
        <v>299.9999</v>
      </c>
      <c r="S587" s="32">
        <v>7950.95591604352</v>
      </c>
      <c r="T587" s="32">
        <v>7905.27035304216</v>
      </c>
      <c r="U587" s="32">
        <v>1272.152946566963</v>
      </c>
      <c r="V587" s="32">
        <v>1264.843256486746</v>
      </c>
      <c r="W587" s="32">
        <v>9223.108862610483</v>
      </c>
      <c r="X587" s="32">
        <v>9170.113609528906</v>
      </c>
      <c r="Y587" s="32">
        <v>11999.996</v>
      </c>
      <c r="Z587" s="32">
        <v>2878.19046908568</v>
      </c>
      <c r="AA587" s="32">
        <v>378.04</v>
      </c>
      <c r="AB587" s="32">
        <v>599.9998</v>
      </c>
      <c r="AC587" s="33">
        <v>15856.22626908568</v>
      </c>
      <c r="AD587" s="32">
        <v>2536.996203053709</v>
      </c>
      <c r="AE587" s="32">
        <v>18393.22247213939</v>
      </c>
      <c r="AF587" s="32">
        <v>15856.22626908568</v>
      </c>
    </row>
    <row r="588">
      <c r="A588" s="28" t="s">
        <v>268</v>
      </c>
      <c r="B588" s="28"/>
      <c r="D588" s="28" t="str">
        <f t="shared" si="1"/>
        <v>SI</v>
      </c>
      <c r="F588" s="31" t="s">
        <v>609</v>
      </c>
      <c r="G588" s="31" t="s">
        <v>576</v>
      </c>
      <c r="H588" s="31" t="s">
        <v>577</v>
      </c>
      <c r="I588" s="31"/>
      <c r="J588" s="31" t="s">
        <v>610</v>
      </c>
      <c r="K588" s="31"/>
      <c r="L588" s="32">
        <v>1774.4</v>
      </c>
      <c r="M588" s="31"/>
      <c r="N588" s="32">
        <v>0.0</v>
      </c>
      <c r="O588" s="31"/>
      <c r="P588" s="32">
        <v>0.0</v>
      </c>
      <c r="Q588" s="31"/>
      <c r="R588" s="32">
        <v>88.72000000000001</v>
      </c>
      <c r="S588" s="31"/>
      <c r="T588" s="32">
        <v>1863.12</v>
      </c>
      <c r="U588" s="31"/>
      <c r="V588" s="32">
        <v>298.0992000000001</v>
      </c>
      <c r="W588" s="31"/>
      <c r="X588" s="32">
        <v>2161.2192</v>
      </c>
      <c r="Y588" s="32">
        <v>1774.4</v>
      </c>
      <c r="Z588" s="32">
        <v>0.0</v>
      </c>
      <c r="AA588" s="32">
        <v>0.0</v>
      </c>
      <c r="AB588" s="32">
        <v>88.72000000000001</v>
      </c>
      <c r="AC588" s="33">
        <v>1863.12</v>
      </c>
      <c r="AD588" s="32">
        <v>298.0992000000001</v>
      </c>
      <c r="AE588" s="32">
        <v>2161.2192</v>
      </c>
      <c r="AF588" s="32">
        <v>1863.12</v>
      </c>
    </row>
    <row r="589">
      <c r="A589" s="28" t="s">
        <v>308</v>
      </c>
      <c r="B589" s="28"/>
      <c r="D589" s="28" t="str">
        <f t="shared" si="1"/>
        <v>SI</v>
      </c>
      <c r="F589" s="31" t="s">
        <v>611</v>
      </c>
      <c r="G589" s="31" t="s">
        <v>580</v>
      </c>
      <c r="H589" s="31" t="s">
        <v>604</v>
      </c>
      <c r="I589" s="31"/>
      <c r="J589" s="31" t="s">
        <v>530</v>
      </c>
      <c r="K589" s="32">
        <v>6499.998000000001</v>
      </c>
      <c r="L589" s="32">
        <v>6499.998000000001</v>
      </c>
      <c r="M589" s="32">
        <v>1785.85009817408</v>
      </c>
      <c r="N589" s="32">
        <v>1730.04228260614</v>
      </c>
      <c r="O589" s="32">
        <v>189.02</v>
      </c>
      <c r="P589" s="32">
        <v>189.02</v>
      </c>
      <c r="Q589" s="32">
        <v>324.9999</v>
      </c>
      <c r="R589" s="32">
        <v>324.9999</v>
      </c>
      <c r="S589" s="32">
        <v>8799.86799817408</v>
      </c>
      <c r="T589" s="32">
        <v>8744.060182606141</v>
      </c>
      <c r="U589" s="32">
        <v>1407.978879707853</v>
      </c>
      <c r="V589" s="32">
        <v>1399.049629216983</v>
      </c>
      <c r="W589" s="32">
        <v>10207.84687788193</v>
      </c>
      <c r="X589" s="32">
        <v>10143.10981182312</v>
      </c>
      <c r="Y589" s="32">
        <v>12999.996</v>
      </c>
      <c r="Z589" s="32">
        <v>3515.892380780221</v>
      </c>
      <c r="AA589" s="32">
        <v>378.04</v>
      </c>
      <c r="AB589" s="32">
        <v>649.9998</v>
      </c>
      <c r="AC589" s="33">
        <v>17543.92818078022</v>
      </c>
      <c r="AD589" s="32">
        <v>2807.028508924835</v>
      </c>
      <c r="AE589" s="32">
        <v>20350.95668970506</v>
      </c>
      <c r="AF589" s="32">
        <v>17543.92818078022</v>
      </c>
    </row>
    <row r="590">
      <c r="A590" s="28" t="s">
        <v>183</v>
      </c>
      <c r="B590" s="28"/>
      <c r="D590" s="28" t="str">
        <f t="shared" si="1"/>
        <v>SI</v>
      </c>
      <c r="F590" s="31" t="s">
        <v>97</v>
      </c>
      <c r="G590" s="31" t="s">
        <v>580</v>
      </c>
      <c r="H590" s="31" t="s">
        <v>584</v>
      </c>
      <c r="I590" s="31" t="s">
        <v>589</v>
      </c>
      <c r="J590" s="31" t="s">
        <v>590</v>
      </c>
      <c r="K590" s="32">
        <v>3022.1</v>
      </c>
      <c r="L590" s="32">
        <v>5345.124400000001</v>
      </c>
      <c r="M590" s="32">
        <v>1466.15421400576</v>
      </c>
      <c r="N590" s="32">
        <v>1420.33689481808</v>
      </c>
      <c r="O590" s="32">
        <v>0.0</v>
      </c>
      <c r="P590" s="32">
        <v>88.21</v>
      </c>
      <c r="Q590" s="32">
        <v>151.105</v>
      </c>
      <c r="R590" s="32">
        <v>267.25622</v>
      </c>
      <c r="S590" s="32">
        <v>4639.35921400576</v>
      </c>
      <c r="T590" s="32">
        <v>7120.92751481808</v>
      </c>
      <c r="U590" s="32">
        <v>742.2974742409216</v>
      </c>
      <c r="V590" s="32">
        <v>1139.348402370893</v>
      </c>
      <c r="W590" s="32">
        <v>5381.656688246681</v>
      </c>
      <c r="X590" s="32">
        <v>8260.275917188974</v>
      </c>
      <c r="Y590" s="32">
        <v>8367.224400000001</v>
      </c>
      <c r="Z590" s="32">
        <v>2886.49110882384</v>
      </c>
      <c r="AA590" s="32">
        <v>88.21</v>
      </c>
      <c r="AB590" s="32">
        <v>418.36122</v>
      </c>
      <c r="AC590" s="33">
        <v>11760.28672882384</v>
      </c>
      <c r="AD590" s="32">
        <v>1881.645876611814</v>
      </c>
      <c r="AE590" s="32">
        <v>13641.93260543566</v>
      </c>
      <c r="AF590" s="32">
        <v>11760.28672882384</v>
      </c>
    </row>
    <row r="591">
      <c r="A591" s="28" t="s">
        <v>43</v>
      </c>
      <c r="B591" s="28"/>
      <c r="D591" s="28" t="str">
        <f t="shared" si="1"/>
        <v>SI</v>
      </c>
      <c r="F591" s="31" t="s">
        <v>100</v>
      </c>
      <c r="G591" s="31" t="s">
        <v>580</v>
      </c>
      <c r="H591" s="31" t="s">
        <v>584</v>
      </c>
      <c r="I591" s="31"/>
      <c r="J591" s="31" t="s">
        <v>612</v>
      </c>
      <c r="K591" s="32">
        <v>6499.998</v>
      </c>
      <c r="L591" s="32">
        <v>6499.998</v>
      </c>
      <c r="M591" s="32">
        <v>1461.93801604352</v>
      </c>
      <c r="N591" s="32">
        <v>1416.25245304216</v>
      </c>
      <c r="O591" s="32">
        <v>189.02</v>
      </c>
      <c r="P591" s="32">
        <v>189.02</v>
      </c>
      <c r="Q591" s="32">
        <v>324.9999</v>
      </c>
      <c r="R591" s="32">
        <v>324.9999</v>
      </c>
      <c r="S591" s="32">
        <v>8475.95591604352</v>
      </c>
      <c r="T591" s="32">
        <v>8430.27035304216</v>
      </c>
      <c r="U591" s="32">
        <v>1356.152946566963</v>
      </c>
      <c r="V591" s="32">
        <v>1348.843256486746</v>
      </c>
      <c r="W591" s="32">
        <v>9832.108862610483</v>
      </c>
      <c r="X591" s="32">
        <v>9779.113609528906</v>
      </c>
      <c r="Y591" s="32">
        <v>12999.996</v>
      </c>
      <c r="Z591" s="32">
        <v>2878.19046908568</v>
      </c>
      <c r="AA591" s="32">
        <v>378.04</v>
      </c>
      <c r="AB591" s="32">
        <v>649.9998</v>
      </c>
      <c r="AC591" s="33">
        <v>16906.22626908568</v>
      </c>
      <c r="AD591" s="32">
        <v>2704.996203053709</v>
      </c>
      <c r="AE591" s="32">
        <v>19611.22247213939</v>
      </c>
      <c r="AF591" s="32">
        <v>16906.22626908568</v>
      </c>
    </row>
    <row r="592">
      <c r="A592" s="28" t="s">
        <v>318</v>
      </c>
      <c r="B592" s="28"/>
      <c r="D592" s="28" t="str">
        <f t="shared" si="1"/>
        <v>SI</v>
      </c>
      <c r="F592" s="31" t="s">
        <v>102</v>
      </c>
      <c r="G592" s="31" t="s">
        <v>580</v>
      </c>
      <c r="H592" s="31" t="s">
        <v>581</v>
      </c>
      <c r="I592" s="31" t="s">
        <v>603</v>
      </c>
      <c r="J592" s="31" t="s">
        <v>613</v>
      </c>
      <c r="K592" s="32">
        <v>7499.998000000001</v>
      </c>
      <c r="L592" s="32">
        <v>7499.998000000001</v>
      </c>
      <c r="M592" s="32">
        <v>1463.37769339648</v>
      </c>
      <c r="N592" s="32">
        <v>1417.64714047784</v>
      </c>
      <c r="O592" s="32">
        <v>189.02</v>
      </c>
      <c r="P592" s="32">
        <v>189.02</v>
      </c>
      <c r="Q592" s="32">
        <v>374.9999</v>
      </c>
      <c r="R592" s="32">
        <v>374.9999</v>
      </c>
      <c r="S592" s="32">
        <v>9527.39559339648</v>
      </c>
      <c r="T592" s="32">
        <v>9481.665040477841</v>
      </c>
      <c r="U592" s="32">
        <v>1524.383294943437</v>
      </c>
      <c r="V592" s="32">
        <v>1517.066406476455</v>
      </c>
      <c r="W592" s="32">
        <v>11051.77888833992</v>
      </c>
      <c r="X592" s="32">
        <v>10998.7314469543</v>
      </c>
      <c r="Y592" s="32">
        <v>14999.996</v>
      </c>
      <c r="Z592" s="32">
        <v>2881.02483387432</v>
      </c>
      <c r="AA592" s="32">
        <v>378.04</v>
      </c>
      <c r="AB592" s="32">
        <v>749.9998</v>
      </c>
      <c r="AC592" s="33">
        <v>19009.06063387432</v>
      </c>
      <c r="AD592" s="32">
        <v>3041.449701419891</v>
      </c>
      <c r="AE592" s="32">
        <v>22050.51033529421</v>
      </c>
      <c r="AF592" s="32">
        <v>19009.06063387432</v>
      </c>
    </row>
    <row r="593">
      <c r="A593" s="28" t="s">
        <v>156</v>
      </c>
      <c r="B593" s="28"/>
      <c r="D593" s="28" t="str">
        <f t="shared" si="1"/>
        <v>SI</v>
      </c>
      <c r="F593" s="31" t="s">
        <v>107</v>
      </c>
      <c r="G593" s="31" t="s">
        <v>580</v>
      </c>
      <c r="H593" s="31" t="s">
        <v>588</v>
      </c>
      <c r="I593" s="31" t="s">
        <v>589</v>
      </c>
      <c r="J593" s="31" t="s">
        <v>614</v>
      </c>
      <c r="K593" s="32">
        <v>7999.998000000001</v>
      </c>
      <c r="L593" s="32">
        <v>7999.998000000001</v>
      </c>
      <c r="M593" s="32">
        <v>1464.81737074944</v>
      </c>
      <c r="N593" s="32">
        <v>1419.04182791352</v>
      </c>
      <c r="O593" s="32">
        <v>189.02</v>
      </c>
      <c r="P593" s="32">
        <v>189.02</v>
      </c>
      <c r="Q593" s="32">
        <v>399.9999</v>
      </c>
      <c r="R593" s="32">
        <v>399.9999</v>
      </c>
      <c r="S593" s="32">
        <v>10053.83527074944</v>
      </c>
      <c r="T593" s="32">
        <v>10008.05972791352</v>
      </c>
      <c r="U593" s="32">
        <v>1608.613643319911</v>
      </c>
      <c r="V593" s="32">
        <v>1601.289556466163</v>
      </c>
      <c r="W593" s="32">
        <v>11662.44891406935</v>
      </c>
      <c r="X593" s="32">
        <v>11609.34928437968</v>
      </c>
      <c r="Y593" s="32">
        <v>15999.996</v>
      </c>
      <c r="Z593" s="32">
        <v>2883.85919866296</v>
      </c>
      <c r="AA593" s="32">
        <v>378.04</v>
      </c>
      <c r="AB593" s="32">
        <v>799.9998</v>
      </c>
      <c r="AC593" s="33">
        <v>20061.89499866296</v>
      </c>
      <c r="AD593" s="32">
        <v>3209.903199786074</v>
      </c>
      <c r="AE593" s="32">
        <v>23271.79819844903</v>
      </c>
      <c r="AF593" s="32">
        <v>20061.89499866296</v>
      </c>
    </row>
    <row r="594">
      <c r="A594" s="28" t="s">
        <v>123</v>
      </c>
      <c r="B594" s="28"/>
      <c r="D594" s="28" t="str">
        <f t="shared" si="1"/>
        <v>SI</v>
      </c>
      <c r="F594" s="31" t="s">
        <v>109</v>
      </c>
      <c r="G594" s="31" t="s">
        <v>580</v>
      </c>
      <c r="H594" s="31" t="s">
        <v>588</v>
      </c>
      <c r="I594" s="31"/>
      <c r="J594" s="31" t="s">
        <v>608</v>
      </c>
      <c r="K594" s="32">
        <v>6499.998000000001</v>
      </c>
      <c r="L594" s="32">
        <v>6499.998000000001</v>
      </c>
      <c r="M594" s="32">
        <v>1461.93801604352</v>
      </c>
      <c r="N594" s="32">
        <v>1416.25245304216</v>
      </c>
      <c r="O594" s="32">
        <v>189.02</v>
      </c>
      <c r="P594" s="32">
        <v>189.02</v>
      </c>
      <c r="Q594" s="32">
        <v>324.9999</v>
      </c>
      <c r="R594" s="32">
        <v>324.9999</v>
      </c>
      <c r="S594" s="32">
        <v>8475.95591604352</v>
      </c>
      <c r="T594" s="32">
        <v>8430.27035304216</v>
      </c>
      <c r="U594" s="32">
        <v>1356.152946566963</v>
      </c>
      <c r="V594" s="32">
        <v>1348.843256486746</v>
      </c>
      <c r="W594" s="32">
        <v>9832.108862610483</v>
      </c>
      <c r="X594" s="32">
        <v>9779.113609528906</v>
      </c>
      <c r="Y594" s="32">
        <v>12999.996</v>
      </c>
      <c r="Z594" s="32">
        <v>2878.19046908568</v>
      </c>
      <c r="AA594" s="32">
        <v>378.04</v>
      </c>
      <c r="AB594" s="32">
        <v>649.9998</v>
      </c>
      <c r="AC594" s="33">
        <v>16906.22626908568</v>
      </c>
      <c r="AD594" s="32">
        <v>2704.996203053709</v>
      </c>
      <c r="AE594" s="32">
        <v>19611.22247213939</v>
      </c>
      <c r="AF594" s="32">
        <v>16906.22626908568</v>
      </c>
    </row>
    <row r="595">
      <c r="A595" s="28" t="s">
        <v>173</v>
      </c>
      <c r="B595" s="28"/>
      <c r="D595" s="28" t="str">
        <f t="shared" si="1"/>
        <v>SI</v>
      </c>
      <c r="F595" s="31" t="s">
        <v>111</v>
      </c>
      <c r="G595" s="31" t="s">
        <v>580</v>
      </c>
      <c r="H595" s="31" t="s">
        <v>588</v>
      </c>
      <c r="I595" s="31" t="s">
        <v>589</v>
      </c>
      <c r="J595" s="31" t="s">
        <v>590</v>
      </c>
      <c r="K595" s="32">
        <v>5999.998000000001</v>
      </c>
      <c r="L595" s="32">
        <v>5999.998000000001</v>
      </c>
      <c r="M595" s="32">
        <v>1463.37769339648</v>
      </c>
      <c r="N595" s="32">
        <v>1417.64714047784</v>
      </c>
      <c r="O595" s="32">
        <v>189.02</v>
      </c>
      <c r="P595" s="32">
        <v>189.02</v>
      </c>
      <c r="Q595" s="32">
        <v>299.9999</v>
      </c>
      <c r="R595" s="32">
        <v>299.9999</v>
      </c>
      <c r="S595" s="32">
        <v>7952.395593396481</v>
      </c>
      <c r="T595" s="32">
        <v>7906.665040477841</v>
      </c>
      <c r="U595" s="32">
        <v>1272.383294943437</v>
      </c>
      <c r="V595" s="32">
        <v>1265.066406476455</v>
      </c>
      <c r="W595" s="32">
        <v>9224.778888339917</v>
      </c>
      <c r="X595" s="32">
        <v>9171.731446954296</v>
      </c>
      <c r="Y595" s="32">
        <v>11999.996</v>
      </c>
      <c r="Z595" s="32">
        <v>2881.02483387432</v>
      </c>
      <c r="AA595" s="32">
        <v>378.04</v>
      </c>
      <c r="AB595" s="32">
        <v>599.9998</v>
      </c>
      <c r="AC595" s="33">
        <v>15859.06063387432</v>
      </c>
      <c r="AD595" s="32">
        <v>2537.449701419891</v>
      </c>
      <c r="AE595" s="32">
        <v>18396.51033529421</v>
      </c>
      <c r="AF595" s="32">
        <v>15859.06063387432</v>
      </c>
    </row>
    <row r="596">
      <c r="A596" s="28" t="s">
        <v>281</v>
      </c>
      <c r="B596" s="28"/>
      <c r="D596" s="28" t="str">
        <f t="shared" si="1"/>
        <v>SI</v>
      </c>
      <c r="F596" s="31" t="s">
        <v>113</v>
      </c>
      <c r="G596" s="31" t="s">
        <v>580</v>
      </c>
      <c r="H596" s="31" t="s">
        <v>584</v>
      </c>
      <c r="I596" s="31" t="s">
        <v>586</v>
      </c>
      <c r="J596" s="31" t="s">
        <v>586</v>
      </c>
      <c r="K596" s="32">
        <v>5274.4</v>
      </c>
      <c r="L596" s="32">
        <v>5274.4</v>
      </c>
      <c r="M596" s="32">
        <v>0.0</v>
      </c>
      <c r="N596" s="32">
        <v>0.0</v>
      </c>
      <c r="O596" s="32">
        <v>0.0</v>
      </c>
      <c r="P596" s="32">
        <v>0.0</v>
      </c>
      <c r="Q596" s="32">
        <v>263.72</v>
      </c>
      <c r="R596" s="32">
        <v>263.72</v>
      </c>
      <c r="S596" s="32">
        <v>5538.12</v>
      </c>
      <c r="T596" s="32">
        <v>5538.12</v>
      </c>
      <c r="U596" s="32">
        <v>886.0992</v>
      </c>
      <c r="V596" s="32">
        <v>886.0992</v>
      </c>
      <c r="W596" s="32">
        <v>6424.2192</v>
      </c>
      <c r="X596" s="32">
        <v>6424.2192</v>
      </c>
      <c r="Y596" s="32">
        <v>10548.8</v>
      </c>
      <c r="Z596" s="32">
        <v>0.0</v>
      </c>
      <c r="AA596" s="32">
        <v>0.0</v>
      </c>
      <c r="AB596" s="32">
        <v>527.4399999999999</v>
      </c>
      <c r="AC596" s="33">
        <v>11076.24</v>
      </c>
      <c r="AD596" s="32">
        <v>1772.1984</v>
      </c>
      <c r="AE596" s="32">
        <v>12848.4384</v>
      </c>
      <c r="AF596" s="32">
        <v>11076.24</v>
      </c>
    </row>
    <row r="597">
      <c r="A597" s="28" t="s">
        <v>37</v>
      </c>
      <c r="B597" s="28"/>
      <c r="D597" s="28" t="str">
        <f t="shared" si="1"/>
        <v>SI</v>
      </c>
      <c r="F597" s="31" t="s">
        <v>117</v>
      </c>
      <c r="G597" s="31" t="s">
        <v>580</v>
      </c>
      <c r="H597" s="31" t="s">
        <v>602</v>
      </c>
      <c r="I597" s="31" t="s">
        <v>603</v>
      </c>
      <c r="J597" s="31" t="s">
        <v>603</v>
      </c>
      <c r="K597" s="32">
        <v>10250.0</v>
      </c>
      <c r="L597" s="32">
        <v>11750.0</v>
      </c>
      <c r="M597" s="32">
        <v>0.0</v>
      </c>
      <c r="N597" s="32">
        <v>0.0</v>
      </c>
      <c r="O597" s="32">
        <v>0.0</v>
      </c>
      <c r="P597" s="32">
        <v>0.0</v>
      </c>
      <c r="Q597" s="32">
        <v>512.5</v>
      </c>
      <c r="R597" s="32">
        <v>587.5</v>
      </c>
      <c r="S597" s="32">
        <v>10762.5</v>
      </c>
      <c r="T597" s="32">
        <v>12337.5</v>
      </c>
      <c r="U597" s="32">
        <v>1722.0</v>
      </c>
      <c r="V597" s="32">
        <v>1974.0</v>
      </c>
      <c r="W597" s="32">
        <v>12484.5</v>
      </c>
      <c r="X597" s="32">
        <v>14311.5</v>
      </c>
      <c r="Y597" s="32">
        <v>22000.0</v>
      </c>
      <c r="Z597" s="32">
        <v>0.0</v>
      </c>
      <c r="AA597" s="32">
        <v>0.0</v>
      </c>
      <c r="AB597" s="32">
        <v>1100.0</v>
      </c>
      <c r="AC597" s="33">
        <v>23100.0</v>
      </c>
      <c r="AD597" s="32">
        <v>3696.0</v>
      </c>
      <c r="AE597" s="32">
        <v>26796.0</v>
      </c>
      <c r="AF597" s="32">
        <v>23100.0</v>
      </c>
    </row>
    <row r="598">
      <c r="A598" s="28" t="s">
        <v>231</v>
      </c>
      <c r="B598" s="28"/>
      <c r="D598" s="28" t="str">
        <f t="shared" si="1"/>
        <v>SI</v>
      </c>
      <c r="F598" s="31" t="s">
        <v>120</v>
      </c>
      <c r="G598" s="31" t="s">
        <v>576</v>
      </c>
      <c r="H598" s="31" t="s">
        <v>577</v>
      </c>
      <c r="I598" s="31"/>
      <c r="J598" s="31" t="s">
        <v>578</v>
      </c>
      <c r="K598" s="32">
        <v>1594.45</v>
      </c>
      <c r="L598" s="32">
        <v>2274.4</v>
      </c>
      <c r="M598" s="32">
        <v>0.0</v>
      </c>
      <c r="N598" s="32">
        <v>0.0</v>
      </c>
      <c r="O598" s="32">
        <v>0.0</v>
      </c>
      <c r="P598" s="32">
        <v>0.0</v>
      </c>
      <c r="Q598" s="32">
        <v>79.72250000000001</v>
      </c>
      <c r="R598" s="32">
        <v>113.72</v>
      </c>
      <c r="S598" s="32">
        <v>1674.1725</v>
      </c>
      <c r="T598" s="32">
        <v>2388.12</v>
      </c>
      <c r="U598" s="32">
        <v>267.8676</v>
      </c>
      <c r="V598" s="32">
        <v>382.0992</v>
      </c>
      <c r="W598" s="32">
        <v>1942.0401</v>
      </c>
      <c r="X598" s="32">
        <v>2770.2192</v>
      </c>
      <c r="Y598" s="32">
        <v>3868.85</v>
      </c>
      <c r="Z598" s="32">
        <v>0.0</v>
      </c>
      <c r="AA598" s="32">
        <v>0.0</v>
      </c>
      <c r="AB598" s="32">
        <v>193.4425</v>
      </c>
      <c r="AC598" s="33">
        <v>4062.2925</v>
      </c>
      <c r="AD598" s="32">
        <v>649.9668</v>
      </c>
      <c r="AE598" s="32">
        <v>4712.2593</v>
      </c>
      <c r="AF598" s="32">
        <v>4062.2925</v>
      </c>
    </row>
    <row r="599">
      <c r="A599" s="28" t="s">
        <v>74</v>
      </c>
      <c r="B599" s="28"/>
      <c r="D599" s="28" t="str">
        <f t="shared" si="1"/>
        <v>SI</v>
      </c>
      <c r="F599" s="31" t="s">
        <v>122</v>
      </c>
      <c r="G599" s="31" t="s">
        <v>580</v>
      </c>
      <c r="H599" s="31" t="s">
        <v>588</v>
      </c>
      <c r="I599" s="31" t="s">
        <v>593</v>
      </c>
      <c r="J599" s="31" t="s">
        <v>594</v>
      </c>
      <c r="K599" s="32">
        <v>6999.998000000001</v>
      </c>
      <c r="L599" s="32">
        <v>6999.998000000001</v>
      </c>
      <c r="M599" s="32">
        <v>1467.59389135872</v>
      </c>
      <c r="N599" s="32">
        <v>1421.73158225376</v>
      </c>
      <c r="O599" s="32">
        <v>189.02</v>
      </c>
      <c r="P599" s="32">
        <v>189.02</v>
      </c>
      <c r="Q599" s="32">
        <v>349.9999</v>
      </c>
      <c r="R599" s="32">
        <v>349.9999</v>
      </c>
      <c r="S599" s="32">
        <v>9006.61179135872</v>
      </c>
      <c r="T599" s="32">
        <v>8960.749482253761</v>
      </c>
      <c r="U599" s="32">
        <v>1441.057886617395</v>
      </c>
      <c r="V599" s="32">
        <v>1433.719917160602</v>
      </c>
      <c r="W599" s="32">
        <v>10447.66967797612</v>
      </c>
      <c r="X599" s="32">
        <v>10394.46939941436</v>
      </c>
      <c r="Y599" s="32">
        <v>13999.996</v>
      </c>
      <c r="Z599" s="32">
        <v>2889.32547361248</v>
      </c>
      <c r="AA599" s="32">
        <v>378.04</v>
      </c>
      <c r="AB599" s="32">
        <v>699.9998</v>
      </c>
      <c r="AC599" s="33">
        <v>17967.36127361248</v>
      </c>
      <c r="AD599" s="32">
        <v>2874.777803777997</v>
      </c>
      <c r="AE599" s="32">
        <v>20842.13907739048</v>
      </c>
      <c r="AF599" s="32">
        <v>17967.36127361248</v>
      </c>
    </row>
    <row r="600">
      <c r="A600" s="28" t="s">
        <v>191</v>
      </c>
      <c r="B600" s="28"/>
      <c r="D600" s="28" t="str">
        <f t="shared" si="1"/>
        <v>SI</v>
      </c>
      <c r="F600" s="31" t="s">
        <v>126</v>
      </c>
      <c r="G600" s="31" t="s">
        <v>580</v>
      </c>
      <c r="H600" s="31" t="s">
        <v>588</v>
      </c>
      <c r="I600" s="31"/>
      <c r="J600" s="31" t="s">
        <v>615</v>
      </c>
      <c r="K600" s="32">
        <v>5999.998000000001</v>
      </c>
      <c r="L600" s="32">
        <v>5999.998000000001</v>
      </c>
      <c r="M600" s="32">
        <v>1461.93801604352</v>
      </c>
      <c r="N600" s="32">
        <v>1416.25245304216</v>
      </c>
      <c r="O600" s="32">
        <v>189.02</v>
      </c>
      <c r="P600" s="32">
        <v>189.02</v>
      </c>
      <c r="Q600" s="32">
        <v>299.9999</v>
      </c>
      <c r="R600" s="32">
        <v>299.9999</v>
      </c>
      <c r="S600" s="32">
        <v>7950.95591604352</v>
      </c>
      <c r="T600" s="32">
        <v>7905.27035304216</v>
      </c>
      <c r="U600" s="32">
        <v>1272.152946566963</v>
      </c>
      <c r="V600" s="32">
        <v>1264.843256486746</v>
      </c>
      <c r="W600" s="32">
        <v>9223.108862610483</v>
      </c>
      <c r="X600" s="32">
        <v>9170.113609528906</v>
      </c>
      <c r="Y600" s="32">
        <v>11999.996</v>
      </c>
      <c r="Z600" s="32">
        <v>2878.19046908568</v>
      </c>
      <c r="AA600" s="32">
        <v>378.04</v>
      </c>
      <c r="AB600" s="32">
        <v>599.9998</v>
      </c>
      <c r="AC600" s="33">
        <v>15856.22626908568</v>
      </c>
      <c r="AD600" s="32">
        <v>2536.996203053709</v>
      </c>
      <c r="AE600" s="32">
        <v>18393.22247213939</v>
      </c>
      <c r="AF600" s="32">
        <v>15856.22626908568</v>
      </c>
    </row>
    <row r="601">
      <c r="A601" s="28" t="s">
        <v>129</v>
      </c>
      <c r="B601" s="28"/>
      <c r="D601" s="28" t="str">
        <f t="shared" si="1"/>
        <v>SI</v>
      </c>
      <c r="F601" s="31" t="s">
        <v>128</v>
      </c>
      <c r="G601" s="31" t="s">
        <v>580</v>
      </c>
      <c r="H601" s="31" t="s">
        <v>577</v>
      </c>
      <c r="I601" s="31" t="s">
        <v>591</v>
      </c>
      <c r="J601" s="31" t="s">
        <v>592</v>
      </c>
      <c r="K601" s="32">
        <v>4274.4</v>
      </c>
      <c r="L601" s="32">
        <v>4274.4</v>
      </c>
      <c r="M601" s="32">
        <v>0.0</v>
      </c>
      <c r="N601" s="32">
        <v>0.0</v>
      </c>
      <c r="O601" s="32">
        <v>0.0</v>
      </c>
      <c r="P601" s="32">
        <v>0.0</v>
      </c>
      <c r="Q601" s="32">
        <v>213.72</v>
      </c>
      <c r="R601" s="32">
        <v>213.72</v>
      </c>
      <c r="S601" s="32">
        <v>4488.12</v>
      </c>
      <c r="T601" s="32">
        <v>4488.12</v>
      </c>
      <c r="U601" s="32">
        <v>718.0992</v>
      </c>
      <c r="V601" s="32">
        <v>718.0992</v>
      </c>
      <c r="W601" s="32">
        <v>5206.2192</v>
      </c>
      <c r="X601" s="32">
        <v>5206.2192</v>
      </c>
      <c r="Y601" s="32">
        <v>8548.8</v>
      </c>
      <c r="Z601" s="32">
        <v>0.0</v>
      </c>
      <c r="AA601" s="32">
        <v>0.0</v>
      </c>
      <c r="AB601" s="32">
        <v>427.44</v>
      </c>
      <c r="AC601" s="33">
        <v>8976.24</v>
      </c>
      <c r="AD601" s="32">
        <v>1436.1984</v>
      </c>
      <c r="AE601" s="32">
        <v>10412.4384</v>
      </c>
      <c r="AF601" s="32">
        <v>8976.24</v>
      </c>
    </row>
    <row r="602">
      <c r="A602" s="28" t="s">
        <v>287</v>
      </c>
      <c r="B602" s="28"/>
      <c r="D602" s="28" t="str">
        <f t="shared" si="1"/>
        <v>SI</v>
      </c>
      <c r="F602" s="31" t="s">
        <v>132</v>
      </c>
      <c r="G602" s="31" t="s">
        <v>580</v>
      </c>
      <c r="H602" s="31" t="s">
        <v>596</v>
      </c>
      <c r="I602" s="31" t="s">
        <v>597</v>
      </c>
      <c r="J602" s="31" t="s">
        <v>616</v>
      </c>
      <c r="K602" s="32">
        <v>0.0</v>
      </c>
      <c r="L602" s="32">
        <v>0.0</v>
      </c>
      <c r="M602" s="32">
        <v>0.0</v>
      </c>
      <c r="N602" s="32">
        <v>0.0</v>
      </c>
      <c r="O602" s="32">
        <v>0.0</v>
      </c>
      <c r="P602" s="32">
        <v>0.0</v>
      </c>
      <c r="Q602" s="32">
        <v>0.0</v>
      </c>
      <c r="R602" s="32">
        <v>0.0</v>
      </c>
      <c r="S602" s="32">
        <v>0.0</v>
      </c>
      <c r="T602" s="32">
        <v>0.0</v>
      </c>
      <c r="U602" s="32">
        <v>0.0</v>
      </c>
      <c r="V602" s="32">
        <v>0.0</v>
      </c>
      <c r="W602" s="32">
        <v>0.0</v>
      </c>
      <c r="X602" s="32">
        <v>0.0</v>
      </c>
      <c r="Y602" s="32">
        <v>0.0</v>
      </c>
      <c r="Z602" s="32">
        <v>0.0</v>
      </c>
      <c r="AA602" s="32">
        <v>0.0</v>
      </c>
      <c r="AB602" s="32">
        <v>0.0</v>
      </c>
      <c r="AC602" s="33">
        <v>0.0</v>
      </c>
      <c r="AD602" s="32">
        <v>0.0</v>
      </c>
      <c r="AE602" s="32">
        <v>0.0</v>
      </c>
      <c r="AF602" s="32">
        <v>0.0</v>
      </c>
    </row>
    <row r="603">
      <c r="A603" s="28" t="s">
        <v>345</v>
      </c>
      <c r="B603" s="28"/>
      <c r="D603" s="28" t="str">
        <f t="shared" si="1"/>
        <v>SI</v>
      </c>
      <c r="F603" s="31" t="s">
        <v>134</v>
      </c>
      <c r="G603" s="31" t="s">
        <v>580</v>
      </c>
      <c r="H603" s="31" t="s">
        <v>584</v>
      </c>
      <c r="I603" s="31" t="s">
        <v>394</v>
      </c>
      <c r="J603" s="31" t="s">
        <v>394</v>
      </c>
      <c r="K603" s="32">
        <v>9999.998</v>
      </c>
      <c r="L603" s="32">
        <v>9999.998</v>
      </c>
      <c r="M603" s="32">
        <v>1469.03356871168</v>
      </c>
      <c r="N603" s="32">
        <v>1423.12626968944</v>
      </c>
      <c r="O603" s="32">
        <v>189.02</v>
      </c>
      <c r="P603" s="32">
        <v>189.02</v>
      </c>
      <c r="Q603" s="32">
        <v>499.9999</v>
      </c>
      <c r="R603" s="32">
        <v>499.9999</v>
      </c>
      <c r="S603" s="32">
        <v>12158.05146871168</v>
      </c>
      <c r="T603" s="32">
        <v>12112.14416968944</v>
      </c>
      <c r="U603" s="32">
        <v>1945.288234993869</v>
      </c>
      <c r="V603" s="32">
        <v>1937.943067150311</v>
      </c>
      <c r="W603" s="32">
        <v>14103.33970370555</v>
      </c>
      <c r="X603" s="32">
        <v>14050.08723683975</v>
      </c>
      <c r="Y603" s="32">
        <v>19999.996</v>
      </c>
      <c r="Z603" s="32">
        <v>2892.15983840112</v>
      </c>
      <c r="AA603" s="32">
        <v>378.04</v>
      </c>
      <c r="AB603" s="32">
        <v>999.9998</v>
      </c>
      <c r="AC603" s="33">
        <v>24270.19563840112</v>
      </c>
      <c r="AD603" s="32">
        <v>3883.23130214418</v>
      </c>
      <c r="AE603" s="32">
        <v>28153.4269405453</v>
      </c>
      <c r="AF603" s="32">
        <v>24270.19563840112</v>
      </c>
    </row>
    <row r="604">
      <c r="A604" s="28" t="s">
        <v>302</v>
      </c>
      <c r="B604" s="28"/>
      <c r="D604" s="28" t="str">
        <f t="shared" si="1"/>
        <v>SI</v>
      </c>
      <c r="F604" s="31" t="s">
        <v>617</v>
      </c>
      <c r="G604" s="31" t="s">
        <v>576</v>
      </c>
      <c r="H604" s="31" t="s">
        <v>581</v>
      </c>
      <c r="I604" s="31"/>
      <c r="J604" s="31" t="s">
        <v>618</v>
      </c>
      <c r="K604" s="32">
        <v>4000.002</v>
      </c>
      <c r="L604" s="32">
        <v>5999.998000000001</v>
      </c>
      <c r="M604" s="32">
        <v>1005.08238602992</v>
      </c>
      <c r="N604" s="32">
        <v>1416.25245304216</v>
      </c>
      <c r="O604" s="32">
        <v>126.02</v>
      </c>
      <c r="P604" s="32">
        <v>189.02</v>
      </c>
      <c r="Q604" s="32">
        <v>200.0001</v>
      </c>
      <c r="R604" s="32">
        <v>299.9999</v>
      </c>
      <c r="S604" s="32">
        <v>5331.104486029921</v>
      </c>
      <c r="T604" s="32">
        <v>7905.27035304216</v>
      </c>
      <c r="U604" s="32">
        <v>852.9767177647873</v>
      </c>
      <c r="V604" s="32">
        <v>1264.843256486746</v>
      </c>
      <c r="W604" s="32">
        <v>6184.081203794708</v>
      </c>
      <c r="X604" s="32">
        <v>9170.113609528906</v>
      </c>
      <c r="Y604" s="32">
        <v>10000.0</v>
      </c>
      <c r="Z604" s="32">
        <v>2421.33483907208</v>
      </c>
      <c r="AA604" s="32">
        <v>315.04</v>
      </c>
      <c r="AB604" s="32">
        <v>500.0000000000001</v>
      </c>
      <c r="AC604" s="33">
        <v>13236.37483907208</v>
      </c>
      <c r="AD604" s="32">
        <v>2117.819974251533</v>
      </c>
      <c r="AE604" s="32">
        <v>15354.19481332361</v>
      </c>
      <c r="AF604" s="32">
        <v>13236.37483907208</v>
      </c>
    </row>
    <row r="605">
      <c r="A605" s="28" t="s">
        <v>83</v>
      </c>
      <c r="B605" s="28"/>
      <c r="D605" s="28" t="str">
        <f t="shared" si="1"/>
        <v>SI</v>
      </c>
      <c r="F605" s="31" t="s">
        <v>619</v>
      </c>
      <c r="G605" s="31" t="s">
        <v>576</v>
      </c>
      <c r="H605" s="31" t="s">
        <v>577</v>
      </c>
      <c r="I605" s="31"/>
      <c r="J605" s="31" t="s">
        <v>610</v>
      </c>
      <c r="K605" s="32">
        <v>2849.6</v>
      </c>
      <c r="L605" s="32">
        <v>4274.4</v>
      </c>
      <c r="M605" s="32">
        <v>0.0</v>
      </c>
      <c r="N605" s="32">
        <v>0.0</v>
      </c>
      <c r="O605" s="32">
        <v>0.0</v>
      </c>
      <c r="P605" s="32">
        <v>0.0</v>
      </c>
      <c r="Q605" s="32">
        <v>142.48</v>
      </c>
      <c r="R605" s="32">
        <v>213.72</v>
      </c>
      <c r="S605" s="32">
        <v>2992.08</v>
      </c>
      <c r="T605" s="32">
        <v>4488.12</v>
      </c>
      <c r="U605" s="32">
        <v>478.7328</v>
      </c>
      <c r="V605" s="32">
        <v>718.0992</v>
      </c>
      <c r="W605" s="32">
        <v>3470.8128</v>
      </c>
      <c r="X605" s="32">
        <v>5206.2192</v>
      </c>
      <c r="Y605" s="32">
        <v>7124.0</v>
      </c>
      <c r="Z605" s="32">
        <v>0.0</v>
      </c>
      <c r="AA605" s="32">
        <v>0.0</v>
      </c>
      <c r="AB605" s="32">
        <v>356.2</v>
      </c>
      <c r="AC605" s="33">
        <v>7480.2</v>
      </c>
      <c r="AD605" s="32">
        <v>1196.832</v>
      </c>
      <c r="AE605" s="32">
        <v>8677.032</v>
      </c>
      <c r="AF605" s="32">
        <v>7480.2</v>
      </c>
    </row>
    <row r="606">
      <c r="A606" s="28" t="s">
        <v>306</v>
      </c>
      <c r="B606" s="28"/>
      <c r="D606" s="28" t="str">
        <f t="shared" si="1"/>
        <v>SI</v>
      </c>
      <c r="F606" s="31" t="s">
        <v>136</v>
      </c>
      <c r="G606" s="31" t="s">
        <v>576</v>
      </c>
      <c r="H606" s="31" t="s">
        <v>577</v>
      </c>
      <c r="I606" s="32">
        <v>0.0</v>
      </c>
      <c r="J606" s="31" t="s">
        <v>610</v>
      </c>
      <c r="K606" s="32">
        <v>2274.4</v>
      </c>
      <c r="L606" s="32">
        <v>2274.4</v>
      </c>
      <c r="M606" s="32">
        <v>0.0</v>
      </c>
      <c r="N606" s="32">
        <v>0.0</v>
      </c>
      <c r="O606" s="32">
        <v>0.0</v>
      </c>
      <c r="P606" s="32">
        <v>0.0</v>
      </c>
      <c r="Q606" s="32">
        <v>113.72</v>
      </c>
      <c r="R606" s="32">
        <v>113.72</v>
      </c>
      <c r="S606" s="32">
        <v>2388.12</v>
      </c>
      <c r="T606" s="32">
        <v>2388.12</v>
      </c>
      <c r="U606" s="32">
        <v>382.0992</v>
      </c>
      <c r="V606" s="32">
        <v>382.0992</v>
      </c>
      <c r="W606" s="32">
        <v>2770.2192</v>
      </c>
      <c r="X606" s="32">
        <v>2770.2192</v>
      </c>
      <c r="Y606" s="32">
        <v>4548.8</v>
      </c>
      <c r="Z606" s="32">
        <v>0.0</v>
      </c>
      <c r="AA606" s="32">
        <v>0.0</v>
      </c>
      <c r="AB606" s="32">
        <v>227.44</v>
      </c>
      <c r="AC606" s="33">
        <v>4776.24</v>
      </c>
      <c r="AD606" s="32">
        <v>764.1984</v>
      </c>
      <c r="AE606" s="32">
        <v>5540.4384</v>
      </c>
      <c r="AF606" s="32">
        <v>4776.24</v>
      </c>
    </row>
    <row r="607">
      <c r="A607" s="28" t="s">
        <v>125</v>
      </c>
      <c r="B607" s="28"/>
      <c r="D607" s="28" t="str">
        <f t="shared" si="1"/>
        <v>SI</v>
      </c>
      <c r="F607" s="31" t="s">
        <v>138</v>
      </c>
      <c r="G607" s="31" t="s">
        <v>576</v>
      </c>
      <c r="H607" s="31" t="s">
        <v>577</v>
      </c>
      <c r="I607" s="31" t="s">
        <v>591</v>
      </c>
      <c r="J607" s="31" t="s">
        <v>592</v>
      </c>
      <c r="K607" s="32">
        <v>3024.4</v>
      </c>
      <c r="L607" s="32">
        <v>3024.4</v>
      </c>
      <c r="M607" s="32">
        <v>0.0</v>
      </c>
      <c r="N607" s="32">
        <v>0.0</v>
      </c>
      <c r="O607" s="32">
        <v>0.0</v>
      </c>
      <c r="P607" s="32">
        <v>0.0</v>
      </c>
      <c r="Q607" s="32">
        <v>151.22</v>
      </c>
      <c r="R607" s="32">
        <v>151.22</v>
      </c>
      <c r="S607" s="32">
        <v>3175.62</v>
      </c>
      <c r="T607" s="32">
        <v>3175.62</v>
      </c>
      <c r="U607" s="32">
        <v>508.0992</v>
      </c>
      <c r="V607" s="32">
        <v>508.0992</v>
      </c>
      <c r="W607" s="32">
        <v>3683.7192</v>
      </c>
      <c r="X607" s="32">
        <v>3683.7192</v>
      </c>
      <c r="Y607" s="32">
        <v>6048.8</v>
      </c>
      <c r="Z607" s="32">
        <v>0.0</v>
      </c>
      <c r="AA607" s="32">
        <v>0.0</v>
      </c>
      <c r="AB607" s="32">
        <v>302.44</v>
      </c>
      <c r="AC607" s="33">
        <v>6351.24</v>
      </c>
      <c r="AD607" s="32">
        <v>1016.1984</v>
      </c>
      <c r="AE607" s="32">
        <v>7367.4384</v>
      </c>
      <c r="AF607" s="32">
        <v>6351.24</v>
      </c>
    </row>
    <row r="608">
      <c r="A608" s="28" t="s">
        <v>30</v>
      </c>
      <c r="B608" s="28"/>
      <c r="D608" s="28" t="str">
        <f t="shared" si="1"/>
        <v>SI</v>
      </c>
      <c r="F608" s="31" t="s">
        <v>140</v>
      </c>
      <c r="G608" s="31" t="s">
        <v>580</v>
      </c>
      <c r="H608" s="31" t="s">
        <v>596</v>
      </c>
      <c r="I608" s="31" t="s">
        <v>597</v>
      </c>
      <c r="J608" s="31" t="s">
        <v>597</v>
      </c>
      <c r="K608" s="32">
        <v>4725.598000000001</v>
      </c>
      <c r="L608" s="32">
        <v>4725.598000000001</v>
      </c>
      <c r="M608" s="32">
        <v>1461.93801604352</v>
      </c>
      <c r="N608" s="32">
        <v>1416.25245304216</v>
      </c>
      <c r="O608" s="32">
        <v>189.02</v>
      </c>
      <c r="P608" s="32">
        <v>189.02</v>
      </c>
      <c r="Q608" s="32">
        <v>236.2799000000001</v>
      </c>
      <c r="R608" s="32">
        <v>236.2799000000001</v>
      </c>
      <c r="S608" s="32">
        <v>6612.835916043521</v>
      </c>
      <c r="T608" s="32">
        <v>6567.150353042161</v>
      </c>
      <c r="U608" s="32">
        <v>1058.053746566963</v>
      </c>
      <c r="V608" s="32">
        <v>1050.744056486746</v>
      </c>
      <c r="W608" s="32">
        <v>7670.889662610484</v>
      </c>
      <c r="X608" s="32">
        <v>7617.894409528907</v>
      </c>
      <c r="Y608" s="32">
        <v>9451.196000000002</v>
      </c>
      <c r="Z608" s="32">
        <v>2878.19046908568</v>
      </c>
      <c r="AA608" s="32">
        <v>378.04</v>
      </c>
      <c r="AB608" s="32">
        <v>472.5598000000001</v>
      </c>
      <c r="AC608" s="33">
        <v>13179.98626908568</v>
      </c>
      <c r="AD608" s="32">
        <v>2108.797803053709</v>
      </c>
      <c r="AE608" s="32">
        <v>15288.78407213939</v>
      </c>
      <c r="AF608" s="32">
        <v>13179.98626908568</v>
      </c>
    </row>
    <row r="609">
      <c r="A609" s="28" t="s">
        <v>181</v>
      </c>
      <c r="B609" s="28"/>
      <c r="D609" s="28" t="str">
        <f t="shared" si="1"/>
        <v>SI</v>
      </c>
      <c r="F609" s="31" t="s">
        <v>142</v>
      </c>
      <c r="G609" s="31" t="s">
        <v>580</v>
      </c>
      <c r="H609" s="31" t="s">
        <v>588</v>
      </c>
      <c r="I609" s="31" t="s">
        <v>589</v>
      </c>
      <c r="J609" s="31" t="s">
        <v>590</v>
      </c>
      <c r="K609" s="32">
        <v>5499.998000000001</v>
      </c>
      <c r="L609" s="31"/>
      <c r="M609" s="32">
        <v>1461.93801604352</v>
      </c>
      <c r="N609" s="31"/>
      <c r="O609" s="32">
        <v>189.02</v>
      </c>
      <c r="P609" s="31"/>
      <c r="Q609" s="32">
        <v>274.9999</v>
      </c>
      <c r="R609" s="31"/>
      <c r="S609" s="32">
        <v>7425.95591604352</v>
      </c>
      <c r="T609" s="31"/>
      <c r="U609" s="32">
        <v>1188.152946566963</v>
      </c>
      <c r="V609" s="31"/>
      <c r="W609" s="32">
        <v>8614.108862610483</v>
      </c>
      <c r="X609" s="31"/>
      <c r="Y609" s="32">
        <v>5499.998000000001</v>
      </c>
      <c r="Z609" s="32">
        <v>1461.93801604352</v>
      </c>
      <c r="AA609" s="32">
        <v>189.02</v>
      </c>
      <c r="AB609" s="32">
        <v>274.9999</v>
      </c>
      <c r="AC609" s="33">
        <v>7425.95591604352</v>
      </c>
      <c r="AD609" s="32">
        <v>1188.152946566963</v>
      </c>
      <c r="AE609" s="32">
        <v>8614.108862610483</v>
      </c>
      <c r="AF609" s="32">
        <v>7425.95591604352</v>
      </c>
    </row>
    <row r="610">
      <c r="A610" s="28" t="s">
        <v>114</v>
      </c>
      <c r="B610" s="28"/>
      <c r="D610" s="28" t="str">
        <f t="shared" si="1"/>
        <v>SI</v>
      </c>
      <c r="F610" s="31" t="s">
        <v>145</v>
      </c>
      <c r="G610" s="31" t="s">
        <v>580</v>
      </c>
      <c r="H610" s="31" t="s">
        <v>588</v>
      </c>
      <c r="I610" s="31"/>
      <c r="J610" s="31" t="s">
        <v>608</v>
      </c>
      <c r="K610" s="32">
        <v>6499.998000000001</v>
      </c>
      <c r="L610" s="32">
        <v>6499.998000000001</v>
      </c>
      <c r="M610" s="32">
        <v>1461.93801604352</v>
      </c>
      <c r="N610" s="32">
        <v>1416.25245304216</v>
      </c>
      <c r="O610" s="32">
        <v>189.02</v>
      </c>
      <c r="P610" s="32">
        <v>189.02</v>
      </c>
      <c r="Q610" s="32">
        <v>324.9999</v>
      </c>
      <c r="R610" s="32">
        <v>324.9999</v>
      </c>
      <c r="S610" s="32">
        <v>8475.95591604352</v>
      </c>
      <c r="T610" s="32">
        <v>8430.27035304216</v>
      </c>
      <c r="U610" s="32">
        <v>1356.152946566963</v>
      </c>
      <c r="V610" s="32">
        <v>1348.843256486746</v>
      </c>
      <c r="W610" s="32">
        <v>9832.108862610483</v>
      </c>
      <c r="X610" s="32">
        <v>9779.113609528906</v>
      </c>
      <c r="Y610" s="32">
        <v>12999.996</v>
      </c>
      <c r="Z610" s="32">
        <v>2878.19046908568</v>
      </c>
      <c r="AA610" s="32">
        <v>378.04</v>
      </c>
      <c r="AB610" s="32">
        <v>649.9998</v>
      </c>
      <c r="AC610" s="33">
        <v>16906.22626908568</v>
      </c>
      <c r="AD610" s="32">
        <v>2704.996203053709</v>
      </c>
      <c r="AE610" s="32">
        <v>19611.22247213939</v>
      </c>
      <c r="AF610" s="32">
        <v>16906.22626908568</v>
      </c>
    </row>
    <row r="611">
      <c r="A611" s="28" t="s">
        <v>141</v>
      </c>
      <c r="B611" s="28"/>
      <c r="D611" s="28" t="str">
        <f t="shared" si="1"/>
        <v>SI</v>
      </c>
      <c r="F611" s="31" t="s">
        <v>147</v>
      </c>
      <c r="G611" s="31" t="s">
        <v>576</v>
      </c>
      <c r="H611" s="31" t="s">
        <v>577</v>
      </c>
      <c r="I611" s="31"/>
      <c r="J611" s="31" t="s">
        <v>620</v>
      </c>
      <c r="K611" s="32">
        <v>8499.998</v>
      </c>
      <c r="L611" s="32">
        <v>8499.998</v>
      </c>
      <c r="M611" s="32">
        <v>1482.706896029158</v>
      </c>
      <c r="N611" s="32">
        <v>1436.372305528247</v>
      </c>
      <c r="O611" s="32">
        <v>189.02</v>
      </c>
      <c r="P611" s="32">
        <v>189.02</v>
      </c>
      <c r="Q611" s="32">
        <v>424.9999</v>
      </c>
      <c r="R611" s="32">
        <v>424.9999</v>
      </c>
      <c r="S611" s="32">
        <v>10596.72479602916</v>
      </c>
      <c r="T611" s="32">
        <v>10550.39020552825</v>
      </c>
      <c r="U611" s="32">
        <v>1695.475967364665</v>
      </c>
      <c r="V611" s="32">
        <v>1688.062432884519</v>
      </c>
      <c r="W611" s="32">
        <v>12292.20076339382</v>
      </c>
      <c r="X611" s="32">
        <v>12238.45263841277</v>
      </c>
      <c r="Y611" s="32">
        <v>16999.996</v>
      </c>
      <c r="Z611" s="32">
        <v>2919.079201557405</v>
      </c>
      <c r="AA611" s="32">
        <v>378.04</v>
      </c>
      <c r="AB611" s="32">
        <v>849.9998</v>
      </c>
      <c r="AC611" s="33">
        <v>21147.11500155741</v>
      </c>
      <c r="AD611" s="32">
        <v>3383.538400249185</v>
      </c>
      <c r="AE611" s="32">
        <v>24530.65340180659</v>
      </c>
      <c r="AF611" s="32">
        <v>21147.11500155741</v>
      </c>
    </row>
    <row r="612">
      <c r="A612" s="28" t="s">
        <v>293</v>
      </c>
      <c r="B612" s="28"/>
      <c r="D612" s="28" t="str">
        <f t="shared" si="1"/>
        <v>SI</v>
      </c>
      <c r="F612" s="31" t="s">
        <v>621</v>
      </c>
      <c r="G612" s="31" t="s">
        <v>580</v>
      </c>
      <c r="H612" s="31" t="s">
        <v>588</v>
      </c>
      <c r="I612" s="31"/>
      <c r="J612" s="31" t="s">
        <v>622</v>
      </c>
      <c r="K612" s="32">
        <v>17499.998</v>
      </c>
      <c r="L612" s="32">
        <v>17499.998</v>
      </c>
      <c r="M612" s="32">
        <v>1461.93801604352</v>
      </c>
      <c r="N612" s="32">
        <v>1416.25245304216</v>
      </c>
      <c r="O612" s="32">
        <v>189.02</v>
      </c>
      <c r="P612" s="32">
        <v>189.02</v>
      </c>
      <c r="Q612" s="32">
        <v>874.9999</v>
      </c>
      <c r="R612" s="32">
        <v>874.9999</v>
      </c>
      <c r="S612" s="32">
        <v>20025.95591604352</v>
      </c>
      <c r="T612" s="32">
        <v>19980.27035304216</v>
      </c>
      <c r="U612" s="32">
        <v>3204.152946566963</v>
      </c>
      <c r="V612" s="32">
        <v>3196.843256486746</v>
      </c>
      <c r="W612" s="32">
        <v>23230.10886261048</v>
      </c>
      <c r="X612" s="32">
        <v>23177.11360952891</v>
      </c>
      <c r="Y612" s="32">
        <v>34999.996</v>
      </c>
      <c r="Z612" s="32">
        <v>2878.19046908568</v>
      </c>
      <c r="AA612" s="32">
        <v>378.04</v>
      </c>
      <c r="AB612" s="32">
        <v>1749.9998</v>
      </c>
      <c r="AC612" s="33">
        <v>40006.22626908568</v>
      </c>
      <c r="AD612" s="32">
        <v>6400.996203053709</v>
      </c>
      <c r="AE612" s="32">
        <v>46407.22247213939</v>
      </c>
      <c r="AF612" s="32">
        <v>40006.22626908568</v>
      </c>
    </row>
    <row r="613">
      <c r="A613" s="28" t="s">
        <v>326</v>
      </c>
      <c r="B613" s="28"/>
      <c r="D613" s="28" t="str">
        <f t="shared" si="1"/>
        <v>SI</v>
      </c>
      <c r="F613" s="31" t="s">
        <v>149</v>
      </c>
      <c r="G613" s="31" t="s">
        <v>580</v>
      </c>
      <c r="H613" s="31" t="s">
        <v>588</v>
      </c>
      <c r="I613" s="31" t="s">
        <v>589</v>
      </c>
      <c r="J613" s="31" t="s">
        <v>590</v>
      </c>
      <c r="K613" s="32">
        <v>11249.998</v>
      </c>
      <c r="L613" s="32">
        <v>11249.998</v>
      </c>
      <c r="M613" s="32">
        <v>1469.03356871168</v>
      </c>
      <c r="N613" s="32">
        <v>1423.12626968944</v>
      </c>
      <c r="O613" s="32">
        <v>189.02</v>
      </c>
      <c r="P613" s="32">
        <v>189.02</v>
      </c>
      <c r="Q613" s="32">
        <v>562.4999</v>
      </c>
      <c r="R613" s="32">
        <v>562.4999</v>
      </c>
      <c r="S613" s="32">
        <v>13470.55146871168</v>
      </c>
      <c r="T613" s="32">
        <v>13424.64416968944</v>
      </c>
      <c r="U613" s="32">
        <v>2155.288234993869</v>
      </c>
      <c r="V613" s="32">
        <v>2147.943067150311</v>
      </c>
      <c r="W613" s="32">
        <v>15625.83970370555</v>
      </c>
      <c r="X613" s="32">
        <v>15572.58723683975</v>
      </c>
      <c r="Y613" s="32">
        <v>22499.996</v>
      </c>
      <c r="Z613" s="32">
        <v>2892.15983840112</v>
      </c>
      <c r="AA613" s="32">
        <v>378.04</v>
      </c>
      <c r="AB613" s="32">
        <v>1124.9998</v>
      </c>
      <c r="AC613" s="33">
        <v>26895.19563840112</v>
      </c>
      <c r="AD613" s="32">
        <v>4303.23130214418</v>
      </c>
      <c r="AE613" s="32">
        <v>31198.4269405453</v>
      </c>
      <c r="AF613" s="32">
        <v>26895.19563840112</v>
      </c>
    </row>
    <row r="614">
      <c r="A614" s="28" t="s">
        <v>189</v>
      </c>
      <c r="B614" s="28"/>
      <c r="D614" s="28" t="str">
        <f t="shared" si="1"/>
        <v>SI</v>
      </c>
      <c r="F614" s="31" t="s">
        <v>151</v>
      </c>
      <c r="G614" s="31" t="s">
        <v>580</v>
      </c>
      <c r="H614" s="31" t="s">
        <v>584</v>
      </c>
      <c r="I614" s="31" t="s">
        <v>593</v>
      </c>
      <c r="J614" s="31" t="s">
        <v>594</v>
      </c>
      <c r="K614" s="32">
        <v>9999.998</v>
      </c>
      <c r="L614" s="32">
        <v>9999.998</v>
      </c>
      <c r="M614" s="32">
        <v>1467.59389135872</v>
      </c>
      <c r="N614" s="32">
        <v>1421.73158225376</v>
      </c>
      <c r="O614" s="32">
        <v>189.02</v>
      </c>
      <c r="P614" s="32">
        <v>189.02</v>
      </c>
      <c r="Q614" s="32">
        <v>499.9999</v>
      </c>
      <c r="R614" s="32">
        <v>499.9999</v>
      </c>
      <c r="S614" s="32">
        <v>12156.61179135872</v>
      </c>
      <c r="T614" s="32">
        <v>12110.74948225376</v>
      </c>
      <c r="U614" s="32">
        <v>1945.057886617395</v>
      </c>
      <c r="V614" s="32">
        <v>1937.719917160602</v>
      </c>
      <c r="W614" s="32">
        <v>14101.66967797612</v>
      </c>
      <c r="X614" s="32">
        <v>14048.46939941436</v>
      </c>
      <c r="Y614" s="32">
        <v>19999.996</v>
      </c>
      <c r="Z614" s="32">
        <v>2889.32547361248</v>
      </c>
      <c r="AA614" s="32">
        <v>378.04</v>
      </c>
      <c r="AB614" s="32">
        <v>999.9998</v>
      </c>
      <c r="AC614" s="33">
        <v>24267.36127361248</v>
      </c>
      <c r="AD614" s="32">
        <v>3882.777803777997</v>
      </c>
      <c r="AE614" s="32">
        <v>28150.13907739048</v>
      </c>
      <c r="AF614" s="32">
        <v>24267.36127361248</v>
      </c>
    </row>
    <row r="615">
      <c r="A615" s="28" t="s">
        <v>152</v>
      </c>
      <c r="B615" s="28"/>
      <c r="D615" s="28" t="str">
        <f t="shared" si="1"/>
        <v>SI</v>
      </c>
      <c r="F615" s="31" t="s">
        <v>153</v>
      </c>
      <c r="G615" s="31" t="s">
        <v>576</v>
      </c>
      <c r="H615" s="31" t="s">
        <v>577</v>
      </c>
      <c r="I615" s="31"/>
      <c r="J615" s="31" t="s">
        <v>610</v>
      </c>
      <c r="K615" s="32">
        <v>2274.4</v>
      </c>
      <c r="L615" s="32">
        <v>2274.4</v>
      </c>
      <c r="M615" s="32">
        <v>0.0</v>
      </c>
      <c r="N615" s="32">
        <v>0.0</v>
      </c>
      <c r="O615" s="32">
        <v>0.0</v>
      </c>
      <c r="P615" s="32">
        <v>0.0</v>
      </c>
      <c r="Q615" s="32">
        <v>113.72</v>
      </c>
      <c r="R615" s="32">
        <v>113.72</v>
      </c>
      <c r="S615" s="32">
        <v>2388.12</v>
      </c>
      <c r="T615" s="32">
        <v>2388.12</v>
      </c>
      <c r="U615" s="32">
        <v>382.0992</v>
      </c>
      <c r="V615" s="32">
        <v>382.0992</v>
      </c>
      <c r="W615" s="32">
        <v>2770.2192</v>
      </c>
      <c r="X615" s="32">
        <v>2770.2192</v>
      </c>
      <c r="Y615" s="32">
        <v>4548.8</v>
      </c>
      <c r="Z615" s="32">
        <v>0.0</v>
      </c>
      <c r="AA615" s="32">
        <v>0.0</v>
      </c>
      <c r="AB615" s="32">
        <v>227.44</v>
      </c>
      <c r="AC615" s="33">
        <v>4776.24</v>
      </c>
      <c r="AD615" s="32">
        <v>764.1984</v>
      </c>
      <c r="AE615" s="32">
        <v>5540.4384</v>
      </c>
      <c r="AF615" s="32">
        <v>4776.24</v>
      </c>
    </row>
    <row r="616">
      <c r="A616" s="28" t="s">
        <v>137</v>
      </c>
      <c r="B616" s="28"/>
      <c r="D616" s="28" t="str">
        <f t="shared" si="1"/>
        <v>SI</v>
      </c>
      <c r="F616" s="31" t="s">
        <v>155</v>
      </c>
      <c r="G616" s="31" t="s">
        <v>580</v>
      </c>
      <c r="H616" s="31" t="s">
        <v>581</v>
      </c>
      <c r="I616" s="31" t="s">
        <v>589</v>
      </c>
      <c r="J616" s="31" t="s">
        <v>614</v>
      </c>
      <c r="K616" s="32">
        <v>7903.998000000001</v>
      </c>
      <c r="L616" s="32">
        <v>7999.998000000001</v>
      </c>
      <c r="M616" s="32">
        <v>1469.03356871168</v>
      </c>
      <c r="N616" s="32">
        <v>1423.12626968944</v>
      </c>
      <c r="O616" s="32">
        <v>189.02</v>
      </c>
      <c r="P616" s="32">
        <v>189.02</v>
      </c>
      <c r="Q616" s="32">
        <v>395.1999000000001</v>
      </c>
      <c r="R616" s="32">
        <v>399.9999</v>
      </c>
      <c r="S616" s="32">
        <v>9957.251468711682</v>
      </c>
      <c r="T616" s="32">
        <v>10012.14416968944</v>
      </c>
      <c r="U616" s="32">
        <v>1593.160234993869</v>
      </c>
      <c r="V616" s="32">
        <v>1601.943067150311</v>
      </c>
      <c r="W616" s="32">
        <v>11550.41170370555</v>
      </c>
      <c r="X616" s="32">
        <v>11614.08723683975</v>
      </c>
      <c r="Y616" s="32">
        <v>15903.996</v>
      </c>
      <c r="Z616" s="32">
        <v>2892.15983840112</v>
      </c>
      <c r="AA616" s="32">
        <v>378.04</v>
      </c>
      <c r="AB616" s="32">
        <v>795.1998000000001</v>
      </c>
      <c r="AC616" s="33">
        <v>19969.39563840113</v>
      </c>
      <c r="AD616" s="32">
        <v>3195.10330214418</v>
      </c>
      <c r="AE616" s="32">
        <v>23164.4989405453</v>
      </c>
      <c r="AF616" s="32">
        <v>19969.39563840113</v>
      </c>
    </row>
    <row r="617">
      <c r="A617" s="28" t="s">
        <v>266</v>
      </c>
      <c r="B617" s="28"/>
      <c r="D617" s="28" t="str">
        <f t="shared" si="1"/>
        <v>SI</v>
      </c>
      <c r="F617" s="31" t="s">
        <v>157</v>
      </c>
      <c r="G617" s="31" t="s">
        <v>580</v>
      </c>
      <c r="H617" s="31" t="s">
        <v>584</v>
      </c>
      <c r="I617" s="32">
        <v>0.0</v>
      </c>
      <c r="J617" s="31" t="s">
        <v>585</v>
      </c>
      <c r="K617" s="32">
        <v>4999.998000000001</v>
      </c>
      <c r="L617" s="32">
        <v>4999.998000000001</v>
      </c>
      <c r="M617" s="32">
        <v>1461.93801604352</v>
      </c>
      <c r="N617" s="32">
        <v>1416.25245304216</v>
      </c>
      <c r="O617" s="32">
        <v>189.02</v>
      </c>
      <c r="P617" s="32">
        <v>189.02</v>
      </c>
      <c r="Q617" s="32">
        <v>249.9999</v>
      </c>
      <c r="R617" s="32">
        <v>249.9999</v>
      </c>
      <c r="S617" s="32">
        <v>6900.95591604352</v>
      </c>
      <c r="T617" s="32">
        <v>6855.27035304216</v>
      </c>
      <c r="U617" s="32">
        <v>1104.152946566963</v>
      </c>
      <c r="V617" s="32">
        <v>1096.843256486746</v>
      </c>
      <c r="W617" s="32">
        <v>8005.108862610483</v>
      </c>
      <c r="X617" s="32">
        <v>7952.113609528906</v>
      </c>
      <c r="Y617" s="32">
        <v>9999.996000000001</v>
      </c>
      <c r="Z617" s="32">
        <v>2878.19046908568</v>
      </c>
      <c r="AA617" s="32">
        <v>378.04</v>
      </c>
      <c r="AB617" s="32">
        <v>499.9998000000001</v>
      </c>
      <c r="AC617" s="33">
        <v>13756.22626908568</v>
      </c>
      <c r="AD617" s="32">
        <v>2200.996203053709</v>
      </c>
      <c r="AE617" s="32">
        <v>15957.22247213939</v>
      </c>
      <c r="AF617" s="32">
        <v>13756.22626908568</v>
      </c>
    </row>
    <row r="618">
      <c r="A618" s="28" t="s">
        <v>219</v>
      </c>
      <c r="B618" s="28"/>
      <c r="D618" s="28" t="str">
        <f t="shared" si="1"/>
        <v>SI</v>
      </c>
      <c r="F618" s="31" t="s">
        <v>159</v>
      </c>
      <c r="G618" s="31" t="s">
        <v>580</v>
      </c>
      <c r="H618" s="31" t="s">
        <v>577</v>
      </c>
      <c r="I618" s="31" t="s">
        <v>591</v>
      </c>
      <c r="J618" s="31" t="s">
        <v>592</v>
      </c>
      <c r="K618" s="32">
        <v>3076.4</v>
      </c>
      <c r="L618" s="32">
        <v>3283.31</v>
      </c>
      <c r="M618" s="32">
        <v>0.0</v>
      </c>
      <c r="N618" s="32">
        <v>0.0</v>
      </c>
      <c r="O618" s="32">
        <v>0.0</v>
      </c>
      <c r="P618" s="32">
        <v>0.0</v>
      </c>
      <c r="Q618" s="32">
        <v>153.82</v>
      </c>
      <c r="R618" s="32">
        <v>164.1655</v>
      </c>
      <c r="S618" s="32">
        <v>3230.22</v>
      </c>
      <c r="T618" s="32">
        <v>3447.4755</v>
      </c>
      <c r="U618" s="32">
        <v>516.8352000000001</v>
      </c>
      <c r="V618" s="32">
        <v>551.59608</v>
      </c>
      <c r="W618" s="32">
        <v>3747.0552</v>
      </c>
      <c r="X618" s="32">
        <v>3999.07158</v>
      </c>
      <c r="Y618" s="32">
        <v>6359.71</v>
      </c>
      <c r="Z618" s="32">
        <v>0.0</v>
      </c>
      <c r="AA618" s="32">
        <v>0.0</v>
      </c>
      <c r="AB618" s="32">
        <v>317.9855</v>
      </c>
      <c r="AC618" s="33">
        <v>6677.6955</v>
      </c>
      <c r="AD618" s="32">
        <v>1068.43128</v>
      </c>
      <c r="AE618" s="32">
        <v>7746.126780000001</v>
      </c>
      <c r="AF618" s="32">
        <v>6677.6955</v>
      </c>
    </row>
    <row r="619">
      <c r="A619" s="28" t="s">
        <v>316</v>
      </c>
      <c r="B619" s="28"/>
      <c r="D619" s="28" t="str">
        <f t="shared" si="1"/>
        <v>SI</v>
      </c>
      <c r="F619" s="31" t="s">
        <v>163</v>
      </c>
      <c r="G619" s="31" t="s">
        <v>576</v>
      </c>
      <c r="H619" s="31" t="s">
        <v>577</v>
      </c>
      <c r="I619" s="31" t="s">
        <v>623</v>
      </c>
      <c r="J619" s="31" t="s">
        <v>624</v>
      </c>
      <c r="K619" s="32">
        <v>5999.998000000001</v>
      </c>
      <c r="L619" s="32">
        <v>5999.998000000001</v>
      </c>
      <c r="M619" s="32">
        <v>1482.706896029158</v>
      </c>
      <c r="N619" s="32">
        <v>1436.372305528247</v>
      </c>
      <c r="O619" s="32">
        <v>189.02</v>
      </c>
      <c r="P619" s="32">
        <v>189.02</v>
      </c>
      <c r="Q619" s="32">
        <v>299.9999</v>
      </c>
      <c r="R619" s="32">
        <v>299.9999</v>
      </c>
      <c r="S619" s="32">
        <v>7971.724796029159</v>
      </c>
      <c r="T619" s="32">
        <v>7925.390205528248</v>
      </c>
      <c r="U619" s="32">
        <v>1275.475967364665</v>
      </c>
      <c r="V619" s="32">
        <v>1268.06243288452</v>
      </c>
      <c r="W619" s="32">
        <v>9247.200763393825</v>
      </c>
      <c r="X619" s="32">
        <v>9193.452638412768</v>
      </c>
      <c r="Y619" s="32">
        <v>11999.996</v>
      </c>
      <c r="Z619" s="32">
        <v>2919.079201557405</v>
      </c>
      <c r="AA619" s="32">
        <v>378.04</v>
      </c>
      <c r="AB619" s="32">
        <v>599.9998</v>
      </c>
      <c r="AC619" s="33">
        <v>15897.11500155741</v>
      </c>
      <c r="AD619" s="32">
        <v>2543.538400249185</v>
      </c>
      <c r="AE619" s="32">
        <v>18440.65340180659</v>
      </c>
      <c r="AF619" s="32">
        <v>15897.11500155741</v>
      </c>
    </row>
    <row r="620">
      <c r="A620" s="28" t="s">
        <v>79</v>
      </c>
      <c r="B620" s="28"/>
      <c r="D620" s="28" t="str">
        <f t="shared" si="1"/>
        <v>SI</v>
      </c>
      <c r="F620" s="31" t="s">
        <v>165</v>
      </c>
      <c r="G620" s="31" t="s">
        <v>580</v>
      </c>
      <c r="H620" s="31" t="s">
        <v>625</v>
      </c>
      <c r="I620" s="31" t="s">
        <v>591</v>
      </c>
      <c r="J620" s="31" t="s">
        <v>592</v>
      </c>
      <c r="K620" s="32">
        <v>11499.998</v>
      </c>
      <c r="L620" s="32">
        <v>11499.998</v>
      </c>
      <c r="M620" s="32">
        <v>1470.035775975936</v>
      </c>
      <c r="N620" s="32">
        <v>1424.097157976688</v>
      </c>
      <c r="O620" s="32">
        <v>189.02</v>
      </c>
      <c r="P620" s="32">
        <v>189.02</v>
      </c>
      <c r="Q620" s="32">
        <v>574.9999</v>
      </c>
      <c r="R620" s="32">
        <v>574.9999</v>
      </c>
      <c r="S620" s="32">
        <v>13734.05367597594</v>
      </c>
      <c r="T620" s="32">
        <v>13688.11505797669</v>
      </c>
      <c r="U620" s="32">
        <v>2197.44858815615</v>
      </c>
      <c r="V620" s="32">
        <v>2190.09840927627</v>
      </c>
      <c r="W620" s="32">
        <v>15931.50226413209</v>
      </c>
      <c r="X620" s="32">
        <v>15878.21346725296</v>
      </c>
      <c r="Y620" s="32">
        <v>22999.996</v>
      </c>
      <c r="Z620" s="32">
        <v>2894.132933952624</v>
      </c>
      <c r="AA620" s="32">
        <v>378.04</v>
      </c>
      <c r="AB620" s="32">
        <v>1149.9998</v>
      </c>
      <c r="AC620" s="33">
        <v>27422.16873395263</v>
      </c>
      <c r="AD620" s="32">
        <v>4387.546997432421</v>
      </c>
      <c r="AE620" s="32">
        <v>31809.71573138505</v>
      </c>
      <c r="AF620" s="32">
        <v>27422.16873395263</v>
      </c>
    </row>
    <row r="621">
      <c r="A621" s="28" t="s">
        <v>67</v>
      </c>
      <c r="B621" s="28"/>
      <c r="D621" s="28" t="str">
        <f t="shared" si="1"/>
        <v>SI</v>
      </c>
      <c r="F621" s="31" t="s">
        <v>168</v>
      </c>
      <c r="G621" s="31" t="s">
        <v>580</v>
      </c>
      <c r="H621" s="31" t="s">
        <v>577</v>
      </c>
      <c r="I621" s="31" t="s">
        <v>591</v>
      </c>
      <c r="J621" s="31" t="s">
        <v>592</v>
      </c>
      <c r="K621" s="32">
        <v>0.0</v>
      </c>
      <c r="L621" s="32">
        <v>0.0</v>
      </c>
      <c r="M621" s="32">
        <v>0.0</v>
      </c>
      <c r="N621" s="32">
        <v>0.0</v>
      </c>
      <c r="O621" s="32">
        <v>0.0</v>
      </c>
      <c r="P621" s="32">
        <v>0.0</v>
      </c>
      <c r="Q621" s="32">
        <v>0.0</v>
      </c>
      <c r="R621" s="32">
        <v>0.0</v>
      </c>
      <c r="S621" s="32">
        <v>0.0</v>
      </c>
      <c r="T621" s="32">
        <v>0.0</v>
      </c>
      <c r="U621" s="32">
        <v>0.0</v>
      </c>
      <c r="V621" s="32">
        <v>0.0</v>
      </c>
      <c r="W621" s="32">
        <v>0.0</v>
      </c>
      <c r="X621" s="32">
        <v>0.0</v>
      </c>
      <c r="Y621" s="32">
        <v>0.0</v>
      </c>
      <c r="Z621" s="32">
        <v>0.0</v>
      </c>
      <c r="AA621" s="32">
        <v>0.0</v>
      </c>
      <c r="AB621" s="32">
        <v>0.0</v>
      </c>
      <c r="AC621" s="33">
        <v>0.0</v>
      </c>
      <c r="AD621" s="32">
        <v>0.0</v>
      </c>
      <c r="AE621" s="32">
        <v>0.0</v>
      </c>
      <c r="AF621" s="32">
        <v>0.0</v>
      </c>
    </row>
    <row r="622">
      <c r="A622" s="28" t="s">
        <v>40</v>
      </c>
      <c r="B622" s="28"/>
      <c r="D622" s="28" t="str">
        <f t="shared" si="1"/>
        <v>SI</v>
      </c>
      <c r="F622" s="31" t="s">
        <v>170</v>
      </c>
      <c r="G622" s="31" t="s">
        <v>580</v>
      </c>
      <c r="H622" s="31" t="s">
        <v>577</v>
      </c>
      <c r="I622" s="31" t="s">
        <v>597</v>
      </c>
      <c r="J622" s="31" t="s">
        <v>626</v>
      </c>
      <c r="K622" s="32">
        <v>1774.4</v>
      </c>
      <c r="L622" s="32">
        <v>1774.4</v>
      </c>
      <c r="M622" s="32">
        <v>0.0</v>
      </c>
      <c r="N622" s="32">
        <v>0.0</v>
      </c>
      <c r="O622" s="32">
        <v>0.0</v>
      </c>
      <c r="P622" s="32">
        <v>0.0</v>
      </c>
      <c r="Q622" s="32">
        <v>88.72000000000001</v>
      </c>
      <c r="R622" s="32">
        <v>88.72000000000001</v>
      </c>
      <c r="S622" s="32">
        <v>1863.12</v>
      </c>
      <c r="T622" s="32">
        <v>1863.12</v>
      </c>
      <c r="U622" s="32">
        <v>298.0992000000001</v>
      </c>
      <c r="V622" s="32">
        <v>298.0992000000001</v>
      </c>
      <c r="W622" s="32">
        <v>2161.2192</v>
      </c>
      <c r="X622" s="32">
        <v>2161.2192</v>
      </c>
      <c r="Y622" s="32">
        <v>3548.8</v>
      </c>
      <c r="Z622" s="32">
        <v>0.0</v>
      </c>
      <c r="AA622" s="32">
        <v>0.0</v>
      </c>
      <c r="AB622" s="32">
        <v>177.44</v>
      </c>
      <c r="AC622" s="33">
        <v>3726.24</v>
      </c>
      <c r="AD622" s="32">
        <v>596.1984000000001</v>
      </c>
      <c r="AE622" s="32">
        <v>4322.4384</v>
      </c>
      <c r="AF622" s="32">
        <v>3726.24</v>
      </c>
    </row>
    <row r="623">
      <c r="A623" s="28" t="s">
        <v>196</v>
      </c>
      <c r="B623" s="28"/>
      <c r="D623" s="28" t="str">
        <f t="shared" si="1"/>
        <v>SI</v>
      </c>
      <c r="F623" s="31" t="s">
        <v>172</v>
      </c>
      <c r="G623" s="31" t="s">
        <v>580</v>
      </c>
      <c r="H623" s="31" t="s">
        <v>588</v>
      </c>
      <c r="I623" s="31" t="s">
        <v>589</v>
      </c>
      <c r="J623" s="31" t="s">
        <v>590</v>
      </c>
      <c r="K623" s="32">
        <v>5999.998000000001</v>
      </c>
      <c r="L623" s="32">
        <v>5999.998000000001</v>
      </c>
      <c r="M623" s="32">
        <v>1463.37769339648</v>
      </c>
      <c r="N623" s="32">
        <v>1417.64714047784</v>
      </c>
      <c r="O623" s="32">
        <v>189.02</v>
      </c>
      <c r="P623" s="32">
        <v>189.02</v>
      </c>
      <c r="Q623" s="32">
        <v>299.9999</v>
      </c>
      <c r="R623" s="32">
        <v>299.9999</v>
      </c>
      <c r="S623" s="32">
        <v>7952.395593396481</v>
      </c>
      <c r="T623" s="32">
        <v>7906.665040477841</v>
      </c>
      <c r="U623" s="32">
        <v>1272.383294943437</v>
      </c>
      <c r="V623" s="32">
        <v>1265.066406476455</v>
      </c>
      <c r="W623" s="32">
        <v>9224.778888339917</v>
      </c>
      <c r="X623" s="32">
        <v>9171.731446954296</v>
      </c>
      <c r="Y623" s="32">
        <v>11999.996</v>
      </c>
      <c r="Z623" s="32">
        <v>2881.02483387432</v>
      </c>
      <c r="AA623" s="32">
        <v>378.04</v>
      </c>
      <c r="AB623" s="32">
        <v>599.9998</v>
      </c>
      <c r="AC623" s="33">
        <v>15859.06063387432</v>
      </c>
      <c r="AD623" s="32">
        <v>2537.449701419891</v>
      </c>
      <c r="AE623" s="32">
        <v>18396.51033529421</v>
      </c>
      <c r="AF623" s="32">
        <v>15859.06063387432</v>
      </c>
    </row>
    <row r="624">
      <c r="A624" s="28" t="s">
        <v>235</v>
      </c>
      <c r="B624" s="28"/>
      <c r="D624" s="28" t="str">
        <f t="shared" si="1"/>
        <v>SI</v>
      </c>
      <c r="F624" s="31" t="s">
        <v>174</v>
      </c>
      <c r="G624" s="31" t="s">
        <v>627</v>
      </c>
      <c r="H624" s="31" t="s">
        <v>577</v>
      </c>
      <c r="I624" s="31" t="s">
        <v>591</v>
      </c>
      <c r="J624" s="31" t="s">
        <v>592</v>
      </c>
      <c r="K624" s="32">
        <v>1274.4</v>
      </c>
      <c r="L624" s="32">
        <v>1274.4</v>
      </c>
      <c r="M624" s="32">
        <v>0.0</v>
      </c>
      <c r="N624" s="32">
        <v>0.0</v>
      </c>
      <c r="O624" s="32">
        <v>0.0</v>
      </c>
      <c r="P624" s="32">
        <v>0.0</v>
      </c>
      <c r="Q624" s="32">
        <v>63.72000000000001</v>
      </c>
      <c r="R624" s="32">
        <v>63.72000000000001</v>
      </c>
      <c r="S624" s="32">
        <v>1338.12</v>
      </c>
      <c r="T624" s="32">
        <v>1338.12</v>
      </c>
      <c r="U624" s="32">
        <v>214.0992</v>
      </c>
      <c r="V624" s="32">
        <v>214.0992</v>
      </c>
      <c r="W624" s="32">
        <v>1552.2192</v>
      </c>
      <c r="X624" s="32">
        <v>1552.2192</v>
      </c>
      <c r="Y624" s="32">
        <v>2548.8</v>
      </c>
      <c r="Z624" s="32">
        <v>0.0</v>
      </c>
      <c r="AA624" s="32">
        <v>0.0</v>
      </c>
      <c r="AB624" s="32">
        <v>127.44</v>
      </c>
      <c r="AC624" s="33">
        <v>2676.24</v>
      </c>
      <c r="AD624" s="32">
        <v>428.1984</v>
      </c>
      <c r="AE624" s="32">
        <v>3104.4384</v>
      </c>
      <c r="AF624" s="32">
        <v>2676.24</v>
      </c>
    </row>
    <row r="625">
      <c r="A625" s="28" t="s">
        <v>258</v>
      </c>
      <c r="B625" s="28"/>
      <c r="D625" s="28" t="str">
        <f t="shared" si="1"/>
        <v>SI</v>
      </c>
      <c r="F625" s="31" t="s">
        <v>176</v>
      </c>
      <c r="G625" s="31" t="s">
        <v>580</v>
      </c>
      <c r="H625" s="31" t="s">
        <v>602</v>
      </c>
      <c r="I625" s="31"/>
      <c r="J625" s="31" t="s">
        <v>628</v>
      </c>
      <c r="K625" s="32">
        <v>3500.0</v>
      </c>
      <c r="L625" s="32">
        <v>1166.67</v>
      </c>
      <c r="M625" s="32">
        <v>0.0</v>
      </c>
      <c r="N625" s="32">
        <v>0.0</v>
      </c>
      <c r="O625" s="32">
        <v>0.0</v>
      </c>
      <c r="P625" s="32">
        <v>0.0</v>
      </c>
      <c r="Q625" s="32">
        <v>175.0</v>
      </c>
      <c r="R625" s="32">
        <v>58.33350000000001</v>
      </c>
      <c r="S625" s="32">
        <v>3675.0</v>
      </c>
      <c r="T625" s="32">
        <v>1225.0035</v>
      </c>
      <c r="U625" s="32">
        <v>588.0</v>
      </c>
      <c r="V625" s="32">
        <v>196.00056</v>
      </c>
      <c r="W625" s="32">
        <v>4263.0</v>
      </c>
      <c r="X625" s="32">
        <v>1421.00406</v>
      </c>
      <c r="Y625" s="32">
        <v>4666.67</v>
      </c>
      <c r="Z625" s="32">
        <v>0.0</v>
      </c>
      <c r="AA625" s="32">
        <v>0.0</v>
      </c>
      <c r="AB625" s="32">
        <v>233.3335</v>
      </c>
      <c r="AC625" s="33">
        <v>4900.0035</v>
      </c>
      <c r="AD625" s="32">
        <v>784.00056</v>
      </c>
      <c r="AE625" s="32">
        <v>5684.00406</v>
      </c>
      <c r="AF625" s="32">
        <v>4900.0035</v>
      </c>
    </row>
    <row r="626">
      <c r="A626" s="28" t="s">
        <v>148</v>
      </c>
      <c r="B626" s="28"/>
      <c r="D626" s="28" t="str">
        <f t="shared" si="1"/>
        <v>SI</v>
      </c>
      <c r="F626" s="31" t="s">
        <v>178</v>
      </c>
      <c r="G626" s="31" t="s">
        <v>580</v>
      </c>
      <c r="H626" s="31" t="s">
        <v>596</v>
      </c>
      <c r="I626" s="31" t="s">
        <v>629</v>
      </c>
      <c r="J626" s="31" t="s">
        <v>630</v>
      </c>
      <c r="K626" s="32">
        <v>2274.4</v>
      </c>
      <c r="L626" s="32">
        <v>2274.4</v>
      </c>
      <c r="M626" s="32">
        <v>0.0</v>
      </c>
      <c r="N626" s="32">
        <v>0.0</v>
      </c>
      <c r="O626" s="32">
        <v>0.0</v>
      </c>
      <c r="P626" s="32">
        <v>0.0</v>
      </c>
      <c r="Q626" s="32">
        <v>113.72</v>
      </c>
      <c r="R626" s="32">
        <v>113.72</v>
      </c>
      <c r="S626" s="32">
        <v>2388.12</v>
      </c>
      <c r="T626" s="32">
        <v>2388.12</v>
      </c>
      <c r="U626" s="32">
        <v>382.0992</v>
      </c>
      <c r="V626" s="32">
        <v>382.0992</v>
      </c>
      <c r="W626" s="32">
        <v>2770.2192</v>
      </c>
      <c r="X626" s="32">
        <v>2770.2192</v>
      </c>
      <c r="Y626" s="32">
        <v>4548.8</v>
      </c>
      <c r="Z626" s="32">
        <v>0.0</v>
      </c>
      <c r="AA626" s="32">
        <v>0.0</v>
      </c>
      <c r="AB626" s="32">
        <v>227.44</v>
      </c>
      <c r="AC626" s="33">
        <v>4776.24</v>
      </c>
      <c r="AD626" s="32">
        <v>764.1984</v>
      </c>
      <c r="AE626" s="32">
        <v>5540.4384</v>
      </c>
      <c r="AF626" s="32">
        <v>4776.24</v>
      </c>
    </row>
    <row r="627">
      <c r="A627" s="28" t="s">
        <v>24</v>
      </c>
      <c r="B627" s="28"/>
      <c r="D627" s="28" t="str">
        <f t="shared" si="1"/>
        <v>SI</v>
      </c>
      <c r="F627" s="31" t="s">
        <v>180</v>
      </c>
      <c r="G627" s="31" t="s">
        <v>580</v>
      </c>
      <c r="H627" s="31" t="s">
        <v>588</v>
      </c>
      <c r="I627" s="31" t="s">
        <v>593</v>
      </c>
      <c r="J627" s="31" t="s">
        <v>594</v>
      </c>
      <c r="K627" s="32">
        <v>13999.998</v>
      </c>
      <c r="L627" s="32">
        <v>13999.998</v>
      </c>
      <c r="M627" s="32">
        <v>1469.03356871168</v>
      </c>
      <c r="N627" s="32">
        <v>1423.12626968944</v>
      </c>
      <c r="O627" s="32">
        <v>189.02</v>
      </c>
      <c r="P627" s="32">
        <v>189.02</v>
      </c>
      <c r="Q627" s="32">
        <v>699.9999</v>
      </c>
      <c r="R627" s="32">
        <v>699.9999</v>
      </c>
      <c r="S627" s="32">
        <v>16358.05146871168</v>
      </c>
      <c r="T627" s="32">
        <v>16312.14416968944</v>
      </c>
      <c r="U627" s="32">
        <v>2617.288234993869</v>
      </c>
      <c r="V627" s="32">
        <v>2609.943067150311</v>
      </c>
      <c r="W627" s="32">
        <v>18975.33970370555</v>
      </c>
      <c r="X627" s="32">
        <v>18922.08723683975</v>
      </c>
      <c r="Y627" s="32">
        <v>27999.996</v>
      </c>
      <c r="Z627" s="32">
        <v>2892.15983840112</v>
      </c>
      <c r="AA627" s="32">
        <v>378.04</v>
      </c>
      <c r="AB627" s="32">
        <v>1399.9998</v>
      </c>
      <c r="AC627" s="33">
        <v>32670.19563840112</v>
      </c>
      <c r="AD627" s="32">
        <v>5227.23130214418</v>
      </c>
      <c r="AE627" s="32">
        <v>37897.42694054531</v>
      </c>
      <c r="AF627" s="32">
        <v>32670.19563840112</v>
      </c>
    </row>
    <row r="628">
      <c r="A628" s="28" t="s">
        <v>119</v>
      </c>
      <c r="B628" s="28"/>
      <c r="D628" s="28" t="str">
        <f t="shared" si="1"/>
        <v>SI</v>
      </c>
      <c r="F628" s="31" t="s">
        <v>182</v>
      </c>
      <c r="G628" s="31" t="s">
        <v>580</v>
      </c>
      <c r="H628" s="31" t="s">
        <v>588</v>
      </c>
      <c r="I628" s="31" t="s">
        <v>589</v>
      </c>
      <c r="J628" s="31" t="s">
        <v>590</v>
      </c>
      <c r="K628" s="32">
        <v>5999.998000000001</v>
      </c>
      <c r="L628" s="32">
        <v>5999.998000000001</v>
      </c>
      <c r="M628" s="32">
        <v>1464.81737074944</v>
      </c>
      <c r="N628" s="32">
        <v>1419.04182791352</v>
      </c>
      <c r="O628" s="32">
        <v>189.02</v>
      </c>
      <c r="P628" s="32">
        <v>189.02</v>
      </c>
      <c r="Q628" s="32">
        <v>299.9999</v>
      </c>
      <c r="R628" s="32">
        <v>299.9999</v>
      </c>
      <c r="S628" s="32">
        <v>7953.835270749441</v>
      </c>
      <c r="T628" s="32">
        <v>7908.059727913521</v>
      </c>
      <c r="U628" s="32">
        <v>1272.613643319911</v>
      </c>
      <c r="V628" s="32">
        <v>1265.289556466163</v>
      </c>
      <c r="W628" s="32">
        <v>9226.448914069351</v>
      </c>
      <c r="X628" s="32">
        <v>9173.349284379685</v>
      </c>
      <c r="Y628" s="32">
        <v>11999.996</v>
      </c>
      <c r="Z628" s="32">
        <v>2883.85919866296</v>
      </c>
      <c r="AA628" s="32">
        <v>378.04</v>
      </c>
      <c r="AB628" s="32">
        <v>599.9998</v>
      </c>
      <c r="AC628" s="33">
        <v>15861.89499866296</v>
      </c>
      <c r="AD628" s="32">
        <v>2537.903199786074</v>
      </c>
      <c r="AE628" s="32">
        <v>18399.79819844904</v>
      </c>
      <c r="AF628" s="32">
        <v>15861.89499866296</v>
      </c>
    </row>
    <row r="629">
      <c r="A629" s="28" t="s">
        <v>347</v>
      </c>
      <c r="B629" s="28"/>
      <c r="D629" s="28" t="str">
        <f t="shared" si="1"/>
        <v>SI</v>
      </c>
      <c r="F629" s="31" t="s">
        <v>184</v>
      </c>
      <c r="G629" s="31" t="s">
        <v>580</v>
      </c>
      <c r="H629" s="31" t="s">
        <v>588</v>
      </c>
      <c r="I629" s="31" t="s">
        <v>631</v>
      </c>
      <c r="J629" s="31" t="s">
        <v>632</v>
      </c>
      <c r="K629" s="32">
        <v>4725.598000000001</v>
      </c>
      <c r="L629" s="32">
        <v>4725.598000000001</v>
      </c>
      <c r="M629" s="32">
        <v>1464.81737074944</v>
      </c>
      <c r="N629" s="32">
        <v>1419.04182791352</v>
      </c>
      <c r="O629" s="32">
        <v>189.02</v>
      </c>
      <c r="P629" s="32">
        <v>189.02</v>
      </c>
      <c r="Q629" s="32">
        <v>236.2799000000001</v>
      </c>
      <c r="R629" s="32">
        <v>236.2799000000001</v>
      </c>
      <c r="S629" s="32">
        <v>6615.715270749442</v>
      </c>
      <c r="T629" s="32">
        <v>6569.939727913522</v>
      </c>
      <c r="U629" s="32">
        <v>1058.514443319911</v>
      </c>
      <c r="V629" s="32">
        <v>1051.190356466164</v>
      </c>
      <c r="W629" s="32">
        <v>7674.229714069354</v>
      </c>
      <c r="X629" s="32">
        <v>7621.130084379685</v>
      </c>
      <c r="Y629" s="32">
        <v>9451.196000000002</v>
      </c>
      <c r="Z629" s="32">
        <v>2883.85919866296</v>
      </c>
      <c r="AA629" s="32">
        <v>378.04</v>
      </c>
      <c r="AB629" s="32">
        <v>472.5598000000001</v>
      </c>
      <c r="AC629" s="33">
        <v>13185.65499866297</v>
      </c>
      <c r="AD629" s="32">
        <v>2109.704799786075</v>
      </c>
      <c r="AE629" s="32">
        <v>15295.35979844904</v>
      </c>
      <c r="AF629" s="32">
        <v>13185.65499866297</v>
      </c>
    </row>
    <row r="630">
      <c r="A630" s="28" t="s">
        <v>279</v>
      </c>
      <c r="B630" s="28"/>
      <c r="D630" s="28" t="str">
        <f t="shared" si="1"/>
        <v>SI</v>
      </c>
      <c r="F630" s="31" t="s">
        <v>186</v>
      </c>
      <c r="G630" s="31" t="s">
        <v>580</v>
      </c>
      <c r="H630" s="31" t="s">
        <v>584</v>
      </c>
      <c r="I630" s="31" t="s">
        <v>394</v>
      </c>
      <c r="J630" s="31" t="s">
        <v>394</v>
      </c>
      <c r="K630" s="32">
        <v>5999.998000000001</v>
      </c>
      <c r="L630" s="32">
        <v>5999.998000000001</v>
      </c>
      <c r="M630" s="32">
        <v>1461.93801604352</v>
      </c>
      <c r="N630" s="32">
        <v>1416.25245304216</v>
      </c>
      <c r="O630" s="32">
        <v>189.02</v>
      </c>
      <c r="P630" s="32">
        <v>189.02</v>
      </c>
      <c r="Q630" s="32">
        <v>299.9999</v>
      </c>
      <c r="R630" s="32">
        <v>299.9999</v>
      </c>
      <c r="S630" s="32">
        <v>7950.95591604352</v>
      </c>
      <c r="T630" s="32">
        <v>7905.27035304216</v>
      </c>
      <c r="U630" s="32">
        <v>1272.152946566963</v>
      </c>
      <c r="V630" s="32">
        <v>1264.843256486746</v>
      </c>
      <c r="W630" s="32">
        <v>9223.108862610483</v>
      </c>
      <c r="X630" s="32">
        <v>9170.113609528906</v>
      </c>
      <c r="Y630" s="32">
        <v>11999.996</v>
      </c>
      <c r="Z630" s="32">
        <v>2878.19046908568</v>
      </c>
      <c r="AA630" s="32">
        <v>378.04</v>
      </c>
      <c r="AB630" s="32">
        <v>599.9998</v>
      </c>
      <c r="AC630" s="33">
        <v>15856.22626908568</v>
      </c>
      <c r="AD630" s="32">
        <v>2536.996203053709</v>
      </c>
      <c r="AE630" s="32">
        <v>18393.22247213939</v>
      </c>
      <c r="AF630" s="32">
        <v>15856.22626908568</v>
      </c>
    </row>
    <row r="631">
      <c r="A631" s="28" t="s">
        <v>94</v>
      </c>
      <c r="B631" s="28"/>
      <c r="D631" s="28" t="str">
        <f t="shared" si="1"/>
        <v>SI</v>
      </c>
      <c r="F631" s="31" t="s">
        <v>190</v>
      </c>
      <c r="G631" s="31" t="s">
        <v>580</v>
      </c>
      <c r="H631" s="31" t="s">
        <v>602</v>
      </c>
      <c r="I631" s="31" t="s">
        <v>530</v>
      </c>
      <c r="J631" s="31" t="s">
        <v>530</v>
      </c>
      <c r="K631" s="32">
        <v>14750.0</v>
      </c>
      <c r="L631" s="32">
        <v>14750.0</v>
      </c>
      <c r="M631" s="32">
        <v>0.0</v>
      </c>
      <c r="N631" s="32">
        <v>0.0</v>
      </c>
      <c r="O631" s="32">
        <v>0.0</v>
      </c>
      <c r="P631" s="32">
        <v>0.0</v>
      </c>
      <c r="Q631" s="32">
        <v>737.5</v>
      </c>
      <c r="R631" s="32">
        <v>737.5</v>
      </c>
      <c r="S631" s="32">
        <v>15487.5</v>
      </c>
      <c r="T631" s="32">
        <v>15487.5</v>
      </c>
      <c r="U631" s="32">
        <v>2478.0</v>
      </c>
      <c r="V631" s="32">
        <v>2478.0</v>
      </c>
      <c r="W631" s="32">
        <v>17965.5</v>
      </c>
      <c r="X631" s="32">
        <v>17965.5</v>
      </c>
      <c r="Y631" s="32">
        <v>29500.0</v>
      </c>
      <c r="Z631" s="32">
        <v>0.0</v>
      </c>
      <c r="AA631" s="32">
        <v>0.0</v>
      </c>
      <c r="AB631" s="32">
        <v>1475.0</v>
      </c>
      <c r="AC631" s="33">
        <v>30975.0</v>
      </c>
      <c r="AD631" s="32">
        <v>4956.0</v>
      </c>
      <c r="AE631" s="32">
        <v>35931.0</v>
      </c>
      <c r="AF631" s="32">
        <v>30975.0</v>
      </c>
    </row>
    <row r="632">
      <c r="A632" s="28" t="s">
        <v>116</v>
      </c>
      <c r="B632" s="28"/>
      <c r="D632" s="28" t="str">
        <f t="shared" si="1"/>
        <v>SI</v>
      </c>
      <c r="F632" s="31" t="s">
        <v>192</v>
      </c>
      <c r="G632" s="31" t="s">
        <v>580</v>
      </c>
      <c r="H632" s="31" t="s">
        <v>584</v>
      </c>
      <c r="I632" s="31" t="s">
        <v>631</v>
      </c>
      <c r="J632" s="31" t="s">
        <v>633</v>
      </c>
      <c r="K632" s="32">
        <v>6499.998000000001</v>
      </c>
      <c r="L632" s="32">
        <v>6499.998000000001</v>
      </c>
      <c r="M632" s="32">
        <v>1464.81737074944</v>
      </c>
      <c r="N632" s="32">
        <v>1419.04182791352</v>
      </c>
      <c r="O632" s="32">
        <v>189.02</v>
      </c>
      <c r="P632" s="32">
        <v>189.02</v>
      </c>
      <c r="Q632" s="32">
        <v>324.9999</v>
      </c>
      <c r="R632" s="32">
        <v>324.9999</v>
      </c>
      <c r="S632" s="32">
        <v>8478.835270749441</v>
      </c>
      <c r="T632" s="32">
        <v>8433.05972791352</v>
      </c>
      <c r="U632" s="32">
        <v>1356.613643319911</v>
      </c>
      <c r="V632" s="32">
        <v>1349.289556466163</v>
      </c>
      <c r="W632" s="32">
        <v>9835.448914069351</v>
      </c>
      <c r="X632" s="32">
        <v>9782.349284379683</v>
      </c>
      <c r="Y632" s="32">
        <v>12999.996</v>
      </c>
      <c r="Z632" s="32">
        <v>2883.85919866296</v>
      </c>
      <c r="AA632" s="32">
        <v>378.04</v>
      </c>
      <c r="AB632" s="32">
        <v>649.9998</v>
      </c>
      <c r="AC632" s="33">
        <v>16911.89499866296</v>
      </c>
      <c r="AD632" s="32">
        <v>2705.903199786074</v>
      </c>
      <c r="AE632" s="32">
        <v>19617.79819844903</v>
      </c>
      <c r="AF632" s="32">
        <v>16911.89499866296</v>
      </c>
    </row>
    <row r="633">
      <c r="A633" s="28" t="s">
        <v>179</v>
      </c>
      <c r="B633" s="28"/>
      <c r="D633" s="28" t="str">
        <f t="shared" si="1"/>
        <v>SI</v>
      </c>
      <c r="F633" s="31" t="s">
        <v>195</v>
      </c>
      <c r="G633" s="31" t="s">
        <v>580</v>
      </c>
      <c r="H633" s="31" t="s">
        <v>584</v>
      </c>
      <c r="I633" s="31" t="s">
        <v>394</v>
      </c>
      <c r="J633" s="31" t="s">
        <v>394</v>
      </c>
      <c r="K633" s="32">
        <v>7999.998000000001</v>
      </c>
      <c r="L633" s="32">
        <v>7999.998000000001</v>
      </c>
      <c r="M633" s="32">
        <v>1469.03356871168</v>
      </c>
      <c r="N633" s="32">
        <v>1423.12626968944</v>
      </c>
      <c r="O633" s="32">
        <v>189.02</v>
      </c>
      <c r="P633" s="32">
        <v>189.02</v>
      </c>
      <c r="Q633" s="32">
        <v>399.9999</v>
      </c>
      <c r="R633" s="32">
        <v>399.9999</v>
      </c>
      <c r="S633" s="32">
        <v>10058.05146871168</v>
      </c>
      <c r="T633" s="32">
        <v>10012.14416968944</v>
      </c>
      <c r="U633" s="32">
        <v>1609.288234993869</v>
      </c>
      <c r="V633" s="32">
        <v>1601.943067150311</v>
      </c>
      <c r="W633" s="32">
        <v>11667.33970370555</v>
      </c>
      <c r="X633" s="32">
        <v>11614.08723683975</v>
      </c>
      <c r="Y633" s="32">
        <v>15999.996</v>
      </c>
      <c r="Z633" s="32">
        <v>2892.15983840112</v>
      </c>
      <c r="AA633" s="32">
        <v>378.04</v>
      </c>
      <c r="AB633" s="32">
        <v>799.9998</v>
      </c>
      <c r="AC633" s="33">
        <v>20070.19563840112</v>
      </c>
      <c r="AD633" s="32">
        <v>3211.23130214418</v>
      </c>
      <c r="AE633" s="32">
        <v>23281.4269405453</v>
      </c>
      <c r="AF633" s="32">
        <v>20070.19563840112</v>
      </c>
    </row>
    <row r="634">
      <c r="A634" s="28" t="s">
        <v>160</v>
      </c>
      <c r="B634" s="28"/>
      <c r="D634" s="28" t="str">
        <f t="shared" si="1"/>
        <v>SI</v>
      </c>
      <c r="F634" s="31" t="s">
        <v>197</v>
      </c>
      <c r="G634" s="31" t="s">
        <v>580</v>
      </c>
      <c r="H634" s="31" t="s">
        <v>588</v>
      </c>
      <c r="I634" s="31" t="s">
        <v>629</v>
      </c>
      <c r="J634" s="31" t="s">
        <v>629</v>
      </c>
      <c r="K634" s="32">
        <v>6499.998000000001</v>
      </c>
      <c r="L634" s="32">
        <v>6499.998000000001</v>
      </c>
      <c r="M634" s="32">
        <v>1464.81737074944</v>
      </c>
      <c r="N634" s="32">
        <v>1419.04182791352</v>
      </c>
      <c r="O634" s="32">
        <v>189.02</v>
      </c>
      <c r="P634" s="32">
        <v>189.02</v>
      </c>
      <c r="Q634" s="32">
        <v>324.9999</v>
      </c>
      <c r="R634" s="32">
        <v>324.9999</v>
      </c>
      <c r="S634" s="32">
        <v>8478.835270749441</v>
      </c>
      <c r="T634" s="32">
        <v>8433.05972791352</v>
      </c>
      <c r="U634" s="32">
        <v>1356.613643319911</v>
      </c>
      <c r="V634" s="32">
        <v>1349.289556466163</v>
      </c>
      <c r="W634" s="32">
        <v>9835.448914069351</v>
      </c>
      <c r="X634" s="32">
        <v>9782.349284379683</v>
      </c>
      <c r="Y634" s="32">
        <v>12999.996</v>
      </c>
      <c r="Z634" s="32">
        <v>2883.85919866296</v>
      </c>
      <c r="AA634" s="32">
        <v>378.04</v>
      </c>
      <c r="AB634" s="32">
        <v>649.9998</v>
      </c>
      <c r="AC634" s="33">
        <v>16911.89499866296</v>
      </c>
      <c r="AD634" s="32">
        <v>2705.903199786074</v>
      </c>
      <c r="AE634" s="32">
        <v>19617.79819844903</v>
      </c>
      <c r="AF634" s="32">
        <v>16911.89499866296</v>
      </c>
    </row>
    <row r="635">
      <c r="A635" s="28" t="s">
        <v>167</v>
      </c>
      <c r="B635" s="28"/>
      <c r="D635" s="28" t="str">
        <f t="shared" si="1"/>
        <v>SI</v>
      </c>
      <c r="F635" s="31" t="s">
        <v>200</v>
      </c>
      <c r="G635" s="31" t="s">
        <v>580</v>
      </c>
      <c r="H635" s="31" t="s">
        <v>588</v>
      </c>
      <c r="I635" s="31" t="s">
        <v>593</v>
      </c>
      <c r="J635" s="31" t="s">
        <v>594</v>
      </c>
      <c r="K635" s="32">
        <v>7499.998000000001</v>
      </c>
      <c r="L635" s="32">
        <v>7499.998</v>
      </c>
      <c r="M635" s="32">
        <v>1469.03356871168</v>
      </c>
      <c r="N635" s="32">
        <v>1423.12626968944</v>
      </c>
      <c r="O635" s="32">
        <v>189.02</v>
      </c>
      <c r="P635" s="32">
        <v>189.02</v>
      </c>
      <c r="Q635" s="32">
        <v>374.9999</v>
      </c>
      <c r="R635" s="32">
        <v>374.9999</v>
      </c>
      <c r="S635" s="32">
        <v>9533.051468711681</v>
      </c>
      <c r="T635" s="32">
        <v>9487.14416968944</v>
      </c>
      <c r="U635" s="32">
        <v>1525.288234993869</v>
      </c>
      <c r="V635" s="32">
        <v>1517.94306715031</v>
      </c>
      <c r="W635" s="32">
        <v>11058.33970370555</v>
      </c>
      <c r="X635" s="32">
        <v>11005.08723683975</v>
      </c>
      <c r="Y635" s="32">
        <v>14999.996</v>
      </c>
      <c r="Z635" s="32">
        <v>2892.15983840112</v>
      </c>
      <c r="AA635" s="32">
        <v>378.04</v>
      </c>
      <c r="AB635" s="32">
        <v>749.9998</v>
      </c>
      <c r="AC635" s="33">
        <v>19020.19563840112</v>
      </c>
      <c r="AD635" s="32">
        <v>3043.23130214418</v>
      </c>
      <c r="AE635" s="32">
        <v>22063.4269405453</v>
      </c>
      <c r="AF635" s="32">
        <v>19020.19563840112</v>
      </c>
    </row>
    <row r="636">
      <c r="A636" s="28" t="s">
        <v>91</v>
      </c>
      <c r="B636" s="28"/>
      <c r="D636" s="28" t="str">
        <f t="shared" si="1"/>
        <v>SI</v>
      </c>
      <c r="F636" s="31" t="s">
        <v>202</v>
      </c>
      <c r="G636" s="31" t="s">
        <v>580</v>
      </c>
      <c r="H636" s="31" t="s">
        <v>604</v>
      </c>
      <c r="I636" s="31" t="s">
        <v>530</v>
      </c>
      <c r="J636" s="31" t="s">
        <v>530</v>
      </c>
      <c r="K636" s="32">
        <v>17499.998</v>
      </c>
      <c r="L636" s="32">
        <v>17499.998</v>
      </c>
      <c r="M636" s="32">
        <v>1787.71945228224</v>
      </c>
      <c r="N636" s="32">
        <v>1731.85321939842</v>
      </c>
      <c r="O636" s="32">
        <v>189.02</v>
      </c>
      <c r="P636" s="32">
        <v>189.02</v>
      </c>
      <c r="Q636" s="32">
        <v>874.9999</v>
      </c>
      <c r="R636" s="32">
        <v>874.9999</v>
      </c>
      <c r="S636" s="32">
        <v>20351.73735228224</v>
      </c>
      <c r="T636" s="32">
        <v>20295.87111939842</v>
      </c>
      <c r="U636" s="32">
        <v>3256.277976365158</v>
      </c>
      <c r="V636" s="32">
        <v>3247.339379103747</v>
      </c>
      <c r="W636" s="32">
        <v>23608.0153286474</v>
      </c>
      <c r="X636" s="32">
        <v>23543.21049850217</v>
      </c>
      <c r="Y636" s="32">
        <v>34999.996</v>
      </c>
      <c r="Z636" s="32">
        <v>3519.57267168066</v>
      </c>
      <c r="AA636" s="32">
        <v>378.04</v>
      </c>
      <c r="AB636" s="32">
        <v>1749.9998</v>
      </c>
      <c r="AC636" s="33">
        <v>40647.60847168066</v>
      </c>
      <c r="AD636" s="32">
        <v>6503.617355468906</v>
      </c>
      <c r="AE636" s="32">
        <v>47151.22582714957</v>
      </c>
      <c r="AF636" s="32">
        <v>40647.60847168066</v>
      </c>
    </row>
    <row r="637">
      <c r="A637" s="28" t="s">
        <v>256</v>
      </c>
      <c r="B637" s="28"/>
      <c r="D637" s="28" t="str">
        <f t="shared" si="1"/>
        <v>SI</v>
      </c>
      <c r="F637" s="31" t="s">
        <v>204</v>
      </c>
      <c r="G637" s="31" t="s">
        <v>627</v>
      </c>
      <c r="H637" s="31" t="s">
        <v>581</v>
      </c>
      <c r="I637" s="31" t="s">
        <v>603</v>
      </c>
      <c r="J637" s="31" t="s">
        <v>634</v>
      </c>
      <c r="K637" s="32">
        <v>7499.998000000001</v>
      </c>
      <c r="L637" s="32">
        <v>7499.998000000001</v>
      </c>
      <c r="M637" s="32">
        <v>1463.37769339648</v>
      </c>
      <c r="N637" s="32">
        <v>1417.64714047784</v>
      </c>
      <c r="O637" s="32">
        <v>189.02</v>
      </c>
      <c r="P637" s="32">
        <v>189.02</v>
      </c>
      <c r="Q637" s="32">
        <v>374.9999</v>
      </c>
      <c r="R637" s="32">
        <v>374.9999</v>
      </c>
      <c r="S637" s="32">
        <v>9527.39559339648</v>
      </c>
      <c r="T637" s="32">
        <v>9481.665040477841</v>
      </c>
      <c r="U637" s="32">
        <v>1524.383294943437</v>
      </c>
      <c r="V637" s="32">
        <v>1517.066406476455</v>
      </c>
      <c r="W637" s="32">
        <v>11051.77888833992</v>
      </c>
      <c r="X637" s="32">
        <v>10998.7314469543</v>
      </c>
      <c r="Y637" s="32">
        <v>14999.996</v>
      </c>
      <c r="Z637" s="32">
        <v>2881.02483387432</v>
      </c>
      <c r="AA637" s="32">
        <v>378.04</v>
      </c>
      <c r="AB637" s="32">
        <v>749.9998</v>
      </c>
      <c r="AC637" s="33">
        <v>19009.06063387432</v>
      </c>
      <c r="AD637" s="32">
        <v>3041.449701419891</v>
      </c>
      <c r="AE637" s="32">
        <v>22050.51033529421</v>
      </c>
      <c r="AF637" s="32">
        <v>19009.06063387432</v>
      </c>
    </row>
    <row r="638">
      <c r="A638" s="28" t="s">
        <v>260</v>
      </c>
      <c r="B638" s="28"/>
      <c r="D638" s="28" t="str">
        <f t="shared" si="1"/>
        <v>SI</v>
      </c>
      <c r="F638" s="31" t="s">
        <v>206</v>
      </c>
      <c r="G638" s="31" t="s">
        <v>576</v>
      </c>
      <c r="H638" s="31" t="s">
        <v>577</v>
      </c>
      <c r="I638" s="31"/>
      <c r="J638" s="31" t="s">
        <v>610</v>
      </c>
      <c r="K638" s="32">
        <v>107.36</v>
      </c>
      <c r="L638" s="32">
        <v>2024.4</v>
      </c>
      <c r="M638" s="32">
        <v>0.0</v>
      </c>
      <c r="N638" s="32">
        <v>0.0</v>
      </c>
      <c r="O638" s="32">
        <v>0.0</v>
      </c>
      <c r="P638" s="32">
        <v>0.0</v>
      </c>
      <c r="Q638" s="32">
        <v>5.368</v>
      </c>
      <c r="R638" s="32">
        <v>101.22</v>
      </c>
      <c r="S638" s="32">
        <v>112.728</v>
      </c>
      <c r="T638" s="32">
        <v>2125.62</v>
      </c>
      <c r="U638" s="32">
        <v>18.03648</v>
      </c>
      <c r="V638" s="32">
        <v>340.0992</v>
      </c>
      <c r="W638" s="32">
        <v>130.76448</v>
      </c>
      <c r="X638" s="32">
        <v>2465.7192</v>
      </c>
      <c r="Y638" s="32">
        <v>2131.76</v>
      </c>
      <c r="Z638" s="32">
        <v>0.0</v>
      </c>
      <c r="AA638" s="32">
        <v>0.0</v>
      </c>
      <c r="AB638" s="32">
        <v>106.588</v>
      </c>
      <c r="AC638" s="33">
        <v>2238.348</v>
      </c>
      <c r="AD638" s="32">
        <v>358.13568</v>
      </c>
      <c r="AE638" s="32">
        <v>2596.48368</v>
      </c>
      <c r="AF638" s="32">
        <v>2238.348</v>
      </c>
    </row>
    <row r="639">
      <c r="A639" s="28" t="s">
        <v>96</v>
      </c>
      <c r="B639" s="28"/>
      <c r="D639" s="28" t="str">
        <f t="shared" si="1"/>
        <v>SI</v>
      </c>
      <c r="F639" s="31" t="s">
        <v>208</v>
      </c>
      <c r="G639" s="31" t="s">
        <v>576</v>
      </c>
      <c r="H639" s="31" t="s">
        <v>581</v>
      </c>
      <c r="I639" s="31" t="s">
        <v>603</v>
      </c>
      <c r="J639" s="31" t="s">
        <v>635</v>
      </c>
      <c r="K639" s="32">
        <v>7499.998000000001</v>
      </c>
      <c r="L639" s="32">
        <v>7499.998000000001</v>
      </c>
      <c r="M639" s="32">
        <v>1461.93801604352</v>
      </c>
      <c r="N639" s="32">
        <v>1416.25245304216</v>
      </c>
      <c r="O639" s="32">
        <v>189.02</v>
      </c>
      <c r="P639" s="32">
        <v>189.02</v>
      </c>
      <c r="Q639" s="32">
        <v>374.9999</v>
      </c>
      <c r="R639" s="32">
        <v>374.9999</v>
      </c>
      <c r="S639" s="32">
        <v>9525.95591604352</v>
      </c>
      <c r="T639" s="32">
        <v>9480.27035304216</v>
      </c>
      <c r="U639" s="32">
        <v>1524.152946566963</v>
      </c>
      <c r="V639" s="32">
        <v>1516.843256486746</v>
      </c>
      <c r="W639" s="32">
        <v>11050.10886261048</v>
      </c>
      <c r="X639" s="32">
        <v>10997.11360952891</v>
      </c>
      <c r="Y639" s="32">
        <v>14999.996</v>
      </c>
      <c r="Z639" s="32">
        <v>2878.19046908568</v>
      </c>
      <c r="AA639" s="32">
        <v>378.04</v>
      </c>
      <c r="AB639" s="32">
        <v>749.9998</v>
      </c>
      <c r="AC639" s="33">
        <v>19006.22626908568</v>
      </c>
      <c r="AD639" s="32">
        <v>3040.996203053709</v>
      </c>
      <c r="AE639" s="32">
        <v>22047.22247213939</v>
      </c>
      <c r="AF639" s="32">
        <v>19006.22626908568</v>
      </c>
    </row>
    <row r="640">
      <c r="A640" s="28" t="s">
        <v>335</v>
      </c>
      <c r="B640" s="28"/>
      <c r="D640" s="28" t="str">
        <f t="shared" si="1"/>
        <v>SI</v>
      </c>
      <c r="F640" s="31" t="s">
        <v>210</v>
      </c>
      <c r="G640" s="31" t="s">
        <v>576</v>
      </c>
      <c r="H640" s="31" t="s">
        <v>577</v>
      </c>
      <c r="I640" s="31"/>
      <c r="J640" s="31" t="s">
        <v>610</v>
      </c>
      <c r="K640" s="32">
        <v>2274.4</v>
      </c>
      <c r="L640" s="32">
        <v>1786.4</v>
      </c>
      <c r="M640" s="32">
        <v>0.0</v>
      </c>
      <c r="N640" s="32">
        <v>0.0</v>
      </c>
      <c r="O640" s="32">
        <v>0.0</v>
      </c>
      <c r="P640" s="32">
        <v>0.0</v>
      </c>
      <c r="Q640" s="32">
        <v>113.72</v>
      </c>
      <c r="R640" s="32">
        <v>89.32000000000001</v>
      </c>
      <c r="S640" s="32">
        <v>2388.12</v>
      </c>
      <c r="T640" s="32">
        <v>1875.72</v>
      </c>
      <c r="U640" s="32">
        <v>382.0992</v>
      </c>
      <c r="V640" s="32">
        <v>300.1152</v>
      </c>
      <c r="W640" s="32">
        <v>2770.2192</v>
      </c>
      <c r="X640" s="32">
        <v>2175.8352</v>
      </c>
      <c r="Y640" s="32">
        <v>4060.8</v>
      </c>
      <c r="Z640" s="32">
        <v>0.0</v>
      </c>
      <c r="AA640" s="32">
        <v>0.0</v>
      </c>
      <c r="AB640" s="32">
        <v>203.04</v>
      </c>
      <c r="AC640" s="33">
        <v>4263.84</v>
      </c>
      <c r="AD640" s="32">
        <v>682.2144000000001</v>
      </c>
      <c r="AE640" s="32">
        <v>4946.0544</v>
      </c>
      <c r="AF640" s="32">
        <v>4263.84</v>
      </c>
    </row>
    <row r="641">
      <c r="A641" s="28" t="s">
        <v>162</v>
      </c>
      <c r="B641" s="28"/>
      <c r="D641" s="28" t="str">
        <f t="shared" si="1"/>
        <v>SI</v>
      </c>
      <c r="F641" s="31" t="s">
        <v>212</v>
      </c>
      <c r="G641" s="31" t="s">
        <v>580</v>
      </c>
      <c r="H641" s="31" t="s">
        <v>602</v>
      </c>
      <c r="I641" s="31" t="s">
        <v>587</v>
      </c>
      <c r="J641" s="31" t="s">
        <v>636</v>
      </c>
      <c r="K641" s="32">
        <v>3500.0</v>
      </c>
      <c r="L641" s="32">
        <v>3500.0</v>
      </c>
      <c r="M641" s="32">
        <v>0.0</v>
      </c>
      <c r="N641" s="32">
        <v>0.0</v>
      </c>
      <c r="O641" s="32">
        <v>0.0</v>
      </c>
      <c r="P641" s="32">
        <v>0.0</v>
      </c>
      <c r="Q641" s="32">
        <v>175.0</v>
      </c>
      <c r="R641" s="32">
        <v>175.0</v>
      </c>
      <c r="S641" s="32">
        <v>3675.0</v>
      </c>
      <c r="T641" s="32">
        <v>3675.0</v>
      </c>
      <c r="U641" s="32">
        <v>588.0</v>
      </c>
      <c r="V641" s="32">
        <v>588.0</v>
      </c>
      <c r="W641" s="32">
        <v>4263.0</v>
      </c>
      <c r="X641" s="32">
        <v>4263.0</v>
      </c>
      <c r="Y641" s="32">
        <v>7000.0</v>
      </c>
      <c r="Z641" s="32">
        <v>0.0</v>
      </c>
      <c r="AA641" s="32">
        <v>0.0</v>
      </c>
      <c r="AB641" s="32">
        <v>350.0</v>
      </c>
      <c r="AC641" s="33">
        <v>7350.0</v>
      </c>
      <c r="AD641" s="32">
        <v>1176.0</v>
      </c>
      <c r="AE641" s="32">
        <v>8526.0</v>
      </c>
      <c r="AF641" s="32">
        <v>7350.0</v>
      </c>
    </row>
    <row r="642">
      <c r="A642" s="28" t="s">
        <v>250</v>
      </c>
      <c r="B642" s="28"/>
      <c r="D642" s="28" t="str">
        <f t="shared" si="1"/>
        <v>SI</v>
      </c>
      <c r="F642" s="31" t="s">
        <v>637</v>
      </c>
      <c r="G642" s="31" t="s">
        <v>580</v>
      </c>
      <c r="H642" s="31" t="s">
        <v>588</v>
      </c>
      <c r="I642" s="31"/>
      <c r="J642" s="31" t="s">
        <v>638</v>
      </c>
      <c r="K642" s="32">
        <v>34999.998</v>
      </c>
      <c r="L642" s="32">
        <v>34999.998</v>
      </c>
      <c r="M642" s="32">
        <v>1461.93801604352</v>
      </c>
      <c r="N642" s="32">
        <v>1416.25245304216</v>
      </c>
      <c r="O642" s="32">
        <v>189.02</v>
      </c>
      <c r="P642" s="32">
        <v>189.02</v>
      </c>
      <c r="Q642" s="32">
        <v>1749.9999</v>
      </c>
      <c r="R642" s="32">
        <v>1749.9999</v>
      </c>
      <c r="S642" s="32">
        <v>38400.95591604352</v>
      </c>
      <c r="T642" s="32">
        <v>38355.27035304216</v>
      </c>
      <c r="U642" s="32">
        <v>6144.152946566963</v>
      </c>
      <c r="V642" s="32">
        <v>6136.843256486745</v>
      </c>
      <c r="W642" s="32">
        <v>44545.10886261048</v>
      </c>
      <c r="X642" s="32">
        <v>44492.1136095289</v>
      </c>
      <c r="Y642" s="32">
        <v>69999.996</v>
      </c>
      <c r="Z642" s="32">
        <v>2878.19046908568</v>
      </c>
      <c r="AA642" s="32">
        <v>378.04</v>
      </c>
      <c r="AB642" s="32">
        <v>3499.9998</v>
      </c>
      <c r="AC642" s="33">
        <v>76756.22626908567</v>
      </c>
      <c r="AD642" s="32">
        <v>12280.99620305371</v>
      </c>
      <c r="AE642" s="32">
        <v>89037.22247213937</v>
      </c>
      <c r="AF642" s="32">
        <v>76756.22626908567</v>
      </c>
    </row>
    <row r="643">
      <c r="A643" s="28" t="s">
        <v>242</v>
      </c>
      <c r="B643" s="28"/>
      <c r="D643" s="28" t="str">
        <f t="shared" si="1"/>
        <v>SI</v>
      </c>
      <c r="F643" s="31" t="s">
        <v>214</v>
      </c>
      <c r="G643" s="31" t="s">
        <v>580</v>
      </c>
      <c r="H643" s="31" t="s">
        <v>596</v>
      </c>
      <c r="I643" s="31" t="s">
        <v>623</v>
      </c>
      <c r="J643" s="31" t="s">
        <v>639</v>
      </c>
      <c r="K643" s="32">
        <v>4725.598000000001</v>
      </c>
      <c r="L643" s="32">
        <v>4725.598000000001</v>
      </c>
      <c r="M643" s="32">
        <v>1461.93801604352</v>
      </c>
      <c r="N643" s="32">
        <v>1416.25245304216</v>
      </c>
      <c r="O643" s="32">
        <v>189.02</v>
      </c>
      <c r="P643" s="32">
        <v>189.02</v>
      </c>
      <c r="Q643" s="32">
        <v>236.2799000000001</v>
      </c>
      <c r="R643" s="32">
        <v>236.2799000000001</v>
      </c>
      <c r="S643" s="32">
        <v>6612.835916043521</v>
      </c>
      <c r="T643" s="32">
        <v>6567.150353042161</v>
      </c>
      <c r="U643" s="32">
        <v>1058.053746566963</v>
      </c>
      <c r="V643" s="32">
        <v>1050.744056486746</v>
      </c>
      <c r="W643" s="32">
        <v>7670.889662610484</v>
      </c>
      <c r="X643" s="32">
        <v>7617.894409528907</v>
      </c>
      <c r="Y643" s="32">
        <v>9451.196000000002</v>
      </c>
      <c r="Z643" s="32">
        <v>2878.19046908568</v>
      </c>
      <c r="AA643" s="32">
        <v>378.04</v>
      </c>
      <c r="AB643" s="32">
        <v>472.5598000000001</v>
      </c>
      <c r="AC643" s="33">
        <v>13179.98626908568</v>
      </c>
      <c r="AD643" s="32">
        <v>2108.797803053709</v>
      </c>
      <c r="AE643" s="32">
        <v>15288.78407213939</v>
      </c>
      <c r="AF643" s="32">
        <v>13179.98626908568</v>
      </c>
    </row>
    <row r="644">
      <c r="A644" s="28" t="s">
        <v>241</v>
      </c>
      <c r="B644" s="28"/>
      <c r="D644" s="28" t="str">
        <f t="shared" si="1"/>
        <v>SI</v>
      </c>
      <c r="F644" s="31" t="s">
        <v>640</v>
      </c>
      <c r="G644" s="31" t="s">
        <v>580</v>
      </c>
      <c r="H644" s="31" t="s">
        <v>584</v>
      </c>
      <c r="I644" s="31"/>
      <c r="J644" s="31" t="s">
        <v>641</v>
      </c>
      <c r="K644" s="32">
        <v>1599.9976</v>
      </c>
      <c r="L644" s="32">
        <v>7999.998000000001</v>
      </c>
      <c r="M644" s="32">
        <v>365.48450401088</v>
      </c>
      <c r="N644" s="32">
        <v>1416.25245304216</v>
      </c>
      <c r="O644" s="32">
        <v>37.8</v>
      </c>
      <c r="P644" s="32">
        <v>189.02</v>
      </c>
      <c r="Q644" s="32">
        <v>79.99988</v>
      </c>
      <c r="R644" s="32">
        <v>399.9999</v>
      </c>
      <c r="S644" s="32">
        <v>2083.28198401088</v>
      </c>
      <c r="T644" s="32">
        <v>10005.27035304216</v>
      </c>
      <c r="U644" s="32">
        <v>333.3251174417408</v>
      </c>
      <c r="V644" s="32">
        <v>1600.843256486746</v>
      </c>
      <c r="W644" s="32">
        <v>2416.607101452621</v>
      </c>
      <c r="X644" s="32">
        <v>11606.11360952891</v>
      </c>
      <c r="Y644" s="32">
        <v>9599.9956</v>
      </c>
      <c r="Z644" s="32">
        <v>1781.73695705304</v>
      </c>
      <c r="AA644" s="32">
        <v>226.82</v>
      </c>
      <c r="AB644" s="32">
        <v>479.99978</v>
      </c>
      <c r="AC644" s="33">
        <v>12088.55233705304</v>
      </c>
      <c r="AD644" s="32">
        <v>1934.168373928487</v>
      </c>
      <c r="AE644" s="32">
        <v>14022.72071098153</v>
      </c>
      <c r="AF644" s="32">
        <v>12088.55233705304</v>
      </c>
    </row>
    <row r="645">
      <c r="A645" s="28" t="s">
        <v>244</v>
      </c>
      <c r="B645" s="28"/>
      <c r="D645" s="28" t="str">
        <f t="shared" si="1"/>
        <v>SI</v>
      </c>
      <c r="F645" s="31" t="s">
        <v>218</v>
      </c>
      <c r="G645" s="31" t="s">
        <v>580</v>
      </c>
      <c r="H645" s="31" t="s">
        <v>584</v>
      </c>
      <c r="I645" s="31" t="s">
        <v>589</v>
      </c>
      <c r="J645" s="31" t="s">
        <v>590</v>
      </c>
      <c r="K645" s="32">
        <v>5999.998000000001</v>
      </c>
      <c r="L645" s="32">
        <v>5999.998000000001</v>
      </c>
      <c r="M645" s="32">
        <v>1463.37769339648</v>
      </c>
      <c r="N645" s="32">
        <v>1417.64714047784</v>
      </c>
      <c r="O645" s="32">
        <v>189.02</v>
      </c>
      <c r="P645" s="32">
        <v>189.02</v>
      </c>
      <c r="Q645" s="32">
        <v>299.9999</v>
      </c>
      <c r="R645" s="32">
        <v>299.9999</v>
      </c>
      <c r="S645" s="32">
        <v>7952.395593396481</v>
      </c>
      <c r="T645" s="32">
        <v>7906.665040477841</v>
      </c>
      <c r="U645" s="32">
        <v>1272.383294943437</v>
      </c>
      <c r="V645" s="32">
        <v>1265.066406476455</v>
      </c>
      <c r="W645" s="32">
        <v>9224.778888339917</v>
      </c>
      <c r="X645" s="32">
        <v>9171.731446954296</v>
      </c>
      <c r="Y645" s="32">
        <v>11999.996</v>
      </c>
      <c r="Z645" s="32">
        <v>2881.02483387432</v>
      </c>
      <c r="AA645" s="32">
        <v>378.04</v>
      </c>
      <c r="AB645" s="32">
        <v>599.9998</v>
      </c>
      <c r="AC645" s="33">
        <v>15859.06063387432</v>
      </c>
      <c r="AD645" s="32">
        <v>2537.449701419891</v>
      </c>
      <c r="AE645" s="32">
        <v>18396.51033529421</v>
      </c>
      <c r="AF645" s="32">
        <v>15859.06063387432</v>
      </c>
    </row>
    <row r="646">
      <c r="A646" s="28" t="s">
        <v>217</v>
      </c>
      <c r="B646" s="28"/>
      <c r="D646" s="28" t="str">
        <f t="shared" si="1"/>
        <v>SI</v>
      </c>
      <c r="F646" s="31" t="s">
        <v>220</v>
      </c>
      <c r="G646" s="31" t="s">
        <v>580</v>
      </c>
      <c r="H646" s="31" t="s">
        <v>602</v>
      </c>
      <c r="I646" s="31" t="s">
        <v>582</v>
      </c>
      <c r="J646" s="31" t="s">
        <v>582</v>
      </c>
      <c r="K646" s="32">
        <v>6250.0</v>
      </c>
      <c r="L646" s="32">
        <v>6250.0</v>
      </c>
      <c r="M646" s="32">
        <v>0.0</v>
      </c>
      <c r="N646" s="32">
        <v>0.0</v>
      </c>
      <c r="O646" s="32">
        <v>0.0</v>
      </c>
      <c r="P646" s="32">
        <v>0.0</v>
      </c>
      <c r="Q646" s="32">
        <v>312.5</v>
      </c>
      <c r="R646" s="32">
        <v>312.5</v>
      </c>
      <c r="S646" s="32">
        <v>6562.5</v>
      </c>
      <c r="T646" s="32">
        <v>6562.5</v>
      </c>
      <c r="U646" s="32">
        <v>1050.0</v>
      </c>
      <c r="V646" s="32">
        <v>1050.0</v>
      </c>
      <c r="W646" s="32">
        <v>7612.5</v>
      </c>
      <c r="X646" s="32">
        <v>7612.5</v>
      </c>
      <c r="Y646" s="32">
        <v>12500.0</v>
      </c>
      <c r="Z646" s="32">
        <v>0.0</v>
      </c>
      <c r="AA646" s="32">
        <v>0.0</v>
      </c>
      <c r="AB646" s="32">
        <v>625.0</v>
      </c>
      <c r="AC646" s="33">
        <v>13125.0</v>
      </c>
      <c r="AD646" s="32">
        <v>2100.0</v>
      </c>
      <c r="AE646" s="32">
        <v>15225.0</v>
      </c>
      <c r="AF646" s="32">
        <v>13125.0</v>
      </c>
    </row>
    <row r="647">
      <c r="A647" s="28" t="s">
        <v>75</v>
      </c>
      <c r="B647" s="28"/>
      <c r="D647" s="28" t="str">
        <f t="shared" si="1"/>
        <v>SI</v>
      </c>
      <c r="F647" s="31" t="s">
        <v>224</v>
      </c>
      <c r="G647" s="31" t="s">
        <v>576</v>
      </c>
      <c r="H647" s="31" t="s">
        <v>577</v>
      </c>
      <c r="I647" s="31"/>
      <c r="J647" s="31" t="s">
        <v>642</v>
      </c>
      <c r="K647" s="32">
        <v>0.0</v>
      </c>
      <c r="L647" s="31"/>
      <c r="M647" s="32">
        <v>1634.445086010934</v>
      </c>
      <c r="N647" s="31"/>
      <c r="O647" s="32">
        <v>0.0</v>
      </c>
      <c r="P647" s="31"/>
      <c r="Q647" s="32">
        <v>0.0</v>
      </c>
      <c r="R647" s="31"/>
      <c r="S647" s="32">
        <v>1634.445086010934</v>
      </c>
      <c r="T647" s="31"/>
      <c r="U647" s="32">
        <v>261.5112137617494</v>
      </c>
      <c r="V647" s="31"/>
      <c r="W647" s="32">
        <v>1895.956299772683</v>
      </c>
      <c r="X647" s="31"/>
      <c r="Y647" s="32">
        <v>0.0</v>
      </c>
      <c r="Z647" s="32">
        <v>1634.445086010934</v>
      </c>
      <c r="AA647" s="32">
        <v>0.0</v>
      </c>
      <c r="AB647" s="32">
        <v>0.0</v>
      </c>
      <c r="AC647" s="33">
        <v>1634.445086010934</v>
      </c>
      <c r="AD647" s="32">
        <v>261.5112137617494</v>
      </c>
      <c r="AE647" s="32">
        <v>1895.956299772683</v>
      </c>
      <c r="AF647" s="32">
        <v>1634.445086010934</v>
      </c>
    </row>
    <row r="648">
      <c r="A648" s="28" t="s">
        <v>70</v>
      </c>
      <c r="B648" s="28"/>
      <c r="D648" s="28" t="str">
        <f t="shared" si="1"/>
        <v>SI</v>
      </c>
      <c r="F648" s="31" t="s">
        <v>226</v>
      </c>
      <c r="G648" s="31" t="s">
        <v>580</v>
      </c>
      <c r="H648" s="31" t="s">
        <v>584</v>
      </c>
      <c r="I648" s="31" t="s">
        <v>589</v>
      </c>
      <c r="J648" s="31" t="s">
        <v>586</v>
      </c>
      <c r="K648" s="32">
        <v>9999.998</v>
      </c>
      <c r="L648" s="32">
        <v>9729.998</v>
      </c>
      <c r="M648" s="32">
        <v>1467.59389135872</v>
      </c>
      <c r="N648" s="32">
        <v>1421.73158225376</v>
      </c>
      <c r="O648" s="32">
        <v>189.02</v>
      </c>
      <c r="P648" s="32">
        <v>189.02</v>
      </c>
      <c r="Q648" s="32">
        <v>499.9999</v>
      </c>
      <c r="R648" s="32">
        <v>486.4999</v>
      </c>
      <c r="S648" s="32">
        <v>12156.61179135872</v>
      </c>
      <c r="T648" s="32">
        <v>11827.24948225376</v>
      </c>
      <c r="U648" s="32">
        <v>1945.057886617395</v>
      </c>
      <c r="V648" s="32">
        <v>1892.359917160602</v>
      </c>
      <c r="W648" s="32">
        <v>14101.66967797612</v>
      </c>
      <c r="X648" s="32">
        <v>13719.60939941436</v>
      </c>
      <c r="Y648" s="32">
        <v>19729.996</v>
      </c>
      <c r="Z648" s="32">
        <v>2889.32547361248</v>
      </c>
      <c r="AA648" s="32">
        <v>378.04</v>
      </c>
      <c r="AB648" s="32">
        <v>986.4998</v>
      </c>
      <c r="AC648" s="33">
        <v>23983.86127361248</v>
      </c>
      <c r="AD648" s="32">
        <v>3837.417803777997</v>
      </c>
      <c r="AE648" s="32">
        <v>27821.27907739048</v>
      </c>
      <c r="AF648" s="32">
        <v>23983.86127361248</v>
      </c>
    </row>
    <row r="649">
      <c r="A649" s="28" t="s">
        <v>135</v>
      </c>
      <c r="B649" s="28"/>
      <c r="D649" s="28" t="str">
        <f t="shared" si="1"/>
        <v>SI</v>
      </c>
      <c r="F649" s="31" t="s">
        <v>228</v>
      </c>
      <c r="G649" s="31" t="s">
        <v>580</v>
      </c>
      <c r="H649" s="31" t="s">
        <v>581</v>
      </c>
      <c r="I649" s="31" t="s">
        <v>589</v>
      </c>
      <c r="J649" s="31" t="s">
        <v>589</v>
      </c>
      <c r="K649" s="32">
        <v>34999.998</v>
      </c>
      <c r="L649" s="32">
        <v>34999.998</v>
      </c>
      <c r="M649" s="32">
        <v>1463.37769339648</v>
      </c>
      <c r="N649" s="32">
        <v>1417.64714047784</v>
      </c>
      <c r="O649" s="32">
        <v>189.02</v>
      </c>
      <c r="P649" s="32">
        <v>189.02</v>
      </c>
      <c r="Q649" s="32">
        <v>1749.9999</v>
      </c>
      <c r="R649" s="32">
        <v>1749.9999</v>
      </c>
      <c r="S649" s="32">
        <v>38402.39559339648</v>
      </c>
      <c r="T649" s="32">
        <v>38356.66504047784</v>
      </c>
      <c r="U649" s="32">
        <v>6144.383294943437</v>
      </c>
      <c r="V649" s="32">
        <v>6137.066406476455</v>
      </c>
      <c r="W649" s="32">
        <v>44546.77888833992</v>
      </c>
      <c r="X649" s="32">
        <v>44493.7314469543</v>
      </c>
      <c r="Y649" s="32">
        <v>69999.996</v>
      </c>
      <c r="Z649" s="32">
        <v>2881.02483387432</v>
      </c>
      <c r="AA649" s="32">
        <v>378.04</v>
      </c>
      <c r="AB649" s="32">
        <v>3499.9998</v>
      </c>
      <c r="AC649" s="33">
        <v>76759.06063387432</v>
      </c>
      <c r="AD649" s="32">
        <v>12281.44970141989</v>
      </c>
      <c r="AE649" s="32">
        <v>89040.51033529421</v>
      </c>
      <c r="AF649" s="32">
        <v>76759.06063387432</v>
      </c>
    </row>
    <row r="650">
      <c r="A650" s="28" t="s">
        <v>139</v>
      </c>
      <c r="B650" s="28"/>
      <c r="D650" s="28" t="str">
        <f t="shared" si="1"/>
        <v>SI</v>
      </c>
      <c r="F650" s="31" t="s">
        <v>230</v>
      </c>
      <c r="G650" s="31" t="s">
        <v>580</v>
      </c>
      <c r="H650" s="31" t="s">
        <v>588</v>
      </c>
      <c r="I650" s="31" t="s">
        <v>593</v>
      </c>
      <c r="J650" s="31" t="s">
        <v>594</v>
      </c>
      <c r="K650" s="32">
        <v>2774.4</v>
      </c>
      <c r="L650" s="32">
        <v>2774.4</v>
      </c>
      <c r="M650" s="32">
        <v>0.0</v>
      </c>
      <c r="N650" s="32">
        <v>0.0</v>
      </c>
      <c r="O650" s="32">
        <v>0.0</v>
      </c>
      <c r="P650" s="32">
        <v>0.0</v>
      </c>
      <c r="Q650" s="32">
        <v>138.72</v>
      </c>
      <c r="R650" s="32">
        <v>138.72</v>
      </c>
      <c r="S650" s="32">
        <v>2913.12</v>
      </c>
      <c r="T650" s="32">
        <v>2913.12</v>
      </c>
      <c r="U650" s="32">
        <v>466.0992</v>
      </c>
      <c r="V650" s="32">
        <v>466.0992</v>
      </c>
      <c r="W650" s="32">
        <v>3379.2192</v>
      </c>
      <c r="X650" s="32">
        <v>3379.2192</v>
      </c>
      <c r="Y650" s="32">
        <v>5548.8</v>
      </c>
      <c r="Z650" s="32">
        <v>0.0</v>
      </c>
      <c r="AA650" s="32">
        <v>0.0</v>
      </c>
      <c r="AB650" s="32">
        <v>277.44</v>
      </c>
      <c r="AC650" s="33">
        <v>5826.24</v>
      </c>
      <c r="AD650" s="32">
        <v>932.1984</v>
      </c>
      <c r="AE650" s="32">
        <v>6758.4384</v>
      </c>
      <c r="AF650" s="32">
        <v>5826.24</v>
      </c>
    </row>
    <row r="651">
      <c r="A651" s="28" t="s">
        <v>331</v>
      </c>
      <c r="B651" s="28"/>
      <c r="D651" s="28" t="str">
        <f t="shared" si="1"/>
        <v>SI</v>
      </c>
      <c r="F651" s="31" t="s">
        <v>232</v>
      </c>
      <c r="G651" s="31" t="s">
        <v>580</v>
      </c>
      <c r="H651" s="31" t="s">
        <v>577</v>
      </c>
      <c r="I651" s="31" t="s">
        <v>629</v>
      </c>
      <c r="J651" s="31" t="s">
        <v>629</v>
      </c>
      <c r="K651" s="32">
        <v>7999.998000000001</v>
      </c>
      <c r="L651" s="32">
        <v>7999.998000000001</v>
      </c>
      <c r="M651" s="32">
        <v>1482.706896029158</v>
      </c>
      <c r="N651" s="32">
        <v>1436.372305528247</v>
      </c>
      <c r="O651" s="32">
        <v>189.02</v>
      </c>
      <c r="P651" s="32">
        <v>189.02</v>
      </c>
      <c r="Q651" s="32">
        <v>399.9999</v>
      </c>
      <c r="R651" s="32">
        <v>399.9999</v>
      </c>
      <c r="S651" s="32">
        <v>10071.72479602916</v>
      </c>
      <c r="T651" s="32">
        <v>10025.39020552825</v>
      </c>
      <c r="U651" s="32">
        <v>1611.475967364665</v>
      </c>
      <c r="V651" s="32">
        <v>1604.062432884519</v>
      </c>
      <c r="W651" s="32">
        <v>11683.20076339382</v>
      </c>
      <c r="X651" s="32">
        <v>11629.45263841277</v>
      </c>
      <c r="Y651" s="32">
        <v>15999.996</v>
      </c>
      <c r="Z651" s="32">
        <v>2919.079201557405</v>
      </c>
      <c r="AA651" s="32">
        <v>378.04</v>
      </c>
      <c r="AB651" s="32">
        <v>799.9998</v>
      </c>
      <c r="AC651" s="33">
        <v>20097.11500155741</v>
      </c>
      <c r="AD651" s="32">
        <v>3215.538400249185</v>
      </c>
      <c r="AE651" s="32">
        <v>23312.65340180659</v>
      </c>
      <c r="AF651" s="32">
        <v>20097.11500155741</v>
      </c>
    </row>
    <row r="652">
      <c r="A652" s="28" t="s">
        <v>312</v>
      </c>
      <c r="B652" s="28"/>
      <c r="D652" s="28" t="str">
        <f t="shared" si="1"/>
        <v>SI</v>
      </c>
      <c r="F652" s="31" t="s">
        <v>237</v>
      </c>
      <c r="G652" s="31" t="s">
        <v>576</v>
      </c>
      <c r="H652" s="31" t="s">
        <v>577</v>
      </c>
      <c r="I652" s="31" t="s">
        <v>623</v>
      </c>
      <c r="J652" s="31" t="s">
        <v>610</v>
      </c>
      <c r="K652" s="32">
        <v>7499.998000000001</v>
      </c>
      <c r="L652" s="32">
        <v>7499.998000000001</v>
      </c>
      <c r="M652" s="32">
        <v>1482.706896029158</v>
      </c>
      <c r="N652" s="32">
        <v>1436.372305528247</v>
      </c>
      <c r="O652" s="32">
        <v>189.02</v>
      </c>
      <c r="P652" s="32">
        <v>189.02</v>
      </c>
      <c r="Q652" s="32">
        <v>374.9999</v>
      </c>
      <c r="R652" s="32">
        <v>374.9999</v>
      </c>
      <c r="S652" s="32">
        <v>9546.724796029159</v>
      </c>
      <c r="T652" s="32">
        <v>9500.390205528247</v>
      </c>
      <c r="U652" s="32">
        <v>1527.475967364665</v>
      </c>
      <c r="V652" s="32">
        <v>1520.062432884519</v>
      </c>
      <c r="W652" s="32">
        <v>11074.20076339382</v>
      </c>
      <c r="X652" s="32">
        <v>11020.45263841277</v>
      </c>
      <c r="Y652" s="32">
        <v>14999.996</v>
      </c>
      <c r="Z652" s="32">
        <v>2919.079201557405</v>
      </c>
      <c r="AA652" s="32">
        <v>378.04</v>
      </c>
      <c r="AB652" s="32">
        <v>749.9998</v>
      </c>
      <c r="AC652" s="33">
        <v>19047.11500155741</v>
      </c>
      <c r="AD652" s="32">
        <v>3047.538400249185</v>
      </c>
      <c r="AE652" s="32">
        <v>22094.65340180659</v>
      </c>
      <c r="AF652" s="32">
        <v>19047.11500155741</v>
      </c>
    </row>
    <row r="653">
      <c r="A653" s="28" t="s">
        <v>194</v>
      </c>
      <c r="B653" s="28"/>
      <c r="D653" s="28" t="str">
        <f t="shared" si="1"/>
        <v>SI</v>
      </c>
      <c r="F653" s="31" t="s">
        <v>243</v>
      </c>
      <c r="G653" s="31" t="s">
        <v>580</v>
      </c>
      <c r="H653" s="31" t="s">
        <v>604</v>
      </c>
      <c r="I653" s="31" t="s">
        <v>530</v>
      </c>
      <c r="J653" s="31" t="s">
        <v>530</v>
      </c>
      <c r="K653" s="32">
        <v>10867.998</v>
      </c>
      <c r="L653" s="32">
        <v>9904.088</v>
      </c>
      <c r="M653" s="32">
        <v>1785.85009817408</v>
      </c>
      <c r="N653" s="32">
        <v>1730.04228260614</v>
      </c>
      <c r="O653" s="32">
        <v>189.02</v>
      </c>
      <c r="P653" s="32">
        <v>189.02</v>
      </c>
      <c r="Q653" s="32">
        <v>543.3999</v>
      </c>
      <c r="R653" s="32">
        <v>495.2044</v>
      </c>
      <c r="S653" s="32">
        <v>13386.26799817408</v>
      </c>
      <c r="T653" s="32">
        <v>12318.35468260614</v>
      </c>
      <c r="U653" s="32">
        <v>2141.802879707853</v>
      </c>
      <c r="V653" s="32">
        <v>1970.936749216983</v>
      </c>
      <c r="W653" s="32">
        <v>15528.07087788193</v>
      </c>
      <c r="X653" s="32">
        <v>14289.29143182312</v>
      </c>
      <c r="Y653" s="32">
        <v>20772.086</v>
      </c>
      <c r="Z653" s="32">
        <v>3515.892380780221</v>
      </c>
      <c r="AA653" s="32">
        <v>378.04</v>
      </c>
      <c r="AB653" s="32">
        <v>1038.6043</v>
      </c>
      <c r="AC653" s="33">
        <v>25704.62268078022</v>
      </c>
      <c r="AD653" s="32">
        <v>4112.739628924835</v>
      </c>
      <c r="AE653" s="32">
        <v>29817.36230970506</v>
      </c>
      <c r="AF653" s="32">
        <v>25704.62268078022</v>
      </c>
    </row>
    <row r="654">
      <c r="A654" s="28" t="s">
        <v>254</v>
      </c>
      <c r="B654" s="28"/>
      <c r="D654" s="28" t="str">
        <f t="shared" si="1"/>
        <v>SI</v>
      </c>
      <c r="F654" s="31" t="s">
        <v>245</v>
      </c>
      <c r="G654" s="31" t="s">
        <v>627</v>
      </c>
      <c r="H654" s="31" t="s">
        <v>577</v>
      </c>
      <c r="I654" s="31" t="s">
        <v>591</v>
      </c>
      <c r="J654" s="31" t="s">
        <v>592</v>
      </c>
      <c r="K654" s="32">
        <v>2274.4</v>
      </c>
      <c r="L654" s="32">
        <v>2274.4</v>
      </c>
      <c r="M654" s="32">
        <v>0.0</v>
      </c>
      <c r="N654" s="32">
        <v>0.0</v>
      </c>
      <c r="O654" s="32">
        <v>0.0</v>
      </c>
      <c r="P654" s="32">
        <v>0.0</v>
      </c>
      <c r="Q654" s="32">
        <v>113.72</v>
      </c>
      <c r="R654" s="32">
        <v>113.72</v>
      </c>
      <c r="S654" s="32">
        <v>2388.12</v>
      </c>
      <c r="T654" s="32">
        <v>2388.12</v>
      </c>
      <c r="U654" s="32">
        <v>382.0992</v>
      </c>
      <c r="V654" s="32">
        <v>382.0992</v>
      </c>
      <c r="W654" s="32">
        <v>2770.2192</v>
      </c>
      <c r="X654" s="32">
        <v>2770.2192</v>
      </c>
      <c r="Y654" s="32">
        <v>4548.8</v>
      </c>
      <c r="Z654" s="32">
        <v>0.0</v>
      </c>
      <c r="AA654" s="32">
        <v>0.0</v>
      </c>
      <c r="AB654" s="32">
        <v>227.44</v>
      </c>
      <c r="AC654" s="33">
        <v>4776.24</v>
      </c>
      <c r="AD654" s="32">
        <v>764.1984</v>
      </c>
      <c r="AE654" s="32">
        <v>5540.4384</v>
      </c>
      <c r="AF654" s="32">
        <v>4776.24</v>
      </c>
    </row>
    <row r="655">
      <c r="A655" s="28" t="s">
        <v>104</v>
      </c>
      <c r="B655" s="28"/>
      <c r="D655" s="28" t="str">
        <f t="shared" si="1"/>
        <v>SI</v>
      </c>
      <c r="F655" s="31" t="s">
        <v>247</v>
      </c>
      <c r="G655" s="31" t="s">
        <v>580</v>
      </c>
      <c r="H655" s="31" t="s">
        <v>602</v>
      </c>
      <c r="I655" s="31"/>
      <c r="J655" s="31" t="s">
        <v>643</v>
      </c>
      <c r="K655" s="32">
        <v>3500.0</v>
      </c>
      <c r="L655" s="31"/>
      <c r="M655" s="32">
        <v>0.0</v>
      </c>
      <c r="N655" s="31"/>
      <c r="O655" s="32">
        <v>0.0</v>
      </c>
      <c r="P655" s="31"/>
      <c r="Q655" s="32">
        <v>175.0</v>
      </c>
      <c r="R655" s="31"/>
      <c r="S655" s="32">
        <v>3675.0</v>
      </c>
      <c r="T655" s="31"/>
      <c r="U655" s="32">
        <v>588.0</v>
      </c>
      <c r="V655" s="31"/>
      <c r="W655" s="32">
        <v>4263.0</v>
      </c>
      <c r="X655" s="31"/>
      <c r="Y655" s="32">
        <v>3500.0</v>
      </c>
      <c r="Z655" s="32">
        <v>0.0</v>
      </c>
      <c r="AA655" s="32">
        <v>0.0</v>
      </c>
      <c r="AB655" s="32">
        <v>175.0</v>
      </c>
      <c r="AC655" s="33">
        <v>3675.0</v>
      </c>
      <c r="AD655" s="32">
        <v>588.0</v>
      </c>
      <c r="AE655" s="32">
        <v>4263.0</v>
      </c>
      <c r="AF655" s="32">
        <v>3675.0</v>
      </c>
    </row>
    <row r="656">
      <c r="A656" s="28" t="s">
        <v>248</v>
      </c>
      <c r="B656" s="28"/>
      <c r="D656" s="28" t="str">
        <f t="shared" si="1"/>
        <v>SI</v>
      </c>
      <c r="F656" s="31" t="s">
        <v>249</v>
      </c>
      <c r="G656" s="31" t="s">
        <v>580</v>
      </c>
      <c r="H656" s="31" t="s">
        <v>584</v>
      </c>
      <c r="I656" s="31" t="s">
        <v>623</v>
      </c>
      <c r="J656" s="31" t="s">
        <v>644</v>
      </c>
      <c r="K656" s="32">
        <v>4725.598000000001</v>
      </c>
      <c r="L656" s="32">
        <v>4725.598000000001</v>
      </c>
      <c r="M656" s="32">
        <v>1461.93801604352</v>
      </c>
      <c r="N656" s="32">
        <v>1416.25245304216</v>
      </c>
      <c r="O656" s="32">
        <v>189.02</v>
      </c>
      <c r="P656" s="32">
        <v>189.02</v>
      </c>
      <c r="Q656" s="32">
        <v>236.2799000000001</v>
      </c>
      <c r="R656" s="32">
        <v>236.2799000000001</v>
      </c>
      <c r="S656" s="32">
        <v>6612.835916043521</v>
      </c>
      <c r="T656" s="32">
        <v>6567.150353042161</v>
      </c>
      <c r="U656" s="32">
        <v>1058.053746566963</v>
      </c>
      <c r="V656" s="32">
        <v>1050.744056486746</v>
      </c>
      <c r="W656" s="32">
        <v>7670.889662610484</v>
      </c>
      <c r="X656" s="32">
        <v>7617.894409528907</v>
      </c>
      <c r="Y656" s="32">
        <v>9451.196000000002</v>
      </c>
      <c r="Z656" s="32">
        <v>2878.19046908568</v>
      </c>
      <c r="AA656" s="32">
        <v>378.04</v>
      </c>
      <c r="AB656" s="32">
        <v>472.5598000000001</v>
      </c>
      <c r="AC656" s="33">
        <v>13179.98626908568</v>
      </c>
      <c r="AD656" s="32">
        <v>2108.797803053709</v>
      </c>
      <c r="AE656" s="32">
        <v>15288.78407213939</v>
      </c>
      <c r="AF656" s="32">
        <v>13179.98626908568</v>
      </c>
    </row>
    <row r="657">
      <c r="A657" s="28" t="s">
        <v>291</v>
      </c>
      <c r="B657" s="28"/>
      <c r="D657" s="28" t="str">
        <f t="shared" si="1"/>
        <v>SI</v>
      </c>
      <c r="F657" s="31" t="s">
        <v>251</v>
      </c>
      <c r="G657" s="31" t="s">
        <v>580</v>
      </c>
      <c r="H657" s="31" t="s">
        <v>602</v>
      </c>
      <c r="I657" s="31"/>
      <c r="J657" s="31" t="s">
        <v>645</v>
      </c>
      <c r="K657" s="32">
        <v>3500.0</v>
      </c>
      <c r="L657" s="31"/>
      <c r="M657" s="32">
        <v>0.0</v>
      </c>
      <c r="N657" s="31"/>
      <c r="O657" s="32">
        <v>0.0</v>
      </c>
      <c r="P657" s="31"/>
      <c r="Q657" s="32">
        <v>175.0</v>
      </c>
      <c r="R657" s="31"/>
      <c r="S657" s="32">
        <v>3675.0</v>
      </c>
      <c r="T657" s="31"/>
      <c r="U657" s="32">
        <v>588.0</v>
      </c>
      <c r="V657" s="31"/>
      <c r="W657" s="32">
        <v>4263.0</v>
      </c>
      <c r="X657" s="31"/>
      <c r="Y657" s="32">
        <v>3500.0</v>
      </c>
      <c r="Z657" s="32">
        <v>0.0</v>
      </c>
      <c r="AA657" s="32">
        <v>0.0</v>
      </c>
      <c r="AB657" s="32">
        <v>175.0</v>
      </c>
      <c r="AC657" s="33">
        <v>3675.0</v>
      </c>
      <c r="AD657" s="32">
        <v>588.0</v>
      </c>
      <c r="AE657" s="32">
        <v>4263.0</v>
      </c>
      <c r="AF657" s="32">
        <v>3675.0</v>
      </c>
    </row>
    <row r="658">
      <c r="A658" s="28" t="s">
        <v>175</v>
      </c>
      <c r="B658" s="28"/>
      <c r="D658" s="28" t="str">
        <f t="shared" si="1"/>
        <v>SI</v>
      </c>
      <c r="F658" s="31" t="s">
        <v>253</v>
      </c>
      <c r="G658" s="31" t="s">
        <v>576</v>
      </c>
      <c r="H658" s="31" t="s">
        <v>625</v>
      </c>
      <c r="I658" s="31" t="s">
        <v>623</v>
      </c>
      <c r="J658" s="31" t="s">
        <v>646</v>
      </c>
      <c r="K658" s="32">
        <v>8499.998</v>
      </c>
      <c r="L658" s="32">
        <v>8499.998</v>
      </c>
      <c r="M658" s="32">
        <v>1467.142533298688</v>
      </c>
      <c r="N658" s="32">
        <v>1421.294329133104</v>
      </c>
      <c r="O658" s="32">
        <v>189.02</v>
      </c>
      <c r="P658" s="32">
        <v>189.02</v>
      </c>
      <c r="Q658" s="32">
        <v>424.9999</v>
      </c>
      <c r="R658" s="32">
        <v>424.9999</v>
      </c>
      <c r="S658" s="32">
        <v>10581.16043329869</v>
      </c>
      <c r="T658" s="32">
        <v>10535.3122291331</v>
      </c>
      <c r="U658" s="32">
        <v>1692.98566932779</v>
      </c>
      <c r="V658" s="32">
        <v>1685.649956661297</v>
      </c>
      <c r="W658" s="32">
        <v>12274.14610262648</v>
      </c>
      <c r="X658" s="32">
        <v>12220.9621857944</v>
      </c>
      <c r="Y658" s="32">
        <v>16999.996</v>
      </c>
      <c r="Z658" s="32">
        <v>2888.436862431791</v>
      </c>
      <c r="AA658" s="32">
        <v>378.04</v>
      </c>
      <c r="AB658" s="32">
        <v>849.9998</v>
      </c>
      <c r="AC658" s="33">
        <v>21116.47266243179</v>
      </c>
      <c r="AD658" s="32">
        <v>3378.635625989087</v>
      </c>
      <c r="AE658" s="32">
        <v>24495.10828842088</v>
      </c>
      <c r="AF658" s="32">
        <v>21116.47266243179</v>
      </c>
    </row>
    <row r="659">
      <c r="A659" s="28" t="s">
        <v>203</v>
      </c>
      <c r="B659" s="28"/>
      <c r="D659" s="28" t="str">
        <f t="shared" si="1"/>
        <v>SI</v>
      </c>
      <c r="F659" s="31" t="s">
        <v>255</v>
      </c>
      <c r="G659" s="31" t="s">
        <v>576</v>
      </c>
      <c r="H659" s="31" t="s">
        <v>577</v>
      </c>
      <c r="I659" s="31" t="s">
        <v>626</v>
      </c>
      <c r="J659" s="31" t="s">
        <v>626</v>
      </c>
      <c r="K659" s="32">
        <v>3774.4</v>
      </c>
      <c r="L659" s="32">
        <v>3774.4</v>
      </c>
      <c r="M659" s="32">
        <v>0.0</v>
      </c>
      <c r="N659" s="32">
        <v>0.0</v>
      </c>
      <c r="O659" s="32">
        <v>0.0</v>
      </c>
      <c r="P659" s="32">
        <v>0.0</v>
      </c>
      <c r="Q659" s="32">
        <v>188.72</v>
      </c>
      <c r="R659" s="32">
        <v>188.72</v>
      </c>
      <c r="S659" s="32">
        <v>3963.12</v>
      </c>
      <c r="T659" s="32">
        <v>3963.12</v>
      </c>
      <c r="U659" s="32">
        <v>634.0992</v>
      </c>
      <c r="V659" s="32">
        <v>634.0992</v>
      </c>
      <c r="W659" s="32">
        <v>4597.2192</v>
      </c>
      <c r="X659" s="32">
        <v>4597.2192</v>
      </c>
      <c r="Y659" s="32">
        <v>7548.8</v>
      </c>
      <c r="Z659" s="32">
        <v>0.0</v>
      </c>
      <c r="AA659" s="32">
        <v>0.0</v>
      </c>
      <c r="AB659" s="32">
        <v>377.4400000000001</v>
      </c>
      <c r="AC659" s="33">
        <v>7926.24</v>
      </c>
      <c r="AD659" s="32">
        <v>1268.1984</v>
      </c>
      <c r="AE659" s="32">
        <v>9194.4384</v>
      </c>
      <c r="AF659" s="32">
        <v>7926.24</v>
      </c>
    </row>
    <row r="660">
      <c r="A660" s="28" t="s">
        <v>304</v>
      </c>
      <c r="B660" s="28"/>
      <c r="D660" s="28" t="str">
        <f t="shared" si="1"/>
        <v>SI</v>
      </c>
      <c r="F660" s="31" t="s">
        <v>257</v>
      </c>
      <c r="G660" s="31" t="s">
        <v>576</v>
      </c>
      <c r="H660" s="31" t="s">
        <v>581</v>
      </c>
      <c r="I660" s="31" t="s">
        <v>587</v>
      </c>
      <c r="J660" s="31" t="s">
        <v>363</v>
      </c>
      <c r="K660" s="32">
        <v>5499.998000000001</v>
      </c>
      <c r="L660" s="32">
        <v>5499.998000000001</v>
      </c>
      <c r="M660" s="32">
        <v>1461.93801604352</v>
      </c>
      <c r="N660" s="32">
        <v>1416.25245304216</v>
      </c>
      <c r="O660" s="32">
        <v>189.02</v>
      </c>
      <c r="P660" s="32">
        <v>189.02</v>
      </c>
      <c r="Q660" s="32">
        <v>274.9999</v>
      </c>
      <c r="R660" s="32">
        <v>274.9999</v>
      </c>
      <c r="S660" s="32">
        <v>7425.95591604352</v>
      </c>
      <c r="T660" s="32">
        <v>7380.27035304216</v>
      </c>
      <c r="U660" s="32">
        <v>1188.152946566963</v>
      </c>
      <c r="V660" s="32">
        <v>1180.843256486746</v>
      </c>
      <c r="W660" s="32">
        <v>8614.108862610483</v>
      </c>
      <c r="X660" s="32">
        <v>8561.113609528906</v>
      </c>
      <c r="Y660" s="32">
        <v>10999.996</v>
      </c>
      <c r="Z660" s="32">
        <v>2878.19046908568</v>
      </c>
      <c r="AA660" s="32">
        <v>378.04</v>
      </c>
      <c r="AB660" s="32">
        <v>549.9998</v>
      </c>
      <c r="AC660" s="33">
        <v>14806.22626908568</v>
      </c>
      <c r="AD660" s="32">
        <v>2368.996203053709</v>
      </c>
      <c r="AE660" s="32">
        <v>17175.22247213939</v>
      </c>
      <c r="AF660" s="32">
        <v>14806.22626908568</v>
      </c>
    </row>
    <row r="661">
      <c r="A661" s="28" t="s">
        <v>310</v>
      </c>
      <c r="B661" s="28"/>
      <c r="D661" s="28" t="str">
        <f t="shared" si="1"/>
        <v>SI</v>
      </c>
      <c r="F661" s="31" t="s">
        <v>259</v>
      </c>
      <c r="G661" s="31" t="s">
        <v>576</v>
      </c>
      <c r="H661" s="31" t="s">
        <v>588</v>
      </c>
      <c r="I661" s="31" t="s">
        <v>589</v>
      </c>
      <c r="J661" s="31" t="s">
        <v>590</v>
      </c>
      <c r="K661" s="32">
        <v>7999.998000000001</v>
      </c>
      <c r="L661" s="32">
        <v>7999.998000000001</v>
      </c>
      <c r="M661" s="32">
        <v>1469.03356871168</v>
      </c>
      <c r="N661" s="32">
        <v>1423.12626968944</v>
      </c>
      <c r="O661" s="32">
        <v>189.02</v>
      </c>
      <c r="P661" s="32">
        <v>189.02</v>
      </c>
      <c r="Q661" s="32">
        <v>399.9999</v>
      </c>
      <c r="R661" s="32">
        <v>399.9999</v>
      </c>
      <c r="S661" s="32">
        <v>10058.05146871168</v>
      </c>
      <c r="T661" s="32">
        <v>10012.14416968944</v>
      </c>
      <c r="U661" s="32">
        <v>1609.288234993869</v>
      </c>
      <c r="V661" s="32">
        <v>1601.943067150311</v>
      </c>
      <c r="W661" s="32">
        <v>11667.33970370555</v>
      </c>
      <c r="X661" s="32">
        <v>11614.08723683975</v>
      </c>
      <c r="Y661" s="32">
        <v>15999.996</v>
      </c>
      <c r="Z661" s="32">
        <v>2892.15983840112</v>
      </c>
      <c r="AA661" s="32">
        <v>378.04</v>
      </c>
      <c r="AB661" s="32">
        <v>799.9998</v>
      </c>
      <c r="AC661" s="33">
        <v>20070.19563840112</v>
      </c>
      <c r="AD661" s="32">
        <v>3211.23130214418</v>
      </c>
      <c r="AE661" s="32">
        <v>23281.4269405453</v>
      </c>
      <c r="AF661" s="32">
        <v>20070.19563840112</v>
      </c>
    </row>
    <row r="662">
      <c r="A662" s="28" t="s">
        <v>324</v>
      </c>
      <c r="B662" s="28"/>
      <c r="D662" s="28" t="str">
        <f t="shared" si="1"/>
        <v>SI</v>
      </c>
      <c r="F662" s="31" t="s">
        <v>261</v>
      </c>
      <c r="G662" s="31" t="s">
        <v>647</v>
      </c>
      <c r="H662" s="31" t="s">
        <v>577</v>
      </c>
      <c r="I662" s="31" t="s">
        <v>591</v>
      </c>
      <c r="J662" s="31" t="s">
        <v>592</v>
      </c>
      <c r="K662" s="32">
        <v>0.0</v>
      </c>
      <c r="L662" s="32">
        <v>594.88</v>
      </c>
      <c r="M662" s="32">
        <v>0.0</v>
      </c>
      <c r="N662" s="32">
        <v>0.0</v>
      </c>
      <c r="O662" s="32">
        <v>0.0</v>
      </c>
      <c r="P662" s="32">
        <v>0.0</v>
      </c>
      <c r="Q662" s="32">
        <v>0.0</v>
      </c>
      <c r="R662" s="32">
        <v>29.744</v>
      </c>
      <c r="S662" s="32">
        <v>0.0</v>
      </c>
      <c r="T662" s="32">
        <v>624.624</v>
      </c>
      <c r="U662" s="32">
        <v>0.0</v>
      </c>
      <c r="V662" s="32">
        <v>99.93984</v>
      </c>
      <c r="W662" s="32">
        <v>0.0</v>
      </c>
      <c r="X662" s="32">
        <v>724.56384</v>
      </c>
      <c r="Y662" s="32">
        <v>594.88</v>
      </c>
      <c r="Z662" s="32">
        <v>0.0</v>
      </c>
      <c r="AA662" s="32">
        <v>0.0</v>
      </c>
      <c r="AB662" s="32">
        <v>29.744</v>
      </c>
      <c r="AC662" s="33">
        <v>624.624</v>
      </c>
      <c r="AD662" s="32">
        <v>99.93984</v>
      </c>
      <c r="AE662" s="32">
        <v>724.56384</v>
      </c>
      <c r="AF662" s="32">
        <v>624.624</v>
      </c>
    </row>
    <row r="663">
      <c r="A663" s="28" t="s">
        <v>264</v>
      </c>
      <c r="B663" s="28"/>
      <c r="D663" s="28" t="str">
        <f t="shared" si="1"/>
        <v>SI</v>
      </c>
      <c r="F663" s="31" t="s">
        <v>265</v>
      </c>
      <c r="G663" s="31" t="s">
        <v>580</v>
      </c>
      <c r="H663" s="31" t="s">
        <v>581</v>
      </c>
      <c r="I663" s="31" t="s">
        <v>631</v>
      </c>
      <c r="J663" s="31" t="s">
        <v>648</v>
      </c>
      <c r="K663" s="32">
        <v>8999.998</v>
      </c>
      <c r="L663" s="32">
        <v>8999.998</v>
      </c>
      <c r="M663" s="32">
        <v>1467.59389135872</v>
      </c>
      <c r="N663" s="32">
        <v>1421.73158225376</v>
      </c>
      <c r="O663" s="32">
        <v>189.02</v>
      </c>
      <c r="P663" s="32">
        <v>189.02</v>
      </c>
      <c r="Q663" s="32">
        <v>449.9999</v>
      </c>
      <c r="R663" s="32">
        <v>449.9999</v>
      </c>
      <c r="S663" s="32">
        <v>11106.61179135872</v>
      </c>
      <c r="T663" s="32">
        <v>11060.74948225376</v>
      </c>
      <c r="U663" s="32">
        <v>1777.057886617395</v>
      </c>
      <c r="V663" s="32">
        <v>1769.719917160602</v>
      </c>
      <c r="W663" s="32">
        <v>12883.66967797612</v>
      </c>
      <c r="X663" s="32">
        <v>12830.46939941436</v>
      </c>
      <c r="Y663" s="32">
        <v>17999.996</v>
      </c>
      <c r="Z663" s="32">
        <v>2889.32547361248</v>
      </c>
      <c r="AA663" s="32">
        <v>378.04</v>
      </c>
      <c r="AB663" s="32">
        <v>899.9998</v>
      </c>
      <c r="AC663" s="33">
        <v>22167.36127361248</v>
      </c>
      <c r="AD663" s="32">
        <v>3546.777803777997</v>
      </c>
      <c r="AE663" s="32">
        <v>25714.13907739048</v>
      </c>
      <c r="AF663" s="32">
        <v>22167.36127361248</v>
      </c>
    </row>
    <row r="664">
      <c r="A664" s="28" t="s">
        <v>341</v>
      </c>
      <c r="B664" s="28"/>
      <c r="D664" s="28" t="str">
        <f t="shared" si="1"/>
        <v>SI</v>
      </c>
      <c r="F664" s="31" t="s">
        <v>267</v>
      </c>
      <c r="G664" s="31" t="s">
        <v>580</v>
      </c>
      <c r="H664" s="31" t="s">
        <v>602</v>
      </c>
      <c r="I664" s="31"/>
      <c r="J664" s="31" t="s">
        <v>643</v>
      </c>
      <c r="K664" s="32">
        <v>3500.0</v>
      </c>
      <c r="L664" s="31"/>
      <c r="M664" s="32">
        <v>0.0</v>
      </c>
      <c r="N664" s="31"/>
      <c r="O664" s="32">
        <v>0.0</v>
      </c>
      <c r="P664" s="31"/>
      <c r="Q664" s="32">
        <v>175.0</v>
      </c>
      <c r="R664" s="31"/>
      <c r="S664" s="32">
        <v>3675.0</v>
      </c>
      <c r="T664" s="31"/>
      <c r="U664" s="32">
        <v>588.0</v>
      </c>
      <c r="V664" s="31"/>
      <c r="W664" s="32">
        <v>4263.0</v>
      </c>
      <c r="X664" s="31"/>
      <c r="Y664" s="32">
        <v>3500.0</v>
      </c>
      <c r="Z664" s="32">
        <v>0.0</v>
      </c>
      <c r="AA664" s="32">
        <v>0.0</v>
      </c>
      <c r="AB664" s="32">
        <v>175.0</v>
      </c>
      <c r="AC664" s="33">
        <v>3675.0</v>
      </c>
      <c r="AD664" s="32">
        <v>588.0</v>
      </c>
      <c r="AE664" s="32">
        <v>4263.0</v>
      </c>
      <c r="AF664" s="32">
        <v>3675.0</v>
      </c>
    </row>
    <row r="665">
      <c r="A665" s="28" t="s">
        <v>164</v>
      </c>
      <c r="B665" s="28"/>
      <c r="D665" s="28" t="str">
        <f t="shared" si="1"/>
        <v>SI</v>
      </c>
      <c r="F665" s="31" t="s">
        <v>269</v>
      </c>
      <c r="G665" s="31" t="s">
        <v>580</v>
      </c>
      <c r="H665" s="31" t="s">
        <v>588</v>
      </c>
      <c r="I665" s="31" t="s">
        <v>589</v>
      </c>
      <c r="J665" s="31" t="s">
        <v>590</v>
      </c>
      <c r="K665" s="32">
        <v>5999.998000000001</v>
      </c>
      <c r="L665" s="32">
        <v>5999.998000000001</v>
      </c>
      <c r="M665" s="32">
        <v>1463.37769339648</v>
      </c>
      <c r="N665" s="32">
        <v>1417.64714047784</v>
      </c>
      <c r="O665" s="32">
        <v>189.02</v>
      </c>
      <c r="P665" s="32">
        <v>189.02</v>
      </c>
      <c r="Q665" s="32">
        <v>299.9999</v>
      </c>
      <c r="R665" s="32">
        <v>299.9999</v>
      </c>
      <c r="S665" s="32">
        <v>7952.395593396481</v>
      </c>
      <c r="T665" s="32">
        <v>7906.665040477841</v>
      </c>
      <c r="U665" s="32">
        <v>1272.383294943437</v>
      </c>
      <c r="V665" s="32">
        <v>1265.066406476455</v>
      </c>
      <c r="W665" s="32">
        <v>9224.778888339917</v>
      </c>
      <c r="X665" s="32">
        <v>9171.731446954296</v>
      </c>
      <c r="Y665" s="32">
        <v>11999.996</v>
      </c>
      <c r="Z665" s="32">
        <v>2881.02483387432</v>
      </c>
      <c r="AA665" s="32">
        <v>378.04</v>
      </c>
      <c r="AB665" s="32">
        <v>599.9998</v>
      </c>
      <c r="AC665" s="33">
        <v>15859.06063387432</v>
      </c>
      <c r="AD665" s="32">
        <v>2537.449701419891</v>
      </c>
      <c r="AE665" s="32">
        <v>18396.51033529421</v>
      </c>
      <c r="AF665" s="32">
        <v>15859.06063387432</v>
      </c>
    </row>
    <row r="666">
      <c r="A666" s="28" t="s">
        <v>285</v>
      </c>
      <c r="B666" s="28"/>
      <c r="D666" s="28" t="str">
        <f t="shared" si="1"/>
        <v>SI</v>
      </c>
      <c r="F666" s="31" t="s">
        <v>271</v>
      </c>
      <c r="G666" s="31" t="s">
        <v>580</v>
      </c>
      <c r="H666" s="31" t="s">
        <v>602</v>
      </c>
      <c r="I666" s="31" t="s">
        <v>589</v>
      </c>
      <c r="J666" s="31" t="s">
        <v>614</v>
      </c>
      <c r="K666" s="32">
        <v>14000.0</v>
      </c>
      <c r="L666" s="32">
        <v>14000.0</v>
      </c>
      <c r="M666" s="32">
        <v>0.0</v>
      </c>
      <c r="N666" s="32">
        <v>0.0</v>
      </c>
      <c r="O666" s="32">
        <v>0.0</v>
      </c>
      <c r="P666" s="32">
        <v>0.0</v>
      </c>
      <c r="Q666" s="32">
        <v>700.0</v>
      </c>
      <c r="R666" s="32">
        <v>700.0</v>
      </c>
      <c r="S666" s="32">
        <v>14700.0</v>
      </c>
      <c r="T666" s="32">
        <v>14700.0</v>
      </c>
      <c r="U666" s="32">
        <v>2352.0</v>
      </c>
      <c r="V666" s="32">
        <v>2352.0</v>
      </c>
      <c r="W666" s="32">
        <v>17052.0</v>
      </c>
      <c r="X666" s="32">
        <v>17052.0</v>
      </c>
      <c r="Y666" s="32">
        <v>28000.0</v>
      </c>
      <c r="Z666" s="32">
        <v>0.0</v>
      </c>
      <c r="AA666" s="32">
        <v>0.0</v>
      </c>
      <c r="AB666" s="32">
        <v>1400.0</v>
      </c>
      <c r="AC666" s="33">
        <v>29400.0</v>
      </c>
      <c r="AD666" s="32">
        <v>4704.0</v>
      </c>
      <c r="AE666" s="32">
        <v>34104.0</v>
      </c>
      <c r="AF666" s="32">
        <v>29400.0</v>
      </c>
    </row>
    <row r="667">
      <c r="A667" s="28" t="s">
        <v>246</v>
      </c>
      <c r="B667" s="28"/>
      <c r="D667" s="28" t="str">
        <f t="shared" si="1"/>
        <v>SI</v>
      </c>
      <c r="F667" s="31" t="s">
        <v>273</v>
      </c>
      <c r="G667" s="31" t="s">
        <v>580</v>
      </c>
      <c r="H667" s="31" t="s">
        <v>577</v>
      </c>
      <c r="I667" s="31" t="s">
        <v>591</v>
      </c>
      <c r="J667" s="31" t="s">
        <v>592</v>
      </c>
      <c r="K667" s="32">
        <v>3024.4</v>
      </c>
      <c r="L667" s="32">
        <v>2797.4</v>
      </c>
      <c r="M667" s="32">
        <v>0.0</v>
      </c>
      <c r="N667" s="32">
        <v>0.0</v>
      </c>
      <c r="O667" s="32">
        <v>0.0</v>
      </c>
      <c r="P667" s="32">
        <v>0.0</v>
      </c>
      <c r="Q667" s="32">
        <v>151.22</v>
      </c>
      <c r="R667" s="32">
        <v>139.87</v>
      </c>
      <c r="S667" s="32">
        <v>3175.62</v>
      </c>
      <c r="T667" s="32">
        <v>2937.27</v>
      </c>
      <c r="U667" s="32">
        <v>508.0992</v>
      </c>
      <c r="V667" s="32">
        <v>469.9632</v>
      </c>
      <c r="W667" s="32">
        <v>3683.7192</v>
      </c>
      <c r="X667" s="32">
        <v>3407.2332</v>
      </c>
      <c r="Y667" s="32">
        <v>5821.8</v>
      </c>
      <c r="Z667" s="32">
        <v>0.0</v>
      </c>
      <c r="AA667" s="32">
        <v>0.0</v>
      </c>
      <c r="AB667" s="32">
        <v>291.09</v>
      </c>
      <c r="AC667" s="33">
        <v>6112.889999999999</v>
      </c>
      <c r="AD667" s="32">
        <v>978.0624</v>
      </c>
      <c r="AE667" s="32">
        <v>7090.9524</v>
      </c>
      <c r="AF667" s="32">
        <v>6112.889999999999</v>
      </c>
    </row>
    <row r="668">
      <c r="A668" s="28" t="s">
        <v>240</v>
      </c>
      <c r="B668" s="28"/>
      <c r="D668" s="28" t="str">
        <f t="shared" si="1"/>
        <v>SI</v>
      </c>
      <c r="F668" s="31" t="s">
        <v>275</v>
      </c>
      <c r="G668" s="31" t="s">
        <v>580</v>
      </c>
      <c r="H668" s="31" t="s">
        <v>588</v>
      </c>
      <c r="I668" s="31" t="s">
        <v>589</v>
      </c>
      <c r="J668" s="31" t="s">
        <v>590</v>
      </c>
      <c r="K668" s="32">
        <v>6499.998000000001</v>
      </c>
      <c r="L668" s="32">
        <v>6499.998000000001</v>
      </c>
      <c r="M668" s="32">
        <v>1461.93801604352</v>
      </c>
      <c r="N668" s="32">
        <v>1416.25245304216</v>
      </c>
      <c r="O668" s="32">
        <v>189.02</v>
      </c>
      <c r="P668" s="32">
        <v>189.02</v>
      </c>
      <c r="Q668" s="32">
        <v>324.9999</v>
      </c>
      <c r="R668" s="32">
        <v>324.9999</v>
      </c>
      <c r="S668" s="32">
        <v>8475.95591604352</v>
      </c>
      <c r="T668" s="32">
        <v>8430.27035304216</v>
      </c>
      <c r="U668" s="32">
        <v>1356.152946566963</v>
      </c>
      <c r="V668" s="32">
        <v>1348.843256486746</v>
      </c>
      <c r="W668" s="32">
        <v>9832.108862610483</v>
      </c>
      <c r="X668" s="32">
        <v>9779.113609528906</v>
      </c>
      <c r="Y668" s="32">
        <v>12999.996</v>
      </c>
      <c r="Z668" s="32">
        <v>2878.19046908568</v>
      </c>
      <c r="AA668" s="32">
        <v>378.04</v>
      </c>
      <c r="AB668" s="32">
        <v>649.9998</v>
      </c>
      <c r="AC668" s="33">
        <v>16906.22626908568</v>
      </c>
      <c r="AD668" s="32">
        <v>2704.996203053709</v>
      </c>
      <c r="AE668" s="32">
        <v>19611.22247213939</v>
      </c>
      <c r="AF668" s="32">
        <v>16906.22626908568</v>
      </c>
    </row>
    <row r="669">
      <c r="A669" s="28" t="s">
        <v>101</v>
      </c>
      <c r="B669" s="28"/>
      <c r="D669" s="28" t="str">
        <f t="shared" si="1"/>
        <v>SI</v>
      </c>
      <c r="F669" s="31" t="s">
        <v>277</v>
      </c>
      <c r="G669" s="31" t="s">
        <v>580</v>
      </c>
      <c r="H669" s="31" t="s">
        <v>604</v>
      </c>
      <c r="I669" s="31" t="s">
        <v>649</v>
      </c>
      <c r="J669" s="31" t="s">
        <v>649</v>
      </c>
      <c r="K669" s="32">
        <v>8240.598000000002</v>
      </c>
      <c r="L669" s="32">
        <v>8299.998</v>
      </c>
      <c r="M669" s="32">
        <v>1789.45528109696</v>
      </c>
      <c r="N669" s="32">
        <v>1733.53480356268</v>
      </c>
      <c r="O669" s="32">
        <v>189.02</v>
      </c>
      <c r="P669" s="32">
        <v>189.02</v>
      </c>
      <c r="Q669" s="32">
        <v>412.0299000000001</v>
      </c>
      <c r="R669" s="32">
        <v>414.9999</v>
      </c>
      <c r="S669" s="32">
        <v>10631.10318109696</v>
      </c>
      <c r="T669" s="32">
        <v>10637.55270356268</v>
      </c>
      <c r="U669" s="32">
        <v>1700.976508975514</v>
      </c>
      <c r="V669" s="32">
        <v>1702.008432570029</v>
      </c>
      <c r="W669" s="32">
        <v>12332.07969007248</v>
      </c>
      <c r="X669" s="32">
        <v>12339.56113613271</v>
      </c>
      <c r="Y669" s="32">
        <v>16540.596</v>
      </c>
      <c r="Z669" s="32">
        <v>3522.99008465964</v>
      </c>
      <c r="AA669" s="32">
        <v>378.04</v>
      </c>
      <c r="AB669" s="32">
        <v>827.0298000000001</v>
      </c>
      <c r="AC669" s="33">
        <v>21268.65588465964</v>
      </c>
      <c r="AD669" s="32">
        <v>3402.984941545543</v>
      </c>
      <c r="AE669" s="32">
        <v>24671.64082620518</v>
      </c>
      <c r="AF669" s="32">
        <v>21268.65588465964</v>
      </c>
    </row>
    <row r="670">
      <c r="A670" s="28" t="s">
        <v>322</v>
      </c>
      <c r="B670" s="28"/>
      <c r="D670" s="28" t="str">
        <f t="shared" si="1"/>
        <v>SI</v>
      </c>
      <c r="F670" s="31" t="s">
        <v>280</v>
      </c>
      <c r="G670" s="31" t="s">
        <v>580</v>
      </c>
      <c r="H670" s="31" t="s">
        <v>581</v>
      </c>
      <c r="I670" s="31" t="s">
        <v>631</v>
      </c>
      <c r="J670" s="31" t="s">
        <v>650</v>
      </c>
      <c r="K670" s="32">
        <v>6249.998000000001</v>
      </c>
      <c r="L670" s="32">
        <v>6249.998000000001</v>
      </c>
      <c r="M670" s="32">
        <v>1463.37769339648</v>
      </c>
      <c r="N670" s="32">
        <v>1417.64714047784</v>
      </c>
      <c r="O670" s="32">
        <v>189.02</v>
      </c>
      <c r="P670" s="32">
        <v>189.02</v>
      </c>
      <c r="Q670" s="32">
        <v>312.4999</v>
      </c>
      <c r="R670" s="32">
        <v>312.4999</v>
      </c>
      <c r="S670" s="32">
        <v>8214.89559339648</v>
      </c>
      <c r="T670" s="32">
        <v>8169.165040477841</v>
      </c>
      <c r="U670" s="32">
        <v>1314.383294943437</v>
      </c>
      <c r="V670" s="32">
        <v>1307.066406476455</v>
      </c>
      <c r="W670" s="32">
        <v>9529.278888339917</v>
      </c>
      <c r="X670" s="32">
        <v>9476.231446954296</v>
      </c>
      <c r="Y670" s="32">
        <v>12499.996</v>
      </c>
      <c r="Z670" s="32">
        <v>2881.02483387432</v>
      </c>
      <c r="AA670" s="32">
        <v>378.04</v>
      </c>
      <c r="AB670" s="32">
        <v>624.9998</v>
      </c>
      <c r="AC670" s="33">
        <v>16384.06063387432</v>
      </c>
      <c r="AD670" s="32">
        <v>2621.449701419891</v>
      </c>
      <c r="AE670" s="32">
        <v>19005.51033529421</v>
      </c>
      <c r="AF670" s="32">
        <v>16384.06063387432</v>
      </c>
    </row>
    <row r="671">
      <c r="A671" s="28" t="s">
        <v>66</v>
      </c>
      <c r="B671" s="28"/>
      <c r="D671" s="28" t="str">
        <f t="shared" si="1"/>
        <v>SI</v>
      </c>
      <c r="F671" s="31" t="s">
        <v>282</v>
      </c>
      <c r="G671" s="31" t="s">
        <v>580</v>
      </c>
      <c r="H671" s="31" t="s">
        <v>584</v>
      </c>
      <c r="I671" s="31" t="s">
        <v>394</v>
      </c>
      <c r="J671" s="31" t="s">
        <v>394</v>
      </c>
      <c r="K671" s="32">
        <v>3541.45</v>
      </c>
      <c r="L671" s="32">
        <v>6847.152</v>
      </c>
      <c r="M671" s="32">
        <v>1461.93801604352</v>
      </c>
      <c r="N671" s="32">
        <v>1416.25245304216</v>
      </c>
      <c r="O671" s="32">
        <v>0.0</v>
      </c>
      <c r="P671" s="32">
        <v>126.02</v>
      </c>
      <c r="Q671" s="32">
        <v>177.0725</v>
      </c>
      <c r="R671" s="32">
        <v>342.3576</v>
      </c>
      <c r="S671" s="32">
        <v>5180.46051604352</v>
      </c>
      <c r="T671" s="32">
        <v>8731.782053042161</v>
      </c>
      <c r="U671" s="32">
        <v>828.8736825669632</v>
      </c>
      <c r="V671" s="32">
        <v>1397.085128486746</v>
      </c>
      <c r="W671" s="32">
        <v>6009.334198610483</v>
      </c>
      <c r="X671" s="32">
        <v>10128.86718152891</v>
      </c>
      <c r="Y671" s="32">
        <v>10388.602</v>
      </c>
      <c r="Z671" s="32">
        <v>2878.19046908568</v>
      </c>
      <c r="AA671" s="32">
        <v>126.02</v>
      </c>
      <c r="AB671" s="32">
        <v>519.4301</v>
      </c>
      <c r="AC671" s="33">
        <v>13912.24256908568</v>
      </c>
      <c r="AD671" s="32">
        <v>2225.958811053709</v>
      </c>
      <c r="AE671" s="32">
        <v>16138.20138013939</v>
      </c>
      <c r="AF671" s="32">
        <v>13912.24256908568</v>
      </c>
    </row>
    <row r="672">
      <c r="A672" s="28" t="s">
        <v>127</v>
      </c>
      <c r="B672" s="28"/>
      <c r="D672" s="28" t="str">
        <f t="shared" si="1"/>
        <v>SI</v>
      </c>
      <c r="F672" s="31" t="s">
        <v>284</v>
      </c>
      <c r="G672" s="31" t="s">
        <v>580</v>
      </c>
      <c r="H672" s="31" t="s">
        <v>588</v>
      </c>
      <c r="I672" s="31" t="s">
        <v>589</v>
      </c>
      <c r="J672" s="31" t="s">
        <v>590</v>
      </c>
      <c r="K672" s="32">
        <v>6999.998000000001</v>
      </c>
      <c r="L672" s="32">
        <v>6999.998000000001</v>
      </c>
      <c r="M672" s="32">
        <v>1464.81737074944</v>
      </c>
      <c r="N672" s="32">
        <v>1419.04182791352</v>
      </c>
      <c r="O672" s="32">
        <v>189.02</v>
      </c>
      <c r="P672" s="32">
        <v>189.02</v>
      </c>
      <c r="Q672" s="32">
        <v>349.9999</v>
      </c>
      <c r="R672" s="32">
        <v>349.9999</v>
      </c>
      <c r="S672" s="32">
        <v>9003.835270749441</v>
      </c>
      <c r="T672" s="32">
        <v>8958.05972791352</v>
      </c>
      <c r="U672" s="32">
        <v>1440.613643319911</v>
      </c>
      <c r="V672" s="32">
        <v>1433.289556466163</v>
      </c>
      <c r="W672" s="32">
        <v>10444.44891406935</v>
      </c>
      <c r="X672" s="32">
        <v>10391.34928437968</v>
      </c>
      <c r="Y672" s="32">
        <v>13999.996</v>
      </c>
      <c r="Z672" s="32">
        <v>2883.85919866296</v>
      </c>
      <c r="AA672" s="32">
        <v>378.04</v>
      </c>
      <c r="AB672" s="32">
        <v>699.9998</v>
      </c>
      <c r="AC672" s="33">
        <v>17961.89499866296</v>
      </c>
      <c r="AD672" s="32">
        <v>2873.903199786074</v>
      </c>
      <c r="AE672" s="32">
        <v>20835.79819844903</v>
      </c>
      <c r="AF672" s="32">
        <v>17961.89499866296</v>
      </c>
    </row>
    <row r="673">
      <c r="A673" s="28" t="s">
        <v>158</v>
      </c>
      <c r="B673" s="28"/>
      <c r="D673" s="28" t="str">
        <f t="shared" si="1"/>
        <v>SI</v>
      </c>
      <c r="F673" s="31" t="s">
        <v>286</v>
      </c>
      <c r="G673" s="31" t="s">
        <v>627</v>
      </c>
      <c r="H673" s="31" t="s">
        <v>577</v>
      </c>
      <c r="I673" s="31" t="s">
        <v>591</v>
      </c>
      <c r="J673" s="31" t="s">
        <v>592</v>
      </c>
      <c r="K673" s="32">
        <v>1274.4</v>
      </c>
      <c r="L673" s="32">
        <v>1274.4</v>
      </c>
      <c r="M673" s="32">
        <v>0.0</v>
      </c>
      <c r="N673" s="32">
        <v>0.0</v>
      </c>
      <c r="O673" s="32">
        <v>0.0</v>
      </c>
      <c r="P673" s="32">
        <v>0.0</v>
      </c>
      <c r="Q673" s="32">
        <v>63.72000000000001</v>
      </c>
      <c r="R673" s="32">
        <v>63.72000000000001</v>
      </c>
      <c r="S673" s="32">
        <v>1338.12</v>
      </c>
      <c r="T673" s="32">
        <v>1338.12</v>
      </c>
      <c r="U673" s="32">
        <v>214.0992</v>
      </c>
      <c r="V673" s="32">
        <v>214.0992</v>
      </c>
      <c r="W673" s="32">
        <v>1552.2192</v>
      </c>
      <c r="X673" s="32">
        <v>1552.2192</v>
      </c>
      <c r="Y673" s="32">
        <v>2548.8</v>
      </c>
      <c r="Z673" s="32">
        <v>0.0</v>
      </c>
      <c r="AA673" s="32">
        <v>0.0</v>
      </c>
      <c r="AB673" s="32">
        <v>127.44</v>
      </c>
      <c r="AC673" s="33">
        <v>2676.24</v>
      </c>
      <c r="AD673" s="32">
        <v>428.1984</v>
      </c>
      <c r="AE673" s="32">
        <v>3104.4384</v>
      </c>
      <c r="AF673" s="32">
        <v>2676.24</v>
      </c>
    </row>
    <row r="674">
      <c r="A674" s="28" t="s">
        <v>283</v>
      </c>
      <c r="B674" s="28"/>
      <c r="D674" s="28" t="str">
        <f t="shared" si="1"/>
        <v>SI</v>
      </c>
      <c r="F674" s="31" t="s">
        <v>288</v>
      </c>
      <c r="G674" s="31" t="s">
        <v>580</v>
      </c>
      <c r="H674" s="31" t="s">
        <v>588</v>
      </c>
      <c r="I674" s="31" t="s">
        <v>593</v>
      </c>
      <c r="J674" s="31" t="s">
        <v>594</v>
      </c>
      <c r="K674" s="32">
        <v>7499.998000000001</v>
      </c>
      <c r="L674" s="32">
        <v>7499.998</v>
      </c>
      <c r="M674" s="32">
        <v>1461.93801604352</v>
      </c>
      <c r="N674" s="32">
        <v>1416.25245304216</v>
      </c>
      <c r="O674" s="32">
        <v>189.02</v>
      </c>
      <c r="P674" s="32">
        <v>189.02</v>
      </c>
      <c r="Q674" s="32">
        <v>374.9999</v>
      </c>
      <c r="R674" s="32">
        <v>374.9999</v>
      </c>
      <c r="S674" s="32">
        <v>9525.95591604352</v>
      </c>
      <c r="T674" s="32">
        <v>9480.27035304216</v>
      </c>
      <c r="U674" s="32">
        <v>1524.152946566963</v>
      </c>
      <c r="V674" s="32">
        <v>1516.843256486746</v>
      </c>
      <c r="W674" s="32">
        <v>11050.10886261048</v>
      </c>
      <c r="X674" s="32">
        <v>10997.11360952891</v>
      </c>
      <c r="Y674" s="32">
        <v>14999.996</v>
      </c>
      <c r="Z674" s="32">
        <v>2878.19046908568</v>
      </c>
      <c r="AA674" s="32">
        <v>378.04</v>
      </c>
      <c r="AB674" s="32">
        <v>749.9998</v>
      </c>
      <c r="AC674" s="33">
        <v>19006.22626908568</v>
      </c>
      <c r="AD674" s="32">
        <v>3040.996203053709</v>
      </c>
      <c r="AE674" s="32">
        <v>22047.22247213939</v>
      </c>
      <c r="AF674" s="32">
        <v>19006.22626908568</v>
      </c>
    </row>
    <row r="675">
      <c r="A675" s="28" t="s">
        <v>329</v>
      </c>
      <c r="B675" s="28"/>
      <c r="D675" s="28" t="str">
        <f t="shared" si="1"/>
        <v>SI</v>
      </c>
      <c r="F675" s="31" t="s">
        <v>290</v>
      </c>
      <c r="G675" s="31" t="s">
        <v>580</v>
      </c>
      <c r="H675" s="31" t="s">
        <v>588</v>
      </c>
      <c r="I675" s="31" t="s">
        <v>631</v>
      </c>
      <c r="J675" s="31" t="s">
        <v>632</v>
      </c>
      <c r="K675" s="32">
        <v>4725.598000000001</v>
      </c>
      <c r="L675" s="32">
        <v>4725.598000000001</v>
      </c>
      <c r="M675" s="32">
        <v>1466.15421400576</v>
      </c>
      <c r="N675" s="32">
        <v>1420.33689481808</v>
      </c>
      <c r="O675" s="32">
        <v>189.02</v>
      </c>
      <c r="P675" s="32">
        <v>189.02</v>
      </c>
      <c r="Q675" s="32">
        <v>236.2799000000001</v>
      </c>
      <c r="R675" s="32">
        <v>236.2799000000001</v>
      </c>
      <c r="S675" s="32">
        <v>6617.052114005762</v>
      </c>
      <c r="T675" s="32">
        <v>6571.234794818081</v>
      </c>
      <c r="U675" s="32">
        <v>1058.728338240922</v>
      </c>
      <c r="V675" s="32">
        <v>1051.397567170893</v>
      </c>
      <c r="W675" s="32">
        <v>7675.780452246683</v>
      </c>
      <c r="X675" s="32">
        <v>7622.632361988974</v>
      </c>
      <c r="Y675" s="32">
        <v>9451.196000000002</v>
      </c>
      <c r="Z675" s="32">
        <v>2886.49110882384</v>
      </c>
      <c r="AA675" s="32">
        <v>378.04</v>
      </c>
      <c r="AB675" s="32">
        <v>472.5598000000001</v>
      </c>
      <c r="AC675" s="33">
        <v>13188.28690882384</v>
      </c>
      <c r="AD675" s="32">
        <v>2110.125905411815</v>
      </c>
      <c r="AE675" s="32">
        <v>15298.41281423566</v>
      </c>
      <c r="AF675" s="32">
        <v>13188.28690882384</v>
      </c>
    </row>
    <row r="676">
      <c r="A676" s="28" t="s">
        <v>187</v>
      </c>
      <c r="B676" s="28"/>
      <c r="D676" s="28" t="str">
        <f t="shared" si="1"/>
        <v>SI</v>
      </c>
      <c r="F676" s="31" t="s">
        <v>292</v>
      </c>
      <c r="G676" s="31" t="s">
        <v>580</v>
      </c>
      <c r="H676" s="31" t="s">
        <v>581</v>
      </c>
      <c r="I676" s="31" t="s">
        <v>587</v>
      </c>
      <c r="J676" s="31" t="s">
        <v>587</v>
      </c>
      <c r="K676" s="32">
        <v>7999.998000000001</v>
      </c>
      <c r="L676" s="32">
        <v>7999.998000000001</v>
      </c>
      <c r="M676" s="32">
        <v>1469.03356871168</v>
      </c>
      <c r="N676" s="32">
        <v>1423.12626968944</v>
      </c>
      <c r="O676" s="32">
        <v>189.02</v>
      </c>
      <c r="P676" s="32">
        <v>189.02</v>
      </c>
      <c r="Q676" s="32">
        <v>399.9999</v>
      </c>
      <c r="R676" s="32">
        <v>399.9999</v>
      </c>
      <c r="S676" s="32">
        <v>10058.05146871168</v>
      </c>
      <c r="T676" s="32">
        <v>10012.14416968944</v>
      </c>
      <c r="U676" s="32">
        <v>1609.288234993869</v>
      </c>
      <c r="V676" s="32">
        <v>1601.943067150311</v>
      </c>
      <c r="W676" s="32">
        <v>11667.33970370555</v>
      </c>
      <c r="X676" s="32">
        <v>11614.08723683975</v>
      </c>
      <c r="Y676" s="32">
        <v>15999.996</v>
      </c>
      <c r="Z676" s="32">
        <v>2892.15983840112</v>
      </c>
      <c r="AA676" s="32">
        <v>378.04</v>
      </c>
      <c r="AB676" s="32">
        <v>799.9998</v>
      </c>
      <c r="AC676" s="33">
        <v>20070.19563840112</v>
      </c>
      <c r="AD676" s="32">
        <v>3211.23130214418</v>
      </c>
      <c r="AE676" s="32">
        <v>23281.4269405453</v>
      </c>
      <c r="AF676" s="32">
        <v>20070.19563840112</v>
      </c>
    </row>
    <row r="677">
      <c r="A677" s="28" t="s">
        <v>89</v>
      </c>
      <c r="B677" s="28"/>
      <c r="D677" s="28" t="str">
        <f t="shared" si="1"/>
        <v>SI</v>
      </c>
      <c r="F677" s="31" t="s">
        <v>651</v>
      </c>
      <c r="G677" s="31" t="s">
        <v>576</v>
      </c>
      <c r="H677" s="31" t="s">
        <v>577</v>
      </c>
      <c r="I677" s="31"/>
      <c r="J677" s="31" t="s">
        <v>610</v>
      </c>
      <c r="K677" s="32">
        <v>4844.32</v>
      </c>
      <c r="L677" s="32">
        <v>4274.4</v>
      </c>
      <c r="M677" s="32">
        <v>0.0</v>
      </c>
      <c r="N677" s="32">
        <v>0.0</v>
      </c>
      <c r="O677" s="32">
        <v>0.0</v>
      </c>
      <c r="P677" s="32">
        <v>0.0</v>
      </c>
      <c r="Q677" s="32">
        <v>242.216</v>
      </c>
      <c r="R677" s="32">
        <v>213.72</v>
      </c>
      <c r="S677" s="32">
        <v>5086.536</v>
      </c>
      <c r="T677" s="32">
        <v>4488.12</v>
      </c>
      <c r="U677" s="32">
        <v>813.84576</v>
      </c>
      <c r="V677" s="32">
        <v>718.0992</v>
      </c>
      <c r="W677" s="32">
        <v>5900.38176</v>
      </c>
      <c r="X677" s="32">
        <v>5206.2192</v>
      </c>
      <c r="Y677" s="32">
        <v>9118.72</v>
      </c>
      <c r="Z677" s="32">
        <v>0.0</v>
      </c>
      <c r="AA677" s="32">
        <v>0.0</v>
      </c>
      <c r="AB677" s="32">
        <v>455.936</v>
      </c>
      <c r="AC677" s="33">
        <v>9574.655999999999</v>
      </c>
      <c r="AD677" s="32">
        <v>1531.94496</v>
      </c>
      <c r="AE677" s="32">
        <v>11106.60096</v>
      </c>
      <c r="AF677" s="32">
        <v>9574.655999999999</v>
      </c>
    </row>
    <row r="678">
      <c r="A678" s="28" t="s">
        <v>199</v>
      </c>
      <c r="B678" s="28"/>
      <c r="D678" s="28" t="str">
        <f t="shared" si="1"/>
        <v>SI</v>
      </c>
      <c r="F678" s="31" t="s">
        <v>652</v>
      </c>
      <c r="G678" s="31" t="s">
        <v>576</v>
      </c>
      <c r="H678" s="31" t="s">
        <v>577</v>
      </c>
      <c r="I678" s="31"/>
      <c r="J678" s="31" t="s">
        <v>610</v>
      </c>
      <c r="K678" s="31"/>
      <c r="L678" s="32">
        <v>473.17</v>
      </c>
      <c r="M678" s="31"/>
      <c r="N678" s="32">
        <v>0.0</v>
      </c>
      <c r="O678" s="31"/>
      <c r="P678" s="32">
        <v>0.0</v>
      </c>
      <c r="Q678" s="31"/>
      <c r="R678" s="32">
        <v>23.6585</v>
      </c>
      <c r="S678" s="31"/>
      <c r="T678" s="32">
        <v>496.8285</v>
      </c>
      <c r="U678" s="31"/>
      <c r="V678" s="32">
        <v>79.49256000000001</v>
      </c>
      <c r="W678" s="31"/>
      <c r="X678" s="32">
        <v>576.32106</v>
      </c>
      <c r="Y678" s="32">
        <v>473.17</v>
      </c>
      <c r="Z678" s="32">
        <v>0.0</v>
      </c>
      <c r="AA678" s="32">
        <v>0.0</v>
      </c>
      <c r="AB678" s="32">
        <v>23.6585</v>
      </c>
      <c r="AC678" s="33">
        <v>496.8285</v>
      </c>
      <c r="AD678" s="32">
        <v>79.49256000000001</v>
      </c>
      <c r="AE678" s="32">
        <v>576.32106</v>
      </c>
      <c r="AF678" s="32">
        <v>496.8285</v>
      </c>
    </row>
    <row r="679">
      <c r="A679" s="28" t="s">
        <v>112</v>
      </c>
      <c r="B679" s="28"/>
      <c r="D679" s="28" t="str">
        <f t="shared" si="1"/>
        <v>SI</v>
      </c>
      <c r="F679" s="31" t="s">
        <v>294</v>
      </c>
      <c r="G679" s="31" t="s">
        <v>576</v>
      </c>
      <c r="H679" s="31" t="s">
        <v>625</v>
      </c>
      <c r="I679" s="31"/>
      <c r="J679" s="31" t="s">
        <v>653</v>
      </c>
      <c r="K679" s="32">
        <v>9999.998</v>
      </c>
      <c r="L679" s="32">
        <v>9999.998</v>
      </c>
      <c r="M679" s="32">
        <v>1467.142533298688</v>
      </c>
      <c r="N679" s="32">
        <v>1421.294329133104</v>
      </c>
      <c r="O679" s="32">
        <v>189.02</v>
      </c>
      <c r="P679" s="32">
        <v>189.02</v>
      </c>
      <c r="Q679" s="32">
        <v>499.9999</v>
      </c>
      <c r="R679" s="32">
        <v>499.9999</v>
      </c>
      <c r="S679" s="32">
        <v>12156.16043329869</v>
      </c>
      <c r="T679" s="32">
        <v>12110.3122291331</v>
      </c>
      <c r="U679" s="32">
        <v>1944.98566932779</v>
      </c>
      <c r="V679" s="32">
        <v>1937.649956661297</v>
      </c>
      <c r="W679" s="32">
        <v>14101.14610262648</v>
      </c>
      <c r="X679" s="32">
        <v>14047.9621857944</v>
      </c>
      <c r="Y679" s="32">
        <v>19999.996</v>
      </c>
      <c r="Z679" s="32">
        <v>2888.436862431791</v>
      </c>
      <c r="AA679" s="32">
        <v>378.04</v>
      </c>
      <c r="AB679" s="32">
        <v>999.9998</v>
      </c>
      <c r="AC679" s="33">
        <v>24266.47266243179</v>
      </c>
      <c r="AD679" s="32">
        <v>3882.635625989087</v>
      </c>
      <c r="AE679" s="32">
        <v>28149.10828842088</v>
      </c>
      <c r="AF679" s="32">
        <v>24266.47266243179</v>
      </c>
    </row>
    <row r="680">
      <c r="A680" s="28" t="s">
        <v>150</v>
      </c>
      <c r="B680" s="28"/>
      <c r="D680" s="28" t="str">
        <f t="shared" si="1"/>
        <v>SI</v>
      </c>
      <c r="F680" s="31" t="s">
        <v>297</v>
      </c>
      <c r="G680" s="31" t="s">
        <v>580</v>
      </c>
      <c r="H680" s="31" t="s">
        <v>577</v>
      </c>
      <c r="I680" s="31" t="s">
        <v>591</v>
      </c>
      <c r="J680" s="31" t="s">
        <v>592</v>
      </c>
      <c r="K680" s="32">
        <v>7499.998000000001</v>
      </c>
      <c r="L680" s="32">
        <v>7499.998000000001</v>
      </c>
      <c r="M680" s="32">
        <v>1482.706896029158</v>
      </c>
      <c r="N680" s="32">
        <v>1436.372305528247</v>
      </c>
      <c r="O680" s="32">
        <v>189.02</v>
      </c>
      <c r="P680" s="32">
        <v>189.02</v>
      </c>
      <c r="Q680" s="32">
        <v>374.9999</v>
      </c>
      <c r="R680" s="32">
        <v>374.9999</v>
      </c>
      <c r="S680" s="32">
        <v>9546.724796029159</v>
      </c>
      <c r="T680" s="32">
        <v>9500.390205528247</v>
      </c>
      <c r="U680" s="32">
        <v>1527.475967364665</v>
      </c>
      <c r="V680" s="32">
        <v>1520.062432884519</v>
      </c>
      <c r="W680" s="32">
        <v>11074.20076339382</v>
      </c>
      <c r="X680" s="32">
        <v>11020.45263841277</v>
      </c>
      <c r="Y680" s="32">
        <v>14999.996</v>
      </c>
      <c r="Z680" s="32">
        <v>2919.079201557405</v>
      </c>
      <c r="AA680" s="32">
        <v>378.04</v>
      </c>
      <c r="AB680" s="32">
        <v>749.9998</v>
      </c>
      <c r="AC680" s="33">
        <v>19047.11500155741</v>
      </c>
      <c r="AD680" s="32">
        <v>3047.538400249185</v>
      </c>
      <c r="AE680" s="32">
        <v>22094.65340180659</v>
      </c>
      <c r="AF680" s="32">
        <v>19047.11500155741</v>
      </c>
    </row>
    <row r="681">
      <c r="A681" s="28" t="s">
        <v>349</v>
      </c>
      <c r="B681" s="28"/>
      <c r="D681" s="28" t="str">
        <f t="shared" si="1"/>
        <v>SI</v>
      </c>
      <c r="F681" s="31" t="s">
        <v>299</v>
      </c>
      <c r="G681" s="31" t="s">
        <v>580</v>
      </c>
      <c r="H681" s="31" t="s">
        <v>588</v>
      </c>
      <c r="I681" s="31" t="s">
        <v>631</v>
      </c>
      <c r="J681" s="31" t="s">
        <v>654</v>
      </c>
      <c r="K681" s="32">
        <v>6999.998</v>
      </c>
      <c r="L681" s="32">
        <v>6999.998</v>
      </c>
      <c r="M681" s="32">
        <v>1461.93801604352</v>
      </c>
      <c r="N681" s="32">
        <v>1416.25245304216</v>
      </c>
      <c r="O681" s="32">
        <v>189.02</v>
      </c>
      <c r="P681" s="32">
        <v>189.02</v>
      </c>
      <c r="Q681" s="32">
        <v>349.9999</v>
      </c>
      <c r="R681" s="32">
        <v>349.9999</v>
      </c>
      <c r="S681" s="32">
        <v>9000.95591604352</v>
      </c>
      <c r="T681" s="32">
        <v>8955.27035304216</v>
      </c>
      <c r="U681" s="32">
        <v>1440.152946566963</v>
      </c>
      <c r="V681" s="32">
        <v>1432.843256486746</v>
      </c>
      <c r="W681" s="32">
        <v>10441.10886261048</v>
      </c>
      <c r="X681" s="32">
        <v>10388.11360952891</v>
      </c>
      <c r="Y681" s="32">
        <v>13999.996</v>
      </c>
      <c r="Z681" s="32">
        <v>2878.19046908568</v>
      </c>
      <c r="AA681" s="32">
        <v>378.04</v>
      </c>
      <c r="AB681" s="32">
        <v>699.9998</v>
      </c>
      <c r="AC681" s="33">
        <v>17956.22626908568</v>
      </c>
      <c r="AD681" s="32">
        <v>2872.996203053709</v>
      </c>
      <c r="AE681" s="32">
        <v>20829.22247213939</v>
      </c>
      <c r="AF681" s="32">
        <v>17956.22626908568</v>
      </c>
    </row>
    <row r="682">
      <c r="A682" s="28" t="s">
        <v>106</v>
      </c>
      <c r="B682" s="28"/>
      <c r="D682" s="28" t="str">
        <f t="shared" si="1"/>
        <v>SI</v>
      </c>
      <c r="F682" s="31" t="s">
        <v>301</v>
      </c>
      <c r="G682" s="31" t="s">
        <v>580</v>
      </c>
      <c r="H682" s="31" t="s">
        <v>604</v>
      </c>
      <c r="I682" s="31" t="s">
        <v>582</v>
      </c>
      <c r="J682" s="31" t="s">
        <v>582</v>
      </c>
      <c r="K682" s="32">
        <v>8499.998</v>
      </c>
      <c r="L682" s="32">
        <v>7810.668000000001</v>
      </c>
      <c r="M682" s="32">
        <v>1793.19398931328</v>
      </c>
      <c r="N682" s="32">
        <v>1737.15667714724</v>
      </c>
      <c r="O682" s="32">
        <v>189.02</v>
      </c>
      <c r="P682" s="32">
        <v>189.02</v>
      </c>
      <c r="Q682" s="32">
        <v>424.9999</v>
      </c>
      <c r="R682" s="32">
        <v>390.5334</v>
      </c>
      <c r="S682" s="32">
        <v>10907.21188931328</v>
      </c>
      <c r="T682" s="32">
        <v>10127.37807714724</v>
      </c>
      <c r="U682" s="32">
        <v>1745.153902290125</v>
      </c>
      <c r="V682" s="32">
        <v>1620.380492343559</v>
      </c>
      <c r="W682" s="32">
        <v>12652.36579160341</v>
      </c>
      <c r="X682" s="32">
        <v>11747.7585694908</v>
      </c>
      <c r="Y682" s="32">
        <v>16310.666</v>
      </c>
      <c r="Z682" s="32">
        <v>3530.35066646052</v>
      </c>
      <c r="AA682" s="32">
        <v>378.04</v>
      </c>
      <c r="AB682" s="32">
        <v>815.5333</v>
      </c>
      <c r="AC682" s="33">
        <v>21034.58996646052</v>
      </c>
      <c r="AD682" s="32">
        <v>3365.534394633683</v>
      </c>
      <c r="AE682" s="32">
        <v>24400.1243610942</v>
      </c>
      <c r="AF682" s="32">
        <v>21034.58996646052</v>
      </c>
    </row>
    <row r="683">
      <c r="A683" s="28" t="s">
        <v>229</v>
      </c>
      <c r="B683" s="28"/>
      <c r="D683" s="28" t="str">
        <f t="shared" si="1"/>
        <v>SI</v>
      </c>
      <c r="F683" s="31" t="s">
        <v>303</v>
      </c>
      <c r="G683" s="31" t="s">
        <v>576</v>
      </c>
      <c r="H683" s="31" t="s">
        <v>577</v>
      </c>
      <c r="I683" s="31"/>
      <c r="J683" s="31" t="s">
        <v>655</v>
      </c>
      <c r="K683" s="32">
        <v>4274.4</v>
      </c>
      <c r="L683" s="31"/>
      <c r="M683" s="32">
        <v>0.0</v>
      </c>
      <c r="N683" s="31"/>
      <c r="O683" s="32">
        <v>0.0</v>
      </c>
      <c r="P683" s="31"/>
      <c r="Q683" s="32">
        <v>213.72</v>
      </c>
      <c r="R683" s="31"/>
      <c r="S683" s="32">
        <v>4488.12</v>
      </c>
      <c r="T683" s="31"/>
      <c r="U683" s="32">
        <v>718.0992</v>
      </c>
      <c r="V683" s="31"/>
      <c r="W683" s="32">
        <v>5206.2192</v>
      </c>
      <c r="X683" s="31"/>
      <c r="Y683" s="32">
        <v>4274.4</v>
      </c>
      <c r="Z683" s="32">
        <v>0.0</v>
      </c>
      <c r="AA683" s="32">
        <v>0.0</v>
      </c>
      <c r="AB683" s="32">
        <v>213.72</v>
      </c>
      <c r="AC683" s="33">
        <v>4488.12</v>
      </c>
      <c r="AD683" s="32">
        <v>718.0992</v>
      </c>
      <c r="AE683" s="32">
        <v>5206.2192</v>
      </c>
      <c r="AF683" s="32">
        <v>4488.12</v>
      </c>
    </row>
    <row r="684">
      <c r="A684" s="28" t="s">
        <v>99</v>
      </c>
      <c r="B684" s="28"/>
      <c r="D684" s="28" t="str">
        <f t="shared" si="1"/>
        <v>SI</v>
      </c>
      <c r="F684" s="31" t="s">
        <v>305</v>
      </c>
      <c r="G684" s="31" t="s">
        <v>580</v>
      </c>
      <c r="H684" s="31" t="s">
        <v>596</v>
      </c>
      <c r="I684" s="31" t="s">
        <v>597</v>
      </c>
      <c r="J684" s="31" t="s">
        <v>597</v>
      </c>
      <c r="K684" s="32">
        <v>7499.998000000001</v>
      </c>
      <c r="L684" s="32">
        <v>7499.998000000001</v>
      </c>
      <c r="M684" s="32">
        <v>1466.15421400576</v>
      </c>
      <c r="N684" s="32">
        <v>1420.33689481808</v>
      </c>
      <c r="O684" s="32">
        <v>189.02</v>
      </c>
      <c r="P684" s="32">
        <v>189.02</v>
      </c>
      <c r="Q684" s="32">
        <v>374.9999</v>
      </c>
      <c r="R684" s="32">
        <v>374.9999</v>
      </c>
      <c r="S684" s="32">
        <v>9530.17211400576</v>
      </c>
      <c r="T684" s="32">
        <v>9484.35479481808</v>
      </c>
      <c r="U684" s="32">
        <v>1524.827538240922</v>
      </c>
      <c r="V684" s="32">
        <v>1517.496767170893</v>
      </c>
      <c r="W684" s="32">
        <v>11054.99965224668</v>
      </c>
      <c r="X684" s="32">
        <v>11001.85156198897</v>
      </c>
      <c r="Y684" s="32">
        <v>14999.996</v>
      </c>
      <c r="Z684" s="32">
        <v>2886.49110882384</v>
      </c>
      <c r="AA684" s="32">
        <v>378.04</v>
      </c>
      <c r="AB684" s="32">
        <v>749.9998</v>
      </c>
      <c r="AC684" s="33">
        <v>19014.52690882384</v>
      </c>
      <c r="AD684" s="32">
        <v>3042.324305411814</v>
      </c>
      <c r="AE684" s="32">
        <v>22056.85121423566</v>
      </c>
      <c r="AF684" s="32">
        <v>19014.52690882384</v>
      </c>
    </row>
    <row r="685">
      <c r="A685" s="28" t="s">
        <v>215</v>
      </c>
      <c r="B685" s="28"/>
      <c r="D685" s="28" t="str">
        <f t="shared" si="1"/>
        <v>SI</v>
      </c>
      <c r="F685" s="31" t="s">
        <v>307</v>
      </c>
      <c r="G685" s="31" t="s">
        <v>580</v>
      </c>
      <c r="H685" s="31" t="s">
        <v>596</v>
      </c>
      <c r="I685" s="31" t="s">
        <v>623</v>
      </c>
      <c r="J685" s="31" t="s">
        <v>624</v>
      </c>
      <c r="K685" s="32">
        <v>4725.598000000001</v>
      </c>
      <c r="L685" s="32">
        <v>4725.598000000001</v>
      </c>
      <c r="M685" s="32">
        <v>1461.93801604352</v>
      </c>
      <c r="N685" s="32">
        <v>1416.25245304216</v>
      </c>
      <c r="O685" s="32">
        <v>189.02</v>
      </c>
      <c r="P685" s="32">
        <v>189.02</v>
      </c>
      <c r="Q685" s="32">
        <v>236.2799000000001</v>
      </c>
      <c r="R685" s="32">
        <v>236.2799000000001</v>
      </c>
      <c r="S685" s="32">
        <v>6612.835916043521</v>
      </c>
      <c r="T685" s="32">
        <v>6567.150353042161</v>
      </c>
      <c r="U685" s="32">
        <v>1058.053746566963</v>
      </c>
      <c r="V685" s="32">
        <v>1050.744056486746</v>
      </c>
      <c r="W685" s="32">
        <v>7670.889662610484</v>
      </c>
      <c r="X685" s="32">
        <v>7617.894409528907</v>
      </c>
      <c r="Y685" s="32">
        <v>9451.196000000002</v>
      </c>
      <c r="Z685" s="32">
        <v>2878.19046908568</v>
      </c>
      <c r="AA685" s="32">
        <v>378.04</v>
      </c>
      <c r="AB685" s="32">
        <v>472.5598000000001</v>
      </c>
      <c r="AC685" s="33">
        <v>13179.98626908568</v>
      </c>
      <c r="AD685" s="32">
        <v>2108.797803053709</v>
      </c>
      <c r="AE685" s="32">
        <v>15288.78407213939</v>
      </c>
      <c r="AF685" s="32">
        <v>13179.98626908568</v>
      </c>
    </row>
    <row r="686">
      <c r="A686" s="28" t="s">
        <v>337</v>
      </c>
      <c r="B686" s="28"/>
      <c r="D686" s="28" t="str">
        <f t="shared" si="1"/>
        <v>SI</v>
      </c>
      <c r="F686" s="31" t="s">
        <v>309</v>
      </c>
      <c r="G686" s="31" t="s">
        <v>601</v>
      </c>
      <c r="H686" s="31" t="s">
        <v>577</v>
      </c>
      <c r="I686" s="31" t="s">
        <v>623</v>
      </c>
      <c r="J686" s="31" t="s">
        <v>610</v>
      </c>
      <c r="K686" s="32">
        <v>6499.998000000001</v>
      </c>
      <c r="L686" s="32">
        <v>6499.998000000001</v>
      </c>
      <c r="M686" s="32">
        <v>1482.706896029158</v>
      </c>
      <c r="N686" s="32">
        <v>1436.372305528247</v>
      </c>
      <c r="O686" s="32">
        <v>189.02</v>
      </c>
      <c r="P686" s="32">
        <v>189.02</v>
      </c>
      <c r="Q686" s="32">
        <v>324.9999</v>
      </c>
      <c r="R686" s="32">
        <v>324.9999</v>
      </c>
      <c r="S686" s="32">
        <v>8496.724796029159</v>
      </c>
      <c r="T686" s="32">
        <v>8450.390205528247</v>
      </c>
      <c r="U686" s="32">
        <v>1359.475967364665</v>
      </c>
      <c r="V686" s="32">
        <v>1352.062432884519</v>
      </c>
      <c r="W686" s="32">
        <v>9856.200763393825</v>
      </c>
      <c r="X686" s="32">
        <v>9802.452638412766</v>
      </c>
      <c r="Y686" s="32">
        <v>12999.996</v>
      </c>
      <c r="Z686" s="32">
        <v>2919.079201557405</v>
      </c>
      <c r="AA686" s="32">
        <v>378.04</v>
      </c>
      <c r="AB686" s="32">
        <v>649.9998</v>
      </c>
      <c r="AC686" s="33">
        <v>16947.11500155741</v>
      </c>
      <c r="AD686" s="32">
        <v>2711.538400249185</v>
      </c>
      <c r="AE686" s="32">
        <v>19658.65340180659</v>
      </c>
      <c r="AF686" s="32">
        <v>16947.11500155741</v>
      </c>
    </row>
    <row r="687">
      <c r="A687" s="28" t="s">
        <v>51</v>
      </c>
      <c r="B687" s="28"/>
      <c r="D687" s="28" t="str">
        <f t="shared" si="1"/>
        <v>SI</v>
      </c>
      <c r="F687" s="31" t="s">
        <v>311</v>
      </c>
      <c r="G687" s="31" t="s">
        <v>576</v>
      </c>
      <c r="H687" s="31" t="s">
        <v>577</v>
      </c>
      <c r="I687" s="31"/>
      <c r="J687" s="31" t="s">
        <v>610</v>
      </c>
      <c r="K687" s="32">
        <v>4799.998000000001</v>
      </c>
      <c r="L687" s="32">
        <v>6362.998000000001</v>
      </c>
      <c r="M687" s="32">
        <v>1482.706896029158</v>
      </c>
      <c r="N687" s="32">
        <v>1436.372305528247</v>
      </c>
      <c r="O687" s="32">
        <v>189.02</v>
      </c>
      <c r="P687" s="32">
        <v>189.02</v>
      </c>
      <c r="Q687" s="32">
        <v>239.9999</v>
      </c>
      <c r="R687" s="32">
        <v>318.1499000000001</v>
      </c>
      <c r="S687" s="32">
        <v>6711.724796029159</v>
      </c>
      <c r="T687" s="32">
        <v>8306.540205528248</v>
      </c>
      <c r="U687" s="32">
        <v>1073.875967364665</v>
      </c>
      <c r="V687" s="32">
        <v>1329.04643288452</v>
      </c>
      <c r="W687" s="32">
        <v>7785.600763393824</v>
      </c>
      <c r="X687" s="32">
        <v>9635.586638412768</v>
      </c>
      <c r="Y687" s="32">
        <v>11162.996</v>
      </c>
      <c r="Z687" s="32">
        <v>2919.079201557405</v>
      </c>
      <c r="AA687" s="32">
        <v>378.04</v>
      </c>
      <c r="AB687" s="32">
        <v>558.1498000000001</v>
      </c>
      <c r="AC687" s="33">
        <v>15018.26500155741</v>
      </c>
      <c r="AD687" s="32">
        <v>2402.922400249186</v>
      </c>
      <c r="AE687" s="32">
        <v>17421.18740180659</v>
      </c>
      <c r="AF687" s="32">
        <v>15018.26500155741</v>
      </c>
    </row>
    <row r="688">
      <c r="A688" s="28" t="s">
        <v>34</v>
      </c>
      <c r="B688" s="28"/>
      <c r="D688" s="28" t="str">
        <f t="shared" si="1"/>
        <v>SI</v>
      </c>
      <c r="F688" s="31" t="s">
        <v>313</v>
      </c>
      <c r="G688" s="31" t="s">
        <v>580</v>
      </c>
      <c r="H688" s="31" t="s">
        <v>596</v>
      </c>
      <c r="I688" s="31" t="s">
        <v>589</v>
      </c>
      <c r="J688" s="31" t="s">
        <v>586</v>
      </c>
      <c r="K688" s="32">
        <v>5999.998000000001</v>
      </c>
      <c r="L688" s="32">
        <v>5999.998000000001</v>
      </c>
      <c r="M688" s="32">
        <v>1463.37769339648</v>
      </c>
      <c r="N688" s="32">
        <v>1417.64714047784</v>
      </c>
      <c r="O688" s="32">
        <v>189.02</v>
      </c>
      <c r="P688" s="32">
        <v>189.02</v>
      </c>
      <c r="Q688" s="32">
        <v>299.9999</v>
      </c>
      <c r="R688" s="32">
        <v>299.9999</v>
      </c>
      <c r="S688" s="32">
        <v>7952.395593396481</v>
      </c>
      <c r="T688" s="32">
        <v>7906.665040477841</v>
      </c>
      <c r="U688" s="32">
        <v>1272.383294943437</v>
      </c>
      <c r="V688" s="32">
        <v>1265.066406476455</v>
      </c>
      <c r="W688" s="32">
        <v>9224.778888339917</v>
      </c>
      <c r="X688" s="32">
        <v>9171.731446954296</v>
      </c>
      <c r="Y688" s="32">
        <v>11999.996</v>
      </c>
      <c r="Z688" s="32">
        <v>2881.02483387432</v>
      </c>
      <c r="AA688" s="32">
        <v>378.04</v>
      </c>
      <c r="AB688" s="32">
        <v>599.9998</v>
      </c>
      <c r="AC688" s="33">
        <v>15859.06063387432</v>
      </c>
      <c r="AD688" s="32">
        <v>2537.449701419891</v>
      </c>
      <c r="AE688" s="32">
        <v>18396.51033529421</v>
      </c>
      <c r="AF688" s="32">
        <v>15859.06063387432</v>
      </c>
    </row>
    <row r="689">
      <c r="A689" s="28" t="s">
        <v>289</v>
      </c>
      <c r="B689" s="28"/>
      <c r="D689" s="28" t="str">
        <f t="shared" si="1"/>
        <v>SI</v>
      </c>
      <c r="F689" s="31" t="s">
        <v>317</v>
      </c>
      <c r="G689" s="31" t="s">
        <v>656</v>
      </c>
      <c r="H689" s="31" t="s">
        <v>577</v>
      </c>
      <c r="I689" s="31" t="s">
        <v>623</v>
      </c>
      <c r="J689" s="31" t="s">
        <v>592</v>
      </c>
      <c r="K689" s="32">
        <v>2274.4</v>
      </c>
      <c r="L689" s="32">
        <v>2274.4</v>
      </c>
      <c r="M689" s="32">
        <v>0.0</v>
      </c>
      <c r="N689" s="32">
        <v>0.0</v>
      </c>
      <c r="O689" s="32">
        <v>0.0</v>
      </c>
      <c r="P689" s="32">
        <v>0.0</v>
      </c>
      <c r="Q689" s="32">
        <v>113.72</v>
      </c>
      <c r="R689" s="32">
        <v>113.72</v>
      </c>
      <c r="S689" s="32">
        <v>2388.12</v>
      </c>
      <c r="T689" s="32">
        <v>2388.12</v>
      </c>
      <c r="U689" s="32">
        <v>382.0992</v>
      </c>
      <c r="V689" s="32">
        <v>382.0992</v>
      </c>
      <c r="W689" s="32">
        <v>2770.2192</v>
      </c>
      <c r="X689" s="32">
        <v>2770.2192</v>
      </c>
      <c r="Y689" s="32">
        <v>4548.8</v>
      </c>
      <c r="Z689" s="32">
        <v>0.0</v>
      </c>
      <c r="AA689" s="32">
        <v>0.0</v>
      </c>
      <c r="AB689" s="32">
        <v>227.44</v>
      </c>
      <c r="AC689" s="33">
        <v>4776.24</v>
      </c>
      <c r="AD689" s="32">
        <v>764.1984</v>
      </c>
      <c r="AE689" s="32">
        <v>5540.4384</v>
      </c>
      <c r="AF689" s="32">
        <v>4776.24</v>
      </c>
    </row>
    <row r="690">
      <c r="A690" s="28" t="s">
        <v>298</v>
      </c>
      <c r="B690" s="28"/>
      <c r="D690" s="28" t="str">
        <f t="shared" si="1"/>
        <v>SI</v>
      </c>
      <c r="F690" s="31" t="s">
        <v>319</v>
      </c>
      <c r="G690" s="31" t="s">
        <v>580</v>
      </c>
      <c r="H690" s="31" t="s">
        <v>581</v>
      </c>
      <c r="I690" s="31" t="s">
        <v>603</v>
      </c>
      <c r="J690" s="31" t="s">
        <v>657</v>
      </c>
      <c r="K690" s="32">
        <v>8499.998</v>
      </c>
      <c r="L690" s="32">
        <v>8499.998</v>
      </c>
      <c r="M690" s="32">
        <v>1461.93801604352</v>
      </c>
      <c r="N690" s="32">
        <v>1416.25245304216</v>
      </c>
      <c r="O690" s="32">
        <v>189.02</v>
      </c>
      <c r="P690" s="32">
        <v>189.02</v>
      </c>
      <c r="Q690" s="32">
        <v>424.9999</v>
      </c>
      <c r="R690" s="32">
        <v>424.9999</v>
      </c>
      <c r="S690" s="32">
        <v>10575.95591604352</v>
      </c>
      <c r="T690" s="32">
        <v>10530.27035304216</v>
      </c>
      <c r="U690" s="32">
        <v>1692.152946566963</v>
      </c>
      <c r="V690" s="32">
        <v>1684.843256486746</v>
      </c>
      <c r="W690" s="32">
        <v>12268.10886261048</v>
      </c>
      <c r="X690" s="32">
        <v>12215.11360952891</v>
      </c>
      <c r="Y690" s="32">
        <v>16999.996</v>
      </c>
      <c r="Z690" s="32">
        <v>2878.19046908568</v>
      </c>
      <c r="AA690" s="32">
        <v>378.04</v>
      </c>
      <c r="AB690" s="32">
        <v>849.9998</v>
      </c>
      <c r="AC690" s="33">
        <v>21106.22626908568</v>
      </c>
      <c r="AD690" s="32">
        <v>3376.996203053709</v>
      </c>
      <c r="AE690" s="32">
        <v>24483.22247213939</v>
      </c>
      <c r="AF690" s="32">
        <v>21106.22626908568</v>
      </c>
    </row>
    <row r="691">
      <c r="A691" s="28" t="s">
        <v>76</v>
      </c>
      <c r="B691" s="28"/>
      <c r="D691" s="28" t="str">
        <f t="shared" si="1"/>
        <v>SI</v>
      </c>
      <c r="F691" s="31" t="s">
        <v>658</v>
      </c>
      <c r="G691" s="31" t="s">
        <v>580</v>
      </c>
      <c r="H691" s="31" t="s">
        <v>604</v>
      </c>
      <c r="I691" s="31"/>
      <c r="J691" s="31" t="s">
        <v>659</v>
      </c>
      <c r="K691" s="32">
        <v>1699.9976</v>
      </c>
      <c r="L691" s="32">
        <v>8499.998</v>
      </c>
      <c r="M691" s="32">
        <v>445.9951860164799</v>
      </c>
      <c r="N691" s="32">
        <v>1728.23134581386</v>
      </c>
      <c r="O691" s="32">
        <v>37.8</v>
      </c>
      <c r="P691" s="32">
        <v>189.02</v>
      </c>
      <c r="Q691" s="32">
        <v>84.99988</v>
      </c>
      <c r="R691" s="32">
        <v>424.9999</v>
      </c>
      <c r="S691" s="32">
        <v>2268.79266601648</v>
      </c>
      <c r="T691" s="32">
        <v>10842.24924581386</v>
      </c>
      <c r="U691" s="32">
        <v>363.0068265626368</v>
      </c>
      <c r="V691" s="32">
        <v>1734.759879330218</v>
      </c>
      <c r="W691" s="32">
        <v>2631.799492579117</v>
      </c>
      <c r="X691" s="32">
        <v>12577.00912514408</v>
      </c>
      <c r="Y691" s="32">
        <v>10199.9956</v>
      </c>
      <c r="Z691" s="32">
        <v>2174.22653183034</v>
      </c>
      <c r="AA691" s="32">
        <v>226.82</v>
      </c>
      <c r="AB691" s="32">
        <v>509.99978</v>
      </c>
      <c r="AC691" s="33">
        <v>13111.04191183034</v>
      </c>
      <c r="AD691" s="32">
        <v>2097.766705892855</v>
      </c>
      <c r="AE691" s="32">
        <v>15208.8086177232</v>
      </c>
      <c r="AF691" s="32">
        <v>13111.04191183034</v>
      </c>
    </row>
    <row r="692">
      <c r="A692" s="28" t="s">
        <v>85</v>
      </c>
      <c r="B692" s="28"/>
      <c r="D692" s="28" t="str">
        <f t="shared" si="1"/>
        <v>SI</v>
      </c>
      <c r="F692" s="31" t="s">
        <v>321</v>
      </c>
      <c r="G692" s="31" t="s">
        <v>580</v>
      </c>
      <c r="H692" s="31" t="s">
        <v>581</v>
      </c>
      <c r="I692" s="31" t="s">
        <v>631</v>
      </c>
      <c r="J692" s="31" t="s">
        <v>650</v>
      </c>
      <c r="K692" s="32">
        <v>6249.998000000001</v>
      </c>
      <c r="L692" s="32">
        <v>6249.998000000001</v>
      </c>
      <c r="M692" s="32">
        <v>1463.37769339648</v>
      </c>
      <c r="N692" s="32">
        <v>1417.64714047784</v>
      </c>
      <c r="O692" s="32">
        <v>189.02</v>
      </c>
      <c r="P692" s="32">
        <v>189.02</v>
      </c>
      <c r="Q692" s="32">
        <v>312.4999</v>
      </c>
      <c r="R692" s="32">
        <v>312.4999</v>
      </c>
      <c r="S692" s="32">
        <v>8214.89559339648</v>
      </c>
      <c r="T692" s="32">
        <v>8169.165040477841</v>
      </c>
      <c r="U692" s="32">
        <v>1314.383294943437</v>
      </c>
      <c r="V692" s="32">
        <v>1307.066406476455</v>
      </c>
      <c r="W692" s="32">
        <v>9529.278888339917</v>
      </c>
      <c r="X692" s="32">
        <v>9476.231446954296</v>
      </c>
      <c r="Y692" s="32">
        <v>12499.996</v>
      </c>
      <c r="Z692" s="32">
        <v>2881.02483387432</v>
      </c>
      <c r="AA692" s="32">
        <v>378.04</v>
      </c>
      <c r="AB692" s="32">
        <v>624.9998</v>
      </c>
      <c r="AC692" s="33">
        <v>16384.06063387432</v>
      </c>
      <c r="AD692" s="32">
        <v>2621.449701419891</v>
      </c>
      <c r="AE692" s="32">
        <v>19005.51033529421</v>
      </c>
      <c r="AF692" s="32">
        <v>16384.06063387432</v>
      </c>
    </row>
    <row r="693">
      <c r="A693" s="28" t="s">
        <v>272</v>
      </c>
      <c r="B693" s="28"/>
      <c r="D693" s="28" t="str">
        <f t="shared" si="1"/>
        <v>SI</v>
      </c>
      <c r="F693" s="31" t="s">
        <v>323</v>
      </c>
      <c r="G693" s="31" t="s">
        <v>580</v>
      </c>
      <c r="H693" s="31" t="s">
        <v>604</v>
      </c>
      <c r="I693" s="31" t="s">
        <v>623</v>
      </c>
      <c r="J693" s="31" t="s">
        <v>660</v>
      </c>
      <c r="K693" s="32">
        <v>5999.998000000001</v>
      </c>
      <c r="L693" s="32">
        <v>5999.998000000001</v>
      </c>
      <c r="M693" s="32">
        <v>1783.98074406592</v>
      </c>
      <c r="N693" s="32">
        <v>1728.23134581386</v>
      </c>
      <c r="O693" s="32">
        <v>189.02</v>
      </c>
      <c r="P693" s="32">
        <v>189.02</v>
      </c>
      <c r="Q693" s="32">
        <v>299.9999</v>
      </c>
      <c r="R693" s="32">
        <v>299.9999</v>
      </c>
      <c r="S693" s="32">
        <v>8272.99864406592</v>
      </c>
      <c r="T693" s="32">
        <v>8217.24924581386</v>
      </c>
      <c r="U693" s="32">
        <v>1323.679783050547</v>
      </c>
      <c r="V693" s="32">
        <v>1314.759879330218</v>
      </c>
      <c r="W693" s="32">
        <v>9596.678427116467</v>
      </c>
      <c r="X693" s="32">
        <v>9532.009125144079</v>
      </c>
      <c r="Y693" s="32">
        <v>11999.996</v>
      </c>
      <c r="Z693" s="32">
        <v>3512.212089879779</v>
      </c>
      <c r="AA693" s="32">
        <v>378.04</v>
      </c>
      <c r="AB693" s="32">
        <v>599.9998</v>
      </c>
      <c r="AC693" s="33">
        <v>16490.24788987978</v>
      </c>
      <c r="AD693" s="32">
        <v>2638.439662380765</v>
      </c>
      <c r="AE693" s="32">
        <v>19128.68755226055</v>
      </c>
      <c r="AF693" s="32">
        <v>16490.24788987978</v>
      </c>
    </row>
    <row r="694">
      <c r="A694" s="28" t="s">
        <v>121</v>
      </c>
      <c r="B694" s="28"/>
      <c r="D694" s="28" t="str">
        <f t="shared" si="1"/>
        <v>SI</v>
      </c>
      <c r="F694" s="31" t="s">
        <v>325</v>
      </c>
      <c r="G694" s="31" t="s">
        <v>580</v>
      </c>
      <c r="H694" s="31" t="s">
        <v>581</v>
      </c>
      <c r="I694" s="31"/>
      <c r="J694" s="31" t="s">
        <v>631</v>
      </c>
      <c r="K694" s="32">
        <v>29999.998</v>
      </c>
      <c r="L694" s="32">
        <v>29999.998</v>
      </c>
      <c r="M694" s="32">
        <v>1463.37769339648</v>
      </c>
      <c r="N694" s="32">
        <v>1417.64714047784</v>
      </c>
      <c r="O694" s="32">
        <v>189.02</v>
      </c>
      <c r="P694" s="32">
        <v>189.02</v>
      </c>
      <c r="Q694" s="32">
        <v>1499.9999</v>
      </c>
      <c r="R694" s="32">
        <v>1499.9999</v>
      </c>
      <c r="S694" s="32">
        <v>33152.39559339648</v>
      </c>
      <c r="T694" s="32">
        <v>33106.66504047783</v>
      </c>
      <c r="U694" s="32">
        <v>5304.383294943436</v>
      </c>
      <c r="V694" s="32">
        <v>5297.066406476453</v>
      </c>
      <c r="W694" s="32">
        <v>38456.77888833991</v>
      </c>
      <c r="X694" s="32">
        <v>38403.73144695429</v>
      </c>
      <c r="Y694" s="32">
        <v>59999.996</v>
      </c>
      <c r="Z694" s="32">
        <v>2881.02483387432</v>
      </c>
      <c r="AA694" s="32">
        <v>378.04</v>
      </c>
      <c r="AB694" s="32">
        <v>2999.9998</v>
      </c>
      <c r="AC694" s="33">
        <v>66259.06063387431</v>
      </c>
      <c r="AD694" s="32">
        <v>10601.44970141989</v>
      </c>
      <c r="AE694" s="32">
        <v>76860.51033529421</v>
      </c>
      <c r="AF694" s="32">
        <v>66259.06063387431</v>
      </c>
    </row>
    <row r="695">
      <c r="A695" s="28" t="s">
        <v>355</v>
      </c>
      <c r="B695" s="28"/>
      <c r="D695" s="28" t="str">
        <f t="shared" si="1"/>
        <v>SI</v>
      </c>
      <c r="F695" s="31" t="s">
        <v>328</v>
      </c>
      <c r="G695" s="31" t="s">
        <v>576</v>
      </c>
      <c r="H695" s="31" t="s">
        <v>577</v>
      </c>
      <c r="I695" s="31"/>
      <c r="J695" s="31" t="s">
        <v>610</v>
      </c>
      <c r="K695" s="32">
        <v>6499.998000000001</v>
      </c>
      <c r="L695" s="32">
        <v>6499.998000000001</v>
      </c>
      <c r="M695" s="32">
        <v>1482.706896029158</v>
      </c>
      <c r="N695" s="32">
        <v>1436.372305528247</v>
      </c>
      <c r="O695" s="32">
        <v>189.02</v>
      </c>
      <c r="P695" s="32">
        <v>189.02</v>
      </c>
      <c r="Q695" s="32">
        <v>324.9999</v>
      </c>
      <c r="R695" s="32">
        <v>324.9999</v>
      </c>
      <c r="S695" s="32">
        <v>8496.724796029159</v>
      </c>
      <c r="T695" s="32">
        <v>8450.390205528247</v>
      </c>
      <c r="U695" s="32">
        <v>1359.475967364665</v>
      </c>
      <c r="V695" s="32">
        <v>1352.062432884519</v>
      </c>
      <c r="W695" s="32">
        <v>9856.200763393825</v>
      </c>
      <c r="X695" s="32">
        <v>9802.452638412766</v>
      </c>
      <c r="Y695" s="32">
        <v>12999.996</v>
      </c>
      <c r="Z695" s="32">
        <v>2919.079201557405</v>
      </c>
      <c r="AA695" s="32">
        <v>378.04</v>
      </c>
      <c r="AB695" s="32">
        <v>649.9998</v>
      </c>
      <c r="AC695" s="33">
        <v>16947.11500155741</v>
      </c>
      <c r="AD695" s="32">
        <v>2711.538400249185</v>
      </c>
      <c r="AE695" s="32">
        <v>19658.65340180659</v>
      </c>
      <c r="AF695" s="32">
        <v>16947.11500155741</v>
      </c>
    </row>
    <row r="696">
      <c r="A696" s="28" t="s">
        <v>213</v>
      </c>
      <c r="B696" s="28"/>
      <c r="D696" s="28" t="str">
        <f t="shared" si="1"/>
        <v>SI</v>
      </c>
      <c r="F696" s="31" t="s">
        <v>661</v>
      </c>
      <c r="G696" s="31" t="s">
        <v>576</v>
      </c>
      <c r="H696" s="31" t="s">
        <v>577</v>
      </c>
      <c r="I696" s="31"/>
      <c r="J696" s="31" t="s">
        <v>610</v>
      </c>
      <c r="K696" s="31"/>
      <c r="L696" s="32">
        <v>3274.4</v>
      </c>
      <c r="M696" s="31"/>
      <c r="N696" s="32">
        <v>0.0</v>
      </c>
      <c r="O696" s="31"/>
      <c r="P696" s="32">
        <v>0.0</v>
      </c>
      <c r="Q696" s="31"/>
      <c r="R696" s="32">
        <v>163.72</v>
      </c>
      <c r="S696" s="31"/>
      <c r="T696" s="32">
        <v>3438.12</v>
      </c>
      <c r="U696" s="31"/>
      <c r="V696" s="32">
        <v>550.0992</v>
      </c>
      <c r="W696" s="31"/>
      <c r="X696" s="32">
        <v>3988.2192</v>
      </c>
      <c r="Y696" s="32">
        <v>3274.4</v>
      </c>
      <c r="Z696" s="32">
        <v>0.0</v>
      </c>
      <c r="AA696" s="32">
        <v>0.0</v>
      </c>
      <c r="AB696" s="32">
        <v>163.72</v>
      </c>
      <c r="AC696" s="33">
        <v>3438.12</v>
      </c>
      <c r="AD696" s="32">
        <v>550.0992</v>
      </c>
      <c r="AE696" s="32">
        <v>3988.2192</v>
      </c>
      <c r="AF696" s="32">
        <v>3438.12</v>
      </c>
    </row>
    <row r="697">
      <c r="A697" s="28" t="s">
        <v>274</v>
      </c>
      <c r="B697" s="28"/>
      <c r="D697" s="28" t="str">
        <f t="shared" si="1"/>
        <v>SI</v>
      </c>
      <c r="F697" s="31" t="s">
        <v>330</v>
      </c>
      <c r="G697" s="31" t="s">
        <v>576</v>
      </c>
      <c r="H697" s="31" t="s">
        <v>577</v>
      </c>
      <c r="I697" s="31" t="s">
        <v>591</v>
      </c>
      <c r="J697" s="31" t="s">
        <v>592</v>
      </c>
      <c r="K697" s="32">
        <v>6999.998000000001</v>
      </c>
      <c r="L697" s="32">
        <v>6999.998000000001</v>
      </c>
      <c r="M697" s="32">
        <v>1489.939020956826</v>
      </c>
      <c r="N697" s="32">
        <v>1443.378426551925</v>
      </c>
      <c r="O697" s="32">
        <v>189.02</v>
      </c>
      <c r="P697" s="32">
        <v>189.02</v>
      </c>
      <c r="Q697" s="32">
        <v>349.9999</v>
      </c>
      <c r="R697" s="32">
        <v>349.9999</v>
      </c>
      <c r="S697" s="32">
        <v>9028.956920956825</v>
      </c>
      <c r="T697" s="32">
        <v>8982.396326551925</v>
      </c>
      <c r="U697" s="32">
        <v>1444.633107353092</v>
      </c>
      <c r="V697" s="32">
        <v>1437.183412248308</v>
      </c>
      <c r="W697" s="32">
        <v>10473.59002830992</v>
      </c>
      <c r="X697" s="32">
        <v>10419.57973880023</v>
      </c>
      <c r="Y697" s="32">
        <v>13999.996</v>
      </c>
      <c r="Z697" s="32">
        <v>2933.317447508751</v>
      </c>
      <c r="AA697" s="32">
        <v>378.04</v>
      </c>
      <c r="AB697" s="32">
        <v>699.9998</v>
      </c>
      <c r="AC697" s="33">
        <v>18011.35324750875</v>
      </c>
      <c r="AD697" s="32">
        <v>2881.8165196014</v>
      </c>
      <c r="AE697" s="32">
        <v>20893.16976711015</v>
      </c>
      <c r="AF697" s="32">
        <v>18011.35324750875</v>
      </c>
    </row>
    <row r="698">
      <c r="A698" s="28" t="s">
        <v>209</v>
      </c>
      <c r="B698" s="28"/>
      <c r="D698" s="28" t="str">
        <f t="shared" si="1"/>
        <v>SI</v>
      </c>
      <c r="F698" s="31" t="s">
        <v>332</v>
      </c>
      <c r="G698" s="31" t="s">
        <v>580</v>
      </c>
      <c r="H698" s="31" t="s">
        <v>602</v>
      </c>
      <c r="I698" s="31"/>
      <c r="J698" s="31" t="s">
        <v>662</v>
      </c>
      <c r="K698" s="32">
        <v>3033.33</v>
      </c>
      <c r="L698" s="32">
        <v>3500.0</v>
      </c>
      <c r="M698" s="32">
        <v>0.0</v>
      </c>
      <c r="N698" s="32">
        <v>0.0</v>
      </c>
      <c r="O698" s="32">
        <v>0.0</v>
      </c>
      <c r="P698" s="32">
        <v>0.0</v>
      </c>
      <c r="Q698" s="32">
        <v>151.6665</v>
      </c>
      <c r="R698" s="32">
        <v>175.0</v>
      </c>
      <c r="S698" s="32">
        <v>3184.9965</v>
      </c>
      <c r="T698" s="32">
        <v>3675.0</v>
      </c>
      <c r="U698" s="32">
        <v>509.59944</v>
      </c>
      <c r="V698" s="32">
        <v>588.0</v>
      </c>
      <c r="W698" s="32">
        <v>3694.59594</v>
      </c>
      <c r="X698" s="32">
        <v>4263.0</v>
      </c>
      <c r="Y698" s="32">
        <v>6533.33</v>
      </c>
      <c r="Z698" s="32">
        <v>0.0</v>
      </c>
      <c r="AA698" s="32">
        <v>0.0</v>
      </c>
      <c r="AB698" s="32">
        <v>326.6665</v>
      </c>
      <c r="AC698" s="33">
        <v>6859.996499999999</v>
      </c>
      <c r="AD698" s="32">
        <v>1097.59944</v>
      </c>
      <c r="AE698" s="32">
        <v>7957.595939999999</v>
      </c>
      <c r="AF698" s="32">
        <v>6859.996499999999</v>
      </c>
    </row>
    <row r="699">
      <c r="A699" s="28" t="s">
        <v>207</v>
      </c>
      <c r="B699" s="28"/>
      <c r="D699" s="28" t="str">
        <f t="shared" si="1"/>
        <v>SI</v>
      </c>
      <c r="F699" s="31" t="s">
        <v>663</v>
      </c>
      <c r="G699" s="31" t="s">
        <v>576</v>
      </c>
      <c r="H699" s="31" t="s">
        <v>581</v>
      </c>
      <c r="I699" s="31"/>
      <c r="J699" s="31" t="s">
        <v>664</v>
      </c>
      <c r="K699" s="32">
        <v>5999.997600000001</v>
      </c>
      <c r="L699" s="32">
        <v>30000.0</v>
      </c>
      <c r="M699" s="32">
        <v>365.48450401088</v>
      </c>
      <c r="N699" s="32">
        <v>1416.25245304216</v>
      </c>
      <c r="O699" s="32">
        <v>37.8</v>
      </c>
      <c r="P699" s="32">
        <v>189.02</v>
      </c>
      <c r="Q699" s="32">
        <v>299.99988</v>
      </c>
      <c r="R699" s="32">
        <v>1500.0</v>
      </c>
      <c r="S699" s="32">
        <v>6703.281984010881</v>
      </c>
      <c r="T699" s="32">
        <v>33105.27245304215</v>
      </c>
      <c r="U699" s="32">
        <v>1072.525117441741</v>
      </c>
      <c r="V699" s="32">
        <v>5296.843592486744</v>
      </c>
      <c r="W699" s="32">
        <v>7775.807101452622</v>
      </c>
      <c r="X699" s="32">
        <v>38402.1160455289</v>
      </c>
      <c r="Y699" s="32">
        <v>35999.9976</v>
      </c>
      <c r="Z699" s="32">
        <v>1781.73695705304</v>
      </c>
      <c r="AA699" s="32">
        <v>226.82</v>
      </c>
      <c r="AB699" s="32">
        <v>1799.99988</v>
      </c>
      <c r="AC699" s="33">
        <v>39808.55443705303</v>
      </c>
      <c r="AD699" s="32">
        <v>6369.368709928485</v>
      </c>
      <c r="AE699" s="32">
        <v>46177.92314698152</v>
      </c>
      <c r="AF699" s="32">
        <v>39808.55443705303</v>
      </c>
    </row>
    <row r="700">
      <c r="A700" s="28" t="s">
        <v>223</v>
      </c>
      <c r="B700" s="28"/>
      <c r="D700" s="28" t="str">
        <f t="shared" si="1"/>
        <v>SI</v>
      </c>
      <c r="F700" s="31" t="s">
        <v>665</v>
      </c>
      <c r="G700" s="31" t="s">
        <v>576</v>
      </c>
      <c r="H700" s="31" t="s">
        <v>577</v>
      </c>
      <c r="I700" s="31"/>
      <c r="J700" s="31" t="s">
        <v>610</v>
      </c>
      <c r="K700" s="32">
        <v>2274.4</v>
      </c>
      <c r="L700" s="32">
        <v>2274.4</v>
      </c>
      <c r="M700" s="32">
        <v>0.0</v>
      </c>
      <c r="N700" s="32">
        <v>0.0</v>
      </c>
      <c r="O700" s="32">
        <v>0.0</v>
      </c>
      <c r="P700" s="32">
        <v>0.0</v>
      </c>
      <c r="Q700" s="32">
        <v>113.72</v>
      </c>
      <c r="R700" s="32">
        <v>113.72</v>
      </c>
      <c r="S700" s="32">
        <v>2388.12</v>
      </c>
      <c r="T700" s="32">
        <v>2388.12</v>
      </c>
      <c r="U700" s="32">
        <v>382.0992</v>
      </c>
      <c r="V700" s="32">
        <v>382.0992</v>
      </c>
      <c r="W700" s="32">
        <v>2770.2192</v>
      </c>
      <c r="X700" s="32">
        <v>2770.2192</v>
      </c>
      <c r="Y700" s="32">
        <v>4548.8</v>
      </c>
      <c r="Z700" s="32">
        <v>0.0</v>
      </c>
      <c r="AA700" s="32">
        <v>0.0</v>
      </c>
      <c r="AB700" s="32">
        <v>227.44</v>
      </c>
      <c r="AC700" s="33">
        <v>4776.24</v>
      </c>
      <c r="AD700" s="32">
        <v>764.1984</v>
      </c>
      <c r="AE700" s="32">
        <v>5540.4384</v>
      </c>
      <c r="AF700" s="32">
        <v>4776.24</v>
      </c>
    </row>
    <row r="701">
      <c r="A701" s="28" t="s">
        <v>46</v>
      </c>
      <c r="B701" s="28"/>
      <c r="D701" s="28" t="str">
        <f t="shared" si="1"/>
        <v>SI</v>
      </c>
      <c r="F701" s="31" t="s">
        <v>336</v>
      </c>
      <c r="G701" s="31" t="s">
        <v>576</v>
      </c>
      <c r="H701" s="31" t="s">
        <v>577</v>
      </c>
      <c r="I701" s="31"/>
      <c r="J701" s="31" t="s">
        <v>642</v>
      </c>
      <c r="K701" s="32">
        <v>4274.4</v>
      </c>
      <c r="L701" s="32">
        <v>4274.4</v>
      </c>
      <c r="M701" s="32">
        <v>0.0</v>
      </c>
      <c r="N701" s="32">
        <v>0.0</v>
      </c>
      <c r="O701" s="32">
        <v>0.0</v>
      </c>
      <c r="P701" s="32">
        <v>0.0</v>
      </c>
      <c r="Q701" s="32">
        <v>213.72</v>
      </c>
      <c r="R701" s="32">
        <v>213.72</v>
      </c>
      <c r="S701" s="32">
        <v>4488.12</v>
      </c>
      <c r="T701" s="32">
        <v>4488.12</v>
      </c>
      <c r="U701" s="32">
        <v>718.0992</v>
      </c>
      <c r="V701" s="32">
        <v>718.0992</v>
      </c>
      <c r="W701" s="32">
        <v>5206.2192</v>
      </c>
      <c r="X701" s="32">
        <v>5206.2192</v>
      </c>
      <c r="Y701" s="32">
        <v>8548.8</v>
      </c>
      <c r="Z701" s="32">
        <v>0.0</v>
      </c>
      <c r="AA701" s="32">
        <v>0.0</v>
      </c>
      <c r="AB701" s="32">
        <v>427.44</v>
      </c>
      <c r="AC701" s="33">
        <v>8976.24</v>
      </c>
      <c r="AD701" s="32">
        <v>1436.1984</v>
      </c>
      <c r="AE701" s="32">
        <v>10412.4384</v>
      </c>
      <c r="AF701" s="32">
        <v>8976.24</v>
      </c>
    </row>
    <row r="702">
      <c r="A702" s="28" t="s">
        <v>262</v>
      </c>
      <c r="B702" s="28"/>
      <c r="D702" s="28" t="str">
        <f t="shared" si="1"/>
        <v>SI</v>
      </c>
      <c r="F702" s="31" t="s">
        <v>340</v>
      </c>
      <c r="G702" s="31" t="s">
        <v>576</v>
      </c>
      <c r="H702" s="31" t="s">
        <v>577</v>
      </c>
      <c r="I702" s="31"/>
      <c r="J702" s="31" t="s">
        <v>598</v>
      </c>
      <c r="K702" s="32">
        <v>4274.4</v>
      </c>
      <c r="L702" s="32">
        <v>4274.4</v>
      </c>
      <c r="M702" s="32">
        <v>0.0</v>
      </c>
      <c r="N702" s="32">
        <v>0.0</v>
      </c>
      <c r="O702" s="32">
        <v>0.0</v>
      </c>
      <c r="P702" s="32">
        <v>0.0</v>
      </c>
      <c r="Q702" s="32">
        <v>213.72</v>
      </c>
      <c r="R702" s="32">
        <v>213.72</v>
      </c>
      <c r="S702" s="32">
        <v>4488.12</v>
      </c>
      <c r="T702" s="32">
        <v>4488.12</v>
      </c>
      <c r="U702" s="32">
        <v>718.0992</v>
      </c>
      <c r="V702" s="32">
        <v>718.0992</v>
      </c>
      <c r="W702" s="32">
        <v>5206.2192</v>
      </c>
      <c r="X702" s="32">
        <v>5206.2192</v>
      </c>
      <c r="Y702" s="32">
        <v>8548.8</v>
      </c>
      <c r="Z702" s="32">
        <v>0.0</v>
      </c>
      <c r="AA702" s="32">
        <v>0.0</v>
      </c>
      <c r="AB702" s="32">
        <v>427.44</v>
      </c>
      <c r="AC702" s="33">
        <v>8976.24</v>
      </c>
      <c r="AD702" s="32">
        <v>1436.1984</v>
      </c>
      <c r="AE702" s="32">
        <v>10412.4384</v>
      </c>
      <c r="AF702" s="32">
        <v>8976.24</v>
      </c>
    </row>
    <row r="703">
      <c r="A703" s="28" t="s">
        <v>300</v>
      </c>
      <c r="B703" s="28"/>
      <c r="D703" s="28" t="str">
        <f t="shared" si="1"/>
        <v>SI</v>
      </c>
      <c r="F703" s="31" t="s">
        <v>342</v>
      </c>
      <c r="G703" s="31" t="s">
        <v>580</v>
      </c>
      <c r="H703" s="31" t="s">
        <v>588</v>
      </c>
      <c r="I703" s="31" t="s">
        <v>589</v>
      </c>
      <c r="J703" s="31" t="s">
        <v>590</v>
      </c>
      <c r="K703" s="32">
        <v>1041.45</v>
      </c>
      <c r="L703" s="32">
        <v>1041.45</v>
      </c>
      <c r="M703" s="32">
        <v>1461.93801604352</v>
      </c>
      <c r="N703" s="32">
        <v>1416.25245304216</v>
      </c>
      <c r="O703" s="32">
        <v>0.0</v>
      </c>
      <c r="P703" s="32">
        <v>0.0</v>
      </c>
      <c r="Q703" s="32">
        <v>52.07250000000001</v>
      </c>
      <c r="R703" s="32">
        <v>52.07250000000001</v>
      </c>
      <c r="S703" s="32">
        <v>2555.46051604352</v>
      </c>
      <c r="T703" s="32">
        <v>2509.77495304216</v>
      </c>
      <c r="U703" s="32">
        <v>408.8736825669632</v>
      </c>
      <c r="V703" s="32">
        <v>401.5639924867456</v>
      </c>
      <c r="W703" s="32">
        <v>2964.334198610483</v>
      </c>
      <c r="X703" s="32">
        <v>2911.338945528905</v>
      </c>
      <c r="Y703" s="32">
        <v>2082.9</v>
      </c>
      <c r="Z703" s="32">
        <v>2878.19046908568</v>
      </c>
      <c r="AA703" s="32">
        <v>0.0</v>
      </c>
      <c r="AB703" s="32">
        <v>104.145</v>
      </c>
      <c r="AC703" s="33">
        <v>5065.235469085679</v>
      </c>
      <c r="AD703" s="32">
        <v>810.4376750537087</v>
      </c>
      <c r="AE703" s="32">
        <v>5875.673144139388</v>
      </c>
      <c r="AF703" s="32">
        <v>5065.235469085679</v>
      </c>
    </row>
    <row r="704">
      <c r="A704" s="28" t="s">
        <v>239</v>
      </c>
      <c r="B704" s="28"/>
      <c r="D704" s="28" t="str">
        <f t="shared" si="1"/>
        <v>SI</v>
      </c>
      <c r="F704" s="31" t="s">
        <v>344</v>
      </c>
      <c r="G704" s="31" t="s">
        <v>580</v>
      </c>
      <c r="H704" s="31" t="s">
        <v>577</v>
      </c>
      <c r="I704" s="31" t="s">
        <v>589</v>
      </c>
      <c r="J704" s="31" t="s">
        <v>592</v>
      </c>
      <c r="K704" s="32">
        <v>8774.4</v>
      </c>
      <c r="L704" s="32">
        <v>8774.4</v>
      </c>
      <c r="M704" s="32">
        <v>0.0</v>
      </c>
      <c r="N704" s="32">
        <v>0.0</v>
      </c>
      <c r="O704" s="32">
        <v>0.0</v>
      </c>
      <c r="P704" s="32">
        <v>0.0</v>
      </c>
      <c r="Q704" s="32">
        <v>438.72</v>
      </c>
      <c r="R704" s="32">
        <v>438.72</v>
      </c>
      <c r="S704" s="32">
        <v>9213.119999999999</v>
      </c>
      <c r="T704" s="32">
        <v>9213.119999999999</v>
      </c>
      <c r="U704" s="32">
        <v>1474.0992</v>
      </c>
      <c r="V704" s="32">
        <v>1474.0992</v>
      </c>
      <c r="W704" s="32">
        <v>10687.2192</v>
      </c>
      <c r="X704" s="32">
        <v>10687.2192</v>
      </c>
      <c r="Y704" s="32">
        <v>17548.8</v>
      </c>
      <c r="Z704" s="32">
        <v>0.0</v>
      </c>
      <c r="AA704" s="32">
        <v>0.0</v>
      </c>
      <c r="AB704" s="32">
        <v>877.44</v>
      </c>
      <c r="AC704" s="33">
        <v>18426.24</v>
      </c>
      <c r="AD704" s="32">
        <v>2948.1984</v>
      </c>
      <c r="AE704" s="32">
        <v>21374.4384</v>
      </c>
      <c r="AF704" s="32">
        <v>18426.24</v>
      </c>
    </row>
    <row r="705">
      <c r="A705" s="28" t="s">
        <v>133</v>
      </c>
      <c r="B705" s="28"/>
      <c r="D705" s="28" t="str">
        <f t="shared" si="1"/>
        <v>SI</v>
      </c>
      <c r="F705" s="31" t="s">
        <v>346</v>
      </c>
      <c r="G705" s="31" t="s">
        <v>580</v>
      </c>
      <c r="H705" s="31" t="s">
        <v>588</v>
      </c>
      <c r="I705" s="31"/>
      <c r="J705" s="31" t="s">
        <v>585</v>
      </c>
      <c r="K705" s="32">
        <v>774.4</v>
      </c>
      <c r="L705" s="32">
        <v>774.4</v>
      </c>
      <c r="M705" s="32">
        <v>0.0</v>
      </c>
      <c r="N705" s="32">
        <v>0.0</v>
      </c>
      <c r="O705" s="32">
        <v>0.0</v>
      </c>
      <c r="P705" s="32">
        <v>0.0</v>
      </c>
      <c r="Q705" s="32">
        <v>38.72</v>
      </c>
      <c r="R705" s="32">
        <v>38.72</v>
      </c>
      <c r="S705" s="32">
        <v>813.12</v>
      </c>
      <c r="T705" s="32">
        <v>813.12</v>
      </c>
      <c r="U705" s="32">
        <v>130.0992</v>
      </c>
      <c r="V705" s="32">
        <v>130.0992</v>
      </c>
      <c r="W705" s="32">
        <v>943.2192</v>
      </c>
      <c r="X705" s="32">
        <v>943.2192</v>
      </c>
      <c r="Y705" s="32">
        <v>1548.8</v>
      </c>
      <c r="Z705" s="32">
        <v>0.0</v>
      </c>
      <c r="AA705" s="32">
        <v>0.0</v>
      </c>
      <c r="AB705" s="32">
        <v>77.44</v>
      </c>
      <c r="AC705" s="33">
        <v>1626.24</v>
      </c>
      <c r="AD705" s="32">
        <v>260.1984</v>
      </c>
      <c r="AE705" s="32">
        <v>1886.4384</v>
      </c>
      <c r="AF705" s="32">
        <v>1626.24</v>
      </c>
    </row>
    <row r="706">
      <c r="A706" s="28" t="s">
        <v>205</v>
      </c>
      <c r="B706" s="28"/>
      <c r="D706" s="28" t="str">
        <f t="shared" si="1"/>
        <v>SI</v>
      </c>
      <c r="F706" s="31" t="s">
        <v>348</v>
      </c>
      <c r="G706" s="31" t="s">
        <v>580</v>
      </c>
      <c r="H706" s="31" t="s">
        <v>666</v>
      </c>
      <c r="I706" s="31" t="s">
        <v>623</v>
      </c>
      <c r="J706" s="31" t="s">
        <v>623</v>
      </c>
      <c r="K706" s="32">
        <v>3274.4</v>
      </c>
      <c r="L706" s="32">
        <v>3274.4</v>
      </c>
      <c r="M706" s="32">
        <v>0.0</v>
      </c>
      <c r="N706" s="32">
        <v>0.0</v>
      </c>
      <c r="O706" s="32">
        <v>0.0</v>
      </c>
      <c r="P706" s="32">
        <v>0.0</v>
      </c>
      <c r="Q706" s="32">
        <v>163.72</v>
      </c>
      <c r="R706" s="32">
        <v>163.72</v>
      </c>
      <c r="S706" s="32">
        <v>3438.12</v>
      </c>
      <c r="T706" s="32">
        <v>3438.12</v>
      </c>
      <c r="U706" s="32">
        <v>550.0992</v>
      </c>
      <c r="V706" s="32">
        <v>550.0992</v>
      </c>
      <c r="W706" s="32">
        <v>3988.2192</v>
      </c>
      <c r="X706" s="32">
        <v>3988.2192</v>
      </c>
      <c r="Y706" s="32">
        <v>6548.8</v>
      </c>
      <c r="Z706" s="32">
        <v>0.0</v>
      </c>
      <c r="AA706" s="32">
        <v>0.0</v>
      </c>
      <c r="AB706" s="32">
        <v>327.4400000000001</v>
      </c>
      <c r="AC706" s="33">
        <v>6876.24</v>
      </c>
      <c r="AD706" s="32">
        <v>1100.1984</v>
      </c>
      <c r="AE706" s="32">
        <v>7976.4384</v>
      </c>
      <c r="AF706" s="32">
        <v>6876.24</v>
      </c>
    </row>
    <row r="707">
      <c r="A707" s="28" t="s">
        <v>110</v>
      </c>
      <c r="B707" s="28"/>
      <c r="D707" s="28" t="str">
        <f t="shared" si="1"/>
        <v>SI</v>
      </c>
      <c r="F707" s="31" t="s">
        <v>350</v>
      </c>
      <c r="G707" s="31" t="s">
        <v>580</v>
      </c>
      <c r="H707" s="31" t="s">
        <v>577</v>
      </c>
      <c r="I707" s="31" t="s">
        <v>591</v>
      </c>
      <c r="J707" s="31" t="s">
        <v>592</v>
      </c>
      <c r="K707" s="32">
        <v>14499.998</v>
      </c>
      <c r="L707" s="32">
        <v>14499.998</v>
      </c>
      <c r="M707" s="32">
        <v>1489.939020956826</v>
      </c>
      <c r="N707" s="32">
        <v>1443.378426551925</v>
      </c>
      <c r="O707" s="32">
        <v>189.02</v>
      </c>
      <c r="P707" s="32">
        <v>189.02</v>
      </c>
      <c r="Q707" s="32">
        <v>724.9999</v>
      </c>
      <c r="R707" s="32">
        <v>724.9999</v>
      </c>
      <c r="S707" s="32">
        <v>16903.95692095683</v>
      </c>
      <c r="T707" s="32">
        <v>16857.39632655193</v>
      </c>
      <c r="U707" s="32">
        <v>2704.633107353092</v>
      </c>
      <c r="V707" s="32">
        <v>2697.183412248308</v>
      </c>
      <c r="W707" s="32">
        <v>19608.59002830992</v>
      </c>
      <c r="X707" s="32">
        <v>19554.57973880024</v>
      </c>
      <c r="Y707" s="32">
        <v>28999.996</v>
      </c>
      <c r="Z707" s="32">
        <v>2933.317447508751</v>
      </c>
      <c r="AA707" s="32">
        <v>378.04</v>
      </c>
      <c r="AB707" s="32">
        <v>1449.9998</v>
      </c>
      <c r="AC707" s="33">
        <v>33761.35324750876</v>
      </c>
      <c r="AD707" s="32">
        <v>5401.816519601401</v>
      </c>
      <c r="AE707" s="32">
        <v>39163.16976711016</v>
      </c>
      <c r="AF707" s="32">
        <v>33761.35324750876</v>
      </c>
    </row>
    <row r="708">
      <c r="A708" s="28" t="s">
        <v>64</v>
      </c>
      <c r="B708" s="28"/>
      <c r="D708" s="28" t="str">
        <f t="shared" si="1"/>
        <v>SI</v>
      </c>
      <c r="F708" s="31" t="s">
        <v>352</v>
      </c>
      <c r="G708" s="31" t="s">
        <v>576</v>
      </c>
      <c r="H708" s="31" t="s">
        <v>577</v>
      </c>
      <c r="I708" s="31"/>
      <c r="J708" s="31" t="s">
        <v>579</v>
      </c>
      <c r="K708" s="32">
        <v>8999.998</v>
      </c>
      <c r="L708" s="32">
        <v>8999.998</v>
      </c>
      <c r="M708" s="32">
        <v>1482.706896029158</v>
      </c>
      <c r="N708" s="32">
        <v>1436.372305528247</v>
      </c>
      <c r="O708" s="32">
        <v>189.02</v>
      </c>
      <c r="P708" s="32">
        <v>189.02</v>
      </c>
      <c r="Q708" s="32">
        <v>449.9999</v>
      </c>
      <c r="R708" s="32">
        <v>449.9999</v>
      </c>
      <c r="S708" s="32">
        <v>11121.72479602916</v>
      </c>
      <c r="T708" s="32">
        <v>11075.39020552825</v>
      </c>
      <c r="U708" s="32">
        <v>1779.475967364665</v>
      </c>
      <c r="V708" s="32">
        <v>1772.062432884519</v>
      </c>
      <c r="W708" s="32">
        <v>12901.20076339382</v>
      </c>
      <c r="X708" s="32">
        <v>12847.45263841277</v>
      </c>
      <c r="Y708" s="32">
        <v>17999.996</v>
      </c>
      <c r="Z708" s="32">
        <v>2919.079201557405</v>
      </c>
      <c r="AA708" s="32">
        <v>378.04</v>
      </c>
      <c r="AB708" s="32">
        <v>899.9998</v>
      </c>
      <c r="AC708" s="33">
        <v>22197.11500155741</v>
      </c>
      <c r="AD708" s="32">
        <v>3551.538400249185</v>
      </c>
      <c r="AE708" s="32">
        <v>25748.65340180659</v>
      </c>
      <c r="AF708" s="32">
        <v>22197.11500155741</v>
      </c>
    </row>
    <row r="709">
      <c r="A709" s="28" t="s">
        <v>185</v>
      </c>
      <c r="B709" s="28"/>
      <c r="D709" s="28" t="str">
        <f t="shared" si="1"/>
        <v>SI</v>
      </c>
      <c r="F709" s="31" t="s">
        <v>354</v>
      </c>
      <c r="G709" s="31" t="s">
        <v>576</v>
      </c>
      <c r="H709" s="31" t="s">
        <v>581</v>
      </c>
      <c r="I709" s="31"/>
      <c r="J709" s="31" t="s">
        <v>667</v>
      </c>
      <c r="K709" s="32">
        <v>1274.4</v>
      </c>
      <c r="L709" s="32">
        <v>1274.4</v>
      </c>
      <c r="M709" s="32">
        <v>0.0</v>
      </c>
      <c r="N709" s="32">
        <v>0.0</v>
      </c>
      <c r="O709" s="32">
        <v>0.0</v>
      </c>
      <c r="P709" s="32">
        <v>0.0</v>
      </c>
      <c r="Q709" s="32">
        <v>63.72000000000001</v>
      </c>
      <c r="R709" s="32">
        <v>63.72000000000001</v>
      </c>
      <c r="S709" s="32">
        <v>1338.12</v>
      </c>
      <c r="T709" s="32">
        <v>1338.12</v>
      </c>
      <c r="U709" s="32">
        <v>214.0992</v>
      </c>
      <c r="V709" s="32">
        <v>214.0992</v>
      </c>
      <c r="W709" s="32">
        <v>1552.2192</v>
      </c>
      <c r="X709" s="32">
        <v>1552.2192</v>
      </c>
      <c r="Y709" s="32">
        <v>2548.8</v>
      </c>
      <c r="Z709" s="32">
        <v>0.0</v>
      </c>
      <c r="AA709" s="32">
        <v>0.0</v>
      </c>
      <c r="AB709" s="32">
        <v>127.44</v>
      </c>
      <c r="AC709" s="33">
        <v>2676.24</v>
      </c>
      <c r="AD709" s="32">
        <v>428.1984</v>
      </c>
      <c r="AE709" s="32">
        <v>3104.4384</v>
      </c>
      <c r="AF709" s="32">
        <v>2676.24</v>
      </c>
    </row>
    <row r="710">
      <c r="A710" s="28" t="s">
        <v>211</v>
      </c>
      <c r="B710" s="28"/>
      <c r="D710" s="28" t="str">
        <f t="shared" si="1"/>
        <v>SI</v>
      </c>
    </row>
    <row r="711">
      <c r="A711" s="28" t="s">
        <v>146</v>
      </c>
      <c r="B711" s="28"/>
      <c r="D711" s="28" t="str">
        <f t="shared" si="1"/>
        <v>SI</v>
      </c>
    </row>
    <row r="712">
      <c r="A712" s="28" t="s">
        <v>81</v>
      </c>
      <c r="B712" s="28"/>
      <c r="D712" s="28" t="str">
        <f t="shared" si="1"/>
        <v>SI</v>
      </c>
    </row>
    <row r="713">
      <c r="A713" s="28" t="s">
        <v>339</v>
      </c>
      <c r="B713" s="28"/>
      <c r="D713" s="28" t="str">
        <f t="shared" si="1"/>
        <v>SI</v>
      </c>
    </row>
    <row r="714">
      <c r="A714" s="28" t="s">
        <v>73</v>
      </c>
      <c r="B714" s="28"/>
      <c r="D714" s="28" t="str">
        <f t="shared" si="1"/>
        <v>SI</v>
      </c>
    </row>
    <row r="715">
      <c r="A715" s="28" t="s">
        <v>314</v>
      </c>
      <c r="B715" s="28"/>
      <c r="D715" s="28" t="str">
        <f t="shared" si="1"/>
        <v>SI</v>
      </c>
    </row>
    <row r="716">
      <c r="A716" s="28" t="s">
        <v>108</v>
      </c>
      <c r="B716" s="28"/>
      <c r="D716" s="28" t="str">
        <f t="shared" si="1"/>
        <v>SI</v>
      </c>
    </row>
    <row r="717">
      <c r="A717" s="28" t="s">
        <v>169</v>
      </c>
      <c r="B717" s="28"/>
      <c r="D717" s="28" t="str">
        <f t="shared" si="1"/>
        <v>SI</v>
      </c>
    </row>
    <row r="718">
      <c r="A718" s="28" t="s">
        <v>49</v>
      </c>
      <c r="B718" s="28"/>
      <c r="D718" s="28" t="str">
        <f t="shared" si="1"/>
        <v>SI</v>
      </c>
    </row>
    <row r="719">
      <c r="A719" s="28" t="s">
        <v>353</v>
      </c>
      <c r="B719" s="28"/>
      <c r="D719" s="28" t="str">
        <f t="shared" si="1"/>
        <v>SI</v>
      </c>
    </row>
    <row r="720">
      <c r="A720" s="28" t="s">
        <v>227</v>
      </c>
      <c r="B720" s="28"/>
      <c r="D720" s="28" t="str">
        <f t="shared" si="1"/>
        <v>SI</v>
      </c>
    </row>
    <row r="721">
      <c r="A721" s="28" t="s">
        <v>276</v>
      </c>
      <c r="B721" s="28"/>
      <c r="D721" s="28" t="str">
        <f t="shared" si="1"/>
        <v>SI</v>
      </c>
    </row>
    <row r="722">
      <c r="A722" s="28" t="s">
        <v>154</v>
      </c>
      <c r="B722" s="28"/>
      <c r="D722" s="28" t="str">
        <f t="shared" si="1"/>
        <v>SI</v>
      </c>
    </row>
    <row r="723">
      <c r="A723" s="28" t="s">
        <v>270</v>
      </c>
      <c r="B723" s="28"/>
      <c r="D723" s="28" t="str">
        <f t="shared" si="1"/>
        <v>SI</v>
      </c>
    </row>
    <row r="724">
      <c r="A724" s="28" t="s">
        <v>320</v>
      </c>
      <c r="B724" s="28"/>
      <c r="D724" s="28" t="str">
        <f t="shared" si="1"/>
        <v>SI</v>
      </c>
    </row>
    <row r="725">
      <c r="A725" s="28" t="s">
        <v>668</v>
      </c>
      <c r="B725" s="28"/>
      <c r="D725" s="28" t="str">
        <f t="shared" si="1"/>
        <v>SI</v>
      </c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34"/>
      <c r="B1" s="35" t="s">
        <v>669</v>
      </c>
      <c r="C1" s="35"/>
      <c r="D1" s="35"/>
      <c r="E1" s="35"/>
      <c r="G1" s="35"/>
      <c r="H1" s="35" t="s">
        <v>670</v>
      </c>
      <c r="I1" s="35"/>
      <c r="J1" s="35"/>
      <c r="K1" s="35"/>
    </row>
    <row r="2">
      <c r="A2" s="35"/>
      <c r="B2" s="35"/>
      <c r="C2" s="35"/>
      <c r="D2" s="35"/>
      <c r="E2" s="35"/>
      <c r="G2" s="35"/>
      <c r="H2" s="35"/>
      <c r="I2" s="35"/>
      <c r="J2" s="35"/>
      <c r="K2" s="35"/>
    </row>
    <row r="3">
      <c r="A3" s="35"/>
      <c r="B3" s="36" t="s">
        <v>671</v>
      </c>
      <c r="C3" s="36" t="s">
        <v>672</v>
      </c>
      <c r="D3" s="36" t="s">
        <v>673</v>
      </c>
      <c r="E3" s="35"/>
      <c r="G3" s="35"/>
      <c r="H3" s="36" t="s">
        <v>671</v>
      </c>
      <c r="I3" s="36" t="s">
        <v>672</v>
      </c>
      <c r="J3" s="36" t="s">
        <v>673</v>
      </c>
      <c r="K3" s="35"/>
    </row>
    <row r="4">
      <c r="A4" s="37">
        <v>1.0</v>
      </c>
      <c r="B4" s="36" t="s">
        <v>67</v>
      </c>
      <c r="C4" s="38">
        <v>5988.68</v>
      </c>
      <c r="D4" s="36" t="s">
        <v>674</v>
      </c>
      <c r="E4" s="35"/>
      <c r="G4" s="37">
        <v>1.0</v>
      </c>
      <c r="H4" s="36" t="s">
        <v>67</v>
      </c>
      <c r="I4" s="38">
        <v>5988.68</v>
      </c>
      <c r="J4" s="36" t="s">
        <v>674</v>
      </c>
      <c r="K4" s="35"/>
    </row>
    <row r="5">
      <c r="A5" s="37">
        <v>2.0</v>
      </c>
      <c r="B5" s="39" t="s">
        <v>70</v>
      </c>
      <c r="C5" s="38">
        <v>12874.48</v>
      </c>
      <c r="D5" s="36" t="s">
        <v>675</v>
      </c>
      <c r="E5" s="35"/>
      <c r="G5" s="37">
        <v>2.0</v>
      </c>
      <c r="H5" s="36" t="s">
        <v>70</v>
      </c>
      <c r="I5" s="38">
        <v>7253.28</v>
      </c>
      <c r="J5" s="36" t="s">
        <v>675</v>
      </c>
      <c r="K5" s="35"/>
    </row>
    <row r="6">
      <c r="A6" s="37">
        <v>3.0</v>
      </c>
      <c r="B6" s="36" t="s">
        <v>73</v>
      </c>
      <c r="C6" s="38">
        <v>6499.95</v>
      </c>
      <c r="D6" s="36" t="s">
        <v>676</v>
      </c>
      <c r="E6" s="35"/>
      <c r="G6" s="37">
        <v>3.0</v>
      </c>
      <c r="H6" s="36" t="s">
        <v>73</v>
      </c>
      <c r="I6" s="38">
        <v>6499.95</v>
      </c>
      <c r="J6" s="36" t="s">
        <v>676</v>
      </c>
      <c r="K6" s="35"/>
    </row>
    <row r="7">
      <c r="A7" s="37">
        <v>4.0</v>
      </c>
      <c r="B7" s="36" t="s">
        <v>191</v>
      </c>
      <c r="C7" s="38">
        <v>6499.95</v>
      </c>
      <c r="D7" s="36" t="s">
        <v>677</v>
      </c>
      <c r="E7" s="35"/>
      <c r="G7" s="37">
        <v>4.0</v>
      </c>
      <c r="H7" s="36" t="s">
        <v>191</v>
      </c>
      <c r="I7" s="38">
        <v>6499.95</v>
      </c>
      <c r="J7" s="36" t="s">
        <v>677</v>
      </c>
      <c r="K7" s="35"/>
    </row>
    <row r="8">
      <c r="A8" s="37">
        <v>5.0</v>
      </c>
      <c r="B8" s="36" t="s">
        <v>74</v>
      </c>
      <c r="C8" s="38">
        <v>6499.95</v>
      </c>
      <c r="D8" s="36" t="s">
        <v>676</v>
      </c>
      <c r="E8" s="35"/>
      <c r="G8" s="37">
        <v>5.0</v>
      </c>
      <c r="H8" s="36" t="s">
        <v>74</v>
      </c>
      <c r="I8" s="38">
        <v>6499.95</v>
      </c>
      <c r="J8" s="36" t="s">
        <v>676</v>
      </c>
      <c r="K8" s="35"/>
    </row>
    <row r="9">
      <c r="A9" s="37">
        <v>6.0</v>
      </c>
      <c r="B9" s="36" t="s">
        <v>678</v>
      </c>
      <c r="C9" s="38">
        <v>13123.05</v>
      </c>
      <c r="D9" s="36" t="s">
        <v>679</v>
      </c>
      <c r="E9" s="35"/>
      <c r="G9" s="37">
        <v>6.0</v>
      </c>
      <c r="H9" s="36" t="s">
        <v>678</v>
      </c>
      <c r="I9" s="38">
        <v>13123.05</v>
      </c>
      <c r="J9" s="36" t="s">
        <v>679</v>
      </c>
      <c r="K9" s="35"/>
    </row>
    <row r="10">
      <c r="A10" s="37">
        <v>7.0</v>
      </c>
      <c r="B10" s="36" t="s">
        <v>680</v>
      </c>
      <c r="C10" s="38">
        <v>6499.95</v>
      </c>
      <c r="D10" s="36" t="s">
        <v>681</v>
      </c>
      <c r="E10" s="35"/>
      <c r="G10" s="37">
        <v>7.0</v>
      </c>
      <c r="H10" s="36" t="s">
        <v>680</v>
      </c>
      <c r="I10" s="38">
        <v>6499.95</v>
      </c>
      <c r="J10" s="36" t="s">
        <v>681</v>
      </c>
      <c r="K10" s="35"/>
    </row>
    <row r="11">
      <c r="A11" s="37">
        <v>8.0</v>
      </c>
      <c r="B11" s="36" t="s">
        <v>75</v>
      </c>
      <c r="C11" s="38">
        <v>8109.55</v>
      </c>
      <c r="D11" s="36" t="s">
        <v>681</v>
      </c>
      <c r="E11" s="35"/>
      <c r="G11" s="37">
        <v>8.0</v>
      </c>
      <c r="H11" s="36" t="s">
        <v>75</v>
      </c>
      <c r="I11" s="38">
        <v>8109.55</v>
      </c>
      <c r="J11" s="36" t="s">
        <v>681</v>
      </c>
      <c r="K11" s="35"/>
    </row>
    <row r="12">
      <c r="A12" s="37">
        <v>9.0</v>
      </c>
      <c r="B12" s="39" t="s">
        <v>76</v>
      </c>
      <c r="C12" s="38">
        <v>5192.95</v>
      </c>
      <c r="D12" s="36" t="s">
        <v>623</v>
      </c>
      <c r="E12" s="35"/>
      <c r="G12" s="37">
        <v>9.0</v>
      </c>
      <c r="H12" s="36" t="s">
        <v>76</v>
      </c>
      <c r="I12" s="38">
        <v>0.0</v>
      </c>
      <c r="J12" s="36" t="s">
        <v>623</v>
      </c>
      <c r="K12" s="35"/>
    </row>
    <row r="13">
      <c r="A13" s="37">
        <v>10.0</v>
      </c>
      <c r="B13" s="36"/>
      <c r="C13" s="40">
        <f>SUM(C4:C12)</f>
        <v>71288.51</v>
      </c>
      <c r="D13" s="36"/>
      <c r="E13" s="35"/>
      <c r="G13" s="35"/>
      <c r="H13" s="35"/>
      <c r="I13" s="41">
        <f>SUM(I4:I12)</f>
        <v>60474.36</v>
      </c>
      <c r="J13" s="35"/>
      <c r="K13" s="35"/>
    </row>
    <row r="14">
      <c r="A14" s="37">
        <v>11.0</v>
      </c>
      <c r="B14" s="36"/>
      <c r="C14" s="36"/>
      <c r="D14" s="36"/>
      <c r="E14" s="35"/>
      <c r="G14" s="35"/>
      <c r="H14" s="35"/>
      <c r="I14" s="42"/>
      <c r="J14" s="35"/>
      <c r="K14" s="35"/>
    </row>
    <row r="15">
      <c r="A15" s="35"/>
      <c r="B15" s="35"/>
      <c r="C15" s="35"/>
      <c r="D15" s="35"/>
      <c r="E15" s="35"/>
    </row>
    <row r="16">
      <c r="A16" s="35"/>
      <c r="B16" s="35" t="s">
        <v>682</v>
      </c>
      <c r="C16" s="35"/>
      <c r="D16" s="35"/>
      <c r="E16" s="35"/>
      <c r="G16" s="35"/>
      <c r="H16" s="35" t="s">
        <v>683</v>
      </c>
      <c r="I16" s="35"/>
      <c r="J16" s="35"/>
      <c r="K16" s="35"/>
    </row>
    <row r="17">
      <c r="B17" s="35"/>
      <c r="C17" s="35"/>
      <c r="D17" s="35"/>
      <c r="E17" s="35"/>
      <c r="G17" s="35"/>
      <c r="H17" s="35"/>
      <c r="I17" s="35"/>
      <c r="J17" s="35"/>
      <c r="K17" s="35"/>
    </row>
    <row r="18">
      <c r="B18" s="36" t="s">
        <v>671</v>
      </c>
      <c r="C18" s="36" t="s">
        <v>672</v>
      </c>
      <c r="D18" s="36" t="s">
        <v>673</v>
      </c>
      <c r="E18" s="35"/>
      <c r="G18" s="35"/>
      <c r="H18" s="35"/>
      <c r="I18" s="35"/>
      <c r="J18" s="35"/>
      <c r="K18" s="35"/>
    </row>
    <row r="19">
      <c r="B19" s="36" t="s">
        <v>67</v>
      </c>
      <c r="C19" s="38">
        <v>5989.43</v>
      </c>
      <c r="D19" s="36" t="s">
        <v>674</v>
      </c>
      <c r="E19" s="35"/>
      <c r="G19" s="35"/>
      <c r="H19" s="36" t="s">
        <v>671</v>
      </c>
      <c r="I19" s="36" t="s">
        <v>672</v>
      </c>
      <c r="J19" s="36" t="s">
        <v>673</v>
      </c>
      <c r="K19" s="35"/>
    </row>
    <row r="20">
      <c r="B20" s="36" t="s">
        <v>70</v>
      </c>
      <c r="C20" s="38">
        <v>0.0</v>
      </c>
      <c r="D20" s="36" t="s">
        <v>675</v>
      </c>
      <c r="E20" s="35"/>
      <c r="G20" s="37">
        <v>1.0</v>
      </c>
      <c r="H20" s="36" t="s">
        <v>67</v>
      </c>
      <c r="I20" s="38">
        <v>5989.43</v>
      </c>
      <c r="J20" s="36" t="s">
        <v>674</v>
      </c>
      <c r="K20" s="35"/>
    </row>
    <row r="21">
      <c r="B21" s="36" t="s">
        <v>73</v>
      </c>
      <c r="C21" s="38">
        <v>6499.95</v>
      </c>
      <c r="D21" s="36" t="s">
        <v>676</v>
      </c>
      <c r="E21" s="35"/>
      <c r="G21" s="37">
        <v>2.0</v>
      </c>
      <c r="H21" s="36" t="s">
        <v>70</v>
      </c>
      <c r="I21" s="38">
        <v>0.0</v>
      </c>
      <c r="J21" s="36" t="s">
        <v>675</v>
      </c>
      <c r="K21" s="35"/>
    </row>
    <row r="22">
      <c r="B22" s="36" t="s">
        <v>191</v>
      </c>
      <c r="C22" s="38">
        <v>6499.95</v>
      </c>
      <c r="D22" s="36" t="s">
        <v>677</v>
      </c>
      <c r="E22" s="35"/>
      <c r="G22" s="37">
        <v>3.0</v>
      </c>
      <c r="H22" s="36" t="s">
        <v>73</v>
      </c>
      <c r="I22" s="38">
        <v>6499.95</v>
      </c>
      <c r="J22" s="36" t="s">
        <v>676</v>
      </c>
      <c r="K22" s="35"/>
    </row>
    <row r="23">
      <c r="B23" s="36" t="s">
        <v>74</v>
      </c>
      <c r="C23" s="38">
        <v>6499.95</v>
      </c>
      <c r="D23" s="36" t="s">
        <v>676</v>
      </c>
      <c r="E23" s="35"/>
      <c r="G23" s="37">
        <v>4.0</v>
      </c>
      <c r="H23" s="36" t="s">
        <v>191</v>
      </c>
      <c r="I23" s="38">
        <v>6499.95</v>
      </c>
      <c r="J23" s="36" t="s">
        <v>677</v>
      </c>
      <c r="K23" s="35"/>
    </row>
    <row r="24">
      <c r="B24" s="36" t="s">
        <v>678</v>
      </c>
      <c r="C24" s="38">
        <v>13123.8</v>
      </c>
      <c r="D24" s="36" t="s">
        <v>679</v>
      </c>
      <c r="E24" s="35"/>
      <c r="G24" s="37">
        <v>5.0</v>
      </c>
      <c r="H24" s="36" t="s">
        <v>74</v>
      </c>
      <c r="I24" s="38">
        <v>6499.95</v>
      </c>
      <c r="J24" s="36" t="s">
        <v>676</v>
      </c>
      <c r="K24" s="35"/>
    </row>
    <row r="25">
      <c r="B25" s="36" t="s">
        <v>680</v>
      </c>
      <c r="C25" s="38">
        <v>6499.95</v>
      </c>
      <c r="D25" s="36" t="s">
        <v>681</v>
      </c>
      <c r="E25" s="35"/>
      <c r="G25" s="37">
        <v>6.0</v>
      </c>
      <c r="H25" s="36" t="s">
        <v>678</v>
      </c>
      <c r="I25" s="38">
        <v>13123.8</v>
      </c>
      <c r="J25" s="36" t="s">
        <v>679</v>
      </c>
      <c r="K25" s="35"/>
    </row>
    <row r="26">
      <c r="B26" s="36" t="s">
        <v>75</v>
      </c>
      <c r="C26" s="38">
        <v>11000.07</v>
      </c>
      <c r="D26" s="36" t="s">
        <v>681</v>
      </c>
      <c r="E26" s="35"/>
      <c r="G26" s="37">
        <v>7.0</v>
      </c>
      <c r="H26" s="36" t="s">
        <v>680</v>
      </c>
      <c r="I26" s="38">
        <v>6499.95</v>
      </c>
      <c r="J26" s="36" t="s">
        <v>681</v>
      </c>
      <c r="K26" s="35"/>
    </row>
    <row r="27">
      <c r="B27" s="36" t="s">
        <v>76</v>
      </c>
      <c r="C27" s="38">
        <v>5193.7</v>
      </c>
      <c r="D27" s="36" t="s">
        <v>623</v>
      </c>
      <c r="E27" s="35"/>
      <c r="G27" s="37">
        <v>8.0</v>
      </c>
      <c r="H27" s="36" t="s">
        <v>75</v>
      </c>
      <c r="I27" s="38">
        <v>11000.07</v>
      </c>
      <c r="J27" s="36" t="s">
        <v>681</v>
      </c>
      <c r="K27" s="35"/>
    </row>
    <row r="28">
      <c r="B28" s="35"/>
      <c r="C28" s="41">
        <f>SUM(C19:C27)</f>
        <v>61306.8</v>
      </c>
      <c r="D28" s="35"/>
      <c r="E28" s="35"/>
      <c r="G28" s="37">
        <v>9.0</v>
      </c>
      <c r="H28" s="36" t="s">
        <v>76</v>
      </c>
      <c r="I28" s="38">
        <v>6988.79</v>
      </c>
      <c r="J28" s="36" t="s">
        <v>623</v>
      </c>
      <c r="K28" s="35"/>
    </row>
    <row r="29">
      <c r="G29" s="37">
        <v>10.0</v>
      </c>
      <c r="H29" s="43" t="s">
        <v>684</v>
      </c>
      <c r="I29" s="38">
        <v>1575.2</v>
      </c>
      <c r="J29" s="36" t="s">
        <v>623</v>
      </c>
      <c r="K29" s="35"/>
    </row>
    <row r="30">
      <c r="G30" s="37">
        <v>11.0</v>
      </c>
      <c r="H30" s="43" t="s">
        <v>685</v>
      </c>
      <c r="I30" s="38">
        <v>1575.2</v>
      </c>
      <c r="J30" s="36" t="s">
        <v>623</v>
      </c>
      <c r="K30" s="35"/>
    </row>
    <row r="31">
      <c r="G31" s="37">
        <v>12.0</v>
      </c>
      <c r="H31" s="43" t="s">
        <v>686</v>
      </c>
      <c r="I31" s="38">
        <v>1575.2</v>
      </c>
      <c r="J31" s="36" t="s">
        <v>623</v>
      </c>
      <c r="K31" s="35"/>
    </row>
    <row r="32">
      <c r="G32" s="37">
        <v>13.0</v>
      </c>
      <c r="H32" s="43" t="s">
        <v>687</v>
      </c>
      <c r="I32" s="38">
        <v>1575.2</v>
      </c>
      <c r="J32" s="36" t="s">
        <v>623</v>
      </c>
      <c r="K32" s="35"/>
    </row>
    <row r="33">
      <c r="G33" s="37">
        <v>14.0</v>
      </c>
      <c r="H33" s="43" t="s">
        <v>688</v>
      </c>
      <c r="I33" s="38">
        <v>1575.2</v>
      </c>
      <c r="J33" s="36" t="s">
        <v>623</v>
      </c>
      <c r="K33" s="35"/>
    </row>
    <row r="34">
      <c r="G34" s="37">
        <v>15.0</v>
      </c>
      <c r="H34" s="43" t="s">
        <v>689</v>
      </c>
      <c r="I34" s="38">
        <v>1575.2</v>
      </c>
      <c r="J34" s="36" t="s">
        <v>623</v>
      </c>
      <c r="K34" s="35"/>
    </row>
    <row r="35">
      <c r="G35" s="37">
        <v>16.0</v>
      </c>
      <c r="H35" s="43" t="s">
        <v>690</v>
      </c>
      <c r="I35" s="38">
        <v>1575.2</v>
      </c>
      <c r="J35" s="36" t="s">
        <v>623</v>
      </c>
      <c r="K35" s="35"/>
    </row>
    <row r="36">
      <c r="G36" s="37">
        <v>17.0</v>
      </c>
      <c r="H36" s="43" t="s">
        <v>691</v>
      </c>
      <c r="I36" s="38">
        <v>1575.2</v>
      </c>
      <c r="J36" s="36" t="s">
        <v>623</v>
      </c>
      <c r="K36" s="35"/>
    </row>
    <row r="37">
      <c r="G37" s="35"/>
      <c r="H37" s="35"/>
      <c r="I37" s="41">
        <f>SUM(I20:I36)</f>
        <v>75703.49</v>
      </c>
      <c r="J37" s="35"/>
      <c r="K37" s="35"/>
    </row>
    <row r="41">
      <c r="A41" s="35"/>
      <c r="B41" s="35" t="s">
        <v>692</v>
      </c>
      <c r="C41" s="35"/>
      <c r="D41" s="35"/>
      <c r="E41" s="35"/>
      <c r="G41" s="35"/>
      <c r="H41" s="35"/>
      <c r="I41" s="35"/>
      <c r="J41" s="35"/>
    </row>
    <row r="42">
      <c r="A42" s="35"/>
      <c r="B42" s="35"/>
      <c r="C42" s="35"/>
      <c r="D42" s="35"/>
      <c r="E42" s="35"/>
      <c r="G42" s="35"/>
      <c r="H42" s="36" t="s">
        <v>671</v>
      </c>
      <c r="I42" s="36" t="s">
        <v>672</v>
      </c>
      <c r="J42" s="36" t="s">
        <v>673</v>
      </c>
    </row>
    <row r="43">
      <c r="A43" s="35"/>
      <c r="B43" s="35"/>
      <c r="C43" s="35"/>
      <c r="D43" s="35"/>
      <c r="E43" s="35"/>
      <c r="G43" s="37">
        <v>1.0</v>
      </c>
      <c r="H43" s="36" t="s">
        <v>67</v>
      </c>
      <c r="I43" s="38">
        <v>5989.43</v>
      </c>
      <c r="J43" s="36" t="s">
        <v>674</v>
      </c>
    </row>
    <row r="44">
      <c r="A44" s="35"/>
      <c r="B44" s="36" t="s">
        <v>671</v>
      </c>
      <c r="C44" s="36" t="s">
        <v>672</v>
      </c>
      <c r="D44" s="36" t="s">
        <v>673</v>
      </c>
      <c r="E44" s="35"/>
      <c r="G44" s="37">
        <v>2.0</v>
      </c>
      <c r="H44" s="36" t="s">
        <v>70</v>
      </c>
      <c r="I44" s="38">
        <v>0.0</v>
      </c>
      <c r="J44" s="36" t="s">
        <v>675</v>
      </c>
    </row>
    <row r="45">
      <c r="A45" s="37">
        <v>1.0</v>
      </c>
      <c r="B45" s="36" t="s">
        <v>67</v>
      </c>
      <c r="C45" s="38">
        <v>5989.43</v>
      </c>
      <c r="D45" s="36" t="s">
        <v>674</v>
      </c>
      <c r="E45" s="35"/>
      <c r="G45" s="37">
        <v>3.0</v>
      </c>
      <c r="H45" s="36" t="s">
        <v>73</v>
      </c>
      <c r="I45" s="38">
        <v>6499.95</v>
      </c>
      <c r="J45" s="36" t="s">
        <v>676</v>
      </c>
      <c r="L45" s="44">
        <f>C116*2</f>
        <v>9451.2</v>
      </c>
    </row>
    <row r="46">
      <c r="A46" s="37">
        <v>2.0</v>
      </c>
      <c r="B46" s="36" t="s">
        <v>70</v>
      </c>
      <c r="C46" s="38">
        <v>0.0</v>
      </c>
      <c r="D46" s="36" t="s">
        <v>675</v>
      </c>
      <c r="E46" s="35"/>
      <c r="G46" s="37">
        <v>4.0</v>
      </c>
      <c r="H46" s="36" t="s">
        <v>191</v>
      </c>
      <c r="I46" s="38">
        <v>6499.95</v>
      </c>
      <c r="J46" s="36" t="s">
        <v>677</v>
      </c>
    </row>
    <row r="47">
      <c r="A47" s="37">
        <v>3.0</v>
      </c>
      <c r="B47" s="36" t="s">
        <v>73</v>
      </c>
      <c r="C47" s="38">
        <v>6499.95</v>
      </c>
      <c r="D47" s="36" t="s">
        <v>676</v>
      </c>
      <c r="E47" s="35"/>
      <c r="G47" s="37">
        <v>5.0</v>
      </c>
      <c r="H47" s="36" t="s">
        <v>74</v>
      </c>
      <c r="I47" s="38">
        <v>6499.95</v>
      </c>
      <c r="J47" s="36" t="s">
        <v>676</v>
      </c>
    </row>
    <row r="48">
      <c r="A48" s="37">
        <v>4.0</v>
      </c>
      <c r="B48" s="36" t="s">
        <v>191</v>
      </c>
      <c r="C48" s="38">
        <v>6499.95</v>
      </c>
      <c r="D48" s="36" t="s">
        <v>677</v>
      </c>
      <c r="E48" s="35"/>
      <c r="G48" s="37">
        <v>6.0</v>
      </c>
      <c r="H48" s="36" t="s">
        <v>678</v>
      </c>
      <c r="I48" s="38">
        <v>13123.8</v>
      </c>
      <c r="J48" s="36" t="s">
        <v>679</v>
      </c>
    </row>
    <row r="49">
      <c r="A49" s="37">
        <v>5.0</v>
      </c>
      <c r="B49" s="36" t="s">
        <v>74</v>
      </c>
      <c r="C49" s="38">
        <v>6499.95</v>
      </c>
      <c r="D49" s="36" t="s">
        <v>676</v>
      </c>
      <c r="E49" s="35"/>
      <c r="G49" s="37">
        <v>7.0</v>
      </c>
      <c r="H49" s="36" t="s">
        <v>680</v>
      </c>
      <c r="I49" s="38">
        <v>6499.95</v>
      </c>
      <c r="J49" s="36" t="s">
        <v>681</v>
      </c>
    </row>
    <row r="50">
      <c r="A50" s="37">
        <v>6.0</v>
      </c>
      <c r="B50" s="36" t="s">
        <v>678</v>
      </c>
      <c r="C50" s="38">
        <v>13123.8</v>
      </c>
      <c r="D50" s="36" t="s">
        <v>679</v>
      </c>
      <c r="E50" s="35"/>
      <c r="G50" s="37">
        <v>8.0</v>
      </c>
      <c r="H50" s="36" t="s">
        <v>75</v>
      </c>
      <c r="I50" s="38">
        <v>11000.07</v>
      </c>
      <c r="J50" s="36" t="s">
        <v>681</v>
      </c>
    </row>
    <row r="51">
      <c r="A51" s="37">
        <v>7.0</v>
      </c>
      <c r="B51" s="36" t="s">
        <v>680</v>
      </c>
      <c r="C51" s="38">
        <v>6499.95</v>
      </c>
      <c r="D51" s="36" t="s">
        <v>681</v>
      </c>
      <c r="E51" s="35"/>
      <c r="G51" s="37">
        <v>9.0</v>
      </c>
      <c r="H51" s="36" t="s">
        <v>76</v>
      </c>
      <c r="I51" s="38">
        <v>6988.79</v>
      </c>
      <c r="J51" s="36" t="s">
        <v>623</v>
      </c>
    </row>
    <row r="52">
      <c r="A52" s="37">
        <v>8.0</v>
      </c>
      <c r="B52" s="36" t="s">
        <v>75</v>
      </c>
      <c r="C52" s="38">
        <v>11000.07</v>
      </c>
      <c r="D52" s="36" t="s">
        <v>681</v>
      </c>
      <c r="E52" s="35"/>
      <c r="G52" s="37">
        <v>10.0</v>
      </c>
      <c r="H52" s="43" t="s">
        <v>684</v>
      </c>
      <c r="I52" s="38">
        <v>4725.6</v>
      </c>
      <c r="J52" s="36" t="s">
        <v>623</v>
      </c>
    </row>
    <row r="53">
      <c r="A53" s="37">
        <v>9.0</v>
      </c>
      <c r="B53" s="36" t="s">
        <v>76</v>
      </c>
      <c r="C53" s="38">
        <v>6988.79</v>
      </c>
      <c r="D53" s="36" t="s">
        <v>623</v>
      </c>
      <c r="E53" s="35"/>
      <c r="G53" s="37">
        <v>11.0</v>
      </c>
      <c r="H53" s="43" t="s">
        <v>685</v>
      </c>
      <c r="I53" s="38">
        <v>4725.6</v>
      </c>
      <c r="J53" s="36" t="s">
        <v>623</v>
      </c>
    </row>
    <row r="54">
      <c r="A54" s="37">
        <v>10.0</v>
      </c>
      <c r="B54" s="43" t="s">
        <v>684</v>
      </c>
      <c r="C54" s="38">
        <v>5218.19</v>
      </c>
      <c r="D54" s="36" t="s">
        <v>623</v>
      </c>
      <c r="E54" s="35"/>
      <c r="G54" s="37">
        <v>12.0</v>
      </c>
      <c r="H54" s="43" t="s">
        <v>686</v>
      </c>
      <c r="I54" s="38">
        <v>4725.6</v>
      </c>
      <c r="J54" s="36" t="s">
        <v>623</v>
      </c>
    </row>
    <row r="55">
      <c r="A55" s="37">
        <v>11.0</v>
      </c>
      <c r="B55" s="43" t="s">
        <v>685</v>
      </c>
      <c r="C55" s="38">
        <v>5218.19</v>
      </c>
      <c r="D55" s="36" t="s">
        <v>623</v>
      </c>
      <c r="E55" s="35"/>
      <c r="G55" s="37">
        <v>13.0</v>
      </c>
      <c r="H55" s="43" t="s">
        <v>687</v>
      </c>
      <c r="I55" s="38">
        <v>4725.6</v>
      </c>
      <c r="J55" s="36" t="s">
        <v>623</v>
      </c>
    </row>
    <row r="56">
      <c r="A56" s="37">
        <v>12.0</v>
      </c>
      <c r="B56" s="43" t="s">
        <v>686</v>
      </c>
      <c r="C56" s="38">
        <v>5218.19</v>
      </c>
      <c r="D56" s="36" t="s">
        <v>623</v>
      </c>
      <c r="E56" s="35"/>
      <c r="G56" s="37">
        <v>14.0</v>
      </c>
      <c r="H56" s="43" t="s">
        <v>688</v>
      </c>
      <c r="I56" s="38">
        <v>4725.6</v>
      </c>
      <c r="J56" s="36" t="s">
        <v>623</v>
      </c>
    </row>
    <row r="57">
      <c r="A57" s="37">
        <v>13.0</v>
      </c>
      <c r="B57" s="43" t="s">
        <v>687</v>
      </c>
      <c r="C57" s="38">
        <v>5218.19</v>
      </c>
      <c r="D57" s="36" t="s">
        <v>623</v>
      </c>
      <c r="E57" s="35"/>
      <c r="G57" s="37">
        <v>15.0</v>
      </c>
      <c r="H57" s="43" t="s">
        <v>689</v>
      </c>
      <c r="I57" s="38">
        <v>4725.6</v>
      </c>
      <c r="J57" s="36" t="s">
        <v>623</v>
      </c>
    </row>
    <row r="58">
      <c r="A58" s="37">
        <v>14.0</v>
      </c>
      <c r="B58" s="43" t="s">
        <v>688</v>
      </c>
      <c r="C58" s="38">
        <v>5218.19</v>
      </c>
      <c r="D58" s="36" t="s">
        <v>623</v>
      </c>
      <c r="E58" s="35"/>
      <c r="G58" s="37">
        <v>16.0</v>
      </c>
      <c r="H58" s="43" t="s">
        <v>690</v>
      </c>
      <c r="I58" s="38">
        <v>4725.6</v>
      </c>
      <c r="J58" s="36" t="s">
        <v>623</v>
      </c>
    </row>
    <row r="59">
      <c r="A59" s="37">
        <v>15.0</v>
      </c>
      <c r="B59" s="43" t="s">
        <v>689</v>
      </c>
      <c r="C59" s="38">
        <v>5218.19</v>
      </c>
      <c r="D59" s="36" t="s">
        <v>623</v>
      </c>
      <c r="E59" s="35"/>
      <c r="G59" s="37">
        <v>17.0</v>
      </c>
      <c r="H59" s="43" t="s">
        <v>691</v>
      </c>
      <c r="I59" s="38">
        <v>4725.6</v>
      </c>
      <c r="J59" s="36" t="s">
        <v>623</v>
      </c>
    </row>
    <row r="60">
      <c r="A60" s="37">
        <v>16.0</v>
      </c>
      <c r="B60" s="43" t="s">
        <v>690</v>
      </c>
      <c r="C60" s="38">
        <v>5218.19</v>
      </c>
      <c r="D60" s="36" t="s">
        <v>623</v>
      </c>
      <c r="E60" s="35"/>
      <c r="G60" s="37">
        <v>18.0</v>
      </c>
      <c r="H60" s="36" t="s">
        <v>693</v>
      </c>
      <c r="I60" s="38">
        <v>4725.6</v>
      </c>
      <c r="J60" s="36" t="s">
        <v>623</v>
      </c>
    </row>
    <row r="61">
      <c r="A61" s="37">
        <v>17.0</v>
      </c>
      <c r="B61" s="43" t="s">
        <v>691</v>
      </c>
      <c r="C61" s="38">
        <f>I59</f>
        <v>4725.6</v>
      </c>
      <c r="D61" s="36" t="s">
        <v>623</v>
      </c>
      <c r="E61" s="35"/>
      <c r="G61" s="37">
        <v>19.0</v>
      </c>
      <c r="H61" s="36" t="s">
        <v>694</v>
      </c>
      <c r="I61" s="38">
        <v>4725.6</v>
      </c>
      <c r="J61" s="36" t="s">
        <v>623</v>
      </c>
    </row>
    <row r="62">
      <c r="A62" s="37">
        <v>18.0</v>
      </c>
      <c r="B62" s="36" t="s">
        <v>693</v>
      </c>
      <c r="C62" s="38">
        <v>4725.6</v>
      </c>
      <c r="D62" s="36" t="s">
        <v>623</v>
      </c>
      <c r="E62" s="35"/>
      <c r="G62" s="37">
        <v>20.0</v>
      </c>
      <c r="H62" s="36" t="s">
        <v>695</v>
      </c>
      <c r="I62" s="38">
        <v>4725.6</v>
      </c>
      <c r="J62" s="36" t="s">
        <v>623</v>
      </c>
      <c r="L62" s="45">
        <f t="shared" ref="L62:L79" si="1">C62+I60</f>
        <v>9451.2</v>
      </c>
    </row>
    <row r="63">
      <c r="A63" s="37">
        <v>19.0</v>
      </c>
      <c r="B63" s="36" t="s">
        <v>694</v>
      </c>
      <c r="C63" s="38">
        <v>4725.6</v>
      </c>
      <c r="D63" s="36" t="s">
        <v>623</v>
      </c>
      <c r="E63" s="35"/>
      <c r="G63" s="37">
        <v>21.0</v>
      </c>
      <c r="H63" s="36" t="s">
        <v>696</v>
      </c>
      <c r="I63" s="38">
        <v>4725.6</v>
      </c>
      <c r="J63" s="36" t="s">
        <v>623</v>
      </c>
      <c r="L63" s="45">
        <f t="shared" si="1"/>
        <v>9451.2</v>
      </c>
    </row>
    <row r="64">
      <c r="A64" s="37">
        <v>20.0</v>
      </c>
      <c r="B64" s="36" t="s">
        <v>695</v>
      </c>
      <c r="C64" s="38">
        <v>4725.6</v>
      </c>
      <c r="D64" s="36" t="s">
        <v>623</v>
      </c>
      <c r="E64" s="35"/>
      <c r="G64" s="37">
        <v>22.0</v>
      </c>
      <c r="H64" s="36" t="s">
        <v>697</v>
      </c>
      <c r="I64" s="38">
        <v>4725.6</v>
      </c>
      <c r="J64" s="36" t="s">
        <v>623</v>
      </c>
      <c r="L64" s="45">
        <f t="shared" si="1"/>
        <v>9451.2</v>
      </c>
    </row>
    <row r="65">
      <c r="A65" s="37">
        <v>21.0</v>
      </c>
      <c r="B65" s="36" t="s">
        <v>696</v>
      </c>
      <c r="C65" s="38">
        <v>4725.6</v>
      </c>
      <c r="D65" s="36" t="s">
        <v>623</v>
      </c>
      <c r="E65" s="35"/>
      <c r="G65" s="37">
        <v>23.0</v>
      </c>
      <c r="H65" s="36" t="s">
        <v>46</v>
      </c>
      <c r="I65" s="38">
        <v>4725.6</v>
      </c>
      <c r="J65" s="36" t="s">
        <v>623</v>
      </c>
      <c r="L65" s="45">
        <f t="shared" si="1"/>
        <v>9451.2</v>
      </c>
    </row>
    <row r="66">
      <c r="A66" s="37">
        <v>22.0</v>
      </c>
      <c r="B66" s="36" t="s">
        <v>697</v>
      </c>
      <c r="C66" s="38">
        <v>4725.6</v>
      </c>
      <c r="D66" s="36" t="s">
        <v>623</v>
      </c>
      <c r="E66" s="35"/>
      <c r="G66" s="37">
        <v>24.0</v>
      </c>
      <c r="H66" s="36" t="s">
        <v>175</v>
      </c>
      <c r="I66" s="38">
        <v>4725.6</v>
      </c>
      <c r="J66" s="36" t="s">
        <v>623</v>
      </c>
      <c r="L66" s="44">
        <f t="shared" si="1"/>
        <v>9451.2</v>
      </c>
    </row>
    <row r="67">
      <c r="A67" s="37">
        <v>23.0</v>
      </c>
      <c r="B67" s="36" t="s">
        <v>46</v>
      </c>
      <c r="C67" s="38">
        <v>4725.6</v>
      </c>
      <c r="D67" s="36" t="s">
        <v>623</v>
      </c>
      <c r="E67" s="35"/>
      <c r="G67" s="37">
        <v>25.0</v>
      </c>
      <c r="H67" s="36" t="s">
        <v>256</v>
      </c>
      <c r="I67" s="38">
        <v>4725.6</v>
      </c>
      <c r="J67" s="36" t="s">
        <v>623</v>
      </c>
      <c r="L67" s="44">
        <f t="shared" si="1"/>
        <v>9451.2</v>
      </c>
    </row>
    <row r="68">
      <c r="A68" s="37">
        <v>24.0</v>
      </c>
      <c r="B68" s="36" t="s">
        <v>175</v>
      </c>
      <c r="C68" s="38">
        <v>4725.6</v>
      </c>
      <c r="D68" s="36" t="s">
        <v>623</v>
      </c>
      <c r="E68" s="35"/>
      <c r="G68" s="37">
        <v>26.0</v>
      </c>
      <c r="H68" s="36" t="s">
        <v>698</v>
      </c>
      <c r="I68" s="38">
        <v>4725.6</v>
      </c>
      <c r="J68" s="36" t="s">
        <v>623</v>
      </c>
      <c r="L68" s="44">
        <f t="shared" si="1"/>
        <v>9451.2</v>
      </c>
    </row>
    <row r="69">
      <c r="A69" s="37">
        <v>25.0</v>
      </c>
      <c r="B69" s="36" t="s">
        <v>256</v>
      </c>
      <c r="C69" s="38">
        <v>4725.6</v>
      </c>
      <c r="D69" s="36" t="s">
        <v>623</v>
      </c>
      <c r="E69" s="35"/>
      <c r="G69" s="37">
        <v>27.0</v>
      </c>
      <c r="H69" s="36" t="s">
        <v>114</v>
      </c>
      <c r="I69" s="38">
        <v>4725.6</v>
      </c>
      <c r="J69" s="36" t="s">
        <v>623</v>
      </c>
      <c r="L69" s="44">
        <f t="shared" si="1"/>
        <v>9451.2</v>
      </c>
    </row>
    <row r="70">
      <c r="A70" s="37">
        <v>26.0</v>
      </c>
      <c r="B70" s="36" t="s">
        <v>698</v>
      </c>
      <c r="C70" s="38">
        <v>4725.6</v>
      </c>
      <c r="D70" s="36" t="s">
        <v>623</v>
      </c>
      <c r="E70" s="35"/>
      <c r="G70" s="37">
        <v>28.0</v>
      </c>
      <c r="H70" s="36" t="s">
        <v>699</v>
      </c>
      <c r="I70" s="38">
        <v>4725.6</v>
      </c>
      <c r="J70" s="36" t="s">
        <v>623</v>
      </c>
      <c r="L70" s="44">
        <f t="shared" si="1"/>
        <v>9451.2</v>
      </c>
    </row>
    <row r="71">
      <c r="A71" s="37">
        <v>27.0</v>
      </c>
      <c r="B71" s="36" t="s">
        <v>114</v>
      </c>
      <c r="C71" s="38">
        <v>4725.6</v>
      </c>
      <c r="D71" s="36" t="s">
        <v>623</v>
      </c>
      <c r="E71" s="35"/>
      <c r="G71" s="37">
        <v>29.0</v>
      </c>
      <c r="H71" s="36" t="s">
        <v>262</v>
      </c>
      <c r="I71" s="38">
        <v>4725.6</v>
      </c>
      <c r="J71" s="36" t="s">
        <v>623</v>
      </c>
      <c r="L71" s="44">
        <f t="shared" si="1"/>
        <v>9451.2</v>
      </c>
    </row>
    <row r="72">
      <c r="A72" s="37">
        <v>28.0</v>
      </c>
      <c r="B72" s="36" t="s">
        <v>699</v>
      </c>
      <c r="C72" s="38">
        <v>4725.6</v>
      </c>
      <c r="D72" s="36" t="s">
        <v>623</v>
      </c>
      <c r="E72" s="35"/>
      <c r="G72" s="37">
        <v>30.0</v>
      </c>
      <c r="H72" s="36" t="s">
        <v>700</v>
      </c>
      <c r="I72" s="38">
        <v>4725.6</v>
      </c>
      <c r="J72" s="36" t="s">
        <v>623</v>
      </c>
      <c r="L72" s="44">
        <f t="shared" si="1"/>
        <v>9451.2</v>
      </c>
    </row>
    <row r="73">
      <c r="A73" s="37">
        <v>29.0</v>
      </c>
      <c r="B73" s="36" t="s">
        <v>262</v>
      </c>
      <c r="C73" s="38">
        <v>4725.6</v>
      </c>
      <c r="D73" s="36" t="s">
        <v>623</v>
      </c>
      <c r="E73" s="35"/>
      <c r="G73" s="37">
        <v>31.0</v>
      </c>
      <c r="H73" s="36" t="s">
        <v>169</v>
      </c>
      <c r="I73" s="38">
        <v>4725.6</v>
      </c>
      <c r="J73" s="36" t="s">
        <v>623</v>
      </c>
      <c r="L73" s="44">
        <f t="shared" si="1"/>
        <v>9451.2</v>
      </c>
    </row>
    <row r="74">
      <c r="A74" s="37">
        <v>30.0</v>
      </c>
      <c r="B74" s="36" t="s">
        <v>700</v>
      </c>
      <c r="C74" s="38">
        <v>1890.24</v>
      </c>
      <c r="D74" s="36" t="s">
        <v>623</v>
      </c>
      <c r="E74" s="35"/>
      <c r="G74" s="37">
        <v>32.0</v>
      </c>
      <c r="H74" s="36" t="s">
        <v>355</v>
      </c>
      <c r="I74" s="38">
        <v>4725.6</v>
      </c>
      <c r="J74" s="36" t="s">
        <v>623</v>
      </c>
      <c r="L74" s="44">
        <f t="shared" si="1"/>
        <v>6615.84</v>
      </c>
    </row>
    <row r="75">
      <c r="A75" s="37">
        <v>31.0</v>
      </c>
      <c r="B75" s="36" t="s">
        <v>169</v>
      </c>
      <c r="C75" s="38">
        <v>1890.24</v>
      </c>
      <c r="D75" s="36" t="s">
        <v>623</v>
      </c>
      <c r="E75" s="35"/>
      <c r="G75" s="37">
        <v>33.0</v>
      </c>
      <c r="H75" s="36" t="s">
        <v>701</v>
      </c>
      <c r="I75" s="38">
        <v>4725.6</v>
      </c>
      <c r="J75" s="36" t="s">
        <v>623</v>
      </c>
      <c r="L75" s="44">
        <f t="shared" si="1"/>
        <v>6615.84</v>
      </c>
    </row>
    <row r="76">
      <c r="A76" s="37">
        <v>32.0</v>
      </c>
      <c r="B76" s="36" t="s">
        <v>355</v>
      </c>
      <c r="C76" s="38">
        <v>1890.24</v>
      </c>
      <c r="D76" s="36" t="s">
        <v>623</v>
      </c>
      <c r="E76" s="35"/>
      <c r="G76" s="37">
        <v>34.0</v>
      </c>
      <c r="H76" s="36" t="s">
        <v>702</v>
      </c>
      <c r="I76" s="38">
        <v>4725.6</v>
      </c>
      <c r="J76" s="36" t="s">
        <v>623</v>
      </c>
      <c r="L76" s="44">
        <f t="shared" si="1"/>
        <v>6615.84</v>
      </c>
    </row>
    <row r="77">
      <c r="A77" s="37">
        <v>33.0</v>
      </c>
      <c r="B77" s="36" t="s">
        <v>701</v>
      </c>
      <c r="C77" s="38">
        <v>1890.24</v>
      </c>
      <c r="D77" s="36" t="s">
        <v>623</v>
      </c>
      <c r="E77" s="35"/>
      <c r="G77" s="37">
        <v>35.0</v>
      </c>
      <c r="H77" s="36" t="s">
        <v>61</v>
      </c>
      <c r="I77" s="38">
        <v>4725.6</v>
      </c>
      <c r="J77" s="36" t="s">
        <v>623</v>
      </c>
      <c r="L77" s="44">
        <f t="shared" si="1"/>
        <v>6615.84</v>
      </c>
    </row>
    <row r="78">
      <c r="A78" s="37">
        <v>34.0</v>
      </c>
      <c r="B78" s="36" t="s">
        <v>702</v>
      </c>
      <c r="C78" s="38">
        <v>1890.24</v>
      </c>
      <c r="D78" s="36" t="s">
        <v>623</v>
      </c>
      <c r="E78" s="35"/>
      <c r="G78" s="37">
        <v>36.0</v>
      </c>
      <c r="H78" s="36" t="s">
        <v>337</v>
      </c>
      <c r="I78" s="38">
        <v>4725.6</v>
      </c>
      <c r="J78" s="36" t="s">
        <v>623</v>
      </c>
      <c r="L78" s="44">
        <f t="shared" si="1"/>
        <v>6615.84</v>
      </c>
    </row>
    <row r="79">
      <c r="A79" s="37">
        <v>35.0</v>
      </c>
      <c r="B79" s="36" t="s">
        <v>61</v>
      </c>
      <c r="C79" s="38">
        <v>1890.24</v>
      </c>
      <c r="D79" s="36" t="s">
        <v>623</v>
      </c>
      <c r="E79" s="35"/>
      <c r="G79" s="37">
        <v>37.0</v>
      </c>
      <c r="H79" s="36" t="s">
        <v>703</v>
      </c>
      <c r="I79" s="38">
        <v>4725.6</v>
      </c>
      <c r="J79" s="36" t="s">
        <v>623</v>
      </c>
      <c r="L79" s="44">
        <f t="shared" si="1"/>
        <v>6615.84</v>
      </c>
    </row>
    <row r="80">
      <c r="A80" s="35"/>
      <c r="B80" s="35"/>
      <c r="C80" s="41">
        <f>SUM(C45:C79)</f>
        <v>172403.46</v>
      </c>
      <c r="D80" s="35"/>
      <c r="E80" s="35"/>
      <c r="G80" s="37">
        <v>38.0</v>
      </c>
      <c r="H80" s="36" t="s">
        <v>211</v>
      </c>
      <c r="I80" s="38">
        <v>4725.6</v>
      </c>
      <c r="J80" s="36" t="s">
        <v>623</v>
      </c>
      <c r="L80" s="44">
        <f>I78</f>
        <v>4725.6</v>
      </c>
    </row>
    <row r="81">
      <c r="A81" s="35"/>
      <c r="B81" s="35"/>
      <c r="C81" s="35"/>
      <c r="D81" s="35"/>
      <c r="E81" s="35"/>
      <c r="G81" s="37">
        <v>39.0</v>
      </c>
      <c r="H81" s="36" t="s">
        <v>54</v>
      </c>
      <c r="I81" s="38">
        <v>4725.6</v>
      </c>
      <c r="J81" s="36" t="s">
        <v>623</v>
      </c>
      <c r="L81" s="44">
        <f t="shared" ref="L81:L88" si="2">C81+I79</f>
        <v>4725.6</v>
      </c>
    </row>
    <row r="82">
      <c r="G82" s="37">
        <v>40.0</v>
      </c>
      <c r="H82" s="36" t="s">
        <v>304</v>
      </c>
      <c r="I82" s="38">
        <v>4725.6</v>
      </c>
      <c r="J82" s="36" t="s">
        <v>623</v>
      </c>
      <c r="L82" s="44">
        <f t="shared" si="2"/>
        <v>4725.6</v>
      </c>
    </row>
    <row r="83">
      <c r="G83" s="37">
        <v>41.0</v>
      </c>
      <c r="H83" s="36" t="s">
        <v>704</v>
      </c>
      <c r="I83" s="38">
        <v>4725.6</v>
      </c>
      <c r="J83" s="36" t="s">
        <v>623</v>
      </c>
      <c r="L83" s="44">
        <f t="shared" si="2"/>
        <v>4725.6</v>
      </c>
    </row>
    <row r="84">
      <c r="G84" s="37">
        <v>42.0</v>
      </c>
      <c r="H84" s="36" t="s">
        <v>705</v>
      </c>
      <c r="I84" s="38">
        <v>2205.28</v>
      </c>
      <c r="J84" s="36" t="s">
        <v>623</v>
      </c>
      <c r="L84" s="44">
        <f t="shared" si="2"/>
        <v>4725.6</v>
      </c>
    </row>
    <row r="85">
      <c r="G85" s="37">
        <v>43.0</v>
      </c>
      <c r="H85" s="36" t="s">
        <v>706</v>
      </c>
      <c r="I85" s="38">
        <v>2205.28</v>
      </c>
      <c r="J85" s="36" t="s">
        <v>623</v>
      </c>
      <c r="L85" s="44">
        <f t="shared" si="2"/>
        <v>4725.6</v>
      </c>
    </row>
    <row r="86">
      <c r="G86" s="37">
        <v>44.0</v>
      </c>
      <c r="H86" s="36" t="s">
        <v>236</v>
      </c>
      <c r="I86" s="38">
        <v>630.08</v>
      </c>
      <c r="J86" s="36" t="s">
        <v>623</v>
      </c>
      <c r="L86" s="44">
        <f t="shared" si="2"/>
        <v>2205.28</v>
      </c>
    </row>
    <row r="87">
      <c r="G87" s="35"/>
      <c r="H87" s="35"/>
      <c r="I87" s="41">
        <f>SUM(I43:I86)</f>
        <v>219361.73</v>
      </c>
      <c r="J87" s="35"/>
      <c r="L87" s="44">
        <f t="shared" si="2"/>
        <v>2205.28</v>
      </c>
    </row>
    <row r="88">
      <c r="G88" s="35"/>
      <c r="H88" s="35"/>
      <c r="I88" s="35"/>
      <c r="J88" s="35"/>
      <c r="L88" s="44">
        <f t="shared" si="2"/>
        <v>630.08</v>
      </c>
    </row>
    <row r="89">
      <c r="G89" s="35"/>
      <c r="H89" s="35"/>
      <c r="I89" s="35"/>
      <c r="J89" s="35"/>
    </row>
    <row r="94">
      <c r="A94" s="35"/>
      <c r="B94" s="35" t="s">
        <v>707</v>
      </c>
      <c r="C94" s="35"/>
      <c r="D94" s="35"/>
      <c r="E94" s="35"/>
      <c r="G94" s="35"/>
      <c r="H94" s="35" t="s">
        <v>708</v>
      </c>
      <c r="I94" s="35"/>
      <c r="J94" s="35"/>
    </row>
    <row r="95">
      <c r="A95" s="35"/>
      <c r="B95" s="35"/>
      <c r="C95" s="35"/>
      <c r="D95" s="35"/>
      <c r="E95" s="35"/>
      <c r="G95" s="35"/>
      <c r="H95" s="35"/>
      <c r="I95" s="35"/>
      <c r="J95" s="35"/>
    </row>
    <row r="96">
      <c r="A96" s="35"/>
      <c r="B96" s="36" t="s">
        <v>671</v>
      </c>
      <c r="C96" s="36" t="s">
        <v>672</v>
      </c>
      <c r="D96" s="36" t="s">
        <v>673</v>
      </c>
      <c r="E96" s="35"/>
      <c r="G96" s="35"/>
      <c r="H96" s="36" t="s">
        <v>671</v>
      </c>
      <c r="I96" s="36" t="s">
        <v>672</v>
      </c>
      <c r="J96" s="36" t="s">
        <v>673</v>
      </c>
    </row>
    <row r="97">
      <c r="A97" s="37">
        <v>1.0</v>
      </c>
      <c r="B97" s="36" t="s">
        <v>67</v>
      </c>
      <c r="C97" s="38">
        <v>5989.43</v>
      </c>
      <c r="D97" s="36" t="s">
        <v>674</v>
      </c>
      <c r="E97" s="35"/>
      <c r="G97" s="37">
        <v>1.0</v>
      </c>
      <c r="H97" s="36" t="s">
        <v>67</v>
      </c>
      <c r="I97" s="38">
        <v>5989.43</v>
      </c>
      <c r="J97" s="36" t="s">
        <v>674</v>
      </c>
    </row>
    <row r="98">
      <c r="A98" s="37">
        <v>2.0</v>
      </c>
      <c r="B98" s="36" t="s">
        <v>70</v>
      </c>
      <c r="C98" s="38">
        <v>0.0</v>
      </c>
      <c r="D98" s="36" t="s">
        <v>675</v>
      </c>
      <c r="E98" s="35"/>
      <c r="G98" s="37">
        <v>2.0</v>
      </c>
      <c r="H98" s="36" t="s">
        <v>70</v>
      </c>
      <c r="I98" s="38">
        <v>0.0</v>
      </c>
      <c r="J98" s="36" t="s">
        <v>675</v>
      </c>
    </row>
    <row r="99">
      <c r="A99" s="37">
        <v>3.0</v>
      </c>
      <c r="B99" s="36" t="s">
        <v>73</v>
      </c>
      <c r="C99" s="38">
        <v>6499.95</v>
      </c>
      <c r="D99" s="36" t="s">
        <v>676</v>
      </c>
      <c r="E99" s="35"/>
      <c r="G99" s="37">
        <v>3.0</v>
      </c>
      <c r="H99" s="36" t="s">
        <v>73</v>
      </c>
      <c r="I99" s="38">
        <v>6499.95</v>
      </c>
      <c r="J99" s="36" t="s">
        <v>676</v>
      </c>
    </row>
    <row r="100">
      <c r="A100" s="37">
        <v>4.0</v>
      </c>
      <c r="B100" s="36" t="s">
        <v>191</v>
      </c>
      <c r="C100" s="38">
        <v>6499.95</v>
      </c>
      <c r="D100" s="36" t="s">
        <v>677</v>
      </c>
      <c r="E100" s="35"/>
      <c r="G100" s="37">
        <v>4.0</v>
      </c>
      <c r="H100" s="36" t="s">
        <v>191</v>
      </c>
      <c r="I100" s="38">
        <v>6499.95</v>
      </c>
      <c r="J100" s="36" t="s">
        <v>677</v>
      </c>
    </row>
    <row r="101">
      <c r="A101" s="37">
        <v>5.0</v>
      </c>
      <c r="B101" s="36" t="s">
        <v>74</v>
      </c>
      <c r="C101" s="38">
        <v>6499.95</v>
      </c>
      <c r="D101" s="36" t="s">
        <v>676</v>
      </c>
      <c r="E101" s="35"/>
      <c r="G101" s="37">
        <v>5.0</v>
      </c>
      <c r="H101" s="36" t="s">
        <v>74</v>
      </c>
      <c r="I101" s="38">
        <v>6499.95</v>
      </c>
      <c r="J101" s="36" t="s">
        <v>676</v>
      </c>
    </row>
    <row r="102">
      <c r="A102" s="37">
        <v>6.0</v>
      </c>
      <c r="B102" s="36" t="s">
        <v>678</v>
      </c>
      <c r="C102" s="38">
        <v>13123.8</v>
      </c>
      <c r="D102" s="36" t="s">
        <v>679</v>
      </c>
      <c r="E102" s="35"/>
      <c r="G102" s="37">
        <v>6.0</v>
      </c>
      <c r="H102" s="36" t="s">
        <v>678</v>
      </c>
      <c r="I102" s="38">
        <v>13123.8</v>
      </c>
      <c r="J102" s="36" t="s">
        <v>679</v>
      </c>
    </row>
    <row r="103">
      <c r="A103" s="37">
        <v>7.0</v>
      </c>
      <c r="B103" s="36" t="s">
        <v>680</v>
      </c>
      <c r="C103" s="38">
        <v>6499.95</v>
      </c>
      <c r="D103" s="36" t="s">
        <v>681</v>
      </c>
      <c r="E103" s="35"/>
      <c r="G103" s="37">
        <v>7.0</v>
      </c>
      <c r="H103" s="36" t="s">
        <v>680</v>
      </c>
      <c r="I103" s="38">
        <v>6499.95</v>
      </c>
      <c r="J103" s="36" t="s">
        <v>681</v>
      </c>
    </row>
    <row r="104">
      <c r="A104" s="37">
        <v>8.0</v>
      </c>
      <c r="B104" s="36" t="s">
        <v>75</v>
      </c>
      <c r="C104" s="38">
        <v>11000.07</v>
      </c>
      <c r="D104" s="36" t="s">
        <v>681</v>
      </c>
      <c r="E104" s="35"/>
      <c r="G104" s="37">
        <v>8.0</v>
      </c>
      <c r="H104" s="36" t="s">
        <v>75</v>
      </c>
      <c r="I104" s="38">
        <v>11000.07</v>
      </c>
      <c r="J104" s="36" t="s">
        <v>681</v>
      </c>
    </row>
    <row r="105">
      <c r="A105" s="37">
        <v>9.0</v>
      </c>
      <c r="B105" s="36" t="s">
        <v>76</v>
      </c>
      <c r="C105" s="38">
        <v>6988.79</v>
      </c>
      <c r="D105" s="36" t="s">
        <v>623</v>
      </c>
      <c r="E105" s="35"/>
      <c r="G105" s="37">
        <v>9.0</v>
      </c>
      <c r="H105" s="36" t="s">
        <v>76</v>
      </c>
      <c r="I105" s="38">
        <v>6988.79</v>
      </c>
      <c r="J105" s="36" t="s">
        <v>623</v>
      </c>
    </row>
    <row r="106">
      <c r="A106" s="37">
        <v>10.0</v>
      </c>
      <c r="B106" s="43" t="s">
        <v>684</v>
      </c>
      <c r="C106" s="38">
        <v>4725.6</v>
      </c>
      <c r="D106" s="36" t="s">
        <v>623</v>
      </c>
      <c r="E106" s="35"/>
      <c r="G106" s="37">
        <v>10.0</v>
      </c>
      <c r="H106" s="43" t="s">
        <v>684</v>
      </c>
      <c r="I106" s="38">
        <v>4725.6</v>
      </c>
      <c r="J106" s="36" t="s">
        <v>623</v>
      </c>
    </row>
    <row r="107">
      <c r="A107" s="37">
        <v>11.0</v>
      </c>
      <c r="B107" s="43" t="s">
        <v>685</v>
      </c>
      <c r="C107" s="38">
        <v>4725.6</v>
      </c>
      <c r="D107" s="36" t="s">
        <v>623</v>
      </c>
      <c r="E107" s="35"/>
      <c r="G107" s="37">
        <v>11.0</v>
      </c>
      <c r="H107" s="43" t="s">
        <v>685</v>
      </c>
      <c r="I107" s="38">
        <v>4725.6</v>
      </c>
      <c r="J107" s="36" t="s">
        <v>623</v>
      </c>
    </row>
    <row r="108">
      <c r="A108" s="37">
        <v>12.0</v>
      </c>
      <c r="B108" s="43" t="s">
        <v>686</v>
      </c>
      <c r="C108" s="38">
        <v>4725.6</v>
      </c>
      <c r="D108" s="36" t="s">
        <v>623</v>
      </c>
      <c r="E108" s="35"/>
      <c r="G108" s="37">
        <v>12.0</v>
      </c>
      <c r="H108" s="43" t="s">
        <v>686</v>
      </c>
      <c r="I108" s="38">
        <v>4725.6</v>
      </c>
      <c r="J108" s="36" t="s">
        <v>623</v>
      </c>
    </row>
    <row r="109">
      <c r="A109" s="37">
        <v>13.0</v>
      </c>
      <c r="B109" s="43" t="s">
        <v>687</v>
      </c>
      <c r="C109" s="38">
        <v>4725.6</v>
      </c>
      <c r="D109" s="36" t="s">
        <v>623</v>
      </c>
      <c r="E109" s="35"/>
      <c r="G109" s="37">
        <v>13.0</v>
      </c>
      <c r="H109" s="43" t="s">
        <v>687</v>
      </c>
      <c r="I109" s="38">
        <v>4725.6</v>
      </c>
      <c r="J109" s="36" t="s">
        <v>623</v>
      </c>
    </row>
    <row r="110">
      <c r="A110" s="37">
        <v>14.0</v>
      </c>
      <c r="B110" s="43" t="s">
        <v>688</v>
      </c>
      <c r="C110" s="38">
        <v>4725.6</v>
      </c>
      <c r="D110" s="36" t="s">
        <v>623</v>
      </c>
      <c r="E110" s="35"/>
      <c r="G110" s="37">
        <v>14.0</v>
      </c>
      <c r="H110" s="43" t="s">
        <v>688</v>
      </c>
      <c r="I110" s="38">
        <v>4725.6</v>
      </c>
      <c r="J110" s="36" t="s">
        <v>623</v>
      </c>
    </row>
    <row r="111">
      <c r="A111" s="37">
        <v>15.0</v>
      </c>
      <c r="B111" s="43" t="s">
        <v>689</v>
      </c>
      <c r="C111" s="38">
        <v>4725.6</v>
      </c>
      <c r="D111" s="36" t="s">
        <v>623</v>
      </c>
      <c r="E111" s="35"/>
      <c r="G111" s="37">
        <v>15.0</v>
      </c>
      <c r="H111" s="43" t="s">
        <v>689</v>
      </c>
      <c r="I111" s="38">
        <v>4725.6</v>
      </c>
      <c r="J111" s="36" t="s">
        <v>623</v>
      </c>
    </row>
    <row r="112">
      <c r="A112" s="37">
        <v>16.0</v>
      </c>
      <c r="B112" s="43" t="s">
        <v>690</v>
      </c>
      <c r="C112" s="38">
        <v>4725.6</v>
      </c>
      <c r="D112" s="36" t="s">
        <v>623</v>
      </c>
      <c r="E112" s="35"/>
      <c r="G112" s="37">
        <v>16.0</v>
      </c>
      <c r="H112" s="43" t="s">
        <v>690</v>
      </c>
      <c r="I112" s="38">
        <v>4725.6</v>
      </c>
      <c r="J112" s="36" t="s">
        <v>623</v>
      </c>
    </row>
    <row r="113">
      <c r="A113" s="37">
        <v>17.0</v>
      </c>
      <c r="B113" s="43" t="s">
        <v>691</v>
      </c>
      <c r="C113" s="38">
        <v>4725.6</v>
      </c>
      <c r="D113" s="36" t="s">
        <v>623</v>
      </c>
      <c r="E113" s="35"/>
      <c r="G113" s="37">
        <v>17.0</v>
      </c>
      <c r="H113" s="43" t="s">
        <v>691</v>
      </c>
      <c r="I113" s="38">
        <v>4725.6</v>
      </c>
      <c r="J113" s="36" t="s">
        <v>623</v>
      </c>
    </row>
    <row r="114">
      <c r="A114" s="37">
        <v>18.0</v>
      </c>
      <c r="B114" s="36" t="s">
        <v>693</v>
      </c>
      <c r="C114" s="38">
        <v>4725.6</v>
      </c>
      <c r="D114" s="36" t="s">
        <v>623</v>
      </c>
      <c r="E114" s="35"/>
      <c r="G114" s="37">
        <v>18.0</v>
      </c>
      <c r="H114" s="36" t="s">
        <v>693</v>
      </c>
      <c r="I114" s="38">
        <v>4725.6</v>
      </c>
      <c r="J114" s="36" t="s">
        <v>623</v>
      </c>
      <c r="L114" s="44">
        <f t="shared" ref="L114:L143" si="3">C114+I114</f>
        <v>9451.2</v>
      </c>
    </row>
    <row r="115">
      <c r="A115" s="37">
        <v>19.0</v>
      </c>
      <c r="B115" s="36" t="s">
        <v>694</v>
      </c>
      <c r="C115" s="38">
        <v>4725.6</v>
      </c>
      <c r="D115" s="36" t="s">
        <v>623</v>
      </c>
      <c r="E115" s="35"/>
      <c r="G115" s="37">
        <v>19.0</v>
      </c>
      <c r="H115" s="36" t="s">
        <v>694</v>
      </c>
      <c r="I115" s="38">
        <v>4725.6</v>
      </c>
      <c r="J115" s="36" t="s">
        <v>623</v>
      </c>
      <c r="L115" s="44">
        <f t="shared" si="3"/>
        <v>9451.2</v>
      </c>
    </row>
    <row r="116">
      <c r="A116" s="37">
        <v>20.0</v>
      </c>
      <c r="B116" s="36" t="s">
        <v>695</v>
      </c>
      <c r="C116" s="38">
        <v>4725.6</v>
      </c>
      <c r="D116" s="36" t="s">
        <v>623</v>
      </c>
      <c r="E116" s="35"/>
      <c r="G116" s="37">
        <v>20.0</v>
      </c>
      <c r="H116" s="36" t="s">
        <v>695</v>
      </c>
      <c r="I116" s="38">
        <v>4725.6</v>
      </c>
      <c r="J116" s="36" t="s">
        <v>623</v>
      </c>
      <c r="L116" s="44">
        <f t="shared" si="3"/>
        <v>9451.2</v>
      </c>
    </row>
    <row r="117">
      <c r="A117" s="37">
        <v>21.0</v>
      </c>
      <c r="B117" s="36" t="s">
        <v>696</v>
      </c>
      <c r="C117" s="38">
        <v>4725.6</v>
      </c>
      <c r="D117" s="36" t="s">
        <v>623</v>
      </c>
      <c r="E117" s="35"/>
      <c r="G117" s="37">
        <v>21.0</v>
      </c>
      <c r="H117" s="36" t="s">
        <v>696</v>
      </c>
      <c r="I117" s="38">
        <v>4725.6</v>
      </c>
      <c r="J117" s="36" t="s">
        <v>623</v>
      </c>
      <c r="L117" s="44">
        <f t="shared" si="3"/>
        <v>9451.2</v>
      </c>
    </row>
    <row r="118">
      <c r="A118" s="37">
        <v>22.0</v>
      </c>
      <c r="B118" s="36" t="s">
        <v>697</v>
      </c>
      <c r="C118" s="38">
        <v>4725.6</v>
      </c>
      <c r="D118" s="36" t="s">
        <v>623</v>
      </c>
      <c r="E118" s="35"/>
      <c r="G118" s="37">
        <v>22.0</v>
      </c>
      <c r="H118" s="36" t="s">
        <v>697</v>
      </c>
      <c r="I118" s="38">
        <v>4725.6</v>
      </c>
      <c r="J118" s="36" t="s">
        <v>623</v>
      </c>
      <c r="L118" s="44">
        <f t="shared" si="3"/>
        <v>9451.2</v>
      </c>
    </row>
    <row r="119">
      <c r="A119" s="37">
        <v>23.0</v>
      </c>
      <c r="B119" s="36" t="s">
        <v>46</v>
      </c>
      <c r="C119" s="38">
        <v>1854.6</v>
      </c>
      <c r="D119" s="36" t="s">
        <v>623</v>
      </c>
      <c r="E119" s="35"/>
      <c r="G119" s="37">
        <v>23.0</v>
      </c>
      <c r="H119" s="36" t="s">
        <v>46</v>
      </c>
      <c r="I119" s="38">
        <v>1854.6</v>
      </c>
      <c r="J119" s="36" t="s">
        <v>623</v>
      </c>
      <c r="L119" s="44">
        <f t="shared" si="3"/>
        <v>3709.2</v>
      </c>
    </row>
    <row r="120">
      <c r="A120" s="37">
        <v>24.0</v>
      </c>
      <c r="B120" s="36" t="s">
        <v>175</v>
      </c>
      <c r="C120" s="38">
        <v>4725.6</v>
      </c>
      <c r="D120" s="36" t="s">
        <v>623</v>
      </c>
      <c r="E120" s="35"/>
      <c r="G120" s="37">
        <v>24.0</v>
      </c>
      <c r="H120" s="36" t="s">
        <v>175</v>
      </c>
      <c r="I120" s="38">
        <v>4725.6</v>
      </c>
      <c r="J120" s="36" t="s">
        <v>623</v>
      </c>
      <c r="L120" s="44">
        <f t="shared" si="3"/>
        <v>9451.2</v>
      </c>
    </row>
    <row r="121">
      <c r="A121" s="37">
        <v>25.0</v>
      </c>
      <c r="B121" s="36" t="s">
        <v>256</v>
      </c>
      <c r="C121" s="38">
        <v>4725.6</v>
      </c>
      <c r="D121" s="36" t="s">
        <v>623</v>
      </c>
      <c r="E121" s="35"/>
      <c r="G121" s="37">
        <v>25.0</v>
      </c>
      <c r="H121" s="36" t="s">
        <v>256</v>
      </c>
      <c r="I121" s="38">
        <v>4725.6</v>
      </c>
      <c r="J121" s="36" t="s">
        <v>623</v>
      </c>
      <c r="L121" s="44">
        <f t="shared" si="3"/>
        <v>9451.2</v>
      </c>
    </row>
    <row r="122">
      <c r="A122" s="37">
        <v>26.0</v>
      </c>
      <c r="B122" s="36" t="s">
        <v>698</v>
      </c>
      <c r="C122" s="38">
        <v>4725.6</v>
      </c>
      <c r="D122" s="36" t="s">
        <v>623</v>
      </c>
      <c r="E122" s="35"/>
      <c r="G122" s="37">
        <v>26.0</v>
      </c>
      <c r="H122" s="36" t="s">
        <v>698</v>
      </c>
      <c r="I122" s="38">
        <v>4725.6</v>
      </c>
      <c r="J122" s="36" t="s">
        <v>623</v>
      </c>
      <c r="L122" s="44">
        <f t="shared" si="3"/>
        <v>9451.2</v>
      </c>
    </row>
    <row r="123">
      <c r="A123" s="37">
        <v>27.0</v>
      </c>
      <c r="B123" s="36" t="s">
        <v>114</v>
      </c>
      <c r="C123" s="38">
        <v>4725.6</v>
      </c>
      <c r="D123" s="36" t="s">
        <v>623</v>
      </c>
      <c r="E123" s="35"/>
      <c r="G123" s="37">
        <v>27.0</v>
      </c>
      <c r="H123" s="36" t="s">
        <v>114</v>
      </c>
      <c r="I123" s="38">
        <v>4725.6</v>
      </c>
      <c r="J123" s="36" t="s">
        <v>623</v>
      </c>
      <c r="L123" s="44">
        <f t="shared" si="3"/>
        <v>9451.2</v>
      </c>
    </row>
    <row r="124">
      <c r="A124" s="37">
        <v>28.0</v>
      </c>
      <c r="B124" s="36" t="s">
        <v>699</v>
      </c>
      <c r="C124" s="38">
        <v>4725.6</v>
      </c>
      <c r="D124" s="36" t="s">
        <v>623</v>
      </c>
      <c r="E124" s="35"/>
      <c r="G124" s="37">
        <v>28.0</v>
      </c>
      <c r="H124" s="36" t="s">
        <v>699</v>
      </c>
      <c r="I124" s="38">
        <v>4725.6</v>
      </c>
      <c r="J124" s="36" t="s">
        <v>623</v>
      </c>
      <c r="L124" s="44">
        <f t="shared" si="3"/>
        <v>9451.2</v>
      </c>
    </row>
    <row r="125">
      <c r="A125" s="37">
        <v>29.0</v>
      </c>
      <c r="B125" s="36" t="s">
        <v>262</v>
      </c>
      <c r="C125" s="38">
        <v>4725.6</v>
      </c>
      <c r="D125" s="36" t="s">
        <v>623</v>
      </c>
      <c r="E125" s="35"/>
      <c r="G125" s="37">
        <v>29.0</v>
      </c>
      <c r="H125" s="36" t="s">
        <v>262</v>
      </c>
      <c r="I125" s="38">
        <v>4725.6</v>
      </c>
      <c r="J125" s="36" t="s">
        <v>623</v>
      </c>
      <c r="L125" s="44">
        <f t="shared" si="3"/>
        <v>9451.2</v>
      </c>
    </row>
    <row r="126">
      <c r="A126" s="37">
        <v>30.0</v>
      </c>
      <c r="B126" s="36" t="s">
        <v>700</v>
      </c>
      <c r="C126" s="38">
        <v>4725.6</v>
      </c>
      <c r="D126" s="36" t="s">
        <v>623</v>
      </c>
      <c r="E126" s="35"/>
      <c r="G126" s="37">
        <v>30.0</v>
      </c>
      <c r="H126" s="36" t="s">
        <v>700</v>
      </c>
      <c r="I126" s="38">
        <v>4725.6</v>
      </c>
      <c r="J126" s="36" t="s">
        <v>623</v>
      </c>
      <c r="L126" s="44">
        <f t="shared" si="3"/>
        <v>9451.2</v>
      </c>
    </row>
    <row r="127">
      <c r="A127" s="37">
        <v>31.0</v>
      </c>
      <c r="B127" s="36" t="s">
        <v>169</v>
      </c>
      <c r="C127" s="38">
        <v>4725.6</v>
      </c>
      <c r="D127" s="36" t="s">
        <v>623</v>
      </c>
      <c r="E127" s="35"/>
      <c r="G127" s="37">
        <v>31.0</v>
      </c>
      <c r="H127" s="36" t="s">
        <v>169</v>
      </c>
      <c r="I127" s="38">
        <v>1575.2</v>
      </c>
      <c r="J127" s="36" t="s">
        <v>623</v>
      </c>
      <c r="L127" s="44">
        <f t="shared" si="3"/>
        <v>6300.8</v>
      </c>
    </row>
    <row r="128">
      <c r="A128" s="37">
        <v>32.0</v>
      </c>
      <c r="B128" s="36" t="s">
        <v>355</v>
      </c>
      <c r="C128" s="38">
        <v>4725.6</v>
      </c>
      <c r="D128" s="36" t="s">
        <v>623</v>
      </c>
      <c r="E128" s="35"/>
      <c r="G128" s="37">
        <v>32.0</v>
      </c>
      <c r="H128" s="36" t="s">
        <v>355</v>
      </c>
      <c r="I128" s="38">
        <v>4725.6</v>
      </c>
      <c r="J128" s="36" t="s">
        <v>623</v>
      </c>
      <c r="L128" s="44">
        <f t="shared" si="3"/>
        <v>9451.2</v>
      </c>
    </row>
    <row r="129">
      <c r="A129" s="37">
        <v>33.0</v>
      </c>
      <c r="B129" s="36" t="s">
        <v>701</v>
      </c>
      <c r="C129" s="38">
        <v>4725.6</v>
      </c>
      <c r="D129" s="36" t="s">
        <v>623</v>
      </c>
      <c r="E129" s="35"/>
      <c r="G129" s="37">
        <v>33.0</v>
      </c>
      <c r="H129" s="36" t="s">
        <v>701</v>
      </c>
      <c r="I129" s="38">
        <v>4725.6</v>
      </c>
      <c r="J129" s="36" t="s">
        <v>623</v>
      </c>
      <c r="L129" s="44">
        <f t="shared" si="3"/>
        <v>9451.2</v>
      </c>
    </row>
    <row r="130">
      <c r="A130" s="37">
        <v>34.0</v>
      </c>
      <c r="B130" s="36" t="s">
        <v>702</v>
      </c>
      <c r="C130" s="38">
        <v>4725.6</v>
      </c>
      <c r="D130" s="36" t="s">
        <v>623</v>
      </c>
      <c r="E130" s="35"/>
      <c r="G130" s="37">
        <v>34.0</v>
      </c>
      <c r="H130" s="36" t="s">
        <v>702</v>
      </c>
      <c r="I130" s="38">
        <v>4725.6</v>
      </c>
      <c r="J130" s="36" t="s">
        <v>623</v>
      </c>
      <c r="L130" s="44">
        <f t="shared" si="3"/>
        <v>9451.2</v>
      </c>
    </row>
    <row r="131">
      <c r="A131" s="37">
        <v>35.0</v>
      </c>
      <c r="B131" s="36" t="s">
        <v>61</v>
      </c>
      <c r="C131" s="38">
        <v>2139.9</v>
      </c>
      <c r="D131" s="36" t="s">
        <v>623</v>
      </c>
      <c r="E131" s="35"/>
      <c r="G131" s="37">
        <v>35.0</v>
      </c>
      <c r="H131" s="36" t="s">
        <v>61</v>
      </c>
      <c r="I131" s="38">
        <v>2139.9</v>
      </c>
      <c r="J131" s="36" t="s">
        <v>623</v>
      </c>
      <c r="L131" s="44">
        <f t="shared" si="3"/>
        <v>4279.8</v>
      </c>
    </row>
    <row r="132">
      <c r="A132" s="37">
        <v>36.0</v>
      </c>
      <c r="B132" s="46" t="s">
        <v>337</v>
      </c>
      <c r="C132" s="38">
        <v>2395.96</v>
      </c>
      <c r="D132" s="36" t="s">
        <v>623</v>
      </c>
      <c r="E132" s="35"/>
      <c r="G132" s="37">
        <v>36.0</v>
      </c>
      <c r="H132" s="47" t="s">
        <v>337</v>
      </c>
      <c r="I132" s="38">
        <v>2395.96</v>
      </c>
      <c r="J132" s="36" t="s">
        <v>623</v>
      </c>
      <c r="L132" s="44">
        <f t="shared" si="3"/>
        <v>4791.92</v>
      </c>
    </row>
    <row r="133">
      <c r="A133" s="37">
        <v>37.0</v>
      </c>
      <c r="B133" s="46" t="s">
        <v>703</v>
      </c>
      <c r="C133" s="38">
        <v>4725.6</v>
      </c>
      <c r="D133" s="36" t="s">
        <v>623</v>
      </c>
      <c r="E133" s="35"/>
      <c r="G133" s="37">
        <v>37.0</v>
      </c>
      <c r="H133" s="47" t="s">
        <v>703</v>
      </c>
      <c r="I133" s="38">
        <v>4725.6</v>
      </c>
      <c r="J133" s="36" t="s">
        <v>623</v>
      </c>
      <c r="L133" s="44">
        <f t="shared" si="3"/>
        <v>9451.2</v>
      </c>
    </row>
    <row r="134">
      <c r="A134" s="37">
        <v>38.0</v>
      </c>
      <c r="B134" s="46" t="s">
        <v>211</v>
      </c>
      <c r="C134" s="38">
        <v>4725.6</v>
      </c>
      <c r="D134" s="36" t="s">
        <v>623</v>
      </c>
      <c r="E134" s="35"/>
      <c r="G134" s="37">
        <v>38.0</v>
      </c>
      <c r="H134" s="47" t="s">
        <v>211</v>
      </c>
      <c r="I134" s="38">
        <v>4725.6</v>
      </c>
      <c r="J134" s="36" t="s">
        <v>623</v>
      </c>
      <c r="L134" s="44">
        <f t="shared" si="3"/>
        <v>9451.2</v>
      </c>
    </row>
    <row r="135">
      <c r="A135" s="37">
        <v>39.0</v>
      </c>
      <c r="B135" s="46" t="s">
        <v>54</v>
      </c>
      <c r="C135" s="38">
        <v>4725.6</v>
      </c>
      <c r="D135" s="36" t="s">
        <v>623</v>
      </c>
      <c r="E135" s="35"/>
      <c r="G135" s="37">
        <v>39.0</v>
      </c>
      <c r="H135" s="47" t="s">
        <v>54</v>
      </c>
      <c r="I135" s="38">
        <v>4725.6</v>
      </c>
      <c r="J135" s="36" t="s">
        <v>623</v>
      </c>
      <c r="L135" s="44">
        <f t="shared" si="3"/>
        <v>9451.2</v>
      </c>
    </row>
    <row r="136">
      <c r="A136" s="37">
        <v>40.0</v>
      </c>
      <c r="B136" s="46" t="s">
        <v>304</v>
      </c>
      <c r="C136" s="38">
        <v>4725.6</v>
      </c>
      <c r="D136" s="36" t="s">
        <v>623</v>
      </c>
      <c r="E136" s="35"/>
      <c r="G136" s="37">
        <v>40.0</v>
      </c>
      <c r="H136" s="47" t="s">
        <v>704</v>
      </c>
      <c r="I136" s="38">
        <v>4725.6</v>
      </c>
      <c r="J136" s="36" t="s">
        <v>623</v>
      </c>
      <c r="L136" s="44">
        <f t="shared" si="3"/>
        <v>9451.2</v>
      </c>
    </row>
    <row r="137">
      <c r="A137" s="37">
        <v>41.0</v>
      </c>
      <c r="B137" s="46" t="s">
        <v>704</v>
      </c>
      <c r="C137" s="38">
        <v>4725.6</v>
      </c>
      <c r="D137" s="36" t="s">
        <v>623</v>
      </c>
      <c r="E137" s="35"/>
      <c r="G137" s="37">
        <v>41.0</v>
      </c>
      <c r="H137" s="47" t="s">
        <v>705</v>
      </c>
      <c r="I137" s="38">
        <v>4725.6</v>
      </c>
      <c r="J137" s="36" t="s">
        <v>623</v>
      </c>
      <c r="L137" s="44">
        <f t="shared" si="3"/>
        <v>9451.2</v>
      </c>
    </row>
    <row r="138">
      <c r="A138" s="37">
        <v>42.0</v>
      </c>
      <c r="B138" s="46" t="s">
        <v>705</v>
      </c>
      <c r="C138" s="38">
        <v>4725.6</v>
      </c>
      <c r="D138" s="36" t="s">
        <v>623</v>
      </c>
      <c r="E138" s="35"/>
      <c r="G138" s="37">
        <v>42.0</v>
      </c>
      <c r="H138" s="47" t="s">
        <v>706</v>
      </c>
      <c r="I138" s="38">
        <v>4725.6</v>
      </c>
      <c r="J138" s="36" t="s">
        <v>623</v>
      </c>
      <c r="L138" s="44">
        <f t="shared" si="3"/>
        <v>9451.2</v>
      </c>
    </row>
    <row r="139">
      <c r="A139" s="37">
        <v>43.0</v>
      </c>
      <c r="B139" s="46" t="s">
        <v>706</v>
      </c>
      <c r="C139" s="38">
        <v>4725.6</v>
      </c>
      <c r="D139" s="36" t="s">
        <v>623</v>
      </c>
      <c r="E139" s="35"/>
      <c r="G139" s="37">
        <v>43.0</v>
      </c>
      <c r="H139" s="47" t="s">
        <v>236</v>
      </c>
      <c r="I139" s="38">
        <v>4725.6</v>
      </c>
      <c r="J139" s="36" t="s">
        <v>623</v>
      </c>
      <c r="L139" s="44">
        <f t="shared" si="3"/>
        <v>9451.2</v>
      </c>
    </row>
    <row r="140">
      <c r="A140" s="37">
        <v>44.0</v>
      </c>
      <c r="B140" s="46" t="s">
        <v>236</v>
      </c>
      <c r="C140" s="38">
        <v>4725.6</v>
      </c>
      <c r="D140" s="36" t="s">
        <v>623</v>
      </c>
      <c r="E140" s="35"/>
      <c r="G140" s="37">
        <v>44.0</v>
      </c>
      <c r="H140" s="47" t="s">
        <v>239</v>
      </c>
      <c r="I140" s="38">
        <v>4725.6</v>
      </c>
      <c r="J140" s="36" t="s">
        <v>623</v>
      </c>
      <c r="L140" s="44">
        <f t="shared" si="3"/>
        <v>9451.2</v>
      </c>
    </row>
    <row r="141">
      <c r="A141" s="37">
        <v>45.0</v>
      </c>
      <c r="B141" s="46" t="s">
        <v>239</v>
      </c>
      <c r="C141" s="38">
        <v>3150.4</v>
      </c>
      <c r="D141" s="36" t="s">
        <v>623</v>
      </c>
      <c r="E141" s="35"/>
      <c r="G141" s="37">
        <v>45.0</v>
      </c>
      <c r="H141" s="36" t="s">
        <v>240</v>
      </c>
      <c r="I141" s="38">
        <v>4725.6</v>
      </c>
      <c r="J141" s="36" t="s">
        <v>623</v>
      </c>
      <c r="L141" s="44">
        <f t="shared" si="3"/>
        <v>7876</v>
      </c>
    </row>
    <row r="142">
      <c r="A142" s="35"/>
      <c r="B142" s="35"/>
      <c r="C142" s="41">
        <f>SUM(C97:C141)</f>
        <v>223861.95</v>
      </c>
      <c r="D142" s="35"/>
      <c r="E142" s="35"/>
      <c r="G142" s="37">
        <v>46.0</v>
      </c>
      <c r="H142" s="36" t="s">
        <v>241</v>
      </c>
      <c r="I142" s="38">
        <v>4725.6</v>
      </c>
      <c r="J142" s="36" t="s">
        <v>623</v>
      </c>
      <c r="L142" s="44">
        <f t="shared" si="3"/>
        <v>228587.55</v>
      </c>
    </row>
    <row r="143">
      <c r="A143" s="35"/>
      <c r="B143" s="35"/>
      <c r="C143" s="35"/>
      <c r="D143" s="35"/>
      <c r="E143" s="35"/>
      <c r="G143" s="37">
        <v>47.0</v>
      </c>
      <c r="H143" s="36" t="s">
        <v>242</v>
      </c>
      <c r="I143" s="38">
        <v>1260.16</v>
      </c>
      <c r="J143" s="36" t="s">
        <v>623</v>
      </c>
      <c r="L143" s="44">
        <f t="shared" si="3"/>
        <v>1260.16</v>
      </c>
    </row>
    <row r="144">
      <c r="A144" s="35"/>
      <c r="B144" s="35"/>
      <c r="C144" s="35"/>
      <c r="D144" s="35"/>
      <c r="E144" s="35"/>
      <c r="G144" s="35"/>
      <c r="H144" s="35"/>
      <c r="I144" s="41">
        <f>SUM(I97:I143)</f>
        <v>228272.51</v>
      </c>
      <c r="J144" s="35"/>
    </row>
    <row r="145">
      <c r="A145" s="35"/>
      <c r="B145" s="35"/>
      <c r="C145" s="35"/>
      <c r="D145" s="35"/>
      <c r="E145" s="35"/>
      <c r="G145" s="35"/>
      <c r="H145" s="35"/>
      <c r="I145" s="35"/>
      <c r="J145" s="35"/>
    </row>
    <row r="146">
      <c r="A146" s="35"/>
      <c r="B146" s="35"/>
      <c r="C146" s="35"/>
      <c r="D146" s="35"/>
      <c r="E146" s="35"/>
      <c r="G146" s="35"/>
      <c r="H146" s="35"/>
      <c r="I146" s="35"/>
      <c r="J146" s="35"/>
    </row>
    <row r="147">
      <c r="A147" s="35"/>
      <c r="B147" s="35"/>
      <c r="C147" s="35"/>
      <c r="D147" s="35"/>
      <c r="E147" s="35"/>
      <c r="G147" s="35"/>
      <c r="H147" s="35"/>
      <c r="I147" s="35"/>
      <c r="J147" s="35"/>
    </row>
    <row r="148">
      <c r="A148" s="35"/>
      <c r="B148" s="35"/>
      <c r="C148" s="35"/>
      <c r="D148" s="35"/>
      <c r="E148" s="35"/>
      <c r="G148" s="35"/>
      <c r="H148" s="35"/>
      <c r="I148" s="35"/>
      <c r="J148" s="35"/>
    </row>
    <row r="149">
      <c r="A149" s="35"/>
      <c r="B149" s="35"/>
      <c r="C149" s="35"/>
      <c r="D149" s="35"/>
      <c r="E149" s="35"/>
      <c r="G149" s="35"/>
      <c r="H149" s="35"/>
      <c r="I149" s="35"/>
      <c r="J149" s="35"/>
    </row>
    <row r="150">
      <c r="A150" s="35"/>
      <c r="B150" s="35"/>
      <c r="C150" s="35"/>
      <c r="D150" s="35"/>
      <c r="E150" s="35"/>
    </row>
    <row r="151">
      <c r="A151" s="35"/>
      <c r="B151" s="35"/>
      <c r="C151" s="35"/>
      <c r="D151" s="35"/>
      <c r="E151" s="35"/>
    </row>
    <row r="152">
      <c r="A152" s="35"/>
      <c r="B152" s="35"/>
      <c r="C152" s="35"/>
      <c r="D152" s="35"/>
      <c r="E152" s="35"/>
    </row>
    <row r="153">
      <c r="A153" s="35"/>
      <c r="B153" s="35"/>
      <c r="C153" s="35"/>
      <c r="D153" s="35"/>
      <c r="E153" s="35"/>
    </row>
    <row r="154">
      <c r="A154" s="35"/>
      <c r="B154" s="35"/>
      <c r="C154" s="35"/>
      <c r="D154" s="35"/>
      <c r="E154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  <c r="S1" s="48" t="s">
        <v>18</v>
      </c>
      <c r="T1" s="49"/>
      <c r="U1" s="49"/>
      <c r="V1" s="49"/>
      <c r="W1" s="49"/>
      <c r="X1" s="49"/>
    </row>
    <row r="2" hidden="1">
      <c r="A2" s="50" t="s">
        <v>19</v>
      </c>
      <c r="B2" s="50" t="s">
        <v>20</v>
      </c>
      <c r="C2" s="50" t="s">
        <v>21</v>
      </c>
      <c r="D2" s="50" t="s">
        <v>22</v>
      </c>
      <c r="E2" s="50" t="s">
        <v>23</v>
      </c>
      <c r="F2" s="50" t="s">
        <v>24</v>
      </c>
      <c r="G2" s="50">
        <v>12269.305252</v>
      </c>
      <c r="H2" s="50" t="s">
        <v>25</v>
      </c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</row>
    <row r="3" hidden="1">
      <c r="A3" s="50" t="s">
        <v>19</v>
      </c>
      <c r="B3" s="50" t="s">
        <v>20</v>
      </c>
      <c r="C3" s="50" t="s">
        <v>21</v>
      </c>
      <c r="D3" s="50" t="s">
        <v>22</v>
      </c>
      <c r="E3" s="50" t="s">
        <v>23</v>
      </c>
      <c r="F3" s="50" t="s">
        <v>24</v>
      </c>
      <c r="G3" s="51">
        <f>2676.24+'Hoja 1'!C55+'Hoja 1'!I53</f>
        <v>12620.03</v>
      </c>
      <c r="H3" s="50" t="s">
        <v>26</v>
      </c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</row>
    <row r="4" hidden="1">
      <c r="A4" s="50" t="s">
        <v>19</v>
      </c>
      <c r="B4" s="50" t="s">
        <v>20</v>
      </c>
      <c r="C4" s="50" t="s">
        <v>21</v>
      </c>
      <c r="D4" s="50" t="s">
        <v>22</v>
      </c>
      <c r="E4" s="50" t="s">
        <v>23</v>
      </c>
      <c r="F4" s="50" t="s">
        <v>24</v>
      </c>
      <c r="G4" s="51">
        <f>9286.191037+'Hoja 1'!I30</f>
        <v>10861.39104</v>
      </c>
      <c r="H4" s="50" t="s">
        <v>27</v>
      </c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</row>
    <row r="5" hidden="1">
      <c r="A5" s="50" t="s">
        <v>19</v>
      </c>
      <c r="B5" s="50" t="s">
        <v>20</v>
      </c>
      <c r="C5" s="50" t="s">
        <v>21</v>
      </c>
      <c r="D5" s="50" t="s">
        <v>22</v>
      </c>
      <c r="E5" s="50" t="s">
        <v>23</v>
      </c>
      <c r="F5" s="50" t="s">
        <v>24</v>
      </c>
      <c r="G5" s="51">
        <f>1391.103+'Hoja 1'!C107+'Hoja 1'!I107</f>
        <v>10842.303</v>
      </c>
      <c r="H5" s="52" t="s">
        <v>28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hidden="1">
      <c r="A6" s="50" t="s">
        <v>19</v>
      </c>
      <c r="B6" s="50" t="s">
        <v>29</v>
      </c>
      <c r="C6" s="50" t="s">
        <v>21</v>
      </c>
      <c r="D6" s="50" t="s">
        <v>22</v>
      </c>
      <c r="E6" s="50" t="s">
        <v>23</v>
      </c>
      <c r="F6" s="50" t="s">
        <v>30</v>
      </c>
      <c r="G6" s="50">
        <v>24075.34956</v>
      </c>
      <c r="H6" s="50" t="s">
        <v>26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hidden="1">
      <c r="A7" s="50" t="s">
        <v>19</v>
      </c>
      <c r="B7" s="50" t="s">
        <v>29</v>
      </c>
      <c r="C7" s="50" t="s">
        <v>21</v>
      </c>
      <c r="D7" s="50" t="s">
        <v>22</v>
      </c>
      <c r="E7" s="50" t="s">
        <v>23</v>
      </c>
      <c r="F7" s="50" t="s">
        <v>30</v>
      </c>
      <c r="G7" s="50">
        <v>14312.5067</v>
      </c>
      <c r="H7" s="50" t="s">
        <v>27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hidden="1">
      <c r="A8" s="50" t="s">
        <v>19</v>
      </c>
      <c r="B8" s="50" t="s">
        <v>31</v>
      </c>
      <c r="C8" s="50" t="s">
        <v>32</v>
      </c>
      <c r="D8" s="50" t="s">
        <v>33</v>
      </c>
      <c r="E8" s="49"/>
      <c r="F8" s="50" t="s">
        <v>34</v>
      </c>
      <c r="G8" s="50">
        <v>14378.847582</v>
      </c>
      <c r="H8" s="50" t="s">
        <v>25</v>
      </c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</row>
    <row r="9" hidden="1">
      <c r="A9" s="50" t="s">
        <v>19</v>
      </c>
      <c r="B9" s="50" t="s">
        <v>31</v>
      </c>
      <c r="C9" s="50" t="s">
        <v>32</v>
      </c>
      <c r="D9" s="50" t="s">
        <v>33</v>
      </c>
      <c r="E9" s="49"/>
      <c r="F9" s="50" t="s">
        <v>34</v>
      </c>
      <c r="G9" s="50">
        <v>15993.282958</v>
      </c>
      <c r="H9" s="50" t="s">
        <v>26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</row>
    <row r="10" hidden="1">
      <c r="A10" s="50" t="s">
        <v>19</v>
      </c>
      <c r="B10" s="50" t="s">
        <v>31</v>
      </c>
      <c r="C10" s="50" t="s">
        <v>32</v>
      </c>
      <c r="D10" s="50" t="s">
        <v>33</v>
      </c>
      <c r="E10" s="49"/>
      <c r="F10" s="50" t="s">
        <v>34</v>
      </c>
      <c r="G10" s="50">
        <v>15770.15378</v>
      </c>
      <c r="H10" s="50" t="s">
        <v>27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</row>
    <row r="11" hidden="1">
      <c r="A11" s="50" t="s">
        <v>19</v>
      </c>
      <c r="B11" s="50" t="s">
        <v>35</v>
      </c>
      <c r="C11" s="50" t="s">
        <v>21</v>
      </c>
      <c r="D11" s="50" t="s">
        <v>22</v>
      </c>
      <c r="E11" s="50" t="s">
        <v>36</v>
      </c>
      <c r="F11" s="50" t="s">
        <v>37</v>
      </c>
      <c r="G11" s="50">
        <v>13779.069051</v>
      </c>
      <c r="H11" s="50" t="s">
        <v>26</v>
      </c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</row>
    <row r="12" hidden="1">
      <c r="A12" s="50" t="s">
        <v>19</v>
      </c>
      <c r="B12" s="50" t="s">
        <v>35</v>
      </c>
      <c r="C12" s="50" t="s">
        <v>21</v>
      </c>
      <c r="D12" s="50" t="s">
        <v>22</v>
      </c>
      <c r="E12" s="50" t="s">
        <v>36</v>
      </c>
      <c r="F12" s="50" t="s">
        <v>37</v>
      </c>
      <c r="G12" s="50">
        <v>13493.097092</v>
      </c>
      <c r="H12" s="50" t="s">
        <v>27</v>
      </c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</row>
    <row r="13" hidden="1">
      <c r="A13" s="50" t="s">
        <v>19</v>
      </c>
      <c r="B13" s="50" t="s">
        <v>35</v>
      </c>
      <c r="C13" s="50" t="s">
        <v>21</v>
      </c>
      <c r="D13" s="50" t="s">
        <v>22</v>
      </c>
      <c r="E13" s="50" t="s">
        <v>36</v>
      </c>
      <c r="F13" s="50" t="s">
        <v>37</v>
      </c>
      <c r="G13" s="50">
        <v>13751.39405</v>
      </c>
      <c r="H13" s="50" t="s">
        <v>25</v>
      </c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</row>
    <row r="14" hidden="1">
      <c r="A14" s="50" t="s">
        <v>19</v>
      </c>
      <c r="B14" s="50" t="s">
        <v>38</v>
      </c>
      <c r="C14" s="50" t="s">
        <v>32</v>
      </c>
      <c r="D14" s="50" t="s">
        <v>39</v>
      </c>
      <c r="E14" s="49"/>
      <c r="F14" s="50" t="s">
        <v>40</v>
      </c>
      <c r="G14" s="50">
        <v>19234.552952</v>
      </c>
      <c r="H14" s="50" t="s">
        <v>25</v>
      </c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</row>
    <row r="15" hidden="1">
      <c r="A15" s="50" t="s">
        <v>19</v>
      </c>
      <c r="B15" s="50" t="s">
        <v>38</v>
      </c>
      <c r="C15" s="50" t="s">
        <v>32</v>
      </c>
      <c r="D15" s="50" t="s">
        <v>39</v>
      </c>
      <c r="E15" s="49"/>
      <c r="F15" s="50" t="s">
        <v>40</v>
      </c>
      <c r="G15" s="50">
        <v>23356.67895</v>
      </c>
      <c r="H15" s="50" t="s">
        <v>26</v>
      </c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</row>
    <row r="16" hidden="1">
      <c r="A16" s="50" t="s">
        <v>19</v>
      </c>
      <c r="B16" s="50" t="s">
        <v>38</v>
      </c>
      <c r="C16" s="50" t="s">
        <v>32</v>
      </c>
      <c r="D16" s="50" t="s">
        <v>39</v>
      </c>
      <c r="E16" s="49"/>
      <c r="F16" s="50" t="s">
        <v>40</v>
      </c>
      <c r="G16" s="50">
        <v>18896.20395</v>
      </c>
      <c r="H16" s="50" t="s">
        <v>27</v>
      </c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</row>
    <row r="17" hidden="1">
      <c r="A17" s="50" t="s">
        <v>19</v>
      </c>
      <c r="B17" s="50" t="s">
        <v>41</v>
      </c>
      <c r="C17" s="50" t="s">
        <v>21</v>
      </c>
      <c r="D17" s="50" t="s">
        <v>22</v>
      </c>
      <c r="E17" s="50" t="s">
        <v>42</v>
      </c>
      <c r="F17" s="50" t="s">
        <v>43</v>
      </c>
      <c r="G17" s="50">
        <v>11487.986067</v>
      </c>
      <c r="H17" s="50" t="s">
        <v>26</v>
      </c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</row>
    <row r="18" hidden="1">
      <c r="A18" s="50" t="s">
        <v>19</v>
      </c>
      <c r="B18" s="50" t="s">
        <v>41</v>
      </c>
      <c r="C18" s="50" t="s">
        <v>21</v>
      </c>
      <c r="D18" s="50" t="s">
        <v>22</v>
      </c>
      <c r="E18" s="50" t="s">
        <v>42</v>
      </c>
      <c r="F18" s="50" t="s">
        <v>43</v>
      </c>
      <c r="G18" s="50">
        <v>17785.736044</v>
      </c>
      <c r="H18" s="50" t="s">
        <v>27</v>
      </c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</row>
    <row r="19" hidden="1">
      <c r="A19" s="50" t="s">
        <v>19</v>
      </c>
      <c r="B19" s="50" t="s">
        <v>41</v>
      </c>
      <c r="C19" s="50" t="s">
        <v>21</v>
      </c>
      <c r="D19" s="50" t="s">
        <v>22</v>
      </c>
      <c r="E19" s="50" t="s">
        <v>42</v>
      </c>
      <c r="F19" s="50" t="s">
        <v>43</v>
      </c>
      <c r="G19" s="50">
        <v>18125.363418</v>
      </c>
      <c r="H19" s="50" t="s">
        <v>25</v>
      </c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</row>
    <row r="20" hidden="1">
      <c r="A20" s="50" t="s">
        <v>19</v>
      </c>
      <c r="B20" s="50" t="s">
        <v>44</v>
      </c>
      <c r="C20" s="50" t="s">
        <v>21</v>
      </c>
      <c r="D20" s="50" t="s">
        <v>22</v>
      </c>
      <c r="E20" s="50" t="s">
        <v>45</v>
      </c>
      <c r="F20" s="50" t="s">
        <v>46</v>
      </c>
      <c r="G20" s="50">
        <v>19431.20395</v>
      </c>
      <c r="H20" s="50" t="s">
        <v>27</v>
      </c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</row>
    <row r="21" ht="23.25" hidden="1" customHeight="1">
      <c r="A21" s="50" t="s">
        <v>19</v>
      </c>
      <c r="B21" s="50" t="s">
        <v>44</v>
      </c>
      <c r="C21" s="50" t="s">
        <v>21</v>
      </c>
      <c r="D21" s="50" t="s">
        <v>22</v>
      </c>
      <c r="E21" s="50" t="s">
        <v>45</v>
      </c>
      <c r="F21" s="50" t="s">
        <v>46</v>
      </c>
      <c r="G21" s="50">
        <v>19779.552952</v>
      </c>
      <c r="H21" s="50" t="s">
        <v>25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</row>
    <row r="22" ht="15.75" hidden="1" customHeight="1">
      <c r="A22" s="50" t="s">
        <v>19</v>
      </c>
      <c r="B22" s="50" t="s">
        <v>44</v>
      </c>
      <c r="C22" s="50" t="s">
        <v>21</v>
      </c>
      <c r="D22" s="50" t="s">
        <v>22</v>
      </c>
      <c r="E22" s="50" t="s">
        <v>45</v>
      </c>
      <c r="F22" s="50" t="s">
        <v>46</v>
      </c>
      <c r="G22" s="51">
        <f>6351.24+'Hoja 1'!L67</f>
        <v>15802.44</v>
      </c>
      <c r="H22" s="50" t="s">
        <v>26</v>
      </c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</row>
    <row r="23" ht="15.75" hidden="1" customHeight="1">
      <c r="A23" s="50" t="s">
        <v>19</v>
      </c>
      <c r="B23" s="50" t="s">
        <v>44</v>
      </c>
      <c r="C23" s="50" t="s">
        <v>21</v>
      </c>
      <c r="D23" s="50" t="s">
        <v>22</v>
      </c>
      <c r="E23" s="50" t="s">
        <v>45</v>
      </c>
      <c r="F23" s="50" t="s">
        <v>46</v>
      </c>
      <c r="G23" s="53">
        <f>6351.24+'Hoja 1'!L119</f>
        <v>10060.44</v>
      </c>
      <c r="H23" s="52" t="s">
        <v>28</v>
      </c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</row>
    <row r="24" ht="15.75" hidden="1" customHeight="1">
      <c r="A24" s="50" t="s">
        <v>19</v>
      </c>
      <c r="B24" s="50" t="s">
        <v>47</v>
      </c>
      <c r="C24" s="50" t="s">
        <v>32</v>
      </c>
      <c r="D24" s="50" t="s">
        <v>48</v>
      </c>
      <c r="E24" s="49"/>
      <c r="F24" s="50" t="s">
        <v>49</v>
      </c>
      <c r="G24" s="50">
        <v>18848.225941</v>
      </c>
      <c r="H24" s="50" t="s">
        <v>27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</row>
    <row r="25" ht="15.75" hidden="1" customHeight="1">
      <c r="A25" s="50" t="s">
        <v>19</v>
      </c>
      <c r="B25" s="50" t="s">
        <v>47</v>
      </c>
      <c r="C25" s="50" t="s">
        <v>32</v>
      </c>
      <c r="D25" s="50" t="s">
        <v>48</v>
      </c>
      <c r="E25" s="49"/>
      <c r="F25" s="50" t="s">
        <v>49</v>
      </c>
      <c r="G25" s="50">
        <v>19080.558312</v>
      </c>
      <c r="H25" s="50" t="s">
        <v>26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</row>
    <row r="26" ht="15.75" hidden="1" customHeight="1">
      <c r="A26" s="50" t="s">
        <v>19</v>
      </c>
      <c r="B26" s="50" t="s">
        <v>47</v>
      </c>
      <c r="C26" s="50" t="s">
        <v>32</v>
      </c>
      <c r="D26" s="50" t="s">
        <v>48</v>
      </c>
      <c r="E26" s="49"/>
      <c r="F26" s="50" t="s">
        <v>49</v>
      </c>
      <c r="G26" s="50">
        <v>19207.062778</v>
      </c>
      <c r="H26" s="50" t="s">
        <v>25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</row>
    <row r="27" ht="15.75" hidden="1" customHeight="1">
      <c r="A27" s="50" t="s">
        <v>19</v>
      </c>
      <c r="B27" s="50" t="s">
        <v>50</v>
      </c>
      <c r="C27" s="50" t="s">
        <v>32</v>
      </c>
      <c r="D27" s="50" t="s">
        <v>39</v>
      </c>
      <c r="E27" s="49"/>
      <c r="F27" s="50" t="s">
        <v>51</v>
      </c>
      <c r="G27" s="50">
        <v>20193.28296</v>
      </c>
      <c r="H27" s="50" t="s">
        <v>26</v>
      </c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</row>
    <row r="28" ht="15.75" hidden="1" customHeight="1">
      <c r="A28" s="50" t="s">
        <v>19</v>
      </c>
      <c r="B28" s="50" t="s">
        <v>50</v>
      </c>
      <c r="C28" s="50" t="s">
        <v>32</v>
      </c>
      <c r="D28" s="50" t="s">
        <v>39</v>
      </c>
      <c r="E28" s="49"/>
      <c r="F28" s="50" t="s">
        <v>51</v>
      </c>
      <c r="G28" s="50">
        <v>20050.153784</v>
      </c>
      <c r="H28" s="50" t="s">
        <v>27</v>
      </c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</row>
    <row r="29" ht="15.75" hidden="1" customHeight="1">
      <c r="A29" s="50" t="s">
        <v>19</v>
      </c>
      <c r="B29" s="50" t="s">
        <v>50</v>
      </c>
      <c r="C29" s="50" t="s">
        <v>32</v>
      </c>
      <c r="D29" s="50" t="s">
        <v>39</v>
      </c>
      <c r="E29" s="49"/>
      <c r="F29" s="50" t="s">
        <v>51</v>
      </c>
      <c r="G29" s="50">
        <v>20427.17472</v>
      </c>
      <c r="H29" s="50" t="s">
        <v>25</v>
      </c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</row>
    <row r="30" ht="15.75" hidden="1" customHeight="1">
      <c r="A30" s="50" t="s">
        <v>19</v>
      </c>
      <c r="B30" s="50" t="s">
        <v>52</v>
      </c>
      <c r="C30" s="50" t="s">
        <v>21</v>
      </c>
      <c r="D30" s="50" t="s">
        <v>22</v>
      </c>
      <c r="E30" s="50" t="s">
        <v>53</v>
      </c>
      <c r="F30" s="50" t="s">
        <v>54</v>
      </c>
      <c r="G30" s="50">
        <v>8107.360929</v>
      </c>
      <c r="H30" s="50" t="s">
        <v>27</v>
      </c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</row>
    <row r="31" ht="15.75" hidden="1" customHeight="1">
      <c r="A31" s="50" t="s">
        <v>19</v>
      </c>
      <c r="B31" s="50" t="s">
        <v>52</v>
      </c>
      <c r="C31" s="50" t="s">
        <v>21</v>
      </c>
      <c r="D31" s="50" t="s">
        <v>22</v>
      </c>
      <c r="E31" s="50" t="s">
        <v>53</v>
      </c>
      <c r="F31" s="50" t="s">
        <v>54</v>
      </c>
      <c r="G31" s="51">
        <f>15577.41058+'Hoja 1'!I81</f>
        <v>20303.01058</v>
      </c>
      <c r="H31" s="50" t="s">
        <v>26</v>
      </c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</row>
    <row r="32" ht="15.75" hidden="1" customHeight="1">
      <c r="A32" s="50" t="s">
        <v>19</v>
      </c>
      <c r="B32" s="50" t="s">
        <v>52</v>
      </c>
      <c r="C32" s="50" t="s">
        <v>21</v>
      </c>
      <c r="D32" s="50" t="s">
        <v>22</v>
      </c>
      <c r="E32" s="50" t="s">
        <v>53</v>
      </c>
      <c r="F32" s="50" t="s">
        <v>54</v>
      </c>
      <c r="G32" s="51">
        <f>8976.24+'Hoja 1'!L135</f>
        <v>18427.44</v>
      </c>
      <c r="H32" s="52" t="s">
        <v>28</v>
      </c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</row>
    <row r="33" ht="15.75" hidden="1" customHeight="1">
      <c r="A33" s="50" t="s">
        <v>19</v>
      </c>
      <c r="B33" s="50" t="s">
        <v>55</v>
      </c>
      <c r="C33" s="50" t="s">
        <v>21</v>
      </c>
      <c r="D33" s="50" t="s">
        <v>56</v>
      </c>
      <c r="E33" s="49"/>
      <c r="F33" s="50" t="s">
        <v>57</v>
      </c>
      <c r="G33" s="50">
        <v>13202.829051</v>
      </c>
      <c r="H33" s="50" t="s">
        <v>26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</row>
    <row r="34" ht="15.75" hidden="1" customHeight="1">
      <c r="A34" s="50" t="s">
        <v>19</v>
      </c>
      <c r="B34" s="50" t="s">
        <v>55</v>
      </c>
      <c r="C34" s="50" t="s">
        <v>21</v>
      </c>
      <c r="D34" s="50" t="s">
        <v>56</v>
      </c>
      <c r="E34" s="49"/>
      <c r="F34" s="50" t="s">
        <v>57</v>
      </c>
      <c r="G34" s="50">
        <v>10059.743257</v>
      </c>
      <c r="H34" s="50" t="s">
        <v>27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</row>
    <row r="35" ht="15.75" hidden="1" customHeight="1">
      <c r="A35" s="50" t="s">
        <v>19</v>
      </c>
      <c r="B35" s="50" t="s">
        <v>55</v>
      </c>
      <c r="C35" s="50" t="s">
        <v>21</v>
      </c>
      <c r="D35" s="50" t="s">
        <v>56</v>
      </c>
      <c r="E35" s="49"/>
      <c r="F35" s="50" t="s">
        <v>57</v>
      </c>
      <c r="G35" s="50">
        <v>7350.0</v>
      </c>
      <c r="H35" s="50" t="s">
        <v>25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</row>
    <row r="36" ht="15.75" hidden="1" customHeight="1">
      <c r="A36" s="50" t="s">
        <v>19</v>
      </c>
      <c r="B36" s="50" t="s">
        <v>58</v>
      </c>
      <c r="C36" s="50" t="s">
        <v>21</v>
      </c>
      <c r="D36" s="50" t="s">
        <v>22</v>
      </c>
      <c r="E36" s="52" t="s">
        <v>23</v>
      </c>
      <c r="F36" s="50" t="s">
        <v>59</v>
      </c>
      <c r="G36" s="51">
        <f>5826.24+'Hoja 1'!C56+'Hoja 1'!I54</f>
        <v>15770.03</v>
      </c>
      <c r="H36" s="50" t="s">
        <v>26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</row>
    <row r="37" ht="15.75" hidden="1" customHeight="1">
      <c r="A37" s="50" t="s">
        <v>19</v>
      </c>
      <c r="B37" s="50" t="s">
        <v>58</v>
      </c>
      <c r="C37" s="50" t="s">
        <v>21</v>
      </c>
      <c r="D37" s="50" t="s">
        <v>22</v>
      </c>
      <c r="E37" s="52" t="s">
        <v>23</v>
      </c>
      <c r="F37" s="50" t="s">
        <v>59</v>
      </c>
      <c r="G37" s="51">
        <f>12496.191037+'Hoja 1'!I31</f>
        <v>14071.39104</v>
      </c>
      <c r="H37" s="50" t="s">
        <v>27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</row>
    <row r="38" ht="15.75" hidden="1" customHeight="1">
      <c r="A38" s="50" t="s">
        <v>19</v>
      </c>
      <c r="B38" s="50" t="s">
        <v>58</v>
      </c>
      <c r="C38" s="50" t="s">
        <v>21</v>
      </c>
      <c r="D38" s="50" t="s">
        <v>22</v>
      </c>
      <c r="E38" s="52" t="s">
        <v>23</v>
      </c>
      <c r="F38" s="50" t="s">
        <v>59</v>
      </c>
      <c r="G38" s="50">
        <v>3209.170779</v>
      </c>
      <c r="H38" s="50" t="s">
        <v>25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</row>
    <row r="39" ht="15.75" hidden="1" customHeight="1">
      <c r="A39" s="50" t="s">
        <v>19</v>
      </c>
      <c r="B39" s="50" t="s">
        <v>58</v>
      </c>
      <c r="C39" s="50" t="s">
        <v>21</v>
      </c>
      <c r="D39" s="50" t="s">
        <v>22</v>
      </c>
      <c r="E39" s="52" t="s">
        <v>23</v>
      </c>
      <c r="F39" s="50" t="s">
        <v>59</v>
      </c>
      <c r="G39" s="51">
        <f>5826.24+'Hoja 1'!C108+'Hoja 1'!I108</f>
        <v>15277.44</v>
      </c>
      <c r="H39" s="52" t="s">
        <v>28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</row>
    <row r="40" ht="15.75" hidden="1" customHeight="1">
      <c r="A40" s="50" t="s">
        <v>19</v>
      </c>
      <c r="B40" s="50" t="s">
        <v>60</v>
      </c>
      <c r="C40" s="50" t="s">
        <v>21</v>
      </c>
      <c r="D40" s="50" t="s">
        <v>22</v>
      </c>
      <c r="E40" s="50" t="s">
        <v>42</v>
      </c>
      <c r="F40" s="50" t="s">
        <v>61</v>
      </c>
      <c r="G40" s="50">
        <v>17823.580152</v>
      </c>
      <c r="H40" s="50" t="s">
        <v>27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</row>
    <row r="41" ht="15.75" hidden="1" customHeight="1">
      <c r="A41" s="50" t="s">
        <v>19</v>
      </c>
      <c r="B41" s="50" t="s">
        <v>60</v>
      </c>
      <c r="C41" s="50" t="s">
        <v>21</v>
      </c>
      <c r="D41" s="50" t="s">
        <v>22</v>
      </c>
      <c r="E41" s="50" t="s">
        <v>42</v>
      </c>
      <c r="F41" s="50" t="s">
        <v>61</v>
      </c>
      <c r="G41" s="50">
        <v>18141.678181</v>
      </c>
      <c r="H41" s="50" t="s">
        <v>25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</row>
    <row r="42" ht="15.75" hidden="1" customHeight="1">
      <c r="A42" s="50" t="s">
        <v>19</v>
      </c>
      <c r="B42" s="50" t="s">
        <v>60</v>
      </c>
      <c r="C42" s="50" t="s">
        <v>21</v>
      </c>
      <c r="D42" s="50" t="s">
        <v>22</v>
      </c>
      <c r="E42" s="50" t="s">
        <v>42</v>
      </c>
      <c r="F42" s="50" t="s">
        <v>61</v>
      </c>
      <c r="G42" s="51">
        <f>4250.1795+'Hoja 1'!L79</f>
        <v>10866.0195</v>
      </c>
      <c r="H42" s="50" t="s">
        <v>26</v>
      </c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</row>
    <row r="43" ht="15.75" hidden="1" customHeight="1">
      <c r="A43" s="50" t="s">
        <v>19</v>
      </c>
      <c r="B43" s="50" t="s">
        <v>60</v>
      </c>
      <c r="C43" s="50" t="s">
        <v>21</v>
      </c>
      <c r="D43" s="50" t="s">
        <v>22</v>
      </c>
      <c r="E43" s="50" t="s">
        <v>42</v>
      </c>
      <c r="F43" s="50" t="s">
        <v>61</v>
      </c>
      <c r="G43" s="51">
        <f>2967.7095+'Hoja 1'!L131</f>
        <v>7247.5095</v>
      </c>
      <c r="H43" s="52" t="s">
        <v>28</v>
      </c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</row>
    <row r="44" ht="15.75" hidden="1" customHeight="1">
      <c r="A44" s="50" t="s">
        <v>19</v>
      </c>
      <c r="B44" s="50" t="s">
        <v>62</v>
      </c>
      <c r="C44" s="50" t="s">
        <v>21</v>
      </c>
      <c r="D44" s="50" t="s">
        <v>22</v>
      </c>
      <c r="E44" s="50" t="s">
        <v>63</v>
      </c>
      <c r="F44" s="50" t="s">
        <v>64</v>
      </c>
      <c r="G44" s="50">
        <v>16006.678947</v>
      </c>
      <c r="H44" s="50" t="s">
        <v>26</v>
      </c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</row>
    <row r="45" ht="15.75" hidden="1" customHeight="1">
      <c r="A45" s="50" t="s">
        <v>19</v>
      </c>
      <c r="B45" s="50" t="s">
        <v>62</v>
      </c>
      <c r="C45" s="50" t="s">
        <v>21</v>
      </c>
      <c r="D45" s="50" t="s">
        <v>22</v>
      </c>
      <c r="E45" s="50" t="s">
        <v>63</v>
      </c>
      <c r="F45" s="50" t="s">
        <v>64</v>
      </c>
      <c r="G45" s="50">
        <v>15686.20395</v>
      </c>
      <c r="H45" s="50" t="s">
        <v>27</v>
      </c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</row>
    <row r="46" ht="15.75" hidden="1" customHeight="1">
      <c r="A46" s="50" t="s">
        <v>19</v>
      </c>
      <c r="B46" s="50" t="s">
        <v>62</v>
      </c>
      <c r="C46" s="50" t="s">
        <v>21</v>
      </c>
      <c r="D46" s="50" t="s">
        <v>22</v>
      </c>
      <c r="E46" s="50" t="s">
        <v>63</v>
      </c>
      <c r="F46" s="50" t="s">
        <v>64</v>
      </c>
      <c r="G46" s="50">
        <v>15964.552952</v>
      </c>
      <c r="H46" s="50" t="s">
        <v>25</v>
      </c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</row>
    <row r="47" ht="15.75" hidden="1" customHeight="1">
      <c r="A47" s="50" t="s">
        <v>19</v>
      </c>
      <c r="B47" s="50" t="s">
        <v>65</v>
      </c>
      <c r="C47" s="50" t="s">
        <v>21</v>
      </c>
      <c r="D47" s="50" t="s">
        <v>22</v>
      </c>
      <c r="E47" s="50" t="s">
        <v>23</v>
      </c>
      <c r="F47" s="50" t="s">
        <v>66</v>
      </c>
      <c r="G47" s="50">
        <v>14885.846693</v>
      </c>
      <c r="H47" s="50" t="s">
        <v>25</v>
      </c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</row>
    <row r="48" ht="15.75" hidden="1" customHeight="1">
      <c r="A48" s="50" t="s">
        <v>19</v>
      </c>
      <c r="B48" s="50" t="s">
        <v>65</v>
      </c>
      <c r="C48" s="50" t="s">
        <v>21</v>
      </c>
      <c r="D48" s="50" t="s">
        <v>22</v>
      </c>
      <c r="E48" s="50" t="s">
        <v>23</v>
      </c>
      <c r="F48" s="50" t="s">
        <v>66</v>
      </c>
      <c r="G48" s="50">
        <v>17068.442615</v>
      </c>
      <c r="H48" s="50" t="s">
        <v>26</v>
      </c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</row>
    <row r="49" ht="15.75" hidden="1" customHeight="1">
      <c r="A49" s="50" t="s">
        <v>19</v>
      </c>
      <c r="B49" s="50" t="s">
        <v>65</v>
      </c>
      <c r="C49" s="50" t="s">
        <v>21</v>
      </c>
      <c r="D49" s="50" t="s">
        <v>22</v>
      </c>
      <c r="E49" s="50" t="s">
        <v>23</v>
      </c>
      <c r="F49" s="50" t="s">
        <v>66</v>
      </c>
      <c r="G49" s="50">
        <v>16766.51173</v>
      </c>
      <c r="H49" s="50" t="s">
        <v>27</v>
      </c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</row>
    <row r="50" ht="15.75" hidden="1" customHeight="1">
      <c r="A50" s="50" t="s">
        <v>19</v>
      </c>
      <c r="B50" s="54" t="s">
        <v>67</v>
      </c>
      <c r="C50" s="55" t="s">
        <v>68</v>
      </c>
      <c r="D50" s="52" t="s">
        <v>69</v>
      </c>
      <c r="E50" s="49"/>
      <c r="F50" s="54" t="s">
        <v>67</v>
      </c>
      <c r="G50" s="51">
        <f>'Hoja 1'!C4+'Hoja 1'!I4 + 131250</f>
        <v>143227.36</v>
      </c>
      <c r="H50" s="50" t="s">
        <v>25</v>
      </c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</row>
    <row r="51" ht="15.75" hidden="1" customHeight="1">
      <c r="A51" s="50" t="s">
        <v>19</v>
      </c>
      <c r="B51" s="54" t="s">
        <v>67</v>
      </c>
      <c r="C51" s="55" t="s">
        <v>68</v>
      </c>
      <c r="D51" s="52" t="s">
        <v>69</v>
      </c>
      <c r="E51" s="49"/>
      <c r="F51" s="54" t="s">
        <v>67</v>
      </c>
      <c r="G51" s="51">
        <f>'Hoja 1'!C19+'Hoja 1'!I20 + 131250</f>
        <v>143228.86</v>
      </c>
      <c r="H51" s="52" t="s">
        <v>27</v>
      </c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</row>
    <row r="52" ht="15.75" hidden="1" customHeight="1">
      <c r="A52" s="50" t="s">
        <v>19</v>
      </c>
      <c r="B52" s="54" t="s">
        <v>67</v>
      </c>
      <c r="C52" s="55" t="s">
        <v>68</v>
      </c>
      <c r="D52" s="52" t="s">
        <v>69</v>
      </c>
      <c r="E52" s="49"/>
      <c r="F52" s="54" t="s">
        <v>67</v>
      </c>
      <c r="G52" s="51">
        <f>'Hoja 1'!C45+'Hoja 1'!I43 + 131250</f>
        <v>143228.86</v>
      </c>
      <c r="H52" s="52" t="s">
        <v>26</v>
      </c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</row>
    <row r="53" ht="15.75" hidden="1" customHeight="1">
      <c r="A53" s="50" t="s">
        <v>19</v>
      </c>
      <c r="B53" s="54" t="s">
        <v>67</v>
      </c>
      <c r="C53" s="55" t="s">
        <v>68</v>
      </c>
      <c r="D53" s="52" t="s">
        <v>69</v>
      </c>
      <c r="E53" s="49"/>
      <c r="F53" s="54" t="s">
        <v>67</v>
      </c>
      <c r="G53" s="51">
        <f>'Hoja 1'!C97+'Hoja 1'!I97 + 131250</f>
        <v>143228.86</v>
      </c>
      <c r="H53" s="52" t="s">
        <v>28</v>
      </c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</row>
    <row r="54" ht="15.75" hidden="1" customHeight="1">
      <c r="A54" s="50" t="s">
        <v>19</v>
      </c>
      <c r="B54" s="56" t="s">
        <v>70</v>
      </c>
      <c r="C54" s="52" t="s">
        <v>21</v>
      </c>
      <c r="D54" s="52" t="s">
        <v>22</v>
      </c>
      <c r="E54" s="49"/>
      <c r="F54" s="56" t="s">
        <v>70</v>
      </c>
      <c r="G54" s="51">
        <f>'Hoja 1'!C5+'Hoja 1'!I5</f>
        <v>20127.76</v>
      </c>
      <c r="H54" s="50" t="s">
        <v>25</v>
      </c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</row>
    <row r="55" ht="15.75" hidden="1" customHeight="1">
      <c r="A55" s="50" t="s">
        <v>19</v>
      </c>
      <c r="B55" s="57" t="s">
        <v>71</v>
      </c>
      <c r="C55" s="52" t="s">
        <v>68</v>
      </c>
      <c r="D55" s="52" t="s">
        <v>72</v>
      </c>
      <c r="E55" s="49"/>
      <c r="F55" s="54" t="s">
        <v>73</v>
      </c>
      <c r="G55" s="58">
        <f>'Hoja 1'!C6+'Hoja 1'!I6</f>
        <v>12999.9</v>
      </c>
      <c r="H55" s="50" t="s">
        <v>25</v>
      </c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</row>
    <row r="56" ht="15.75" hidden="1" customHeight="1">
      <c r="A56" s="50" t="s">
        <v>19</v>
      </c>
      <c r="B56" s="57" t="s">
        <v>71</v>
      </c>
      <c r="C56" s="52" t="s">
        <v>68</v>
      </c>
      <c r="D56" s="52" t="s">
        <v>72</v>
      </c>
      <c r="E56" s="49"/>
      <c r="F56" s="54" t="s">
        <v>73</v>
      </c>
      <c r="G56" s="51">
        <f>'Hoja 1'!C21+'Hoja 1'!I22</f>
        <v>12999.9</v>
      </c>
      <c r="H56" s="52" t="s">
        <v>27</v>
      </c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</row>
    <row r="57" ht="15.75" hidden="1" customHeight="1">
      <c r="A57" s="50" t="s">
        <v>19</v>
      </c>
      <c r="B57" s="57" t="s">
        <v>71</v>
      </c>
      <c r="C57" s="52" t="s">
        <v>68</v>
      </c>
      <c r="D57" s="52" t="s">
        <v>72</v>
      </c>
      <c r="E57" s="49"/>
      <c r="F57" s="54" t="s">
        <v>73</v>
      </c>
      <c r="G57" s="51">
        <f>'Hoja 1'!C47+'Hoja 1'!I45</f>
        <v>12999.9</v>
      </c>
      <c r="H57" s="52" t="s">
        <v>26</v>
      </c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</row>
    <row r="58" ht="15.75" hidden="1" customHeight="1">
      <c r="A58" s="50" t="s">
        <v>19</v>
      </c>
      <c r="B58" s="57" t="s">
        <v>71</v>
      </c>
      <c r="C58" s="52" t="s">
        <v>68</v>
      </c>
      <c r="D58" s="52" t="s">
        <v>72</v>
      </c>
      <c r="E58" s="49"/>
      <c r="F58" s="54" t="s">
        <v>73</v>
      </c>
      <c r="G58" s="51">
        <v>12999.9</v>
      </c>
      <c r="H58" s="52" t="s">
        <v>28</v>
      </c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</row>
    <row r="59" ht="15.75" hidden="1" customHeight="1">
      <c r="A59" s="50" t="s">
        <v>19</v>
      </c>
      <c r="B59" s="57" t="s">
        <v>71</v>
      </c>
      <c r="C59" s="52" t="s">
        <v>68</v>
      </c>
      <c r="D59" s="52" t="s">
        <v>72</v>
      </c>
      <c r="E59" s="49"/>
      <c r="F59" s="54" t="s">
        <v>74</v>
      </c>
      <c r="G59" s="51">
        <f>'Hoja 1'!C8+'Hoja 1'!I8</f>
        <v>12999.9</v>
      </c>
      <c r="H59" s="50" t="s">
        <v>25</v>
      </c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</row>
    <row r="60" ht="15.75" hidden="1" customHeight="1">
      <c r="A60" s="50" t="s">
        <v>19</v>
      </c>
      <c r="B60" s="57" t="s">
        <v>71</v>
      </c>
      <c r="C60" s="52" t="s">
        <v>68</v>
      </c>
      <c r="D60" s="52" t="s">
        <v>72</v>
      </c>
      <c r="E60" s="49"/>
      <c r="F60" s="54" t="s">
        <v>74</v>
      </c>
      <c r="G60" s="51">
        <v>12999.9</v>
      </c>
      <c r="H60" s="52" t="s">
        <v>27</v>
      </c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</row>
    <row r="61" ht="15.75" hidden="1" customHeight="1">
      <c r="A61" s="50" t="s">
        <v>19</v>
      </c>
      <c r="B61" s="57" t="s">
        <v>71</v>
      </c>
      <c r="C61" s="52" t="s">
        <v>68</v>
      </c>
      <c r="D61" s="52" t="s">
        <v>72</v>
      </c>
      <c r="E61" s="49"/>
      <c r="F61" s="54" t="s">
        <v>74</v>
      </c>
      <c r="G61" s="51">
        <v>12999.9</v>
      </c>
      <c r="H61" s="52" t="s">
        <v>26</v>
      </c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</row>
    <row r="62" ht="15.75" hidden="1" customHeight="1">
      <c r="A62" s="50" t="s">
        <v>19</v>
      </c>
      <c r="B62" s="57" t="s">
        <v>71</v>
      </c>
      <c r="C62" s="52" t="s">
        <v>68</v>
      </c>
      <c r="D62" s="52" t="s">
        <v>72</v>
      </c>
      <c r="E62" s="49"/>
      <c r="F62" s="54" t="s">
        <v>74</v>
      </c>
      <c r="G62" s="51">
        <v>12999.9</v>
      </c>
      <c r="H62" s="52" t="s">
        <v>28</v>
      </c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</row>
    <row r="63" ht="15.75" hidden="1" customHeight="1">
      <c r="A63" s="50" t="s">
        <v>19</v>
      </c>
      <c r="B63" s="54" t="s">
        <v>75</v>
      </c>
      <c r="C63" s="52" t="s">
        <v>32</v>
      </c>
      <c r="D63" s="52" t="s">
        <v>48</v>
      </c>
      <c r="E63" s="49"/>
      <c r="F63" s="54" t="s">
        <v>75</v>
      </c>
      <c r="G63" s="51">
        <f>'Hoja 1'!C11+'Hoja 1'!I11</f>
        <v>16219.1</v>
      </c>
      <c r="H63" s="50" t="s">
        <v>25</v>
      </c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</row>
    <row r="64" ht="15.75" hidden="1" customHeight="1">
      <c r="A64" s="50" t="s">
        <v>19</v>
      </c>
      <c r="B64" s="54" t="s">
        <v>75</v>
      </c>
      <c r="C64" s="52" t="s">
        <v>32</v>
      </c>
      <c r="D64" s="52" t="s">
        <v>48</v>
      </c>
      <c r="E64" s="49"/>
      <c r="F64" s="54" t="s">
        <v>75</v>
      </c>
      <c r="G64" s="51">
        <f>'Hoja 1'!C26+'Hoja 1'!I27</f>
        <v>22000.14</v>
      </c>
      <c r="H64" s="52" t="s">
        <v>27</v>
      </c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</row>
    <row r="65" ht="15.75" hidden="1" customHeight="1">
      <c r="A65" s="50" t="s">
        <v>19</v>
      </c>
      <c r="B65" s="54" t="s">
        <v>75</v>
      </c>
      <c r="C65" s="52" t="s">
        <v>32</v>
      </c>
      <c r="D65" s="52" t="s">
        <v>48</v>
      </c>
      <c r="E65" s="49"/>
      <c r="F65" s="54" t="s">
        <v>75</v>
      </c>
      <c r="G65" s="51">
        <f>'Hoja 1'!C52+'Hoja 1'!I50</f>
        <v>22000.14</v>
      </c>
      <c r="H65" s="52" t="s">
        <v>26</v>
      </c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</row>
    <row r="66" ht="15.75" hidden="1" customHeight="1">
      <c r="A66" s="50" t="s">
        <v>19</v>
      </c>
      <c r="B66" s="54" t="s">
        <v>75</v>
      </c>
      <c r="C66" s="52" t="s">
        <v>32</v>
      </c>
      <c r="D66" s="52" t="s">
        <v>48</v>
      </c>
      <c r="E66" s="49"/>
      <c r="F66" s="54" t="s">
        <v>75</v>
      </c>
      <c r="G66" s="51">
        <f>'Hoja 1'!C104+'Hoja 1'!I104</f>
        <v>22000.14</v>
      </c>
      <c r="H66" s="52" t="s">
        <v>28</v>
      </c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</row>
    <row r="67" ht="15.75" hidden="1" customHeight="1">
      <c r="A67" s="50" t="s">
        <v>19</v>
      </c>
      <c r="B67" s="56" t="s">
        <v>76</v>
      </c>
      <c r="C67" s="52" t="s">
        <v>21</v>
      </c>
      <c r="D67" s="52" t="s">
        <v>22</v>
      </c>
      <c r="E67" s="49"/>
      <c r="F67" s="56" t="s">
        <v>76</v>
      </c>
      <c r="G67" s="51">
        <f>'Hoja 1'!C12+'Hoja 1'!I12</f>
        <v>5192.95</v>
      </c>
      <c r="H67" s="50" t="s">
        <v>25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</row>
    <row r="68" ht="15.75" hidden="1" customHeight="1">
      <c r="A68" s="50" t="s">
        <v>19</v>
      </c>
      <c r="B68" s="56" t="s">
        <v>76</v>
      </c>
      <c r="C68" s="52" t="s">
        <v>21</v>
      </c>
      <c r="D68" s="52" t="s">
        <v>22</v>
      </c>
      <c r="E68" s="49"/>
      <c r="F68" s="56" t="s">
        <v>76</v>
      </c>
      <c r="G68" s="51">
        <f>'Hoja 1'!C27+'Hoja 1'!I28</f>
        <v>12182.49</v>
      </c>
      <c r="H68" s="52" t="s">
        <v>27</v>
      </c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</row>
    <row r="69" ht="15.75" hidden="1" customHeight="1">
      <c r="A69" s="50" t="s">
        <v>19</v>
      </c>
      <c r="B69" s="56" t="s">
        <v>76</v>
      </c>
      <c r="C69" s="52" t="s">
        <v>21</v>
      </c>
      <c r="D69" s="52" t="s">
        <v>22</v>
      </c>
      <c r="E69" s="49"/>
      <c r="F69" s="56" t="s">
        <v>76</v>
      </c>
      <c r="G69" s="51">
        <f>'Hoja 1'!C53+'Hoja 1'!I51</f>
        <v>13977.58</v>
      </c>
      <c r="H69" s="52" t="s">
        <v>26</v>
      </c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</row>
    <row r="70" ht="15.75" hidden="1" customHeight="1">
      <c r="A70" s="50" t="s">
        <v>19</v>
      </c>
      <c r="B70" s="56" t="s">
        <v>76</v>
      </c>
      <c r="C70" s="52" t="s">
        <v>21</v>
      </c>
      <c r="D70" s="52" t="s">
        <v>22</v>
      </c>
      <c r="E70" s="49"/>
      <c r="F70" s="56" t="s">
        <v>76</v>
      </c>
      <c r="G70" s="51">
        <f>'Hoja 1'!C105+'Hoja 1'!I105</f>
        <v>13977.58</v>
      </c>
      <c r="H70" s="52" t="s">
        <v>28</v>
      </c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</row>
    <row r="71" ht="15.75" hidden="1" customHeight="1">
      <c r="A71" s="50" t="s">
        <v>19</v>
      </c>
      <c r="B71" s="50" t="s">
        <v>77</v>
      </c>
      <c r="C71" s="50" t="s">
        <v>32</v>
      </c>
      <c r="D71" s="50" t="s">
        <v>78</v>
      </c>
      <c r="E71" s="49"/>
      <c r="F71" s="50" t="s">
        <v>79</v>
      </c>
      <c r="G71" s="50">
        <v>30450.0</v>
      </c>
      <c r="H71" s="50" t="s">
        <v>25</v>
      </c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</row>
    <row r="72" ht="15.75" hidden="1" customHeight="1">
      <c r="A72" s="50" t="s">
        <v>19</v>
      </c>
      <c r="B72" s="50" t="s">
        <v>77</v>
      </c>
      <c r="C72" s="50" t="s">
        <v>32</v>
      </c>
      <c r="D72" s="50" t="s">
        <v>78</v>
      </c>
      <c r="E72" s="49"/>
      <c r="F72" s="50" t="s">
        <v>79</v>
      </c>
      <c r="G72" s="50">
        <v>30450.0</v>
      </c>
      <c r="H72" s="50" t="s">
        <v>26</v>
      </c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</row>
    <row r="73" ht="15.75" hidden="1" customHeight="1">
      <c r="A73" s="50" t="s">
        <v>19</v>
      </c>
      <c r="B73" s="50" t="s">
        <v>77</v>
      </c>
      <c r="C73" s="50" t="s">
        <v>32</v>
      </c>
      <c r="D73" s="50" t="s">
        <v>78</v>
      </c>
      <c r="E73" s="49"/>
      <c r="F73" s="50" t="s">
        <v>79</v>
      </c>
      <c r="G73" s="50">
        <v>30450.0</v>
      </c>
      <c r="H73" s="50" t="s">
        <v>27</v>
      </c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</row>
    <row r="74" ht="15.75" hidden="1" customHeight="1">
      <c r="A74" s="50" t="s">
        <v>19</v>
      </c>
      <c r="B74" s="50" t="s">
        <v>80</v>
      </c>
      <c r="C74" s="50" t="s">
        <v>32</v>
      </c>
      <c r="D74" s="50" t="s">
        <v>56</v>
      </c>
      <c r="E74" s="49"/>
      <c r="F74" s="50" t="s">
        <v>81</v>
      </c>
      <c r="G74" s="50">
        <v>23583.237293</v>
      </c>
      <c r="H74" s="50" t="s">
        <v>26</v>
      </c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</row>
    <row r="75" ht="15.75" hidden="1" customHeight="1">
      <c r="A75" s="50" t="s">
        <v>19</v>
      </c>
      <c r="B75" s="50" t="s">
        <v>80</v>
      </c>
      <c r="C75" s="50" t="s">
        <v>32</v>
      </c>
      <c r="D75" s="50" t="s">
        <v>56</v>
      </c>
      <c r="E75" s="49"/>
      <c r="F75" s="50" t="s">
        <v>81</v>
      </c>
      <c r="G75" s="50">
        <v>13045.633175</v>
      </c>
      <c r="H75" s="50" t="s">
        <v>27</v>
      </c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</row>
    <row r="76" ht="15.75" hidden="1" customHeight="1">
      <c r="A76" s="50" t="s">
        <v>19</v>
      </c>
      <c r="B76" s="50" t="s">
        <v>80</v>
      </c>
      <c r="C76" s="50" t="s">
        <v>32</v>
      </c>
      <c r="D76" s="50" t="s">
        <v>56</v>
      </c>
      <c r="E76" s="49"/>
      <c r="F76" s="50" t="s">
        <v>81</v>
      </c>
      <c r="G76" s="50">
        <v>13291.944052</v>
      </c>
      <c r="H76" s="50" t="s">
        <v>25</v>
      </c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</row>
    <row r="77" ht="15.75" hidden="1" customHeight="1">
      <c r="A77" s="50" t="s">
        <v>19</v>
      </c>
      <c r="B77" s="50" t="s">
        <v>82</v>
      </c>
      <c r="C77" s="50" t="s">
        <v>21</v>
      </c>
      <c r="D77" s="50" t="s">
        <v>56</v>
      </c>
      <c r="E77" s="49"/>
      <c r="F77" s="50" t="s">
        <v>83</v>
      </c>
      <c r="G77" s="50">
        <v>16300.94857</v>
      </c>
      <c r="H77" s="50" t="s">
        <v>27</v>
      </c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</row>
    <row r="78" ht="15.75" hidden="1" customHeight="1">
      <c r="A78" s="50" t="s">
        <v>19</v>
      </c>
      <c r="B78" s="50" t="s">
        <v>82</v>
      </c>
      <c r="C78" s="50" t="s">
        <v>21</v>
      </c>
      <c r="D78" s="50" t="s">
        <v>56</v>
      </c>
      <c r="E78" s="49"/>
      <c r="F78" s="50" t="s">
        <v>83</v>
      </c>
      <c r="G78" s="50">
        <v>16669.545683</v>
      </c>
      <c r="H78" s="50" t="s">
        <v>25</v>
      </c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</row>
    <row r="79" ht="15.75" hidden="1" customHeight="1">
      <c r="A79" s="50" t="s">
        <v>19</v>
      </c>
      <c r="B79" s="50" t="s">
        <v>82</v>
      </c>
      <c r="C79" s="50" t="s">
        <v>21</v>
      </c>
      <c r="D79" s="50" t="s">
        <v>56</v>
      </c>
      <c r="E79" s="49"/>
      <c r="F79" s="50" t="s">
        <v>83</v>
      </c>
      <c r="G79" s="50">
        <v>16518.122589</v>
      </c>
      <c r="H79" s="50" t="s">
        <v>26</v>
      </c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</row>
    <row r="80" ht="15.75" hidden="1" customHeight="1">
      <c r="A80" s="50" t="s">
        <v>19</v>
      </c>
      <c r="B80" s="50" t="s">
        <v>84</v>
      </c>
      <c r="C80" s="50" t="s">
        <v>32</v>
      </c>
      <c r="D80" s="50" t="s">
        <v>48</v>
      </c>
      <c r="E80" s="49"/>
      <c r="F80" s="50" t="s">
        <v>85</v>
      </c>
      <c r="G80" s="50">
        <v>18843.097092</v>
      </c>
      <c r="H80" s="50" t="s">
        <v>27</v>
      </c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</row>
    <row r="81" ht="15.75" hidden="1" customHeight="1">
      <c r="A81" s="50" t="s">
        <v>19</v>
      </c>
      <c r="B81" s="50" t="s">
        <v>84</v>
      </c>
      <c r="C81" s="50" t="s">
        <v>32</v>
      </c>
      <c r="D81" s="50" t="s">
        <v>48</v>
      </c>
      <c r="E81" s="49"/>
      <c r="F81" s="50" t="s">
        <v>85</v>
      </c>
      <c r="G81" s="50">
        <v>15931.39405</v>
      </c>
      <c r="H81" s="50" t="s">
        <v>25</v>
      </c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</row>
    <row r="82" ht="15.75" hidden="1" customHeight="1">
      <c r="A82" s="50" t="s">
        <v>19</v>
      </c>
      <c r="B82" s="50" t="s">
        <v>84</v>
      </c>
      <c r="C82" s="50" t="s">
        <v>32</v>
      </c>
      <c r="D82" s="50" t="s">
        <v>48</v>
      </c>
      <c r="E82" s="49"/>
      <c r="F82" s="50" t="s">
        <v>85</v>
      </c>
      <c r="G82" s="50">
        <v>19074.754614</v>
      </c>
      <c r="H82" s="50" t="s">
        <v>26</v>
      </c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</row>
    <row r="83" ht="15.75" hidden="1" customHeight="1">
      <c r="A83" s="50" t="s">
        <v>19</v>
      </c>
      <c r="B83" s="50" t="s">
        <v>86</v>
      </c>
      <c r="C83" s="50" t="s">
        <v>32</v>
      </c>
      <c r="D83" s="50" t="s">
        <v>39</v>
      </c>
      <c r="E83" s="49"/>
      <c r="F83" s="50" t="s">
        <v>87</v>
      </c>
      <c r="G83" s="50">
        <v>14165.15378</v>
      </c>
      <c r="H83" s="50" t="s">
        <v>27</v>
      </c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</row>
    <row r="84" ht="15.75" hidden="1" customHeight="1">
      <c r="A84" s="50" t="s">
        <v>19</v>
      </c>
      <c r="B84" s="50" t="s">
        <v>86</v>
      </c>
      <c r="C84" s="50" t="s">
        <v>32</v>
      </c>
      <c r="D84" s="50" t="s">
        <v>39</v>
      </c>
      <c r="E84" s="49"/>
      <c r="F84" s="50" t="s">
        <v>87</v>
      </c>
      <c r="G84" s="50">
        <v>14432.174718</v>
      </c>
      <c r="H84" s="50" t="s">
        <v>25</v>
      </c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</row>
    <row r="85" ht="15.75" hidden="1" customHeight="1">
      <c r="A85" s="50" t="s">
        <v>19</v>
      </c>
      <c r="B85" s="50" t="s">
        <v>86</v>
      </c>
      <c r="C85" s="50" t="s">
        <v>32</v>
      </c>
      <c r="D85" s="50" t="s">
        <v>39</v>
      </c>
      <c r="E85" s="49"/>
      <c r="F85" s="50" t="s">
        <v>87</v>
      </c>
      <c r="G85" s="50">
        <v>14418.282958</v>
      </c>
      <c r="H85" s="50" t="s">
        <v>26</v>
      </c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</row>
    <row r="86" ht="15.75" hidden="1" customHeight="1">
      <c r="A86" s="50" t="s">
        <v>19</v>
      </c>
      <c r="B86" s="50" t="s">
        <v>88</v>
      </c>
      <c r="C86" s="50" t="s">
        <v>21</v>
      </c>
      <c r="D86" s="50" t="s">
        <v>22</v>
      </c>
      <c r="E86" s="50" t="s">
        <v>45</v>
      </c>
      <c r="F86" s="50" t="s">
        <v>89</v>
      </c>
      <c r="G86" s="50">
        <v>15633.097092</v>
      </c>
      <c r="H86" s="50" t="s">
        <v>27</v>
      </c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</row>
    <row r="87" ht="15.75" hidden="1" customHeight="1">
      <c r="A87" s="50" t="s">
        <v>19</v>
      </c>
      <c r="B87" s="50" t="s">
        <v>88</v>
      </c>
      <c r="C87" s="50" t="s">
        <v>21</v>
      </c>
      <c r="D87" s="50" t="s">
        <v>22</v>
      </c>
      <c r="E87" s="50" t="s">
        <v>45</v>
      </c>
      <c r="F87" s="50" t="s">
        <v>89</v>
      </c>
      <c r="G87" s="50">
        <v>3181.752788</v>
      </c>
      <c r="H87" s="50" t="s">
        <v>25</v>
      </c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</row>
    <row r="88" ht="15.75" hidden="1" customHeight="1">
      <c r="A88" s="50" t="s">
        <v>19</v>
      </c>
      <c r="B88" s="50" t="s">
        <v>88</v>
      </c>
      <c r="C88" s="50" t="s">
        <v>21</v>
      </c>
      <c r="D88" s="50" t="s">
        <v>22</v>
      </c>
      <c r="E88" s="50" t="s">
        <v>45</v>
      </c>
      <c r="F88" s="50" t="s">
        <v>89</v>
      </c>
      <c r="G88" s="50">
        <v>15924.754614</v>
      </c>
      <c r="H88" s="50" t="s">
        <v>26</v>
      </c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</row>
    <row r="89" ht="15.75" hidden="1" customHeight="1">
      <c r="A89" s="50" t="s">
        <v>19</v>
      </c>
      <c r="B89" s="50" t="s">
        <v>90</v>
      </c>
      <c r="C89" s="50" t="s">
        <v>21</v>
      </c>
      <c r="D89" s="50" t="s">
        <v>22</v>
      </c>
      <c r="E89" s="50" t="s">
        <v>45</v>
      </c>
      <c r="F89" s="50" t="s">
        <v>91</v>
      </c>
      <c r="G89" s="50">
        <v>17051.678181</v>
      </c>
      <c r="H89" s="50" t="s">
        <v>25</v>
      </c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</row>
    <row r="90" ht="15.75" hidden="1" customHeight="1">
      <c r="A90" s="50" t="s">
        <v>19</v>
      </c>
      <c r="B90" s="50" t="s">
        <v>90</v>
      </c>
      <c r="C90" s="50" t="s">
        <v>21</v>
      </c>
      <c r="D90" s="50" t="s">
        <v>22</v>
      </c>
      <c r="E90" s="50" t="s">
        <v>45</v>
      </c>
      <c r="F90" s="50" t="s">
        <v>91</v>
      </c>
      <c r="G90" s="50">
        <v>8493.071037</v>
      </c>
      <c r="H90" s="50" t="s">
        <v>27</v>
      </c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</row>
    <row r="91" ht="15.75" hidden="1" customHeight="1">
      <c r="A91" s="50" t="s">
        <v>19</v>
      </c>
      <c r="B91" s="50" t="s">
        <v>92</v>
      </c>
      <c r="C91" s="50" t="s">
        <v>21</v>
      </c>
      <c r="D91" s="50" t="s">
        <v>22</v>
      </c>
      <c r="E91" s="50" t="s">
        <v>93</v>
      </c>
      <c r="F91" s="50" t="s">
        <v>94</v>
      </c>
      <c r="G91" s="50">
        <v>14652.097092</v>
      </c>
      <c r="H91" s="50" t="s">
        <v>27</v>
      </c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</row>
    <row r="92" ht="15.75" hidden="1" customHeight="1">
      <c r="A92" s="50" t="s">
        <v>19</v>
      </c>
      <c r="B92" s="50" t="s">
        <v>92</v>
      </c>
      <c r="C92" s="50" t="s">
        <v>21</v>
      </c>
      <c r="D92" s="50" t="s">
        <v>22</v>
      </c>
      <c r="E92" s="50" t="s">
        <v>93</v>
      </c>
      <c r="F92" s="50" t="s">
        <v>94</v>
      </c>
      <c r="G92" s="50">
        <v>13969.39405</v>
      </c>
      <c r="H92" s="50" t="s">
        <v>25</v>
      </c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</row>
    <row r="93" ht="15.75" hidden="1" customHeight="1">
      <c r="A93" s="50" t="s">
        <v>19</v>
      </c>
      <c r="B93" s="50" t="s">
        <v>92</v>
      </c>
      <c r="C93" s="50" t="s">
        <v>21</v>
      </c>
      <c r="D93" s="50" t="s">
        <v>22</v>
      </c>
      <c r="E93" s="50" t="s">
        <v>93</v>
      </c>
      <c r="F93" s="50" t="s">
        <v>94</v>
      </c>
      <c r="G93" s="50">
        <v>15924.754614</v>
      </c>
      <c r="H93" s="50" t="s">
        <v>26</v>
      </c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</row>
    <row r="94" ht="15.75" hidden="1" customHeight="1">
      <c r="A94" s="50" t="s">
        <v>19</v>
      </c>
      <c r="B94" s="50" t="s">
        <v>95</v>
      </c>
      <c r="C94" s="50" t="s">
        <v>68</v>
      </c>
      <c r="D94" s="50" t="s">
        <v>56</v>
      </c>
      <c r="E94" s="49"/>
      <c r="F94" s="50" t="s">
        <v>96</v>
      </c>
      <c r="G94" s="50">
        <v>17571.832089</v>
      </c>
      <c r="H94" s="50" t="s">
        <v>26</v>
      </c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</row>
    <row r="95" ht="15.75" hidden="1" customHeight="1">
      <c r="A95" s="50" t="s">
        <v>19</v>
      </c>
      <c r="B95" s="50" t="s">
        <v>95</v>
      </c>
      <c r="C95" s="50" t="s">
        <v>68</v>
      </c>
      <c r="D95" s="50" t="s">
        <v>56</v>
      </c>
      <c r="E95" s="49"/>
      <c r="F95" s="50" t="s">
        <v>96</v>
      </c>
      <c r="G95" s="50">
        <v>17355.964058</v>
      </c>
      <c r="H95" s="50" t="s">
        <v>27</v>
      </c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</row>
    <row r="96" ht="15.75" hidden="1" customHeight="1">
      <c r="A96" s="50" t="s">
        <v>19</v>
      </c>
      <c r="B96" s="50" t="s">
        <v>95</v>
      </c>
      <c r="C96" s="50" t="s">
        <v>68</v>
      </c>
      <c r="D96" s="50" t="s">
        <v>56</v>
      </c>
      <c r="E96" s="49"/>
      <c r="F96" s="50" t="s">
        <v>96</v>
      </c>
      <c r="G96" s="50">
        <v>17763.364907</v>
      </c>
      <c r="H96" s="50" t="s">
        <v>25</v>
      </c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</row>
    <row r="97" ht="15.75" hidden="1" customHeight="1">
      <c r="A97" s="50" t="s">
        <v>19</v>
      </c>
      <c r="B97" s="50" t="s">
        <v>97</v>
      </c>
      <c r="C97" s="50" t="s">
        <v>21</v>
      </c>
      <c r="D97" s="50" t="s">
        <v>22</v>
      </c>
      <c r="E97" s="50" t="s">
        <v>98</v>
      </c>
      <c r="F97" s="50" t="s">
        <v>99</v>
      </c>
      <c r="G97" s="50">
        <v>26433.84557</v>
      </c>
      <c r="H97" s="50" t="s">
        <v>26</v>
      </c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</row>
    <row r="98" ht="15.75" hidden="1" customHeight="1">
      <c r="A98" s="50" t="s">
        <v>19</v>
      </c>
      <c r="B98" s="50" t="s">
        <v>97</v>
      </c>
      <c r="C98" s="50" t="s">
        <v>21</v>
      </c>
      <c r="D98" s="50" t="s">
        <v>22</v>
      </c>
      <c r="E98" s="50" t="s">
        <v>98</v>
      </c>
      <c r="F98" s="50" t="s">
        <v>99</v>
      </c>
      <c r="G98" s="50">
        <v>18888.877198</v>
      </c>
      <c r="H98" s="50" t="s">
        <v>27</v>
      </c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</row>
    <row r="99" ht="15.75" hidden="1" customHeight="1">
      <c r="A99" s="50" t="s">
        <v>19</v>
      </c>
      <c r="B99" s="50" t="s">
        <v>97</v>
      </c>
      <c r="C99" s="50" t="s">
        <v>21</v>
      </c>
      <c r="D99" s="50" t="s">
        <v>22</v>
      </c>
      <c r="E99" s="50" t="s">
        <v>98</v>
      </c>
      <c r="F99" s="50" t="s">
        <v>99</v>
      </c>
      <c r="G99" s="50">
        <v>20299.69469</v>
      </c>
      <c r="H99" s="50" t="s">
        <v>25</v>
      </c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</row>
    <row r="100" ht="15.75" hidden="1" customHeight="1">
      <c r="A100" s="50" t="s">
        <v>19</v>
      </c>
      <c r="B100" s="50" t="s">
        <v>100</v>
      </c>
      <c r="C100" s="50" t="s">
        <v>21</v>
      </c>
      <c r="D100" s="50" t="s">
        <v>22</v>
      </c>
      <c r="E100" s="49"/>
      <c r="F100" s="50" t="s">
        <v>101</v>
      </c>
      <c r="G100" s="50">
        <v>16929.069051</v>
      </c>
      <c r="H100" s="50" t="s">
        <v>26</v>
      </c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</row>
    <row r="101" ht="15.75" hidden="1" customHeight="1">
      <c r="A101" s="50" t="s">
        <v>19</v>
      </c>
      <c r="B101" s="50" t="s">
        <v>100</v>
      </c>
      <c r="C101" s="50" t="s">
        <v>21</v>
      </c>
      <c r="D101" s="50" t="s">
        <v>22</v>
      </c>
      <c r="E101" s="49"/>
      <c r="F101" s="50" t="s">
        <v>101</v>
      </c>
      <c r="G101" s="50">
        <v>4494.62529</v>
      </c>
      <c r="H101" s="50" t="s">
        <v>27</v>
      </c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</row>
    <row r="102" ht="15.75" hidden="1" customHeight="1">
      <c r="A102" s="50" t="s">
        <v>19</v>
      </c>
      <c r="B102" s="50" t="s">
        <v>102</v>
      </c>
      <c r="C102" s="50" t="s">
        <v>32</v>
      </c>
      <c r="D102" s="50" t="s">
        <v>103</v>
      </c>
      <c r="E102" s="49"/>
      <c r="F102" s="50" t="s">
        <v>104</v>
      </c>
      <c r="G102" s="50">
        <v>19146.252292</v>
      </c>
      <c r="H102" s="50" t="s">
        <v>26</v>
      </c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</row>
    <row r="103" ht="15.75" hidden="1" customHeight="1">
      <c r="A103" s="50" t="s">
        <v>19</v>
      </c>
      <c r="B103" s="50" t="s">
        <v>102</v>
      </c>
      <c r="C103" s="50" t="s">
        <v>32</v>
      </c>
      <c r="D103" s="50" t="s">
        <v>103</v>
      </c>
      <c r="E103" s="49"/>
      <c r="F103" s="50" t="s">
        <v>104</v>
      </c>
      <c r="G103" s="50">
        <v>15198.144052</v>
      </c>
      <c r="H103" s="50" t="s">
        <v>25</v>
      </c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</row>
    <row r="104" ht="15.75" hidden="1" customHeight="1">
      <c r="A104" s="50" t="s">
        <v>19</v>
      </c>
      <c r="B104" s="50" t="s">
        <v>102</v>
      </c>
      <c r="C104" s="50" t="s">
        <v>32</v>
      </c>
      <c r="D104" s="50" t="s">
        <v>103</v>
      </c>
      <c r="E104" s="49"/>
      <c r="F104" s="50" t="s">
        <v>104</v>
      </c>
      <c r="G104" s="50">
        <v>17892.853175</v>
      </c>
      <c r="H104" s="50" t="s">
        <v>27</v>
      </c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</row>
    <row r="105" ht="15.75" hidden="1" customHeight="1">
      <c r="A105" s="50" t="s">
        <v>19</v>
      </c>
      <c r="B105" s="50" t="s">
        <v>105</v>
      </c>
      <c r="C105" s="50" t="s">
        <v>21</v>
      </c>
      <c r="D105" s="50" t="s">
        <v>22</v>
      </c>
      <c r="E105" s="49"/>
      <c r="F105" s="50" t="s">
        <v>106</v>
      </c>
      <c r="G105" s="50">
        <v>7350.0</v>
      </c>
      <c r="H105" s="50" t="s">
        <v>25</v>
      </c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</row>
    <row r="106" ht="15.75" hidden="1" customHeight="1">
      <c r="A106" s="50" t="s">
        <v>19</v>
      </c>
      <c r="B106" s="50" t="s">
        <v>105</v>
      </c>
      <c r="C106" s="50" t="s">
        <v>21</v>
      </c>
      <c r="D106" s="50" t="s">
        <v>22</v>
      </c>
      <c r="E106" s="49"/>
      <c r="F106" s="50" t="s">
        <v>106</v>
      </c>
      <c r="G106" s="50">
        <v>3675.0</v>
      </c>
      <c r="H106" s="50" t="s">
        <v>26</v>
      </c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</row>
    <row r="107" ht="15.75" hidden="1" customHeight="1">
      <c r="A107" s="50" t="s">
        <v>19</v>
      </c>
      <c r="B107" s="50" t="s">
        <v>105</v>
      </c>
      <c r="C107" s="50" t="s">
        <v>21</v>
      </c>
      <c r="D107" s="50" t="s">
        <v>22</v>
      </c>
      <c r="E107" s="49"/>
      <c r="F107" s="50" t="s">
        <v>106</v>
      </c>
      <c r="G107" s="50">
        <v>7350.0</v>
      </c>
      <c r="H107" s="50" t="s">
        <v>27</v>
      </c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</row>
    <row r="108" ht="15.75" hidden="1" customHeight="1">
      <c r="A108" s="50" t="s">
        <v>19</v>
      </c>
      <c r="B108" s="50" t="s">
        <v>107</v>
      </c>
      <c r="C108" s="50" t="s">
        <v>32</v>
      </c>
      <c r="D108" s="50" t="s">
        <v>48</v>
      </c>
      <c r="E108" s="49"/>
      <c r="F108" s="50" t="s">
        <v>108</v>
      </c>
      <c r="G108" s="50">
        <v>20297.06278</v>
      </c>
      <c r="H108" s="50" t="s">
        <v>25</v>
      </c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</row>
    <row r="109" ht="15.75" hidden="1" customHeight="1">
      <c r="A109" s="50" t="s">
        <v>19</v>
      </c>
      <c r="B109" s="50" t="s">
        <v>107</v>
      </c>
      <c r="C109" s="50" t="s">
        <v>32</v>
      </c>
      <c r="D109" s="50" t="s">
        <v>48</v>
      </c>
      <c r="E109" s="49"/>
      <c r="F109" s="50" t="s">
        <v>108</v>
      </c>
      <c r="G109" s="50">
        <v>20130.558316</v>
      </c>
      <c r="H109" s="50" t="s">
        <v>26</v>
      </c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</row>
    <row r="110" ht="15.75" hidden="1" customHeight="1">
      <c r="A110" s="50" t="s">
        <v>19</v>
      </c>
      <c r="B110" s="50" t="s">
        <v>107</v>
      </c>
      <c r="C110" s="50" t="s">
        <v>32</v>
      </c>
      <c r="D110" s="50" t="s">
        <v>48</v>
      </c>
      <c r="E110" s="49"/>
      <c r="F110" s="50" t="s">
        <v>108</v>
      </c>
      <c r="G110" s="50">
        <v>19918.225945</v>
      </c>
      <c r="H110" s="50" t="s">
        <v>27</v>
      </c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</row>
    <row r="111" ht="15.75" hidden="1" customHeight="1">
      <c r="A111" s="50" t="s">
        <v>19</v>
      </c>
      <c r="B111" s="50" t="s">
        <v>109</v>
      </c>
      <c r="C111" s="50" t="s">
        <v>21</v>
      </c>
      <c r="D111" s="50" t="s">
        <v>22</v>
      </c>
      <c r="E111" s="50" t="s">
        <v>53</v>
      </c>
      <c r="F111" s="50" t="s">
        <v>110</v>
      </c>
      <c r="G111" s="50">
        <v>16974.754614</v>
      </c>
      <c r="H111" s="50" t="s">
        <v>26</v>
      </c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</row>
    <row r="112" ht="15.75" hidden="1" customHeight="1">
      <c r="A112" s="50" t="s">
        <v>19</v>
      </c>
      <c r="B112" s="50" t="s">
        <v>109</v>
      </c>
      <c r="C112" s="50" t="s">
        <v>21</v>
      </c>
      <c r="D112" s="50" t="s">
        <v>22</v>
      </c>
      <c r="E112" s="50" t="s">
        <v>53</v>
      </c>
      <c r="F112" s="50" t="s">
        <v>110</v>
      </c>
      <c r="G112" s="50">
        <v>13884.567962</v>
      </c>
      <c r="H112" s="50" t="s">
        <v>27</v>
      </c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</row>
    <row r="113" ht="15.75" hidden="1" customHeight="1">
      <c r="A113" s="50" t="s">
        <v>19</v>
      </c>
      <c r="B113" s="50" t="s">
        <v>111</v>
      </c>
      <c r="C113" s="50" t="s">
        <v>21</v>
      </c>
      <c r="D113" s="50" t="s">
        <v>22</v>
      </c>
      <c r="E113" s="50" t="s">
        <v>53</v>
      </c>
      <c r="F113" s="50" t="s">
        <v>112</v>
      </c>
      <c r="G113" s="50">
        <v>15635.661516</v>
      </c>
      <c r="H113" s="50" t="s">
        <v>27</v>
      </c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</row>
    <row r="114" ht="15.75" hidden="1" customHeight="1">
      <c r="A114" s="50" t="s">
        <v>19</v>
      </c>
      <c r="B114" s="50" t="s">
        <v>111</v>
      </c>
      <c r="C114" s="50" t="s">
        <v>21</v>
      </c>
      <c r="D114" s="50" t="s">
        <v>22</v>
      </c>
      <c r="E114" s="50" t="s">
        <v>53</v>
      </c>
      <c r="F114" s="50" t="s">
        <v>112</v>
      </c>
      <c r="G114" s="50">
        <v>15934.228414</v>
      </c>
      <c r="H114" s="50" t="s">
        <v>25</v>
      </c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</row>
    <row r="115" ht="15.75" hidden="1" customHeight="1">
      <c r="A115" s="50" t="s">
        <v>19</v>
      </c>
      <c r="B115" s="50" t="s">
        <v>111</v>
      </c>
      <c r="C115" s="50" t="s">
        <v>21</v>
      </c>
      <c r="D115" s="50" t="s">
        <v>22</v>
      </c>
      <c r="E115" s="50" t="s">
        <v>53</v>
      </c>
      <c r="F115" s="50" t="s">
        <v>112</v>
      </c>
      <c r="G115" s="50">
        <v>15927.656463</v>
      </c>
      <c r="H115" s="50" t="s">
        <v>26</v>
      </c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</row>
    <row r="116" ht="15.75" hidden="1" customHeight="1">
      <c r="A116" s="50" t="s">
        <v>19</v>
      </c>
      <c r="B116" s="50" t="s">
        <v>113</v>
      </c>
      <c r="C116" s="50" t="s">
        <v>32</v>
      </c>
      <c r="D116" s="50" t="s">
        <v>56</v>
      </c>
      <c r="E116" s="49"/>
      <c r="F116" s="50" t="s">
        <v>114</v>
      </c>
      <c r="G116" s="50">
        <v>23200.97604</v>
      </c>
      <c r="H116" s="50" t="s">
        <v>27</v>
      </c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</row>
    <row r="117" ht="15.75" hidden="1" customHeight="1">
      <c r="A117" s="50" t="s">
        <v>19</v>
      </c>
      <c r="B117" s="50" t="s">
        <v>113</v>
      </c>
      <c r="C117" s="50" t="s">
        <v>32</v>
      </c>
      <c r="D117" s="50" t="s">
        <v>56</v>
      </c>
      <c r="E117" s="49"/>
      <c r="F117" s="50" t="s">
        <v>114</v>
      </c>
      <c r="G117" s="50">
        <v>22655.84342</v>
      </c>
      <c r="H117" s="50" t="s">
        <v>25</v>
      </c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</row>
    <row r="118" ht="15.75" hidden="1" customHeight="1">
      <c r="A118" s="50" t="s">
        <v>19</v>
      </c>
      <c r="B118" s="50" t="s">
        <v>113</v>
      </c>
      <c r="C118" s="50" t="s">
        <v>32</v>
      </c>
      <c r="D118" s="50" t="s">
        <v>56</v>
      </c>
      <c r="E118" s="49"/>
      <c r="F118" s="50" t="s">
        <v>114</v>
      </c>
      <c r="G118" s="51">
        <f>11076.24+'Hoja 1'!L71</f>
        <v>20527.44</v>
      </c>
      <c r="H118" s="50" t="s">
        <v>26</v>
      </c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</row>
    <row r="119" ht="15.75" hidden="1" customHeight="1">
      <c r="A119" s="50" t="s">
        <v>19</v>
      </c>
      <c r="B119" s="50" t="s">
        <v>113</v>
      </c>
      <c r="C119" s="50" t="s">
        <v>32</v>
      </c>
      <c r="D119" s="50" t="s">
        <v>56</v>
      </c>
      <c r="E119" s="49"/>
      <c r="F119" s="50" t="s">
        <v>114</v>
      </c>
      <c r="G119" s="51">
        <f>11076.24+'Hoja 1'!L123</f>
        <v>20527.44</v>
      </c>
      <c r="H119" s="52" t="s">
        <v>28</v>
      </c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</row>
    <row r="120" ht="15.75" hidden="1" customHeight="1">
      <c r="A120" s="50" t="s">
        <v>19</v>
      </c>
      <c r="B120" s="50" t="s">
        <v>115</v>
      </c>
      <c r="C120" s="50" t="s">
        <v>21</v>
      </c>
      <c r="D120" s="50" t="s">
        <v>22</v>
      </c>
      <c r="E120" s="49"/>
      <c r="F120" s="50" t="s">
        <v>116</v>
      </c>
      <c r="G120" s="50">
        <v>10128.07104</v>
      </c>
      <c r="H120" s="50" t="s">
        <v>27</v>
      </c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</row>
    <row r="121" ht="15.75" hidden="1" customHeight="1">
      <c r="A121" s="50" t="s">
        <v>19</v>
      </c>
      <c r="B121" s="50" t="s">
        <v>115</v>
      </c>
      <c r="C121" s="50" t="s">
        <v>21</v>
      </c>
      <c r="D121" s="50" t="s">
        <v>22</v>
      </c>
      <c r="E121" s="49"/>
      <c r="F121" s="50" t="s">
        <v>116</v>
      </c>
      <c r="G121" s="50">
        <v>20321.67818</v>
      </c>
      <c r="H121" s="50" t="s">
        <v>25</v>
      </c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</row>
    <row r="122" ht="15.75" hidden="1" customHeight="1">
      <c r="A122" s="50" t="s">
        <v>19</v>
      </c>
      <c r="B122" s="50" t="s">
        <v>117</v>
      </c>
      <c r="C122" s="50" t="s">
        <v>32</v>
      </c>
      <c r="D122" s="50" t="s">
        <v>118</v>
      </c>
      <c r="E122" s="49"/>
      <c r="F122" s="50" t="s">
        <v>119</v>
      </c>
      <c r="G122" s="51">
        <f>21525+'Hoja 1'!C25+'Hoja 1'!I26</f>
        <v>34524.9</v>
      </c>
      <c r="H122" s="50" t="s">
        <v>27</v>
      </c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</row>
    <row r="123" ht="15.75" hidden="1" customHeight="1">
      <c r="A123" s="50" t="s">
        <v>19</v>
      </c>
      <c r="B123" s="50" t="s">
        <v>117</v>
      </c>
      <c r="C123" s="50" t="s">
        <v>32</v>
      </c>
      <c r="D123" s="50" t="s">
        <v>118</v>
      </c>
      <c r="E123" s="49"/>
      <c r="F123" s="50" t="s">
        <v>119</v>
      </c>
      <c r="G123" s="51">
        <v>34524.9</v>
      </c>
      <c r="H123" s="50" t="s">
        <v>26</v>
      </c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</row>
    <row r="124" ht="15.75" hidden="1" customHeight="1">
      <c r="A124" s="50" t="s">
        <v>19</v>
      </c>
      <c r="B124" s="50" t="s">
        <v>117</v>
      </c>
      <c r="C124" s="50" t="s">
        <v>32</v>
      </c>
      <c r="D124" s="50" t="s">
        <v>118</v>
      </c>
      <c r="E124" s="49"/>
      <c r="F124" s="50" t="s">
        <v>119</v>
      </c>
      <c r="G124" s="51">
        <v>34524.9</v>
      </c>
      <c r="H124" s="50" t="s">
        <v>25</v>
      </c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</row>
    <row r="125" ht="15.75" hidden="1" customHeight="1">
      <c r="A125" s="50" t="s">
        <v>19</v>
      </c>
      <c r="B125" s="50" t="s">
        <v>117</v>
      </c>
      <c r="C125" s="50" t="s">
        <v>32</v>
      </c>
      <c r="D125" s="50" t="s">
        <v>118</v>
      </c>
      <c r="E125" s="49"/>
      <c r="F125" s="50" t="s">
        <v>119</v>
      </c>
      <c r="G125" s="51">
        <v>34524.9</v>
      </c>
      <c r="H125" s="52" t="s">
        <v>28</v>
      </c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</row>
    <row r="126" ht="15.75" hidden="1" customHeight="1">
      <c r="A126" s="50" t="s">
        <v>19</v>
      </c>
      <c r="B126" s="50" t="s">
        <v>120</v>
      </c>
      <c r="C126" s="50" t="s">
        <v>21</v>
      </c>
      <c r="D126" s="50" t="s">
        <v>22</v>
      </c>
      <c r="E126" s="50" t="s">
        <v>23</v>
      </c>
      <c r="F126" s="50" t="s">
        <v>121</v>
      </c>
      <c r="G126" s="51">
        <f>4424.49+'Hoja 1'!C57+'Hoja 1'!I55</f>
        <v>14368.28</v>
      </c>
      <c r="H126" s="50" t="s">
        <v>26</v>
      </c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</row>
    <row r="127" ht="15.75" hidden="1" customHeight="1">
      <c r="A127" s="50" t="s">
        <v>19</v>
      </c>
      <c r="B127" s="50" t="s">
        <v>120</v>
      </c>
      <c r="C127" s="50" t="s">
        <v>21</v>
      </c>
      <c r="D127" s="50" t="s">
        <v>22</v>
      </c>
      <c r="E127" s="50" t="s">
        <v>23</v>
      </c>
      <c r="F127" s="50" t="s">
        <v>121</v>
      </c>
      <c r="G127" s="51">
        <f>11426.191037+'Hoja 1'!I32</f>
        <v>13001.39104</v>
      </c>
      <c r="H127" s="50" t="s">
        <v>27</v>
      </c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</row>
    <row r="128" ht="15.75" hidden="1" customHeight="1">
      <c r="A128" s="50" t="s">
        <v>19</v>
      </c>
      <c r="B128" s="50" t="s">
        <v>120</v>
      </c>
      <c r="C128" s="50" t="s">
        <v>21</v>
      </c>
      <c r="D128" s="50" t="s">
        <v>22</v>
      </c>
      <c r="E128" s="50" t="s">
        <v>23</v>
      </c>
      <c r="F128" s="50" t="s">
        <v>121</v>
      </c>
      <c r="G128" s="50">
        <v>11540.051364</v>
      </c>
      <c r="H128" s="50" t="s">
        <v>25</v>
      </c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</row>
    <row r="129" ht="15.75" hidden="1" customHeight="1">
      <c r="A129" s="50" t="s">
        <v>19</v>
      </c>
      <c r="B129" s="50" t="s">
        <v>120</v>
      </c>
      <c r="C129" s="50" t="s">
        <v>21</v>
      </c>
      <c r="D129" s="50" t="s">
        <v>22</v>
      </c>
      <c r="E129" s="50" t="s">
        <v>23</v>
      </c>
      <c r="F129" s="50" t="s">
        <v>121</v>
      </c>
      <c r="G129" s="53">
        <f>4062.2925+'Hoja 1'!C109+'Hoja 1'!I109</f>
        <v>13513.4925</v>
      </c>
      <c r="H129" s="52" t="s">
        <v>28</v>
      </c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</row>
    <row r="130" ht="15.75" hidden="1" customHeight="1">
      <c r="A130" s="50" t="s">
        <v>19</v>
      </c>
      <c r="B130" s="50" t="s">
        <v>122</v>
      </c>
      <c r="C130" s="50" t="s">
        <v>32</v>
      </c>
      <c r="D130" s="50" t="s">
        <v>48</v>
      </c>
      <c r="E130" s="49"/>
      <c r="F130" s="50" t="s">
        <v>123</v>
      </c>
      <c r="G130" s="50">
        <v>16555.654738</v>
      </c>
      <c r="H130" s="50" t="s">
        <v>26</v>
      </c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</row>
    <row r="131" ht="15.75" hidden="1" customHeight="1">
      <c r="A131" s="50" t="s">
        <v>19</v>
      </c>
      <c r="B131" s="50" t="s">
        <v>122</v>
      </c>
      <c r="C131" s="50" t="s">
        <v>32</v>
      </c>
      <c r="D131" s="50" t="s">
        <v>48</v>
      </c>
      <c r="E131" s="49"/>
      <c r="F131" s="50" t="s">
        <v>123</v>
      </c>
      <c r="G131" s="50">
        <v>17783.171619</v>
      </c>
      <c r="H131" s="50" t="s">
        <v>27</v>
      </c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</row>
    <row r="132" ht="15.75" hidden="1" customHeight="1">
      <c r="A132" s="50" t="s">
        <v>19</v>
      </c>
      <c r="B132" s="50" t="s">
        <v>122</v>
      </c>
      <c r="C132" s="50" t="s">
        <v>32</v>
      </c>
      <c r="D132" s="50" t="s">
        <v>48</v>
      </c>
      <c r="E132" s="49"/>
      <c r="F132" s="50" t="s">
        <v>123</v>
      </c>
      <c r="G132" s="50">
        <v>18122.529054</v>
      </c>
      <c r="H132" s="50" t="s">
        <v>25</v>
      </c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</row>
    <row r="133" ht="15.75" hidden="1" customHeight="1">
      <c r="A133" s="50" t="s">
        <v>19</v>
      </c>
      <c r="B133" s="50" t="s">
        <v>124</v>
      </c>
      <c r="C133" s="50" t="s">
        <v>21</v>
      </c>
      <c r="D133" s="50" t="s">
        <v>22</v>
      </c>
      <c r="E133" s="50" t="s">
        <v>42</v>
      </c>
      <c r="F133" s="50" t="s">
        <v>125</v>
      </c>
      <c r="G133" s="50">
        <v>13205.68591</v>
      </c>
      <c r="H133" s="50" t="s">
        <v>26</v>
      </c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</row>
    <row r="134" ht="15.75" hidden="1" customHeight="1">
      <c r="A134" s="50" t="s">
        <v>19</v>
      </c>
      <c r="B134" s="50" t="s">
        <v>124</v>
      </c>
      <c r="C134" s="50" t="s">
        <v>21</v>
      </c>
      <c r="D134" s="50" t="s">
        <v>22</v>
      </c>
      <c r="E134" s="50" t="s">
        <v>42</v>
      </c>
      <c r="F134" s="50" t="s">
        <v>125</v>
      </c>
      <c r="G134" s="50">
        <v>12908.441516</v>
      </c>
      <c r="H134" s="50" t="s">
        <v>27</v>
      </c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</row>
    <row r="135" ht="15.75" hidden="1" customHeight="1">
      <c r="A135" s="50" t="s">
        <v>19</v>
      </c>
      <c r="B135" s="50" t="s">
        <v>124</v>
      </c>
      <c r="C135" s="50" t="s">
        <v>21</v>
      </c>
      <c r="D135" s="50" t="s">
        <v>22</v>
      </c>
      <c r="E135" s="50" t="s">
        <v>42</v>
      </c>
      <c r="F135" s="50" t="s">
        <v>125</v>
      </c>
      <c r="G135" s="50">
        <v>13156.028414</v>
      </c>
      <c r="H135" s="50" t="s">
        <v>25</v>
      </c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</row>
    <row r="136" ht="15.75" hidden="1" customHeight="1">
      <c r="A136" s="50" t="s">
        <v>19</v>
      </c>
      <c r="B136" s="50" t="s">
        <v>126</v>
      </c>
      <c r="C136" s="50" t="s">
        <v>32</v>
      </c>
      <c r="D136" s="50" t="s">
        <v>48</v>
      </c>
      <c r="E136" s="49"/>
      <c r="F136" s="50" t="s">
        <v>127</v>
      </c>
      <c r="G136" s="50">
        <v>15924.754614</v>
      </c>
      <c r="H136" s="50" t="s">
        <v>26</v>
      </c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</row>
    <row r="137" ht="15.75" hidden="1" customHeight="1">
      <c r="A137" s="50" t="s">
        <v>19</v>
      </c>
      <c r="B137" s="50" t="s">
        <v>126</v>
      </c>
      <c r="C137" s="50" t="s">
        <v>32</v>
      </c>
      <c r="D137" s="50" t="s">
        <v>48</v>
      </c>
      <c r="E137" s="49"/>
      <c r="F137" s="50" t="s">
        <v>127</v>
      </c>
      <c r="G137" s="50">
        <v>7699.68742</v>
      </c>
      <c r="H137" s="50" t="s">
        <v>27</v>
      </c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</row>
    <row r="138" ht="15.75" hidden="1" customHeight="1">
      <c r="A138" s="50" t="s">
        <v>19</v>
      </c>
      <c r="B138" s="50" t="s">
        <v>128</v>
      </c>
      <c r="C138" s="50" t="s">
        <v>21</v>
      </c>
      <c r="D138" s="50" t="s">
        <v>22</v>
      </c>
      <c r="E138" s="50" t="s">
        <v>23</v>
      </c>
      <c r="F138" s="50" t="s">
        <v>129</v>
      </c>
      <c r="G138" s="51">
        <f>8976.24+'Hoja 1'!C60+'Hoja 1'!I58</f>
        <v>18920.03</v>
      </c>
      <c r="H138" s="50" t="s">
        <v>26</v>
      </c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</row>
    <row r="139" ht="15.75" hidden="1" customHeight="1">
      <c r="A139" s="50" t="s">
        <v>19</v>
      </c>
      <c r="B139" s="50" t="s">
        <v>128</v>
      </c>
      <c r="C139" s="50" t="s">
        <v>21</v>
      </c>
      <c r="D139" s="50" t="s">
        <v>22</v>
      </c>
      <c r="E139" s="50" t="s">
        <v>23</v>
      </c>
      <c r="F139" s="50" t="s">
        <v>129</v>
      </c>
      <c r="G139" s="50">
        <f>19215.080388+1575.2</f>
        <v>20790.28039</v>
      </c>
      <c r="H139" s="50" t="s">
        <v>27</v>
      </c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</row>
    <row r="140" ht="15.75" hidden="1" customHeight="1">
      <c r="A140" s="50" t="s">
        <v>19</v>
      </c>
      <c r="B140" s="50" t="s">
        <v>128</v>
      </c>
      <c r="C140" s="50" t="s">
        <v>21</v>
      </c>
      <c r="D140" s="50" t="s">
        <v>22</v>
      </c>
      <c r="E140" s="50" t="s">
        <v>23</v>
      </c>
      <c r="F140" s="50" t="s">
        <v>129</v>
      </c>
      <c r="G140" s="50">
        <v>22501.67818</v>
      </c>
      <c r="H140" s="50" t="s">
        <v>25</v>
      </c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</row>
    <row r="141" ht="15.75" hidden="1" customHeight="1">
      <c r="A141" s="50" t="s">
        <v>19</v>
      </c>
      <c r="B141" s="50" t="s">
        <v>128</v>
      </c>
      <c r="C141" s="50" t="s">
        <v>21</v>
      </c>
      <c r="D141" s="50" t="s">
        <v>22</v>
      </c>
      <c r="E141" s="50" t="s">
        <v>23</v>
      </c>
      <c r="F141" s="50" t="s">
        <v>129</v>
      </c>
      <c r="G141" s="53">
        <f>8976.24+'Hoja 1'!C112+'Hoja 1'!I112</f>
        <v>18427.44</v>
      </c>
      <c r="H141" s="52" t="s">
        <v>28</v>
      </c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</row>
    <row r="142" ht="15.75" hidden="1" customHeight="1">
      <c r="A142" s="50" t="s">
        <v>19</v>
      </c>
      <c r="B142" s="50" t="s">
        <v>130</v>
      </c>
      <c r="C142" s="50" t="s">
        <v>21</v>
      </c>
      <c r="D142" s="50" t="s">
        <v>22</v>
      </c>
      <c r="E142" s="49"/>
      <c r="F142" s="50" t="s">
        <v>131</v>
      </c>
      <c r="G142" s="50">
        <v>12571.67402</v>
      </c>
      <c r="H142" s="50" t="s">
        <v>25</v>
      </c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</row>
    <row r="143" ht="15.75" hidden="1" customHeight="1">
      <c r="A143" s="50" t="s">
        <v>19</v>
      </c>
      <c r="B143" s="50" t="s">
        <v>132</v>
      </c>
      <c r="C143" s="50" t="s">
        <v>21</v>
      </c>
      <c r="D143" s="50" t="s">
        <v>56</v>
      </c>
      <c r="E143" s="49"/>
      <c r="F143" s="50" t="s">
        <v>133</v>
      </c>
      <c r="G143" s="50">
        <v>7350.0</v>
      </c>
      <c r="H143" s="50" t="s">
        <v>25</v>
      </c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</row>
    <row r="144" ht="15.75" hidden="1" customHeight="1">
      <c r="A144" s="50" t="s">
        <v>19</v>
      </c>
      <c r="B144" s="50" t="s">
        <v>132</v>
      </c>
      <c r="C144" s="50" t="s">
        <v>21</v>
      </c>
      <c r="D144" s="50" t="s">
        <v>56</v>
      </c>
      <c r="E144" s="49"/>
      <c r="F144" s="50" t="s">
        <v>133</v>
      </c>
      <c r="G144" s="51">
        <f>'Hoja 1'!L78</f>
        <v>6615.84</v>
      </c>
      <c r="H144" s="50" t="s">
        <v>26</v>
      </c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</row>
    <row r="145" ht="15.75" hidden="1" customHeight="1">
      <c r="A145" s="50" t="s">
        <v>19</v>
      </c>
      <c r="B145" s="50" t="s">
        <v>132</v>
      </c>
      <c r="C145" s="50" t="s">
        <v>21</v>
      </c>
      <c r="D145" s="50" t="s">
        <v>56</v>
      </c>
      <c r="E145" s="49"/>
      <c r="F145" s="50" t="s">
        <v>133</v>
      </c>
      <c r="G145" s="50">
        <v>10059.743257</v>
      </c>
      <c r="H145" s="50" t="s">
        <v>27</v>
      </c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</row>
    <row r="146" ht="15.75" hidden="1" customHeight="1">
      <c r="A146" s="50" t="s">
        <v>19</v>
      </c>
      <c r="B146" s="50" t="s">
        <v>132</v>
      </c>
      <c r="C146" s="50" t="s">
        <v>21</v>
      </c>
      <c r="D146" s="50" t="s">
        <v>56</v>
      </c>
      <c r="E146" s="49"/>
      <c r="F146" s="50" t="s">
        <v>133</v>
      </c>
      <c r="G146" s="51">
        <f>'Hoja 1'!L130</f>
        <v>9451.2</v>
      </c>
      <c r="H146" s="52" t="s">
        <v>28</v>
      </c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</row>
    <row r="147" ht="15.75" hidden="1" customHeight="1">
      <c r="A147" s="50" t="s">
        <v>19</v>
      </c>
      <c r="B147" s="50" t="s">
        <v>134</v>
      </c>
      <c r="C147" s="50" t="s">
        <v>21</v>
      </c>
      <c r="D147" s="50" t="s">
        <v>56</v>
      </c>
      <c r="E147" s="49"/>
      <c r="F147" s="50" t="s">
        <v>135</v>
      </c>
      <c r="G147" s="50">
        <v>24665.36342</v>
      </c>
      <c r="H147" s="50" t="s">
        <v>25</v>
      </c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</row>
    <row r="148" ht="15.75" hidden="1" customHeight="1">
      <c r="A148" s="50" t="s">
        <v>19</v>
      </c>
      <c r="B148" s="50" t="s">
        <v>134</v>
      </c>
      <c r="C148" s="50" t="s">
        <v>21</v>
      </c>
      <c r="D148" s="50" t="s">
        <v>56</v>
      </c>
      <c r="E148" s="49"/>
      <c r="F148" s="50" t="s">
        <v>135</v>
      </c>
      <c r="G148" s="50">
        <v>24293.14929</v>
      </c>
      <c r="H148" s="50" t="s">
        <v>26</v>
      </c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</row>
    <row r="149" ht="15.75" hidden="1" customHeight="1">
      <c r="A149" s="50" t="s">
        <v>19</v>
      </c>
      <c r="B149" s="50" t="s">
        <v>134</v>
      </c>
      <c r="C149" s="50" t="s">
        <v>21</v>
      </c>
      <c r="D149" s="50" t="s">
        <v>56</v>
      </c>
      <c r="E149" s="49"/>
      <c r="F149" s="50" t="s">
        <v>135</v>
      </c>
      <c r="G149" s="50">
        <v>24205.73604</v>
      </c>
      <c r="H149" s="50" t="s">
        <v>27</v>
      </c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</row>
    <row r="150" ht="15.75" hidden="1" customHeight="1">
      <c r="A150" s="50" t="s">
        <v>19</v>
      </c>
      <c r="B150" s="50" t="s">
        <v>136</v>
      </c>
      <c r="C150" s="50" t="s">
        <v>21</v>
      </c>
      <c r="D150" s="50" t="s">
        <v>22</v>
      </c>
      <c r="E150" s="50" t="s">
        <v>23</v>
      </c>
      <c r="F150" s="50" t="s">
        <v>137</v>
      </c>
      <c r="G150" s="50">
        <v>18141.678181</v>
      </c>
      <c r="H150" s="50" t="s">
        <v>25</v>
      </c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</row>
    <row r="151" ht="15.75" hidden="1" customHeight="1">
      <c r="A151" s="50" t="s">
        <v>19</v>
      </c>
      <c r="B151" s="50" t="s">
        <v>136</v>
      </c>
      <c r="C151" s="50" t="s">
        <v>21</v>
      </c>
      <c r="D151" s="50" t="s">
        <v>22</v>
      </c>
      <c r="E151" s="50" t="s">
        <v>23</v>
      </c>
      <c r="F151" s="50" t="s">
        <v>137</v>
      </c>
      <c r="G151" s="51">
        <f>4776.24+'Hoja 1'!L64</f>
        <v>14227.44</v>
      </c>
      <c r="H151" s="50" t="s">
        <v>26</v>
      </c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</row>
    <row r="152" ht="15.75" hidden="1" customHeight="1">
      <c r="A152" s="50" t="s">
        <v>19</v>
      </c>
      <c r="B152" s="50" t="s">
        <v>136</v>
      </c>
      <c r="C152" s="50" t="s">
        <v>21</v>
      </c>
      <c r="D152" s="50" t="s">
        <v>22</v>
      </c>
      <c r="E152" s="50" t="s">
        <v>23</v>
      </c>
      <c r="F152" s="50" t="s">
        <v>137</v>
      </c>
      <c r="G152" s="51">
        <f>4776.24+'Hoja 1'!L116</f>
        <v>14227.44</v>
      </c>
      <c r="H152" s="52" t="s">
        <v>28</v>
      </c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</row>
    <row r="153" ht="15.75" hidden="1" customHeight="1">
      <c r="A153" s="50" t="s">
        <v>19</v>
      </c>
      <c r="B153" s="50" t="s">
        <v>136</v>
      </c>
      <c r="C153" s="50" t="s">
        <v>21</v>
      </c>
      <c r="D153" s="50" t="s">
        <v>22</v>
      </c>
      <c r="E153" s="50" t="s">
        <v>23</v>
      </c>
      <c r="F153" s="50" t="s">
        <v>137</v>
      </c>
      <c r="G153" s="50">
        <v>17823.581037</v>
      </c>
      <c r="H153" s="50" t="s">
        <v>27</v>
      </c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</row>
    <row r="154" ht="15.75" hidden="1" customHeight="1">
      <c r="A154" s="50" t="s">
        <v>19</v>
      </c>
      <c r="B154" s="50" t="s">
        <v>138</v>
      </c>
      <c r="C154" s="50" t="s">
        <v>21</v>
      </c>
      <c r="D154" s="50" t="s">
        <v>22</v>
      </c>
      <c r="E154" s="50" t="s">
        <v>45</v>
      </c>
      <c r="F154" s="50" t="s">
        <v>139</v>
      </c>
      <c r="G154" s="50">
        <v>18141.678181</v>
      </c>
      <c r="H154" s="50" t="s">
        <v>25</v>
      </c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</row>
    <row r="155" ht="15.75" hidden="1" customHeight="1">
      <c r="A155" s="50" t="s">
        <v>19</v>
      </c>
      <c r="B155" s="50" t="s">
        <v>138</v>
      </c>
      <c r="C155" s="50" t="s">
        <v>21</v>
      </c>
      <c r="D155" s="50" t="s">
        <v>22</v>
      </c>
      <c r="E155" s="50" t="s">
        <v>45</v>
      </c>
      <c r="F155" s="50" t="s">
        <v>139</v>
      </c>
      <c r="G155" s="51">
        <f>6351.24+'Hoja 1'!L63</f>
        <v>15802.44</v>
      </c>
      <c r="H155" s="50" t="s">
        <v>26</v>
      </c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</row>
    <row r="156" ht="15.75" hidden="1" customHeight="1">
      <c r="A156" s="50" t="s">
        <v>19</v>
      </c>
      <c r="B156" s="50" t="s">
        <v>138</v>
      </c>
      <c r="C156" s="50" t="s">
        <v>21</v>
      </c>
      <c r="D156" s="50" t="s">
        <v>22</v>
      </c>
      <c r="E156" s="50" t="s">
        <v>45</v>
      </c>
      <c r="F156" s="50" t="s">
        <v>139</v>
      </c>
      <c r="G156" s="50">
        <v>19428.580152</v>
      </c>
      <c r="H156" s="50" t="s">
        <v>27</v>
      </c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</row>
    <row r="157" ht="15.75" hidden="1" customHeight="1">
      <c r="A157" s="50" t="s">
        <v>19</v>
      </c>
      <c r="B157" s="50" t="s">
        <v>138</v>
      </c>
      <c r="C157" s="50" t="s">
        <v>21</v>
      </c>
      <c r="D157" s="50" t="s">
        <v>22</v>
      </c>
      <c r="E157" s="50" t="s">
        <v>45</v>
      </c>
      <c r="F157" s="50" t="s">
        <v>139</v>
      </c>
      <c r="G157" s="51">
        <f>6351.24+'Hoja 1'!L115</f>
        <v>15802.44</v>
      </c>
      <c r="H157" s="52" t="s">
        <v>28</v>
      </c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</row>
    <row r="158" ht="15.75" hidden="1" customHeight="1">
      <c r="A158" s="50" t="s">
        <v>19</v>
      </c>
      <c r="B158" s="50" t="s">
        <v>140</v>
      </c>
      <c r="C158" s="50" t="s">
        <v>21</v>
      </c>
      <c r="D158" s="50" t="s">
        <v>56</v>
      </c>
      <c r="E158" s="49"/>
      <c r="F158" s="50" t="s">
        <v>141</v>
      </c>
      <c r="G158" s="50">
        <v>13208.291322</v>
      </c>
      <c r="H158" s="50" t="s">
        <v>25</v>
      </c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</row>
    <row r="159" ht="15.75" hidden="1" customHeight="1">
      <c r="A159" s="50" t="s">
        <v>19</v>
      </c>
      <c r="B159" s="50" t="s">
        <v>140</v>
      </c>
      <c r="C159" s="50" t="s">
        <v>21</v>
      </c>
      <c r="D159" s="50" t="s">
        <v>56</v>
      </c>
      <c r="E159" s="49"/>
      <c r="F159" s="50" t="s">
        <v>141</v>
      </c>
      <c r="G159" s="50">
        <v>12955.727005</v>
      </c>
      <c r="H159" s="50" t="s">
        <v>27</v>
      </c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</row>
    <row r="160" ht="15.75" hidden="1" customHeight="1">
      <c r="A160" s="50" t="s">
        <v>19</v>
      </c>
      <c r="B160" s="50" t="s">
        <v>140</v>
      </c>
      <c r="C160" s="50" t="s">
        <v>21</v>
      </c>
      <c r="D160" s="50" t="s">
        <v>56</v>
      </c>
      <c r="E160" s="49"/>
      <c r="F160" s="50" t="s">
        <v>141</v>
      </c>
      <c r="G160" s="50">
        <v>13202.829051</v>
      </c>
      <c r="H160" s="50" t="s">
        <v>26</v>
      </c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</row>
    <row r="161" ht="15.75" hidden="1" customHeight="1">
      <c r="A161" s="50" t="s">
        <v>19</v>
      </c>
      <c r="B161" s="50" t="s">
        <v>142</v>
      </c>
      <c r="C161" s="50" t="s">
        <v>21</v>
      </c>
      <c r="D161" s="50" t="s">
        <v>22</v>
      </c>
      <c r="E161" s="50" t="s">
        <v>143</v>
      </c>
      <c r="F161" s="50" t="s">
        <v>144</v>
      </c>
      <c r="G161" s="50">
        <v>14563.097092</v>
      </c>
      <c r="H161" s="50" t="s">
        <v>27</v>
      </c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</row>
    <row r="162" ht="15.75" hidden="1" customHeight="1">
      <c r="A162" s="50" t="s">
        <v>19</v>
      </c>
      <c r="B162" s="50" t="s">
        <v>142</v>
      </c>
      <c r="C162" s="50" t="s">
        <v>21</v>
      </c>
      <c r="D162" s="50" t="s">
        <v>22</v>
      </c>
      <c r="E162" s="50" t="s">
        <v>143</v>
      </c>
      <c r="F162" s="50" t="s">
        <v>144</v>
      </c>
      <c r="G162" s="50">
        <v>14841.39405</v>
      </c>
      <c r="H162" s="50" t="s">
        <v>25</v>
      </c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</row>
    <row r="163" ht="15.75" hidden="1" customHeight="1">
      <c r="A163" s="50" t="s">
        <v>19</v>
      </c>
      <c r="B163" s="50" t="s">
        <v>142</v>
      </c>
      <c r="C163" s="50" t="s">
        <v>21</v>
      </c>
      <c r="D163" s="50" t="s">
        <v>22</v>
      </c>
      <c r="E163" s="50" t="s">
        <v>143</v>
      </c>
      <c r="F163" s="50" t="s">
        <v>144</v>
      </c>
      <c r="G163" s="50">
        <v>14874.754614</v>
      </c>
      <c r="H163" s="50" t="s">
        <v>26</v>
      </c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</row>
    <row r="164" ht="15.75" hidden="1" customHeight="1">
      <c r="A164" s="50" t="s">
        <v>19</v>
      </c>
      <c r="B164" s="50" t="s">
        <v>145</v>
      </c>
      <c r="C164" s="50" t="s">
        <v>21</v>
      </c>
      <c r="D164" s="50" t="s">
        <v>22</v>
      </c>
      <c r="E164" s="50" t="s">
        <v>23</v>
      </c>
      <c r="F164" s="50" t="s">
        <v>146</v>
      </c>
      <c r="G164" s="50">
        <v>13884.567962</v>
      </c>
      <c r="H164" s="50" t="s">
        <v>27</v>
      </c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</row>
    <row r="165" ht="15.75" hidden="1" customHeight="1">
      <c r="A165" s="50" t="s">
        <v>19</v>
      </c>
      <c r="B165" s="50" t="s">
        <v>145</v>
      </c>
      <c r="C165" s="50" t="s">
        <v>21</v>
      </c>
      <c r="D165" s="50" t="s">
        <v>22</v>
      </c>
      <c r="E165" s="50" t="s">
        <v>23</v>
      </c>
      <c r="F165" s="50" t="s">
        <v>146</v>
      </c>
      <c r="G165" s="50">
        <v>16974.754614</v>
      </c>
      <c r="H165" s="50" t="s">
        <v>26</v>
      </c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</row>
    <row r="166" ht="15.75" hidden="1" customHeight="1">
      <c r="A166" s="50" t="s">
        <v>19</v>
      </c>
      <c r="B166" s="50" t="s">
        <v>147</v>
      </c>
      <c r="C166" s="50" t="s">
        <v>21</v>
      </c>
      <c r="D166" s="50" t="s">
        <v>22</v>
      </c>
      <c r="E166" s="50" t="s">
        <v>23</v>
      </c>
      <c r="F166" s="50" t="s">
        <v>148</v>
      </c>
      <c r="G166" s="50">
        <v>21033.58015</v>
      </c>
      <c r="H166" s="50" t="s">
        <v>27</v>
      </c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</row>
    <row r="167" ht="15.75" hidden="1" customHeight="1">
      <c r="A167" s="50" t="s">
        <v>19</v>
      </c>
      <c r="B167" s="50" t="s">
        <v>147</v>
      </c>
      <c r="C167" s="50" t="s">
        <v>21</v>
      </c>
      <c r="D167" s="50" t="s">
        <v>22</v>
      </c>
      <c r="E167" s="50" t="s">
        <v>23</v>
      </c>
      <c r="F167" s="50" t="s">
        <v>148</v>
      </c>
      <c r="G167" s="50">
        <v>21411.67818</v>
      </c>
      <c r="H167" s="50" t="s">
        <v>25</v>
      </c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</row>
    <row r="168" ht="15.75" hidden="1" customHeight="1">
      <c r="A168" s="50" t="s">
        <v>19</v>
      </c>
      <c r="B168" s="50" t="s">
        <v>147</v>
      </c>
      <c r="C168" s="50" t="s">
        <v>21</v>
      </c>
      <c r="D168" s="50" t="s">
        <v>22</v>
      </c>
      <c r="E168" s="50" t="s">
        <v>23</v>
      </c>
      <c r="F168" s="50" t="s">
        <v>148</v>
      </c>
      <c r="G168" s="50">
        <v>21253.68456</v>
      </c>
      <c r="H168" s="50" t="s">
        <v>26</v>
      </c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</row>
    <row r="169" ht="15.75" hidden="1" customHeight="1">
      <c r="A169" s="50" t="s">
        <v>19</v>
      </c>
      <c r="B169" s="50" t="s">
        <v>149</v>
      </c>
      <c r="C169" s="52" t="s">
        <v>21</v>
      </c>
      <c r="D169" s="50" t="s">
        <v>22</v>
      </c>
      <c r="E169" s="50" t="s">
        <v>23</v>
      </c>
      <c r="F169" s="50" t="s">
        <v>150</v>
      </c>
      <c r="G169" s="50">
        <v>26544.05659</v>
      </c>
      <c r="H169" s="50" t="s">
        <v>26</v>
      </c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</row>
    <row r="170" ht="15.75" hidden="1" customHeight="1">
      <c r="A170" s="50" t="s">
        <v>19</v>
      </c>
      <c r="B170" s="50" t="s">
        <v>149</v>
      </c>
      <c r="C170" s="52" t="s">
        <v>21</v>
      </c>
      <c r="D170" s="50" t="s">
        <v>22</v>
      </c>
      <c r="E170" s="50" t="s">
        <v>23</v>
      </c>
      <c r="F170" s="50" t="s">
        <v>150</v>
      </c>
      <c r="G170" s="50">
        <v>25031.60342</v>
      </c>
      <c r="H170" s="50" t="s">
        <v>25</v>
      </c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</row>
    <row r="171" ht="15.75" hidden="1" customHeight="1">
      <c r="A171" s="50" t="s">
        <v>19</v>
      </c>
      <c r="B171" s="50" t="s">
        <v>149</v>
      </c>
      <c r="C171" s="52" t="s">
        <v>21</v>
      </c>
      <c r="D171" s="50" t="s">
        <v>22</v>
      </c>
      <c r="E171" s="50" t="s">
        <v>23</v>
      </c>
      <c r="F171" s="50" t="s">
        <v>150</v>
      </c>
      <c r="G171" s="50">
        <v>24558.95604</v>
      </c>
      <c r="H171" s="50" t="s">
        <v>27</v>
      </c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</row>
    <row r="172" ht="15.75" hidden="1" customHeight="1">
      <c r="A172" s="50" t="s">
        <v>19</v>
      </c>
      <c r="B172" s="50" t="s">
        <v>151</v>
      </c>
      <c r="C172" s="52" t="s">
        <v>21</v>
      </c>
      <c r="D172" s="50" t="s">
        <v>22</v>
      </c>
      <c r="E172" s="50" t="s">
        <v>53</v>
      </c>
      <c r="F172" s="50" t="s">
        <v>152</v>
      </c>
      <c r="G172" s="50">
        <v>24203.17162</v>
      </c>
      <c r="H172" s="50" t="s">
        <v>27</v>
      </c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</row>
    <row r="173" ht="15.75" hidden="1" customHeight="1">
      <c r="A173" s="50" t="s">
        <v>19</v>
      </c>
      <c r="B173" s="50" t="s">
        <v>151</v>
      </c>
      <c r="C173" s="52" t="s">
        <v>21</v>
      </c>
      <c r="D173" s="50" t="s">
        <v>22</v>
      </c>
      <c r="E173" s="50" t="s">
        <v>53</v>
      </c>
      <c r="F173" s="50" t="s">
        <v>152</v>
      </c>
      <c r="G173" s="50">
        <v>24662.52906</v>
      </c>
      <c r="H173" s="50" t="s">
        <v>25</v>
      </c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</row>
    <row r="174" ht="15.75" hidden="1" customHeight="1">
      <c r="A174" s="50" t="s">
        <v>19</v>
      </c>
      <c r="B174" s="50" t="s">
        <v>151</v>
      </c>
      <c r="C174" s="52" t="s">
        <v>21</v>
      </c>
      <c r="D174" s="50" t="s">
        <v>22</v>
      </c>
      <c r="E174" s="50" t="s">
        <v>53</v>
      </c>
      <c r="F174" s="50" t="s">
        <v>152</v>
      </c>
      <c r="G174" s="50">
        <v>24290.29243</v>
      </c>
      <c r="H174" s="50" t="s">
        <v>26</v>
      </c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</row>
    <row r="175" ht="15.75" hidden="1" customHeight="1">
      <c r="A175" s="50" t="s">
        <v>19</v>
      </c>
      <c r="B175" s="50" t="s">
        <v>153</v>
      </c>
      <c r="C175" s="50" t="s">
        <v>21</v>
      </c>
      <c r="D175" s="50" t="s">
        <v>22</v>
      </c>
      <c r="E175" s="50" t="s">
        <v>23</v>
      </c>
      <c r="F175" s="50" t="s">
        <v>154</v>
      </c>
      <c r="G175" s="50">
        <v>17823.580152</v>
      </c>
      <c r="H175" s="50" t="s">
        <v>27</v>
      </c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</row>
    <row r="176" ht="15.75" hidden="1" customHeight="1">
      <c r="A176" s="50" t="s">
        <v>19</v>
      </c>
      <c r="B176" s="50" t="s">
        <v>153</v>
      </c>
      <c r="C176" s="50" t="s">
        <v>21</v>
      </c>
      <c r="D176" s="50" t="s">
        <v>22</v>
      </c>
      <c r="E176" s="50" t="s">
        <v>23</v>
      </c>
      <c r="F176" s="50" t="s">
        <v>154</v>
      </c>
      <c r="G176" s="50">
        <v>17456.613181</v>
      </c>
      <c r="H176" s="50" t="s">
        <v>25</v>
      </c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</row>
    <row r="177" ht="15.75" hidden="1" customHeight="1">
      <c r="A177" s="50" t="s">
        <v>19</v>
      </c>
      <c r="B177" s="50" t="s">
        <v>153</v>
      </c>
      <c r="C177" s="50" t="s">
        <v>21</v>
      </c>
      <c r="D177" s="50" t="s">
        <v>22</v>
      </c>
      <c r="E177" s="50" t="s">
        <v>23</v>
      </c>
      <c r="F177" s="50" t="s">
        <v>154</v>
      </c>
      <c r="G177" s="51">
        <f>4776.24+'Hoja 1'!L124</f>
        <v>14227.44</v>
      </c>
      <c r="H177" s="52" t="s">
        <v>28</v>
      </c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</row>
    <row r="178" ht="15.75" hidden="1" customHeight="1">
      <c r="A178" s="50" t="s">
        <v>19</v>
      </c>
      <c r="B178" s="50" t="s">
        <v>153</v>
      </c>
      <c r="C178" s="50" t="s">
        <v>21</v>
      </c>
      <c r="D178" s="50" t="s">
        <v>22</v>
      </c>
      <c r="E178" s="50" t="s">
        <v>23</v>
      </c>
      <c r="F178" s="50" t="s">
        <v>154</v>
      </c>
      <c r="G178" s="51">
        <f>4776.24+'Hoja 1'!L72</f>
        <v>14227.44</v>
      </c>
      <c r="H178" s="50" t="s">
        <v>26</v>
      </c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</row>
    <row r="179" ht="15.75" hidden="1" customHeight="1">
      <c r="A179" s="50" t="s">
        <v>19</v>
      </c>
      <c r="B179" s="50" t="s">
        <v>155</v>
      </c>
      <c r="C179" s="50" t="s">
        <v>32</v>
      </c>
      <c r="D179" s="50" t="s">
        <v>48</v>
      </c>
      <c r="E179" s="49"/>
      <c r="F179" s="50" t="s">
        <v>156</v>
      </c>
      <c r="G179" s="50">
        <v>20063.457943</v>
      </c>
      <c r="H179" s="50" t="s">
        <v>27</v>
      </c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</row>
    <row r="180" ht="15.75" hidden="1" customHeight="1">
      <c r="A180" s="50" t="s">
        <v>19</v>
      </c>
      <c r="B180" s="50" t="s">
        <v>155</v>
      </c>
      <c r="C180" s="50" t="s">
        <v>32</v>
      </c>
      <c r="D180" s="50" t="s">
        <v>48</v>
      </c>
      <c r="E180" s="49"/>
      <c r="F180" s="50" t="s">
        <v>156</v>
      </c>
      <c r="G180" s="50">
        <v>20207.91754</v>
      </c>
      <c r="H180" s="50" t="s">
        <v>26</v>
      </c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</row>
    <row r="181" ht="15.75" hidden="1" customHeight="1">
      <c r="A181" s="50" t="s">
        <v>19</v>
      </c>
      <c r="B181" s="50" t="s">
        <v>155</v>
      </c>
      <c r="C181" s="50" t="s">
        <v>32</v>
      </c>
      <c r="D181" s="50" t="s">
        <v>48</v>
      </c>
      <c r="E181" s="49"/>
      <c r="F181" s="50" t="s">
        <v>156</v>
      </c>
      <c r="G181" s="50">
        <v>20441.8093</v>
      </c>
      <c r="H181" s="50" t="s">
        <v>25</v>
      </c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</row>
    <row r="182" ht="15.75" hidden="1" customHeight="1">
      <c r="A182" s="50" t="s">
        <v>19</v>
      </c>
      <c r="B182" s="50" t="s">
        <v>157</v>
      </c>
      <c r="C182" s="50" t="s">
        <v>21</v>
      </c>
      <c r="D182" s="50" t="s">
        <v>22</v>
      </c>
      <c r="E182" s="50" t="s">
        <v>93</v>
      </c>
      <c r="F182" s="50" t="s">
        <v>158</v>
      </c>
      <c r="G182" s="50">
        <v>13493.097092</v>
      </c>
      <c r="H182" s="50" t="s">
        <v>27</v>
      </c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</row>
    <row r="183" ht="15.75" hidden="1" customHeight="1">
      <c r="A183" s="50" t="s">
        <v>19</v>
      </c>
      <c r="B183" s="50" t="s">
        <v>157</v>
      </c>
      <c r="C183" s="50" t="s">
        <v>21</v>
      </c>
      <c r="D183" s="50" t="s">
        <v>22</v>
      </c>
      <c r="E183" s="50" t="s">
        <v>93</v>
      </c>
      <c r="F183" s="50" t="s">
        <v>158</v>
      </c>
      <c r="G183" s="50">
        <v>13751.39405</v>
      </c>
      <c r="H183" s="50" t="s">
        <v>25</v>
      </c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</row>
    <row r="184" ht="15.75" hidden="1" customHeight="1">
      <c r="A184" s="50" t="s">
        <v>19</v>
      </c>
      <c r="B184" s="50" t="s">
        <v>157</v>
      </c>
      <c r="C184" s="50" t="s">
        <v>21</v>
      </c>
      <c r="D184" s="50" t="s">
        <v>22</v>
      </c>
      <c r="E184" s="50" t="s">
        <v>93</v>
      </c>
      <c r="F184" s="50" t="s">
        <v>158</v>
      </c>
      <c r="G184" s="50">
        <v>13779.069051</v>
      </c>
      <c r="H184" s="50" t="s">
        <v>26</v>
      </c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</row>
    <row r="185" ht="15.75" hidden="1" customHeight="1">
      <c r="A185" s="50" t="s">
        <v>19</v>
      </c>
      <c r="B185" s="50" t="s">
        <v>159</v>
      </c>
      <c r="C185" s="50" t="s">
        <v>21</v>
      </c>
      <c r="D185" s="50" t="s">
        <v>22</v>
      </c>
      <c r="E185" s="50" t="s">
        <v>23</v>
      </c>
      <c r="F185" s="50" t="s">
        <v>160</v>
      </c>
      <c r="G185" s="51">
        <f>17935.515549+'Hoja 1'!I34</f>
        <v>19510.71555</v>
      </c>
      <c r="H185" s="50" t="s">
        <v>27</v>
      </c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</row>
    <row r="186" ht="15.75" hidden="1" customHeight="1">
      <c r="A186" s="50" t="s">
        <v>19</v>
      </c>
      <c r="B186" s="50" t="s">
        <v>159</v>
      </c>
      <c r="C186" s="50" t="s">
        <v>21</v>
      </c>
      <c r="D186" s="50" t="s">
        <v>22</v>
      </c>
      <c r="E186" s="50" t="s">
        <v>23</v>
      </c>
      <c r="F186" s="50" t="s">
        <v>160</v>
      </c>
      <c r="G186" s="51">
        <f>7118.79+'Hoja 1'!C59+'Hoja 1'!I57</f>
        <v>17062.58</v>
      </c>
      <c r="H186" s="50" t="s">
        <v>26</v>
      </c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</row>
    <row r="187" ht="15.75" hidden="1" customHeight="1">
      <c r="A187" s="50" t="s">
        <v>19</v>
      </c>
      <c r="B187" s="50" t="s">
        <v>159</v>
      </c>
      <c r="C187" s="50" t="s">
        <v>21</v>
      </c>
      <c r="D187" s="50" t="s">
        <v>22</v>
      </c>
      <c r="E187" s="50" t="s">
        <v>23</v>
      </c>
      <c r="F187" s="50" t="s">
        <v>160</v>
      </c>
      <c r="G187" s="50">
        <v>20989.3887</v>
      </c>
      <c r="H187" s="50" t="s">
        <v>25</v>
      </c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</row>
    <row r="188" ht="15.75" hidden="1" customHeight="1">
      <c r="A188" s="50" t="s">
        <v>19</v>
      </c>
      <c r="B188" s="50" t="s">
        <v>159</v>
      </c>
      <c r="C188" s="50" t="s">
        <v>21</v>
      </c>
      <c r="D188" s="50" t="s">
        <v>22</v>
      </c>
      <c r="E188" s="50" t="s">
        <v>23</v>
      </c>
      <c r="F188" s="50" t="s">
        <v>160</v>
      </c>
      <c r="G188" s="53">
        <f>6677.6955+'Hoja 1'!C111+'Hoja 1'!I111</f>
        <v>16128.8955</v>
      </c>
      <c r="H188" s="52" t="s">
        <v>28</v>
      </c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</row>
    <row r="189" ht="15.75" hidden="1" customHeight="1">
      <c r="A189" s="50" t="s">
        <v>19</v>
      </c>
      <c r="B189" s="50" t="s">
        <v>161</v>
      </c>
      <c r="C189" s="50" t="s">
        <v>21</v>
      </c>
      <c r="D189" s="50" t="s">
        <v>22</v>
      </c>
      <c r="E189" s="49"/>
      <c r="F189" s="50" t="s">
        <v>162</v>
      </c>
      <c r="G189" s="50">
        <v>22103.58015</v>
      </c>
      <c r="H189" s="50" t="s">
        <v>27</v>
      </c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</row>
    <row r="190" ht="15.75" hidden="1" customHeight="1">
      <c r="A190" s="50" t="s">
        <v>19</v>
      </c>
      <c r="B190" s="50" t="s">
        <v>161</v>
      </c>
      <c r="C190" s="50" t="s">
        <v>21</v>
      </c>
      <c r="D190" s="50" t="s">
        <v>22</v>
      </c>
      <c r="E190" s="49"/>
      <c r="F190" s="50" t="s">
        <v>162</v>
      </c>
      <c r="G190" s="50">
        <v>8223.170779</v>
      </c>
      <c r="H190" s="50" t="s">
        <v>25</v>
      </c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</row>
    <row r="191" ht="15.75" hidden="1" customHeight="1">
      <c r="A191" s="50" t="s">
        <v>19</v>
      </c>
      <c r="B191" s="50" t="s">
        <v>163</v>
      </c>
      <c r="C191" s="50" t="s">
        <v>21</v>
      </c>
      <c r="D191" s="50" t="s">
        <v>22</v>
      </c>
      <c r="E191" s="50" t="s">
        <v>45</v>
      </c>
      <c r="F191" s="50" t="s">
        <v>164</v>
      </c>
      <c r="G191" s="50">
        <v>12956.360152</v>
      </c>
      <c r="H191" s="50" t="s">
        <v>27</v>
      </c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</row>
    <row r="192" ht="15.75" hidden="1" customHeight="1">
      <c r="A192" s="50" t="s">
        <v>19</v>
      </c>
      <c r="B192" s="50" t="s">
        <v>163</v>
      </c>
      <c r="C192" s="50" t="s">
        <v>21</v>
      </c>
      <c r="D192" s="50" t="s">
        <v>22</v>
      </c>
      <c r="E192" s="50" t="s">
        <v>45</v>
      </c>
      <c r="F192" s="50" t="s">
        <v>164</v>
      </c>
      <c r="G192" s="50">
        <v>13183.478181</v>
      </c>
      <c r="H192" s="50" t="s">
        <v>25</v>
      </c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</row>
    <row r="193" ht="15.75" hidden="1" customHeight="1">
      <c r="A193" s="50" t="s">
        <v>19</v>
      </c>
      <c r="B193" s="50" t="s">
        <v>163</v>
      </c>
      <c r="C193" s="50" t="s">
        <v>21</v>
      </c>
      <c r="D193" s="50" t="s">
        <v>22</v>
      </c>
      <c r="E193" s="50" t="s">
        <v>45</v>
      </c>
      <c r="F193" s="50" t="s">
        <v>164</v>
      </c>
      <c r="G193" s="50">
        <v>13327.44456</v>
      </c>
      <c r="H193" s="50" t="s">
        <v>26</v>
      </c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</row>
    <row r="194" ht="15.75" hidden="1" customHeight="1">
      <c r="A194" s="50" t="s">
        <v>19</v>
      </c>
      <c r="B194" s="50" t="s">
        <v>165</v>
      </c>
      <c r="C194" s="50" t="s">
        <v>68</v>
      </c>
      <c r="D194" s="50" t="s">
        <v>166</v>
      </c>
      <c r="E194" s="49"/>
      <c r="F194" s="50" t="s">
        <v>167</v>
      </c>
      <c r="G194" s="50">
        <v>28041.74439</v>
      </c>
      <c r="H194" s="50" t="s">
        <v>25</v>
      </c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</row>
    <row r="195" ht="15.75" hidden="1" customHeight="1">
      <c r="A195" s="50" t="s">
        <v>19</v>
      </c>
      <c r="B195" s="50" t="s">
        <v>165</v>
      </c>
      <c r="C195" s="50" t="s">
        <v>68</v>
      </c>
      <c r="D195" s="50" t="s">
        <v>166</v>
      </c>
      <c r="E195" s="49"/>
      <c r="F195" s="50" t="s">
        <v>167</v>
      </c>
      <c r="G195" s="50">
        <v>27445.13804</v>
      </c>
      <c r="H195" s="50" t="s">
        <v>26</v>
      </c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</row>
    <row r="196" ht="15.75" hidden="1" customHeight="1">
      <c r="A196" s="50" t="s">
        <v>19</v>
      </c>
      <c r="B196" s="50" t="s">
        <v>165</v>
      </c>
      <c r="C196" s="50" t="s">
        <v>68</v>
      </c>
      <c r="D196" s="50" t="s">
        <v>166</v>
      </c>
      <c r="E196" s="49"/>
      <c r="F196" s="50" t="s">
        <v>167</v>
      </c>
      <c r="G196" s="50">
        <v>29183.312</v>
      </c>
      <c r="H196" s="50" t="s">
        <v>27</v>
      </c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</row>
    <row r="197" ht="15.75" hidden="1" customHeight="1">
      <c r="A197" s="50" t="s">
        <v>19</v>
      </c>
      <c r="B197" s="50" t="s">
        <v>168</v>
      </c>
      <c r="C197" s="50" t="s">
        <v>21</v>
      </c>
      <c r="D197" s="50" t="s">
        <v>22</v>
      </c>
      <c r="E197" s="50" t="s">
        <v>23</v>
      </c>
      <c r="F197" s="50" t="s">
        <v>169</v>
      </c>
      <c r="G197" s="50">
        <v>15614.330722</v>
      </c>
      <c r="H197" s="50" t="s">
        <v>25</v>
      </c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</row>
    <row r="198" ht="15.75" hidden="1" customHeight="1">
      <c r="A198" s="50" t="s">
        <v>19</v>
      </c>
      <c r="B198" s="50" t="s">
        <v>168</v>
      </c>
      <c r="C198" s="50" t="s">
        <v>21</v>
      </c>
      <c r="D198" s="50" t="s">
        <v>22</v>
      </c>
      <c r="E198" s="50" t="s">
        <v>23</v>
      </c>
      <c r="F198" s="50" t="s">
        <v>169</v>
      </c>
      <c r="G198" s="51">
        <f>1338.12+'Hoja 1'!L75</f>
        <v>7953.96</v>
      </c>
      <c r="H198" s="50" t="s">
        <v>26</v>
      </c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</row>
    <row r="199" ht="15.75" hidden="1" customHeight="1">
      <c r="A199" s="50" t="s">
        <v>19</v>
      </c>
      <c r="B199" s="50" t="s">
        <v>168</v>
      </c>
      <c r="C199" s="50" t="s">
        <v>21</v>
      </c>
      <c r="D199" s="50" t="s">
        <v>22</v>
      </c>
      <c r="E199" s="50" t="s">
        <v>23</v>
      </c>
      <c r="F199" s="50" t="s">
        <v>169</v>
      </c>
      <c r="G199" s="50">
        <v>15688.827749</v>
      </c>
      <c r="H199" s="50" t="s">
        <v>27</v>
      </c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</row>
    <row r="200" ht="15.75" hidden="1" customHeight="1">
      <c r="A200" s="50" t="s">
        <v>19</v>
      </c>
      <c r="B200" s="50" t="s">
        <v>168</v>
      </c>
      <c r="C200" s="50" t="s">
        <v>21</v>
      </c>
      <c r="D200" s="50" t="s">
        <v>22</v>
      </c>
      <c r="E200" s="50" t="s">
        <v>23</v>
      </c>
      <c r="F200" s="50" t="s">
        <v>169</v>
      </c>
      <c r="G200" s="51">
        <f>'Hoja 1'!L127</f>
        <v>6300.8</v>
      </c>
      <c r="H200" s="52" t="s">
        <v>28</v>
      </c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</row>
    <row r="201" ht="15.75" hidden="1" customHeight="1">
      <c r="A201" s="50" t="s">
        <v>19</v>
      </c>
      <c r="B201" s="50" t="s">
        <v>170</v>
      </c>
      <c r="C201" s="50" t="s">
        <v>32</v>
      </c>
      <c r="D201" s="50" t="s">
        <v>56</v>
      </c>
      <c r="E201" s="49"/>
      <c r="F201" s="50" t="s">
        <v>171</v>
      </c>
      <c r="G201" s="50">
        <v>7353.691922</v>
      </c>
      <c r="H201" s="50" t="s">
        <v>25</v>
      </c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</row>
    <row r="202" ht="15.75" hidden="1" customHeight="1">
      <c r="A202" s="50" t="s">
        <v>19</v>
      </c>
      <c r="B202" s="50" t="s">
        <v>170</v>
      </c>
      <c r="C202" s="50" t="s">
        <v>32</v>
      </c>
      <c r="D202" s="50" t="s">
        <v>56</v>
      </c>
      <c r="E202" s="49"/>
      <c r="F202" s="50" t="s">
        <v>171</v>
      </c>
      <c r="G202" s="51">
        <f>10333.049216+'Hoja 1'!I84</f>
        <v>12538.32922</v>
      </c>
      <c r="H202" s="50" t="s">
        <v>26</v>
      </c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</row>
    <row r="203" ht="15.75" hidden="1" customHeight="1">
      <c r="A203" s="50" t="s">
        <v>19</v>
      </c>
      <c r="B203" s="50" t="s">
        <v>170</v>
      </c>
      <c r="C203" s="50" t="s">
        <v>32</v>
      </c>
      <c r="D203" s="50" t="s">
        <v>56</v>
      </c>
      <c r="E203" s="49"/>
      <c r="F203" s="50" t="s">
        <v>171</v>
      </c>
      <c r="G203" s="50">
        <v>16763.887932</v>
      </c>
      <c r="H203" s="50" t="s">
        <v>27</v>
      </c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</row>
    <row r="204" ht="15.75" hidden="1" customHeight="1">
      <c r="A204" s="50" t="s">
        <v>19</v>
      </c>
      <c r="B204" s="50" t="s">
        <v>170</v>
      </c>
      <c r="C204" s="50" t="s">
        <v>32</v>
      </c>
      <c r="D204" s="50" t="s">
        <v>56</v>
      </c>
      <c r="E204" s="49"/>
      <c r="F204" s="50" t="s">
        <v>171</v>
      </c>
      <c r="G204" s="51">
        <f>3726.24+'Hoja 1'!L138</f>
        <v>13177.44</v>
      </c>
      <c r="H204" s="52" t="s">
        <v>28</v>
      </c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</row>
    <row r="205" ht="15.75" hidden="1" customHeight="1">
      <c r="A205" s="50" t="s">
        <v>19</v>
      </c>
      <c r="B205" s="50" t="s">
        <v>172</v>
      </c>
      <c r="C205" s="50" t="s">
        <v>21</v>
      </c>
      <c r="D205" s="50" t="s">
        <v>22</v>
      </c>
      <c r="E205" s="50" t="s">
        <v>98</v>
      </c>
      <c r="F205" s="50" t="s">
        <v>173</v>
      </c>
      <c r="G205" s="50">
        <v>15927.656463</v>
      </c>
      <c r="H205" s="50" t="s">
        <v>26</v>
      </c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</row>
    <row r="206" ht="15.75" hidden="1" customHeight="1">
      <c r="A206" s="50" t="s">
        <v>19</v>
      </c>
      <c r="B206" s="50" t="s">
        <v>172</v>
      </c>
      <c r="C206" s="50" t="s">
        <v>21</v>
      </c>
      <c r="D206" s="50" t="s">
        <v>22</v>
      </c>
      <c r="E206" s="50" t="s">
        <v>98</v>
      </c>
      <c r="F206" s="50" t="s">
        <v>173</v>
      </c>
      <c r="G206" s="50">
        <v>15635.661516</v>
      </c>
      <c r="H206" s="50" t="s">
        <v>27</v>
      </c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</row>
    <row r="207" ht="15.75" hidden="1" customHeight="1">
      <c r="A207" s="50" t="s">
        <v>19</v>
      </c>
      <c r="B207" s="50" t="s">
        <v>172</v>
      </c>
      <c r="C207" s="50" t="s">
        <v>21</v>
      </c>
      <c r="D207" s="50" t="s">
        <v>22</v>
      </c>
      <c r="E207" s="50" t="s">
        <v>98</v>
      </c>
      <c r="F207" s="50" t="s">
        <v>173</v>
      </c>
      <c r="G207" s="50">
        <v>15934.228414</v>
      </c>
      <c r="H207" s="50" t="s">
        <v>25</v>
      </c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</row>
    <row r="208" ht="15.75" hidden="1" customHeight="1">
      <c r="A208" s="50" t="s">
        <v>19</v>
      </c>
      <c r="B208" s="50" t="s">
        <v>174</v>
      </c>
      <c r="C208" s="50" t="s">
        <v>21</v>
      </c>
      <c r="D208" s="50" t="s">
        <v>22</v>
      </c>
      <c r="E208" s="50" t="s">
        <v>63</v>
      </c>
      <c r="F208" s="50" t="s">
        <v>175</v>
      </c>
      <c r="G208" s="50">
        <v>15967.427722</v>
      </c>
      <c r="H208" s="50" t="s">
        <v>25</v>
      </c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</row>
    <row r="209" ht="15.75" hidden="1" customHeight="1">
      <c r="A209" s="50" t="s">
        <v>19</v>
      </c>
      <c r="B209" s="50" t="s">
        <v>174</v>
      </c>
      <c r="C209" s="50" t="s">
        <v>21</v>
      </c>
      <c r="D209" s="50" t="s">
        <v>22</v>
      </c>
      <c r="E209" s="50" t="s">
        <v>63</v>
      </c>
      <c r="F209" s="50" t="s">
        <v>175</v>
      </c>
      <c r="G209" s="51">
        <f>2676.24+'Hoja 1'!L68</f>
        <v>12127.44</v>
      </c>
      <c r="H209" s="50" t="s">
        <v>26</v>
      </c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</row>
    <row r="210" ht="15.75" hidden="1" customHeight="1">
      <c r="A210" s="50" t="s">
        <v>19</v>
      </c>
      <c r="B210" s="50" t="s">
        <v>174</v>
      </c>
      <c r="C210" s="50" t="s">
        <v>21</v>
      </c>
      <c r="D210" s="50" t="s">
        <v>22</v>
      </c>
      <c r="E210" s="50" t="s">
        <v>63</v>
      </c>
      <c r="F210" s="50" t="s">
        <v>175</v>
      </c>
      <c r="G210" s="50">
        <v>15688.827749</v>
      </c>
      <c r="H210" s="50" t="s">
        <v>27</v>
      </c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</row>
    <row r="211" ht="15.75" hidden="1" customHeight="1">
      <c r="A211" s="50" t="s">
        <v>19</v>
      </c>
      <c r="B211" s="50" t="s">
        <v>174</v>
      </c>
      <c r="C211" s="50" t="s">
        <v>21</v>
      </c>
      <c r="D211" s="50" t="s">
        <v>22</v>
      </c>
      <c r="E211" s="50" t="s">
        <v>63</v>
      </c>
      <c r="F211" s="50" t="s">
        <v>175</v>
      </c>
      <c r="G211" s="51">
        <f>2676.24+'Hoja 1'!L120</f>
        <v>12127.44</v>
      </c>
      <c r="H211" s="52" t="s">
        <v>28</v>
      </c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</row>
    <row r="212" ht="15.75" hidden="1" customHeight="1">
      <c r="A212" s="50" t="s">
        <v>19</v>
      </c>
      <c r="B212" s="50" t="s">
        <v>176</v>
      </c>
      <c r="C212" s="50" t="s">
        <v>21</v>
      </c>
      <c r="D212" s="50" t="s">
        <v>22</v>
      </c>
      <c r="E212" s="50" t="s">
        <v>42</v>
      </c>
      <c r="F212" s="50" t="s">
        <v>177</v>
      </c>
      <c r="G212" s="50">
        <v>7350.0</v>
      </c>
      <c r="H212" s="50" t="s">
        <v>27</v>
      </c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</row>
    <row r="213" ht="15.75" hidden="1" customHeight="1">
      <c r="A213" s="50" t="s">
        <v>19</v>
      </c>
      <c r="B213" s="50" t="s">
        <v>176</v>
      </c>
      <c r="C213" s="50" t="s">
        <v>21</v>
      </c>
      <c r="D213" s="50" t="s">
        <v>22</v>
      </c>
      <c r="E213" s="50" t="s">
        <v>42</v>
      </c>
      <c r="F213" s="50" t="s">
        <v>177</v>
      </c>
      <c r="G213" s="50">
        <v>7350.0</v>
      </c>
      <c r="H213" s="50" t="s">
        <v>25</v>
      </c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</row>
    <row r="214" ht="15.75" hidden="1" customHeight="1">
      <c r="A214" s="50" t="s">
        <v>19</v>
      </c>
      <c r="B214" s="50" t="s">
        <v>176</v>
      </c>
      <c r="C214" s="50" t="s">
        <v>21</v>
      </c>
      <c r="D214" s="50" t="s">
        <v>22</v>
      </c>
      <c r="E214" s="50" t="s">
        <v>42</v>
      </c>
      <c r="F214" s="50" t="s">
        <v>177</v>
      </c>
      <c r="G214" s="50">
        <v>7350.0</v>
      </c>
      <c r="H214" s="50" t="s">
        <v>26</v>
      </c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</row>
    <row r="215" ht="15.75" hidden="1" customHeight="1">
      <c r="A215" s="50" t="s">
        <v>19</v>
      </c>
      <c r="B215" s="50" t="s">
        <v>178</v>
      </c>
      <c r="C215" s="50" t="s">
        <v>32</v>
      </c>
      <c r="D215" s="50" t="s">
        <v>56</v>
      </c>
      <c r="E215" s="49"/>
      <c r="F215" s="50" t="s">
        <v>179</v>
      </c>
      <c r="G215" s="51">
        <f>4776.24+'Hoja 1'!L70</f>
        <v>14227.44</v>
      </c>
      <c r="H215" s="50" t="s">
        <v>26</v>
      </c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</row>
    <row r="216" ht="15.75" hidden="1" customHeight="1">
      <c r="A216" s="50" t="s">
        <v>19</v>
      </c>
      <c r="B216" s="50" t="s">
        <v>178</v>
      </c>
      <c r="C216" s="50" t="s">
        <v>32</v>
      </c>
      <c r="D216" s="50" t="s">
        <v>56</v>
      </c>
      <c r="E216" s="49"/>
      <c r="F216" s="50" t="s">
        <v>179</v>
      </c>
      <c r="G216" s="50">
        <v>17835.913761</v>
      </c>
      <c r="H216" s="50" t="s">
        <v>27</v>
      </c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</row>
    <row r="217" ht="15.75" hidden="1" customHeight="1">
      <c r="A217" s="50" t="s">
        <v>19</v>
      </c>
      <c r="B217" s="50" t="s">
        <v>178</v>
      </c>
      <c r="C217" s="50" t="s">
        <v>32</v>
      </c>
      <c r="D217" s="50" t="s">
        <v>56</v>
      </c>
      <c r="E217" s="49"/>
      <c r="F217" s="50" t="s">
        <v>179</v>
      </c>
      <c r="G217" s="50">
        <v>18180.823</v>
      </c>
      <c r="H217" s="50" t="s">
        <v>25</v>
      </c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</row>
    <row r="218" ht="15.75" hidden="1" customHeight="1">
      <c r="A218" s="50" t="s">
        <v>19</v>
      </c>
      <c r="B218" s="50" t="s">
        <v>178</v>
      </c>
      <c r="C218" s="50" t="s">
        <v>32</v>
      </c>
      <c r="D218" s="50" t="s">
        <v>56</v>
      </c>
      <c r="E218" s="49"/>
      <c r="F218" s="50" t="s">
        <v>179</v>
      </c>
      <c r="G218" s="51">
        <f>4776.24+'Hoja 1'!L122</f>
        <v>14227.44</v>
      </c>
      <c r="H218" s="52" t="s">
        <v>28</v>
      </c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</row>
    <row r="219" ht="15.75" hidden="1" customHeight="1">
      <c r="A219" s="50" t="s">
        <v>19</v>
      </c>
      <c r="B219" s="50" t="s">
        <v>180</v>
      </c>
      <c r="C219" s="50" t="s">
        <v>32</v>
      </c>
      <c r="D219" s="50" t="s">
        <v>48</v>
      </c>
      <c r="E219" s="49"/>
      <c r="F219" s="50" t="s">
        <v>181</v>
      </c>
      <c r="G219" s="50">
        <v>32765.73604</v>
      </c>
      <c r="H219" s="50" t="s">
        <v>27</v>
      </c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</row>
    <row r="220" ht="15.75" hidden="1" customHeight="1">
      <c r="A220" s="50" t="s">
        <v>19</v>
      </c>
      <c r="B220" s="50" t="s">
        <v>180</v>
      </c>
      <c r="C220" s="50" t="s">
        <v>32</v>
      </c>
      <c r="D220" s="50" t="s">
        <v>48</v>
      </c>
      <c r="E220" s="49"/>
      <c r="F220" s="50" t="s">
        <v>181</v>
      </c>
      <c r="G220" s="50">
        <v>33385.36342</v>
      </c>
      <c r="H220" s="50" t="s">
        <v>25</v>
      </c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</row>
    <row r="221" ht="15.75" hidden="1" customHeight="1">
      <c r="A221" s="50" t="s">
        <v>19</v>
      </c>
      <c r="B221" s="50" t="s">
        <v>180</v>
      </c>
      <c r="C221" s="50" t="s">
        <v>32</v>
      </c>
      <c r="D221" s="50" t="s">
        <v>48</v>
      </c>
      <c r="E221" s="49"/>
      <c r="F221" s="50" t="s">
        <v>181</v>
      </c>
      <c r="G221" s="50">
        <v>32739.05659</v>
      </c>
      <c r="H221" s="50" t="s">
        <v>26</v>
      </c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</row>
    <row r="222" ht="15.75" hidden="1" customHeight="1">
      <c r="A222" s="50" t="s">
        <v>19</v>
      </c>
      <c r="B222" s="50" t="s">
        <v>182</v>
      </c>
      <c r="C222" s="50" t="s">
        <v>21</v>
      </c>
      <c r="D222" s="50" t="s">
        <v>22</v>
      </c>
      <c r="E222" s="50" t="s">
        <v>143</v>
      </c>
      <c r="F222" s="50" t="s">
        <v>183</v>
      </c>
      <c r="G222" s="50">
        <v>15638.225941</v>
      </c>
      <c r="H222" s="50" t="s">
        <v>27</v>
      </c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</row>
    <row r="223" ht="15.75" hidden="1" customHeight="1">
      <c r="A223" s="50" t="s">
        <v>19</v>
      </c>
      <c r="B223" s="50" t="s">
        <v>182</v>
      </c>
      <c r="C223" s="50" t="s">
        <v>21</v>
      </c>
      <c r="D223" s="50" t="s">
        <v>22</v>
      </c>
      <c r="E223" s="50" t="s">
        <v>143</v>
      </c>
      <c r="F223" s="50" t="s">
        <v>183</v>
      </c>
      <c r="G223" s="50">
        <v>15930.558312</v>
      </c>
      <c r="H223" s="50" t="s">
        <v>26</v>
      </c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</row>
    <row r="224" ht="15.75" hidden="1" customHeight="1">
      <c r="A224" s="50" t="s">
        <v>19</v>
      </c>
      <c r="B224" s="50" t="s">
        <v>182</v>
      </c>
      <c r="C224" s="50" t="s">
        <v>21</v>
      </c>
      <c r="D224" s="50" t="s">
        <v>22</v>
      </c>
      <c r="E224" s="50" t="s">
        <v>143</v>
      </c>
      <c r="F224" s="50" t="s">
        <v>183</v>
      </c>
      <c r="G224" s="50">
        <v>15937.062778</v>
      </c>
      <c r="H224" s="50" t="s">
        <v>25</v>
      </c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</row>
    <row r="225" ht="15.75" hidden="1" customHeight="1">
      <c r="A225" s="50" t="s">
        <v>19</v>
      </c>
      <c r="B225" s="50" t="s">
        <v>184</v>
      </c>
      <c r="C225" s="50" t="s">
        <v>32</v>
      </c>
      <c r="D225" s="50" t="s">
        <v>56</v>
      </c>
      <c r="E225" s="49"/>
      <c r="F225" s="50" t="s">
        <v>185</v>
      </c>
      <c r="G225" s="50">
        <v>12911.005941</v>
      </c>
      <c r="H225" s="50" t="s">
        <v>27</v>
      </c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</row>
    <row r="226" ht="15.75" hidden="1" customHeight="1">
      <c r="A226" s="50" t="s">
        <v>19</v>
      </c>
      <c r="B226" s="50" t="s">
        <v>184</v>
      </c>
      <c r="C226" s="50" t="s">
        <v>32</v>
      </c>
      <c r="D226" s="50" t="s">
        <v>56</v>
      </c>
      <c r="E226" s="49"/>
      <c r="F226" s="50" t="s">
        <v>185</v>
      </c>
      <c r="G226" s="50">
        <v>13158.862778</v>
      </c>
      <c r="H226" s="50" t="s">
        <v>25</v>
      </c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</row>
    <row r="227" ht="15.75" hidden="1" customHeight="1">
      <c r="A227" s="50" t="s">
        <v>19</v>
      </c>
      <c r="B227" s="50" t="s">
        <v>184</v>
      </c>
      <c r="C227" s="50" t="s">
        <v>32</v>
      </c>
      <c r="D227" s="50" t="s">
        <v>56</v>
      </c>
      <c r="E227" s="49"/>
      <c r="F227" s="50" t="s">
        <v>185</v>
      </c>
      <c r="G227" s="50">
        <v>13254.318312</v>
      </c>
      <c r="H227" s="50" t="s">
        <v>26</v>
      </c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</row>
    <row r="228" ht="15.75" hidden="1" customHeight="1">
      <c r="A228" s="50" t="s">
        <v>19</v>
      </c>
      <c r="B228" s="50" t="s">
        <v>186</v>
      </c>
      <c r="C228" s="50" t="s">
        <v>21</v>
      </c>
      <c r="D228" s="50" t="s">
        <v>56</v>
      </c>
      <c r="E228" s="49"/>
      <c r="F228" s="50" t="s">
        <v>187</v>
      </c>
      <c r="G228" s="50">
        <v>15879.069051</v>
      </c>
      <c r="H228" s="50" t="s">
        <v>26</v>
      </c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</row>
    <row r="229" ht="15.75" hidden="1" customHeight="1">
      <c r="A229" s="50" t="s">
        <v>19</v>
      </c>
      <c r="B229" s="50" t="s">
        <v>186</v>
      </c>
      <c r="C229" s="50" t="s">
        <v>21</v>
      </c>
      <c r="D229" s="50" t="s">
        <v>56</v>
      </c>
      <c r="E229" s="49"/>
      <c r="F229" s="50" t="s">
        <v>187</v>
      </c>
      <c r="G229" s="50">
        <v>15931.39405</v>
      </c>
      <c r="H229" s="50" t="s">
        <v>25</v>
      </c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</row>
    <row r="230" ht="15.75" hidden="1" customHeight="1">
      <c r="A230" s="50" t="s">
        <v>19</v>
      </c>
      <c r="B230" s="50" t="s">
        <v>186</v>
      </c>
      <c r="C230" s="50" t="s">
        <v>21</v>
      </c>
      <c r="D230" s="50" t="s">
        <v>56</v>
      </c>
      <c r="E230" s="49"/>
      <c r="F230" s="50" t="s">
        <v>187</v>
      </c>
      <c r="G230" s="50">
        <v>15475.597092</v>
      </c>
      <c r="H230" s="50" t="s">
        <v>27</v>
      </c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</row>
    <row r="231" ht="15.75" hidden="1" customHeight="1">
      <c r="A231" s="50" t="s">
        <v>19</v>
      </c>
      <c r="B231" s="50" t="s">
        <v>188</v>
      </c>
      <c r="C231" s="50" t="s">
        <v>21</v>
      </c>
      <c r="D231" s="50" t="s">
        <v>22</v>
      </c>
      <c r="E231" s="49"/>
      <c r="F231" s="50" t="s">
        <v>189</v>
      </c>
      <c r="G231" s="50">
        <v>15961.678181</v>
      </c>
      <c r="H231" s="50" t="s">
        <v>25</v>
      </c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</row>
    <row r="232" ht="15.75" hidden="1" customHeight="1">
      <c r="A232" s="50" t="s">
        <v>19</v>
      </c>
      <c r="B232" s="50" t="s">
        <v>190</v>
      </c>
      <c r="C232" s="50" t="s">
        <v>32</v>
      </c>
      <c r="D232" s="52" t="s">
        <v>118</v>
      </c>
      <c r="E232" s="49"/>
      <c r="F232" s="50" t="s">
        <v>191</v>
      </c>
      <c r="G232" s="51">
        <f>30975+'Hoja 1'!C7+'Hoja 1'!I7</f>
        <v>43974.9</v>
      </c>
      <c r="H232" s="50" t="s">
        <v>25</v>
      </c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</row>
    <row r="233" ht="15.75" hidden="1" customHeight="1">
      <c r="A233" s="50" t="s">
        <v>19</v>
      </c>
      <c r="B233" s="50" t="s">
        <v>190</v>
      </c>
      <c r="C233" s="50" t="s">
        <v>32</v>
      </c>
      <c r="D233" s="52" t="s">
        <v>118</v>
      </c>
      <c r="E233" s="49"/>
      <c r="F233" s="50" t="s">
        <v>191</v>
      </c>
      <c r="G233" s="51">
        <f>30975+'Hoja 1'!C22+'Hoja 1'!I23</f>
        <v>43974.9</v>
      </c>
      <c r="H233" s="50" t="s">
        <v>27</v>
      </c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</row>
    <row r="234" ht="15.75" hidden="1" customHeight="1">
      <c r="A234" s="50" t="s">
        <v>19</v>
      </c>
      <c r="B234" s="50" t="s">
        <v>190</v>
      </c>
      <c r="C234" s="50" t="s">
        <v>32</v>
      </c>
      <c r="D234" s="52" t="s">
        <v>118</v>
      </c>
      <c r="E234" s="49"/>
      <c r="F234" s="50" t="s">
        <v>191</v>
      </c>
      <c r="G234" s="51">
        <v>43974.899999999994</v>
      </c>
      <c r="H234" s="50" t="s">
        <v>26</v>
      </c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</row>
    <row r="235" ht="15.75" hidden="1" customHeight="1">
      <c r="A235" s="50" t="s">
        <v>19</v>
      </c>
      <c r="B235" s="50" t="s">
        <v>190</v>
      </c>
      <c r="C235" s="50" t="s">
        <v>32</v>
      </c>
      <c r="D235" s="52" t="s">
        <v>118</v>
      </c>
      <c r="E235" s="49"/>
      <c r="F235" s="50" t="s">
        <v>191</v>
      </c>
      <c r="G235" s="51">
        <v>43974.899999999994</v>
      </c>
      <c r="H235" s="52" t="s">
        <v>28</v>
      </c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</row>
    <row r="236" ht="15.75" hidden="1" customHeight="1">
      <c r="A236" s="50" t="s">
        <v>19</v>
      </c>
      <c r="B236" s="50" t="s">
        <v>192</v>
      </c>
      <c r="C236" s="50" t="s">
        <v>32</v>
      </c>
      <c r="D236" s="50" t="s">
        <v>193</v>
      </c>
      <c r="E236" s="50" t="s">
        <v>23</v>
      </c>
      <c r="F236" s="50" t="s">
        <v>194</v>
      </c>
      <c r="G236" s="50">
        <v>17027.062778</v>
      </c>
      <c r="H236" s="50" t="s">
        <v>25</v>
      </c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</row>
    <row r="237" ht="15.75" hidden="1" customHeight="1">
      <c r="A237" s="50" t="s">
        <v>19</v>
      </c>
      <c r="B237" s="50" t="s">
        <v>192</v>
      </c>
      <c r="C237" s="50" t="s">
        <v>32</v>
      </c>
      <c r="D237" s="50" t="s">
        <v>193</v>
      </c>
      <c r="E237" s="50" t="s">
        <v>23</v>
      </c>
      <c r="F237" s="50" t="s">
        <v>194</v>
      </c>
      <c r="G237" s="50">
        <v>16934.78277</v>
      </c>
      <c r="H237" s="50" t="s">
        <v>26</v>
      </c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</row>
    <row r="238" ht="15.75" hidden="1" customHeight="1">
      <c r="A238" s="50" t="s">
        <v>19</v>
      </c>
      <c r="B238" s="50" t="s">
        <v>192</v>
      </c>
      <c r="C238" s="50" t="s">
        <v>32</v>
      </c>
      <c r="D238" s="50" t="s">
        <v>193</v>
      </c>
      <c r="E238" s="50" t="s">
        <v>23</v>
      </c>
      <c r="F238" s="50" t="s">
        <v>194</v>
      </c>
      <c r="G238" s="50">
        <v>17652.899441</v>
      </c>
      <c r="H238" s="50" t="s">
        <v>27</v>
      </c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</row>
    <row r="239" ht="15.75" hidden="1" customHeight="1">
      <c r="A239" s="50" t="s">
        <v>19</v>
      </c>
      <c r="B239" s="50" t="s">
        <v>195</v>
      </c>
      <c r="C239" s="50" t="s">
        <v>32</v>
      </c>
      <c r="D239" s="50" t="s">
        <v>56</v>
      </c>
      <c r="E239" s="49"/>
      <c r="F239" s="50" t="s">
        <v>196</v>
      </c>
      <c r="G239" s="50">
        <v>20305.36342</v>
      </c>
      <c r="H239" s="50" t="s">
        <v>25</v>
      </c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</row>
    <row r="240" ht="15.75" hidden="1" customHeight="1">
      <c r="A240" s="50" t="s">
        <v>19</v>
      </c>
      <c r="B240" s="50" t="s">
        <v>195</v>
      </c>
      <c r="C240" s="50" t="s">
        <v>32</v>
      </c>
      <c r="D240" s="50" t="s">
        <v>56</v>
      </c>
      <c r="E240" s="49"/>
      <c r="F240" s="50" t="s">
        <v>196</v>
      </c>
      <c r="G240" s="50">
        <v>20093.14929</v>
      </c>
      <c r="H240" s="50" t="s">
        <v>26</v>
      </c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</row>
    <row r="241" ht="15.75" hidden="1" customHeight="1">
      <c r="A241" s="50" t="s">
        <v>19</v>
      </c>
      <c r="B241" s="50" t="s">
        <v>195</v>
      </c>
      <c r="C241" s="50" t="s">
        <v>32</v>
      </c>
      <c r="D241" s="50" t="s">
        <v>56</v>
      </c>
      <c r="E241" s="49"/>
      <c r="F241" s="50" t="s">
        <v>196</v>
      </c>
      <c r="G241" s="50">
        <v>19925.736044</v>
      </c>
      <c r="H241" s="50" t="s">
        <v>27</v>
      </c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</row>
    <row r="242" ht="15.75" hidden="1" customHeight="1">
      <c r="A242" s="50" t="s">
        <v>19</v>
      </c>
      <c r="B242" s="50" t="s">
        <v>197</v>
      </c>
      <c r="C242" s="50" t="s">
        <v>68</v>
      </c>
      <c r="D242" s="50" t="s">
        <v>198</v>
      </c>
      <c r="E242" s="49"/>
      <c r="F242" s="50" t="s">
        <v>199</v>
      </c>
      <c r="G242" s="50">
        <v>16512.962652</v>
      </c>
      <c r="H242" s="50" t="s">
        <v>26</v>
      </c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</row>
    <row r="243" ht="15.75" hidden="1" customHeight="1">
      <c r="A243" s="50" t="s">
        <v>19</v>
      </c>
      <c r="B243" s="50" t="s">
        <v>197</v>
      </c>
      <c r="C243" s="50" t="s">
        <v>68</v>
      </c>
      <c r="D243" s="50" t="s">
        <v>198</v>
      </c>
      <c r="E243" s="49"/>
      <c r="F243" s="50" t="s">
        <v>199</v>
      </c>
      <c r="G243" s="50">
        <v>16708.225941</v>
      </c>
      <c r="H243" s="50" t="s">
        <v>27</v>
      </c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</row>
    <row r="244" ht="15.75" hidden="1" customHeight="1">
      <c r="A244" s="50" t="s">
        <v>19</v>
      </c>
      <c r="B244" s="50" t="s">
        <v>197</v>
      </c>
      <c r="C244" s="50" t="s">
        <v>68</v>
      </c>
      <c r="D244" s="50" t="s">
        <v>198</v>
      </c>
      <c r="E244" s="49"/>
      <c r="F244" s="50" t="s">
        <v>199</v>
      </c>
      <c r="G244" s="50">
        <v>17027.062778</v>
      </c>
      <c r="H244" s="50" t="s">
        <v>25</v>
      </c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</row>
    <row r="245" ht="15.75" hidden="1" customHeight="1">
      <c r="A245" s="50" t="s">
        <v>19</v>
      </c>
      <c r="B245" s="50" t="s">
        <v>200</v>
      </c>
      <c r="C245" s="50" t="s">
        <v>32</v>
      </c>
      <c r="D245" s="50" t="s">
        <v>48</v>
      </c>
      <c r="E245" s="49"/>
      <c r="F245" s="50" t="s">
        <v>201</v>
      </c>
      <c r="G245" s="50">
        <v>18855.736044</v>
      </c>
      <c r="H245" s="50" t="s">
        <v>27</v>
      </c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</row>
    <row r="246" ht="15.75" hidden="1" customHeight="1">
      <c r="A246" s="50" t="s">
        <v>19</v>
      </c>
      <c r="B246" s="50" t="s">
        <v>200</v>
      </c>
      <c r="C246" s="50" t="s">
        <v>32</v>
      </c>
      <c r="D246" s="50" t="s">
        <v>48</v>
      </c>
      <c r="E246" s="49"/>
      <c r="F246" s="50" t="s">
        <v>201</v>
      </c>
      <c r="G246" s="50">
        <v>19215.363418</v>
      </c>
      <c r="H246" s="50" t="s">
        <v>25</v>
      </c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</row>
    <row r="247" ht="15.75" hidden="1" customHeight="1">
      <c r="A247" s="50" t="s">
        <v>19</v>
      </c>
      <c r="B247" s="50" t="s">
        <v>200</v>
      </c>
      <c r="C247" s="50" t="s">
        <v>32</v>
      </c>
      <c r="D247" s="50" t="s">
        <v>48</v>
      </c>
      <c r="E247" s="49"/>
      <c r="F247" s="50" t="s">
        <v>201</v>
      </c>
      <c r="G247" s="50">
        <v>18459.056587</v>
      </c>
      <c r="H247" s="50" t="s">
        <v>26</v>
      </c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</row>
    <row r="248" ht="15.75" hidden="1" customHeight="1">
      <c r="A248" s="50" t="s">
        <v>19</v>
      </c>
      <c r="B248" s="50" t="s">
        <v>202</v>
      </c>
      <c r="C248" s="50" t="s">
        <v>21</v>
      </c>
      <c r="D248" s="50" t="s">
        <v>56</v>
      </c>
      <c r="E248" s="49"/>
      <c r="F248" s="50" t="s">
        <v>203</v>
      </c>
      <c r="G248" s="50">
        <v>40917.85954</v>
      </c>
      <c r="H248" s="50" t="s">
        <v>27</v>
      </c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</row>
    <row r="249" ht="15.75" hidden="1" customHeight="1">
      <c r="A249" s="50" t="s">
        <v>19</v>
      </c>
      <c r="B249" s="50" t="s">
        <v>202</v>
      </c>
      <c r="C249" s="50" t="s">
        <v>21</v>
      </c>
      <c r="D249" s="50" t="s">
        <v>56</v>
      </c>
      <c r="E249" s="49"/>
      <c r="F249" s="50" t="s">
        <v>203</v>
      </c>
      <c r="G249" s="50">
        <v>41647.00913</v>
      </c>
      <c r="H249" s="50" t="s">
        <v>25</v>
      </c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</row>
    <row r="250" ht="15.75" hidden="1" customHeight="1">
      <c r="A250" s="50" t="s">
        <v>19</v>
      </c>
      <c r="B250" s="50" t="s">
        <v>202</v>
      </c>
      <c r="C250" s="50" t="s">
        <v>21</v>
      </c>
      <c r="D250" s="50" t="s">
        <v>56</v>
      </c>
      <c r="E250" s="49"/>
      <c r="F250" s="50" t="s">
        <v>203</v>
      </c>
      <c r="G250" s="50">
        <v>40675.54158999999</v>
      </c>
      <c r="H250" s="50" t="s">
        <v>26</v>
      </c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</row>
    <row r="251" ht="15.75" hidden="1" customHeight="1">
      <c r="A251" s="50" t="s">
        <v>19</v>
      </c>
      <c r="B251" s="50" t="s">
        <v>204</v>
      </c>
      <c r="C251" s="50" t="s">
        <v>32</v>
      </c>
      <c r="D251" s="50" t="s">
        <v>103</v>
      </c>
      <c r="E251" s="49"/>
      <c r="F251" s="50" t="s">
        <v>205</v>
      </c>
      <c r="G251" s="50">
        <v>19340.144052</v>
      </c>
      <c r="H251" s="50" t="s">
        <v>25</v>
      </c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</row>
    <row r="252" ht="15.75" hidden="1" customHeight="1">
      <c r="A252" s="50" t="s">
        <v>19</v>
      </c>
      <c r="B252" s="50" t="s">
        <v>204</v>
      </c>
      <c r="C252" s="50" t="s">
        <v>32</v>
      </c>
      <c r="D252" s="50" t="s">
        <v>103</v>
      </c>
      <c r="E252" s="49"/>
      <c r="F252" s="50" t="s">
        <v>205</v>
      </c>
      <c r="G252" s="50">
        <v>18982.853175</v>
      </c>
      <c r="H252" s="50" t="s">
        <v>27</v>
      </c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</row>
    <row r="253" ht="15.75" hidden="1" customHeight="1">
      <c r="A253" s="50" t="s">
        <v>19</v>
      </c>
      <c r="B253" s="50" t="s">
        <v>204</v>
      </c>
      <c r="C253" s="50" t="s">
        <v>32</v>
      </c>
      <c r="D253" s="50" t="s">
        <v>103</v>
      </c>
      <c r="E253" s="49"/>
      <c r="F253" s="50" t="s">
        <v>205</v>
      </c>
      <c r="G253" s="50">
        <v>19146.252292</v>
      </c>
      <c r="H253" s="50" t="s">
        <v>26</v>
      </c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</row>
    <row r="254" ht="15.75" hidden="1" customHeight="1">
      <c r="A254" s="50" t="s">
        <v>19</v>
      </c>
      <c r="B254" s="50" t="s">
        <v>206</v>
      </c>
      <c r="C254" s="50" t="s">
        <v>21</v>
      </c>
      <c r="D254" s="50" t="s">
        <v>22</v>
      </c>
      <c r="E254" s="50" t="s">
        <v>23</v>
      </c>
      <c r="F254" s="50" t="s">
        <v>207</v>
      </c>
      <c r="G254" s="51">
        <f>3428.67+'Hoja 1'!L66</f>
        <v>12879.87</v>
      </c>
      <c r="H254" s="50" t="s">
        <v>26</v>
      </c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</row>
    <row r="255" ht="15.75" hidden="1" customHeight="1">
      <c r="A255" s="50" t="s">
        <v>19</v>
      </c>
      <c r="B255" s="50" t="s">
        <v>206</v>
      </c>
      <c r="C255" s="50" t="s">
        <v>21</v>
      </c>
      <c r="D255" s="50" t="s">
        <v>22</v>
      </c>
      <c r="E255" s="50" t="s">
        <v>23</v>
      </c>
      <c r="F255" s="50" t="s">
        <v>207</v>
      </c>
      <c r="G255" s="50">
        <v>17288.580152</v>
      </c>
      <c r="H255" s="50" t="s">
        <v>27</v>
      </c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</row>
    <row r="256" ht="15.75" hidden="1" customHeight="1">
      <c r="A256" s="50" t="s">
        <v>19</v>
      </c>
      <c r="B256" s="50" t="s">
        <v>206</v>
      </c>
      <c r="C256" s="50" t="s">
        <v>21</v>
      </c>
      <c r="D256" s="50" t="s">
        <v>22</v>
      </c>
      <c r="E256" s="50" t="s">
        <v>23</v>
      </c>
      <c r="F256" s="50" t="s">
        <v>207</v>
      </c>
      <c r="G256" s="50">
        <v>15604.598181</v>
      </c>
      <c r="H256" s="50" t="s">
        <v>25</v>
      </c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</row>
    <row r="257" ht="15.75" hidden="1" customHeight="1">
      <c r="A257" s="50" t="s">
        <v>19</v>
      </c>
      <c r="B257" s="50" t="s">
        <v>206</v>
      </c>
      <c r="C257" s="50" t="s">
        <v>21</v>
      </c>
      <c r="D257" s="50" t="s">
        <v>22</v>
      </c>
      <c r="E257" s="50" t="s">
        <v>23</v>
      </c>
      <c r="F257" s="50" t="s">
        <v>207</v>
      </c>
      <c r="G257" s="51">
        <f>2238.348+'Hoja 1'!L118</f>
        <v>11689.548</v>
      </c>
      <c r="H257" s="52" t="s">
        <v>28</v>
      </c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</row>
    <row r="258" ht="15.75" hidden="1" customHeight="1">
      <c r="A258" s="50" t="s">
        <v>19</v>
      </c>
      <c r="B258" s="50" t="s">
        <v>208</v>
      </c>
      <c r="C258" s="50" t="s">
        <v>32</v>
      </c>
      <c r="D258" s="50" t="s">
        <v>103</v>
      </c>
      <c r="E258" s="49"/>
      <c r="F258" s="50" t="s">
        <v>209</v>
      </c>
      <c r="G258" s="50">
        <v>19337.174718</v>
      </c>
      <c r="H258" s="50" t="s">
        <v>25</v>
      </c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</row>
    <row r="259" ht="15.75" hidden="1" customHeight="1">
      <c r="A259" s="50" t="s">
        <v>19</v>
      </c>
      <c r="B259" s="50" t="s">
        <v>208</v>
      </c>
      <c r="C259" s="50" t="s">
        <v>32</v>
      </c>
      <c r="D259" s="50" t="s">
        <v>103</v>
      </c>
      <c r="E259" s="49"/>
      <c r="F259" s="50" t="s">
        <v>209</v>
      </c>
      <c r="G259" s="50">
        <v>19143.282958</v>
      </c>
      <c r="H259" s="50" t="s">
        <v>26</v>
      </c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</row>
    <row r="260" ht="15.75" hidden="1" customHeight="1">
      <c r="A260" s="50" t="s">
        <v>19</v>
      </c>
      <c r="B260" s="50" t="s">
        <v>208</v>
      </c>
      <c r="C260" s="50" t="s">
        <v>32</v>
      </c>
      <c r="D260" s="50" t="s">
        <v>103</v>
      </c>
      <c r="E260" s="49"/>
      <c r="F260" s="50" t="s">
        <v>209</v>
      </c>
      <c r="G260" s="50">
        <v>18980.15378</v>
      </c>
      <c r="H260" s="50" t="s">
        <v>27</v>
      </c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</row>
    <row r="261" ht="15.75" hidden="1" customHeight="1">
      <c r="A261" s="50" t="s">
        <v>19</v>
      </c>
      <c r="B261" s="50" t="s">
        <v>210</v>
      </c>
      <c r="C261" s="50" t="s">
        <v>21</v>
      </c>
      <c r="D261" s="50" t="s">
        <v>22</v>
      </c>
      <c r="E261" s="50" t="s">
        <v>23</v>
      </c>
      <c r="F261" s="50" t="s">
        <v>211</v>
      </c>
      <c r="G261" s="50">
        <v>18141.678181</v>
      </c>
      <c r="H261" s="50" t="s">
        <v>25</v>
      </c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</row>
    <row r="262" ht="15.75" hidden="1" customHeight="1">
      <c r="A262" s="50" t="s">
        <v>19</v>
      </c>
      <c r="B262" s="50" t="s">
        <v>210</v>
      </c>
      <c r="C262" s="50" t="s">
        <v>21</v>
      </c>
      <c r="D262" s="50" t="s">
        <v>22</v>
      </c>
      <c r="E262" s="50" t="s">
        <v>23</v>
      </c>
      <c r="F262" s="50" t="s">
        <v>211</v>
      </c>
      <c r="G262" s="50">
        <v>17823.581037</v>
      </c>
      <c r="H262" s="50" t="s">
        <v>27</v>
      </c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</row>
    <row r="263" ht="15.75" hidden="1" customHeight="1">
      <c r="A263" s="50" t="s">
        <v>19</v>
      </c>
      <c r="B263" s="50" t="s">
        <v>210</v>
      </c>
      <c r="C263" s="50" t="s">
        <v>21</v>
      </c>
      <c r="D263" s="50" t="s">
        <v>22</v>
      </c>
      <c r="E263" s="50" t="s">
        <v>23</v>
      </c>
      <c r="F263" s="50" t="s">
        <v>211</v>
      </c>
      <c r="G263" s="51">
        <f>10784.160583+'Hoja 1'!I80</f>
        <v>15509.76058</v>
      </c>
      <c r="H263" s="50" t="s">
        <v>26</v>
      </c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</row>
    <row r="264" ht="15.75" hidden="1" customHeight="1">
      <c r="A264" s="50" t="s">
        <v>19</v>
      </c>
      <c r="B264" s="50" t="s">
        <v>210</v>
      </c>
      <c r="C264" s="50" t="s">
        <v>21</v>
      </c>
      <c r="D264" s="50" t="s">
        <v>22</v>
      </c>
      <c r="E264" s="50" t="s">
        <v>23</v>
      </c>
      <c r="F264" s="50" t="s">
        <v>211</v>
      </c>
      <c r="G264" s="51">
        <f>4263.84+'Hoja 1'!L134</f>
        <v>13715.04</v>
      </c>
      <c r="H264" s="52" t="s">
        <v>28</v>
      </c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</row>
    <row r="265" ht="15.75" hidden="1" customHeight="1">
      <c r="A265" s="50" t="s">
        <v>19</v>
      </c>
      <c r="B265" s="50" t="s">
        <v>212</v>
      </c>
      <c r="C265" s="50" t="s">
        <v>32</v>
      </c>
      <c r="D265" s="50" t="s">
        <v>39</v>
      </c>
      <c r="E265" s="49"/>
      <c r="F265" s="50" t="s">
        <v>213</v>
      </c>
      <c r="G265" s="50">
        <v>7350.0</v>
      </c>
      <c r="H265" s="50" t="s">
        <v>27</v>
      </c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</row>
    <row r="266" ht="15.75" hidden="1" customHeight="1">
      <c r="A266" s="50" t="s">
        <v>19</v>
      </c>
      <c r="B266" s="50" t="s">
        <v>212</v>
      </c>
      <c r="C266" s="50" t="s">
        <v>32</v>
      </c>
      <c r="D266" s="50" t="s">
        <v>39</v>
      </c>
      <c r="E266" s="49"/>
      <c r="F266" s="50" t="s">
        <v>213</v>
      </c>
      <c r="G266" s="50">
        <v>7350.0</v>
      </c>
      <c r="H266" s="50" t="s">
        <v>26</v>
      </c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</row>
    <row r="267" ht="15.75" hidden="1" customHeight="1">
      <c r="A267" s="50" t="s">
        <v>19</v>
      </c>
      <c r="B267" s="50" t="s">
        <v>212</v>
      </c>
      <c r="C267" s="50" t="s">
        <v>32</v>
      </c>
      <c r="D267" s="50" t="s">
        <v>39</v>
      </c>
      <c r="E267" s="49"/>
      <c r="F267" s="50" t="s">
        <v>213</v>
      </c>
      <c r="G267" s="50">
        <v>7350.0</v>
      </c>
      <c r="H267" s="50" t="s">
        <v>25</v>
      </c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</row>
    <row r="268" ht="15.75" hidden="1" customHeight="1">
      <c r="A268" s="50" t="s">
        <v>19</v>
      </c>
      <c r="B268" s="50" t="s">
        <v>214</v>
      </c>
      <c r="C268" s="50" t="s">
        <v>21</v>
      </c>
      <c r="D268" s="50" t="s">
        <v>56</v>
      </c>
      <c r="E268" s="49"/>
      <c r="F268" s="50" t="s">
        <v>215</v>
      </c>
      <c r="G268" s="50">
        <v>13202.829051</v>
      </c>
      <c r="H268" s="50" t="s">
        <v>26</v>
      </c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</row>
    <row r="269" ht="15.75" hidden="1" customHeight="1">
      <c r="A269" s="50" t="s">
        <v>19</v>
      </c>
      <c r="B269" s="50" t="s">
        <v>214</v>
      </c>
      <c r="C269" s="50" t="s">
        <v>21</v>
      </c>
      <c r="D269" s="50" t="s">
        <v>56</v>
      </c>
      <c r="E269" s="49"/>
      <c r="F269" s="50" t="s">
        <v>215</v>
      </c>
      <c r="G269" s="50">
        <v>10059.743257</v>
      </c>
      <c r="H269" s="50" t="s">
        <v>27</v>
      </c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</row>
    <row r="270" ht="15.75" hidden="1" customHeight="1">
      <c r="A270" s="50" t="s">
        <v>19</v>
      </c>
      <c r="B270" s="50" t="s">
        <v>214</v>
      </c>
      <c r="C270" s="50" t="s">
        <v>21</v>
      </c>
      <c r="D270" s="50" t="s">
        <v>56</v>
      </c>
      <c r="E270" s="49"/>
      <c r="F270" s="50" t="s">
        <v>215</v>
      </c>
      <c r="G270" s="50">
        <v>7350.0</v>
      </c>
      <c r="H270" s="50" t="s">
        <v>25</v>
      </c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</row>
    <row r="271" ht="15.75" hidden="1" customHeight="1">
      <c r="A271" s="50" t="s">
        <v>19</v>
      </c>
      <c r="B271" s="50" t="s">
        <v>216</v>
      </c>
      <c r="C271" s="50" t="s">
        <v>21</v>
      </c>
      <c r="D271" s="50" t="s">
        <v>22</v>
      </c>
      <c r="E271" s="49"/>
      <c r="F271" s="50" t="s">
        <v>217</v>
      </c>
      <c r="G271" s="50">
        <v>18087.178181</v>
      </c>
      <c r="H271" s="50" t="s">
        <v>25</v>
      </c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</row>
    <row r="272" ht="15.75" hidden="1" customHeight="1">
      <c r="A272" s="50" t="s">
        <v>19</v>
      </c>
      <c r="B272" s="50" t="s">
        <v>216</v>
      </c>
      <c r="C272" s="50" t="s">
        <v>21</v>
      </c>
      <c r="D272" s="50" t="s">
        <v>22</v>
      </c>
      <c r="E272" s="49"/>
      <c r="F272" s="50" t="s">
        <v>217</v>
      </c>
      <c r="G272" s="50">
        <v>7290.245537</v>
      </c>
      <c r="H272" s="50" t="s">
        <v>27</v>
      </c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</row>
    <row r="273" ht="15.75" hidden="1" customHeight="1">
      <c r="A273" s="50" t="s">
        <v>19</v>
      </c>
      <c r="B273" s="50" t="s">
        <v>218</v>
      </c>
      <c r="C273" s="50" t="s">
        <v>21</v>
      </c>
      <c r="D273" s="50" t="s">
        <v>22</v>
      </c>
      <c r="E273" s="50" t="s">
        <v>63</v>
      </c>
      <c r="F273" s="50" t="s">
        <v>219</v>
      </c>
      <c r="G273" s="50">
        <v>15934.228414</v>
      </c>
      <c r="H273" s="50" t="s">
        <v>25</v>
      </c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</row>
    <row r="274" ht="15.75" hidden="1" customHeight="1">
      <c r="A274" s="50" t="s">
        <v>19</v>
      </c>
      <c r="B274" s="50" t="s">
        <v>218</v>
      </c>
      <c r="C274" s="50" t="s">
        <v>21</v>
      </c>
      <c r="D274" s="50" t="s">
        <v>22</v>
      </c>
      <c r="E274" s="50" t="s">
        <v>63</v>
      </c>
      <c r="F274" s="50" t="s">
        <v>219</v>
      </c>
      <c r="G274" s="50">
        <v>15881.92591</v>
      </c>
      <c r="H274" s="50" t="s">
        <v>26</v>
      </c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</row>
    <row r="275" ht="15.75" hidden="1" customHeight="1">
      <c r="A275" s="50" t="s">
        <v>19</v>
      </c>
      <c r="B275" s="50" t="s">
        <v>218</v>
      </c>
      <c r="C275" s="50" t="s">
        <v>21</v>
      </c>
      <c r="D275" s="50" t="s">
        <v>22</v>
      </c>
      <c r="E275" s="50" t="s">
        <v>63</v>
      </c>
      <c r="F275" s="50" t="s">
        <v>219</v>
      </c>
      <c r="G275" s="50">
        <v>15635.661516</v>
      </c>
      <c r="H275" s="50" t="s">
        <v>27</v>
      </c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</row>
    <row r="276" ht="15.75" hidden="1" customHeight="1">
      <c r="A276" s="50" t="s">
        <v>19</v>
      </c>
      <c r="B276" s="50" t="s">
        <v>220</v>
      </c>
      <c r="C276" s="52" t="s">
        <v>32</v>
      </c>
      <c r="D276" s="50" t="s">
        <v>56</v>
      </c>
      <c r="E276" s="49"/>
      <c r="F276" s="50" t="s">
        <v>221</v>
      </c>
      <c r="G276" s="51">
        <f>9712.5+'Hoja 1'!C50+'Hoja 1'!I48</f>
        <v>35960.1</v>
      </c>
      <c r="H276" s="50" t="s">
        <v>26</v>
      </c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</row>
    <row r="277" ht="15.75" hidden="1" customHeight="1">
      <c r="A277" s="50" t="s">
        <v>19</v>
      </c>
      <c r="B277" s="50" t="s">
        <v>220</v>
      </c>
      <c r="C277" s="52" t="s">
        <v>32</v>
      </c>
      <c r="D277" s="50" t="s">
        <v>56</v>
      </c>
      <c r="E277" s="49"/>
      <c r="F277" s="50" t="s">
        <v>221</v>
      </c>
      <c r="G277" s="51">
        <f>6300+'Hoja 1'!C9+'Hoja 1'!I9</f>
        <v>32546.1</v>
      </c>
      <c r="H277" s="50" t="s">
        <v>25</v>
      </c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</row>
    <row r="278" ht="15.75" hidden="1" customHeight="1">
      <c r="A278" s="50" t="s">
        <v>19</v>
      </c>
      <c r="B278" s="50" t="s">
        <v>220</v>
      </c>
      <c r="C278" s="52" t="s">
        <v>32</v>
      </c>
      <c r="D278" s="50" t="s">
        <v>56</v>
      </c>
      <c r="E278" s="49"/>
      <c r="F278" s="50" t="s">
        <v>221</v>
      </c>
      <c r="G278" s="51">
        <f>6300+'Hoja 1'!C24+'Hoja 1'!I25</f>
        <v>32547.6</v>
      </c>
      <c r="H278" s="50" t="s">
        <v>27</v>
      </c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</row>
    <row r="279" ht="15.75" hidden="1" customHeight="1">
      <c r="A279" s="50" t="s">
        <v>19</v>
      </c>
      <c r="B279" s="50" t="s">
        <v>220</v>
      </c>
      <c r="C279" s="52" t="s">
        <v>32</v>
      </c>
      <c r="D279" s="50" t="s">
        <v>56</v>
      </c>
      <c r="E279" s="49"/>
      <c r="F279" s="50" t="s">
        <v>221</v>
      </c>
      <c r="G279" s="51">
        <f>32670.19564+'Hoja 1'!C102+'Hoja 1'!I102</f>
        <v>58917.79564</v>
      </c>
      <c r="H279" s="52" t="s">
        <v>28</v>
      </c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</row>
    <row r="280" ht="15.75" hidden="1" customHeight="1">
      <c r="A280" s="50" t="s">
        <v>19</v>
      </c>
      <c r="B280" s="50" t="s">
        <v>222</v>
      </c>
      <c r="C280" s="50" t="s">
        <v>32</v>
      </c>
      <c r="D280" s="50" t="s">
        <v>39</v>
      </c>
      <c r="E280" s="49"/>
      <c r="F280" s="50" t="s">
        <v>223</v>
      </c>
      <c r="G280" s="50">
        <v>21447.91512</v>
      </c>
      <c r="H280" s="50" t="s">
        <v>25</v>
      </c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</row>
    <row r="281" ht="15.75" hidden="1" customHeight="1">
      <c r="A281" s="50" t="s">
        <v>19</v>
      </c>
      <c r="B281" s="50" t="s">
        <v>222</v>
      </c>
      <c r="C281" s="50" t="s">
        <v>32</v>
      </c>
      <c r="D281" s="50" t="s">
        <v>39</v>
      </c>
      <c r="E281" s="49"/>
      <c r="F281" s="50" t="s">
        <v>223</v>
      </c>
      <c r="G281" s="50">
        <v>21043.28283</v>
      </c>
      <c r="H281" s="50" t="s">
        <v>27</v>
      </c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</row>
    <row r="282" ht="15.75" hidden="1" customHeight="1">
      <c r="A282" s="50" t="s">
        <v>19</v>
      </c>
      <c r="B282" s="50" t="s">
        <v>224</v>
      </c>
      <c r="C282" s="50" t="s">
        <v>21</v>
      </c>
      <c r="D282" s="50" t="s">
        <v>22</v>
      </c>
      <c r="E282" s="49"/>
      <c r="F282" s="50" t="s">
        <v>225</v>
      </c>
      <c r="G282" s="50">
        <v>12664.666657</v>
      </c>
      <c r="H282" s="50" t="s">
        <v>26</v>
      </c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</row>
    <row r="283" ht="15.75" hidden="1" customHeight="1">
      <c r="A283" s="50" t="s">
        <v>19</v>
      </c>
      <c r="B283" s="50" t="s">
        <v>224</v>
      </c>
      <c r="C283" s="50" t="s">
        <v>21</v>
      </c>
      <c r="D283" s="50" t="s">
        <v>22</v>
      </c>
      <c r="E283" s="49"/>
      <c r="F283" s="50" t="s">
        <v>225</v>
      </c>
      <c r="G283" s="50">
        <v>8107.360929</v>
      </c>
      <c r="H283" s="50" t="s">
        <v>27</v>
      </c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</row>
    <row r="284" ht="15.75" hidden="1" customHeight="1">
      <c r="A284" s="50" t="s">
        <v>19</v>
      </c>
      <c r="B284" s="50" t="s">
        <v>226</v>
      </c>
      <c r="C284" s="52" t="s">
        <v>21</v>
      </c>
      <c r="D284" s="50" t="s">
        <v>22</v>
      </c>
      <c r="E284" s="50" t="s">
        <v>42</v>
      </c>
      <c r="F284" s="50" t="s">
        <v>227</v>
      </c>
      <c r="G284" s="50">
        <v>24662.52906</v>
      </c>
      <c r="H284" s="50" t="s">
        <v>25</v>
      </c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</row>
    <row r="285" ht="15.75" hidden="1" customHeight="1">
      <c r="A285" s="50" t="s">
        <v>19</v>
      </c>
      <c r="B285" s="50" t="s">
        <v>226</v>
      </c>
      <c r="C285" s="52" t="s">
        <v>21</v>
      </c>
      <c r="D285" s="50" t="s">
        <v>22</v>
      </c>
      <c r="E285" s="50" t="s">
        <v>42</v>
      </c>
      <c r="F285" s="50" t="s">
        <v>227</v>
      </c>
      <c r="G285" s="50">
        <v>24290.29243</v>
      </c>
      <c r="H285" s="50" t="s">
        <v>26</v>
      </c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</row>
    <row r="286" ht="15.75" hidden="1" customHeight="1">
      <c r="A286" s="50" t="s">
        <v>19</v>
      </c>
      <c r="B286" s="50" t="s">
        <v>226</v>
      </c>
      <c r="C286" s="52" t="s">
        <v>21</v>
      </c>
      <c r="D286" s="50" t="s">
        <v>22</v>
      </c>
      <c r="E286" s="50" t="s">
        <v>42</v>
      </c>
      <c r="F286" s="50" t="s">
        <v>227</v>
      </c>
      <c r="G286" s="50">
        <v>24203.17162</v>
      </c>
      <c r="H286" s="50" t="s">
        <v>27</v>
      </c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</row>
    <row r="287" ht="15.75" hidden="1" customHeight="1">
      <c r="A287" s="50" t="s">
        <v>19</v>
      </c>
      <c r="B287" s="50" t="s">
        <v>228</v>
      </c>
      <c r="C287" s="50" t="s">
        <v>32</v>
      </c>
      <c r="D287" s="50" t="s">
        <v>118</v>
      </c>
      <c r="E287" s="49"/>
      <c r="F287" s="50" t="s">
        <v>229</v>
      </c>
      <c r="G287" s="50">
        <v>68390.14405</v>
      </c>
      <c r="H287" s="50" t="s">
        <v>25</v>
      </c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</row>
    <row r="288" ht="15.75" hidden="1" customHeight="1">
      <c r="A288" s="50" t="s">
        <v>19</v>
      </c>
      <c r="B288" s="50" t="s">
        <v>228</v>
      </c>
      <c r="C288" s="50" t="s">
        <v>32</v>
      </c>
      <c r="D288" s="50" t="s">
        <v>118</v>
      </c>
      <c r="E288" s="49"/>
      <c r="F288" s="50" t="s">
        <v>229</v>
      </c>
      <c r="G288" s="50">
        <v>76896.25229</v>
      </c>
      <c r="H288" s="50" t="s">
        <v>26</v>
      </c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</row>
    <row r="289" ht="15.75" hidden="1" customHeight="1">
      <c r="A289" s="50" t="s">
        <v>19</v>
      </c>
      <c r="B289" s="50" t="s">
        <v>228</v>
      </c>
      <c r="C289" s="50" t="s">
        <v>32</v>
      </c>
      <c r="D289" s="50" t="s">
        <v>118</v>
      </c>
      <c r="E289" s="49"/>
      <c r="F289" s="50" t="s">
        <v>229</v>
      </c>
      <c r="G289" s="50">
        <v>77832.85317</v>
      </c>
      <c r="H289" s="50" t="s">
        <v>27</v>
      </c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</row>
    <row r="290" ht="15.75" hidden="1" customHeight="1">
      <c r="A290" s="50" t="s">
        <v>19</v>
      </c>
      <c r="B290" s="50" t="s">
        <v>230</v>
      </c>
      <c r="C290" s="50" t="s">
        <v>32</v>
      </c>
      <c r="D290" s="50" t="s">
        <v>48</v>
      </c>
      <c r="E290" s="49"/>
      <c r="F290" s="50" t="s">
        <v>231</v>
      </c>
      <c r="G290" s="50">
        <v>19207.062778</v>
      </c>
      <c r="H290" s="50" t="s">
        <v>25</v>
      </c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</row>
    <row r="291" ht="15.75" hidden="1" customHeight="1">
      <c r="A291" s="50" t="s">
        <v>19</v>
      </c>
      <c r="B291" s="50" t="s">
        <v>230</v>
      </c>
      <c r="C291" s="50" t="s">
        <v>32</v>
      </c>
      <c r="D291" s="50" t="s">
        <v>48</v>
      </c>
      <c r="E291" s="49"/>
      <c r="F291" s="50" t="s">
        <v>231</v>
      </c>
      <c r="G291" s="51">
        <f>5826.24+'Hoja 1'!I85</f>
        <v>8031.52</v>
      </c>
      <c r="H291" s="50" t="s">
        <v>26</v>
      </c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</row>
    <row r="292" ht="15.75" hidden="1" customHeight="1">
      <c r="A292" s="50" t="s">
        <v>19</v>
      </c>
      <c r="B292" s="50" t="s">
        <v>230</v>
      </c>
      <c r="C292" s="50" t="s">
        <v>32</v>
      </c>
      <c r="D292" s="50" t="s">
        <v>48</v>
      </c>
      <c r="E292" s="49"/>
      <c r="F292" s="50" t="s">
        <v>231</v>
      </c>
      <c r="G292" s="50">
        <v>18848.225941</v>
      </c>
      <c r="H292" s="50" t="s">
        <v>27</v>
      </c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</row>
    <row r="293" ht="15.75" hidden="1" customHeight="1">
      <c r="A293" s="50" t="s">
        <v>19</v>
      </c>
      <c r="B293" s="50" t="s">
        <v>230</v>
      </c>
      <c r="C293" s="50" t="s">
        <v>32</v>
      </c>
      <c r="D293" s="50" t="s">
        <v>48</v>
      </c>
      <c r="E293" s="49"/>
      <c r="F293" s="50" t="s">
        <v>231</v>
      </c>
      <c r="G293" s="51">
        <f>5826.24+'Hoja 1'!L139</f>
        <v>15277.44</v>
      </c>
      <c r="H293" s="52" t="s">
        <v>28</v>
      </c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</row>
    <row r="294" ht="15.75" hidden="1" customHeight="1">
      <c r="A294" s="50" t="s">
        <v>19</v>
      </c>
      <c r="B294" s="50" t="s">
        <v>232</v>
      </c>
      <c r="C294" s="50" t="s">
        <v>68</v>
      </c>
      <c r="D294" s="50" t="s">
        <v>198</v>
      </c>
      <c r="E294" s="49"/>
      <c r="F294" s="50" t="s">
        <v>233</v>
      </c>
      <c r="G294" s="50">
        <v>20203.68456</v>
      </c>
      <c r="H294" s="50" t="s">
        <v>26</v>
      </c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</row>
    <row r="295" ht="15.75" hidden="1" customHeight="1">
      <c r="A295" s="50" t="s">
        <v>19</v>
      </c>
      <c r="B295" s="50" t="s">
        <v>232</v>
      </c>
      <c r="C295" s="50" t="s">
        <v>68</v>
      </c>
      <c r="D295" s="50" t="s">
        <v>198</v>
      </c>
      <c r="E295" s="49"/>
      <c r="F295" s="50" t="s">
        <v>233</v>
      </c>
      <c r="G295" s="50">
        <v>19963.580155</v>
      </c>
      <c r="H295" s="50" t="s">
        <v>27</v>
      </c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</row>
    <row r="296" ht="15.75" hidden="1" customHeight="1">
      <c r="A296" s="50" t="s">
        <v>19</v>
      </c>
      <c r="B296" s="50" t="s">
        <v>232</v>
      </c>
      <c r="C296" s="50" t="s">
        <v>68</v>
      </c>
      <c r="D296" s="50" t="s">
        <v>198</v>
      </c>
      <c r="E296" s="49"/>
      <c r="F296" s="50" t="s">
        <v>233</v>
      </c>
      <c r="G296" s="50">
        <v>20321.67818</v>
      </c>
      <c r="H296" s="50" t="s">
        <v>25</v>
      </c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</row>
    <row r="297" ht="15.75" hidden="1" customHeight="1">
      <c r="A297" s="50" t="s">
        <v>19</v>
      </c>
      <c r="B297" s="50" t="s">
        <v>234</v>
      </c>
      <c r="C297" s="50" t="s">
        <v>21</v>
      </c>
      <c r="D297" s="50" t="s">
        <v>22</v>
      </c>
      <c r="E297" s="49"/>
      <c r="F297" s="50" t="s">
        <v>235</v>
      </c>
      <c r="G297" s="50">
        <v>18141.678181</v>
      </c>
      <c r="H297" s="50" t="s">
        <v>25</v>
      </c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</row>
    <row r="298" ht="15.75" hidden="1" customHeight="1">
      <c r="A298" s="50" t="s">
        <v>19</v>
      </c>
      <c r="B298" s="54" t="s">
        <v>236</v>
      </c>
      <c r="C298" s="52" t="s">
        <v>21</v>
      </c>
      <c r="D298" s="50" t="s">
        <v>22</v>
      </c>
      <c r="E298" s="52" t="s">
        <v>53</v>
      </c>
      <c r="F298" s="54" t="s">
        <v>236</v>
      </c>
      <c r="G298" s="51">
        <f>'Hoja 1'!I86</f>
        <v>630.08</v>
      </c>
      <c r="H298" s="52" t="s">
        <v>26</v>
      </c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</row>
    <row r="299" ht="15.75" hidden="1" customHeight="1">
      <c r="A299" s="50" t="s">
        <v>19</v>
      </c>
      <c r="B299" s="54" t="s">
        <v>236</v>
      </c>
      <c r="C299" s="52" t="s">
        <v>21</v>
      </c>
      <c r="D299" s="50" t="s">
        <v>22</v>
      </c>
      <c r="E299" s="52" t="s">
        <v>53</v>
      </c>
      <c r="F299" s="54" t="s">
        <v>236</v>
      </c>
      <c r="G299" s="51">
        <f>9574.656+'Hoja 1'!L140</f>
        <v>19025.856</v>
      </c>
      <c r="H299" s="52" t="s">
        <v>28</v>
      </c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</row>
    <row r="300" ht="15.75" hidden="1" customHeight="1">
      <c r="A300" s="50" t="s">
        <v>19</v>
      </c>
      <c r="B300" s="50" t="s">
        <v>237</v>
      </c>
      <c r="C300" s="50" t="s">
        <v>21</v>
      </c>
      <c r="D300" s="50" t="s">
        <v>22</v>
      </c>
      <c r="E300" s="50" t="s">
        <v>42</v>
      </c>
      <c r="F300" s="50" t="s">
        <v>238</v>
      </c>
      <c r="G300" s="50">
        <v>12552.513977</v>
      </c>
      <c r="H300" s="50" t="s">
        <v>26</v>
      </c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</row>
    <row r="301" ht="15.75" hidden="1" customHeight="1">
      <c r="A301" s="50" t="s">
        <v>19</v>
      </c>
      <c r="B301" s="54" t="s">
        <v>239</v>
      </c>
      <c r="C301" s="52" t="s">
        <v>21</v>
      </c>
      <c r="D301" s="52" t="s">
        <v>22</v>
      </c>
      <c r="E301" s="52" t="s">
        <v>42</v>
      </c>
      <c r="F301" s="54" t="s">
        <v>239</v>
      </c>
      <c r="G301" s="51">
        <f>7480.2+'Hoja 1'!C141+'Hoja 1'!I140</f>
        <v>15356.2</v>
      </c>
      <c r="H301" s="52" t="s">
        <v>28</v>
      </c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</row>
    <row r="302" ht="15.75" hidden="1" customHeight="1">
      <c r="A302" s="50" t="s">
        <v>19</v>
      </c>
      <c r="B302" s="54" t="s">
        <v>240</v>
      </c>
      <c r="C302" s="52" t="s">
        <v>21</v>
      </c>
      <c r="D302" s="52" t="s">
        <v>22</v>
      </c>
      <c r="E302" s="52" t="s">
        <v>23</v>
      </c>
      <c r="F302" s="54" t="s">
        <v>240</v>
      </c>
      <c r="G302" s="51">
        <f>1863.12+'Hoja 1'!I141</f>
        <v>6588.72</v>
      </c>
      <c r="H302" s="52" t="s">
        <v>28</v>
      </c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</row>
    <row r="303" ht="15.75" hidden="1" customHeight="1">
      <c r="A303" s="50" t="s">
        <v>19</v>
      </c>
      <c r="B303" s="54" t="s">
        <v>241</v>
      </c>
      <c r="C303" s="52" t="s">
        <v>21</v>
      </c>
      <c r="D303" s="52" t="s">
        <v>22</v>
      </c>
      <c r="E303" s="52" t="s">
        <v>53</v>
      </c>
      <c r="F303" s="54" t="s">
        <v>241</v>
      </c>
      <c r="G303" s="51">
        <f>3438.12+'Hoja 1'!I142</f>
        <v>8163.72</v>
      </c>
      <c r="H303" s="52" t="s">
        <v>28</v>
      </c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</row>
    <row r="304" ht="15.75" hidden="1" customHeight="1">
      <c r="A304" s="50" t="s">
        <v>19</v>
      </c>
      <c r="B304" s="54" t="s">
        <v>242</v>
      </c>
      <c r="C304" s="52" t="s">
        <v>21</v>
      </c>
      <c r="D304" s="52" t="s">
        <v>22</v>
      </c>
      <c r="E304" s="52" t="s">
        <v>45</v>
      </c>
      <c r="F304" s="54" t="s">
        <v>242</v>
      </c>
      <c r="G304" s="51">
        <f>496.8285+'Hoja 1'!I143</f>
        <v>1756.9885</v>
      </c>
      <c r="H304" s="52" t="s">
        <v>28</v>
      </c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</row>
    <row r="305" ht="15.75" hidden="1" customHeight="1">
      <c r="A305" s="50" t="s">
        <v>19</v>
      </c>
      <c r="B305" s="50" t="s">
        <v>237</v>
      </c>
      <c r="C305" s="50" t="s">
        <v>21</v>
      </c>
      <c r="D305" s="50" t="s">
        <v>22</v>
      </c>
      <c r="E305" s="50" t="s">
        <v>42</v>
      </c>
      <c r="F305" s="50" t="s">
        <v>238</v>
      </c>
      <c r="G305" s="50">
        <v>18893.580152</v>
      </c>
      <c r="H305" s="50" t="s">
        <v>27</v>
      </c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</row>
    <row r="306" ht="15.75" hidden="1" customHeight="1">
      <c r="A306" s="50" t="s">
        <v>19</v>
      </c>
      <c r="B306" s="50" t="s">
        <v>237</v>
      </c>
      <c r="C306" s="50" t="s">
        <v>21</v>
      </c>
      <c r="D306" s="50" t="s">
        <v>22</v>
      </c>
      <c r="E306" s="50" t="s">
        <v>42</v>
      </c>
      <c r="F306" s="50" t="s">
        <v>238</v>
      </c>
      <c r="G306" s="50">
        <v>19231.678181</v>
      </c>
      <c r="H306" s="50" t="s">
        <v>25</v>
      </c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</row>
    <row r="307" ht="15.75" hidden="1" customHeight="1">
      <c r="A307" s="50" t="s">
        <v>19</v>
      </c>
      <c r="B307" s="50" t="s">
        <v>243</v>
      </c>
      <c r="C307" s="50" t="s">
        <v>21</v>
      </c>
      <c r="D307" s="50" t="s">
        <v>56</v>
      </c>
      <c r="E307" s="49"/>
      <c r="F307" s="50" t="s">
        <v>244</v>
      </c>
      <c r="G307" s="50">
        <v>28074.40406</v>
      </c>
      <c r="H307" s="50" t="s">
        <v>27</v>
      </c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</row>
    <row r="308" ht="15.75" hidden="1" customHeight="1">
      <c r="A308" s="50" t="s">
        <v>19</v>
      </c>
      <c r="B308" s="50" t="s">
        <v>243</v>
      </c>
      <c r="C308" s="50" t="s">
        <v>21</v>
      </c>
      <c r="D308" s="50" t="s">
        <v>56</v>
      </c>
      <c r="E308" s="49"/>
      <c r="F308" s="50" t="s">
        <v>244</v>
      </c>
      <c r="G308" s="50">
        <v>28361.56091</v>
      </c>
      <c r="H308" s="50" t="s">
        <v>25</v>
      </c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</row>
    <row r="309" ht="15.75" hidden="1" customHeight="1">
      <c r="A309" s="50" t="s">
        <v>19</v>
      </c>
      <c r="B309" s="50" t="s">
        <v>243</v>
      </c>
      <c r="C309" s="50" t="s">
        <v>21</v>
      </c>
      <c r="D309" s="50" t="s">
        <v>56</v>
      </c>
      <c r="E309" s="49"/>
      <c r="F309" s="50" t="s">
        <v>244</v>
      </c>
      <c r="G309" s="50">
        <v>27403.82208</v>
      </c>
      <c r="H309" s="50" t="s">
        <v>26</v>
      </c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</row>
    <row r="310" ht="15.75" hidden="1" customHeight="1">
      <c r="A310" s="50" t="s">
        <v>19</v>
      </c>
      <c r="B310" s="50" t="s">
        <v>245</v>
      </c>
      <c r="C310" s="50" t="s">
        <v>21</v>
      </c>
      <c r="D310" s="50" t="s">
        <v>22</v>
      </c>
      <c r="E310" s="50" t="s">
        <v>63</v>
      </c>
      <c r="F310" s="50" t="s">
        <v>246</v>
      </c>
      <c r="G310" s="51">
        <f>4776.24+'Hoja 1'!I79</f>
        <v>9501.84</v>
      </c>
      <c r="H310" s="50" t="s">
        <v>26</v>
      </c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</row>
    <row r="311" ht="15.75" hidden="1" customHeight="1">
      <c r="A311" s="50" t="s">
        <v>19</v>
      </c>
      <c r="B311" s="50" t="s">
        <v>245</v>
      </c>
      <c r="C311" s="50" t="s">
        <v>21</v>
      </c>
      <c r="D311" s="50" t="s">
        <v>22</v>
      </c>
      <c r="E311" s="50" t="s">
        <v>63</v>
      </c>
      <c r="F311" s="50" t="s">
        <v>246</v>
      </c>
      <c r="G311" s="50">
        <v>18141.678181</v>
      </c>
      <c r="H311" s="50" t="s">
        <v>25</v>
      </c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</row>
    <row r="312" ht="15.75" hidden="1" customHeight="1">
      <c r="A312" s="50" t="s">
        <v>19</v>
      </c>
      <c r="B312" s="50" t="s">
        <v>245</v>
      </c>
      <c r="C312" s="50" t="s">
        <v>21</v>
      </c>
      <c r="D312" s="50" t="s">
        <v>22</v>
      </c>
      <c r="E312" s="50" t="s">
        <v>63</v>
      </c>
      <c r="F312" s="50" t="s">
        <v>246</v>
      </c>
      <c r="G312" s="50">
        <v>17823.580152</v>
      </c>
      <c r="H312" s="50" t="s">
        <v>27</v>
      </c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</row>
    <row r="313" ht="15.75" hidden="1" customHeight="1">
      <c r="A313" s="50" t="s">
        <v>19</v>
      </c>
      <c r="B313" s="50" t="s">
        <v>245</v>
      </c>
      <c r="C313" s="50" t="s">
        <v>21</v>
      </c>
      <c r="D313" s="50" t="s">
        <v>22</v>
      </c>
      <c r="E313" s="50" t="s">
        <v>63</v>
      </c>
      <c r="F313" s="50" t="s">
        <v>246</v>
      </c>
      <c r="G313" s="51">
        <f>4776.24+'Hoja 1'!L133</f>
        <v>14227.44</v>
      </c>
      <c r="H313" s="52" t="s">
        <v>28</v>
      </c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</row>
    <row r="314" ht="15.75" hidden="1" customHeight="1">
      <c r="A314" s="50" t="s">
        <v>19</v>
      </c>
      <c r="B314" s="50" t="s">
        <v>247</v>
      </c>
      <c r="C314" s="50" t="s">
        <v>21</v>
      </c>
      <c r="D314" s="50" t="s">
        <v>22</v>
      </c>
      <c r="E314" s="50" t="s">
        <v>23</v>
      </c>
      <c r="F314" s="50" t="s">
        <v>248</v>
      </c>
      <c r="G314" s="50">
        <v>7350.0</v>
      </c>
      <c r="H314" s="50" t="s">
        <v>26</v>
      </c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</row>
    <row r="315" ht="15.75" hidden="1" customHeight="1">
      <c r="A315" s="50" t="s">
        <v>19</v>
      </c>
      <c r="B315" s="50" t="s">
        <v>247</v>
      </c>
      <c r="C315" s="50" t="s">
        <v>21</v>
      </c>
      <c r="D315" s="50" t="s">
        <v>22</v>
      </c>
      <c r="E315" s="50" t="s">
        <v>23</v>
      </c>
      <c r="F315" s="50" t="s">
        <v>248</v>
      </c>
      <c r="G315" s="50">
        <v>7350.0</v>
      </c>
      <c r="H315" s="50" t="s">
        <v>25</v>
      </c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</row>
    <row r="316" ht="15.75" hidden="1" customHeight="1">
      <c r="A316" s="50" t="s">
        <v>19</v>
      </c>
      <c r="B316" s="50" t="s">
        <v>247</v>
      </c>
      <c r="C316" s="50" t="s">
        <v>21</v>
      </c>
      <c r="D316" s="50" t="s">
        <v>22</v>
      </c>
      <c r="E316" s="50" t="s">
        <v>23</v>
      </c>
      <c r="F316" s="50" t="s">
        <v>248</v>
      </c>
      <c r="G316" s="50">
        <v>7350.0</v>
      </c>
      <c r="H316" s="50" t="s">
        <v>27</v>
      </c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</row>
    <row r="317" ht="15.75" hidden="1" customHeight="1">
      <c r="A317" s="50" t="s">
        <v>19</v>
      </c>
      <c r="B317" s="50" t="s">
        <v>249</v>
      </c>
      <c r="C317" s="50" t="s">
        <v>21</v>
      </c>
      <c r="D317" s="50" t="s">
        <v>56</v>
      </c>
      <c r="E317" s="49"/>
      <c r="F317" s="50" t="s">
        <v>250</v>
      </c>
      <c r="G317" s="50">
        <v>13202.829051</v>
      </c>
      <c r="H317" s="50" t="s">
        <v>26</v>
      </c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</row>
    <row r="318" ht="15.75" hidden="1" customHeight="1">
      <c r="A318" s="50" t="s">
        <v>19</v>
      </c>
      <c r="B318" s="50" t="s">
        <v>249</v>
      </c>
      <c r="C318" s="50" t="s">
        <v>21</v>
      </c>
      <c r="D318" s="50" t="s">
        <v>56</v>
      </c>
      <c r="E318" s="49"/>
      <c r="F318" s="50" t="s">
        <v>250</v>
      </c>
      <c r="G318" s="50">
        <v>12905.877092</v>
      </c>
      <c r="H318" s="50" t="s">
        <v>27</v>
      </c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</row>
    <row r="319" ht="15.75" hidden="1" customHeight="1">
      <c r="A319" s="50" t="s">
        <v>19</v>
      </c>
      <c r="B319" s="50" t="s">
        <v>249</v>
      </c>
      <c r="C319" s="50" t="s">
        <v>21</v>
      </c>
      <c r="D319" s="50" t="s">
        <v>56</v>
      </c>
      <c r="E319" s="49"/>
      <c r="F319" s="50" t="s">
        <v>250</v>
      </c>
      <c r="G319" s="50">
        <v>13153.19405</v>
      </c>
      <c r="H319" s="50" t="s">
        <v>25</v>
      </c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</row>
    <row r="320" ht="15.75" hidden="1" customHeight="1">
      <c r="A320" s="50" t="s">
        <v>19</v>
      </c>
      <c r="B320" s="50" t="s">
        <v>251</v>
      </c>
      <c r="C320" s="50" t="s">
        <v>21</v>
      </c>
      <c r="D320" s="50" t="s">
        <v>56</v>
      </c>
      <c r="E320" s="49"/>
      <c r="F320" s="50" t="s">
        <v>252</v>
      </c>
      <c r="G320" s="50">
        <v>7350.0</v>
      </c>
      <c r="H320" s="50" t="s">
        <v>25</v>
      </c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</row>
    <row r="321" ht="15.75" hidden="1" customHeight="1">
      <c r="A321" s="50" t="s">
        <v>19</v>
      </c>
      <c r="B321" s="50" t="s">
        <v>251</v>
      </c>
      <c r="C321" s="50" t="s">
        <v>21</v>
      </c>
      <c r="D321" s="50" t="s">
        <v>56</v>
      </c>
      <c r="E321" s="49"/>
      <c r="F321" s="50" t="s">
        <v>252</v>
      </c>
      <c r="G321" s="50">
        <v>7350.0</v>
      </c>
      <c r="H321" s="50" t="s">
        <v>26</v>
      </c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</row>
    <row r="322" ht="15.75" hidden="1" customHeight="1">
      <c r="A322" s="50" t="s">
        <v>19</v>
      </c>
      <c r="B322" s="50" t="s">
        <v>251</v>
      </c>
      <c r="C322" s="50" t="s">
        <v>21</v>
      </c>
      <c r="D322" s="50" t="s">
        <v>56</v>
      </c>
      <c r="E322" s="49"/>
      <c r="F322" s="50" t="s">
        <v>252</v>
      </c>
      <c r="G322" s="50">
        <v>7350.0</v>
      </c>
      <c r="H322" s="50" t="s">
        <v>27</v>
      </c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</row>
    <row r="323" ht="15.75" hidden="1" customHeight="1">
      <c r="A323" s="50" t="s">
        <v>19</v>
      </c>
      <c r="B323" s="50" t="s">
        <v>253</v>
      </c>
      <c r="C323" s="50" t="s">
        <v>32</v>
      </c>
      <c r="D323" s="50" t="s">
        <v>56</v>
      </c>
      <c r="E323" s="49"/>
      <c r="F323" s="50" t="s">
        <v>254</v>
      </c>
      <c r="G323" s="50">
        <v>21139.39677</v>
      </c>
      <c r="H323" s="50" t="s">
        <v>26</v>
      </c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</row>
    <row r="324" ht="15.75" hidden="1" customHeight="1">
      <c r="A324" s="50" t="s">
        <v>19</v>
      </c>
      <c r="B324" s="50" t="s">
        <v>253</v>
      </c>
      <c r="C324" s="50" t="s">
        <v>32</v>
      </c>
      <c r="D324" s="50" t="s">
        <v>56</v>
      </c>
      <c r="E324" s="49"/>
      <c r="F324" s="50" t="s">
        <v>254</v>
      </c>
      <c r="G324" s="50">
        <v>19315.770457</v>
      </c>
      <c r="H324" s="50" t="s">
        <v>25</v>
      </c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</row>
    <row r="325" ht="15.75" hidden="1" customHeight="1">
      <c r="A325" s="50" t="s">
        <v>19</v>
      </c>
      <c r="B325" s="50" t="s">
        <v>253</v>
      </c>
      <c r="C325" s="50" t="s">
        <v>32</v>
      </c>
      <c r="D325" s="50" t="s">
        <v>56</v>
      </c>
      <c r="E325" s="49"/>
      <c r="F325" s="50" t="s">
        <v>254</v>
      </c>
      <c r="G325" s="50">
        <v>19996.580507</v>
      </c>
      <c r="H325" s="50" t="s">
        <v>27</v>
      </c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</row>
    <row r="326" ht="15.75" hidden="1" customHeight="1">
      <c r="A326" s="50" t="s">
        <v>19</v>
      </c>
      <c r="B326" s="50" t="s">
        <v>255</v>
      </c>
      <c r="C326" s="50" t="s">
        <v>21</v>
      </c>
      <c r="D326" s="50" t="s">
        <v>22</v>
      </c>
      <c r="E326" s="50" t="s">
        <v>63</v>
      </c>
      <c r="F326" s="50" t="s">
        <v>256</v>
      </c>
      <c r="G326" s="51">
        <f>7403.466+'Hoja 1'!L69</f>
        <v>16854.666</v>
      </c>
      <c r="H326" s="50" t="s">
        <v>26</v>
      </c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</row>
    <row r="327" ht="15.75" hidden="1" customHeight="1">
      <c r="A327" s="50" t="s">
        <v>19</v>
      </c>
      <c r="B327" s="50" t="s">
        <v>255</v>
      </c>
      <c r="C327" s="50" t="s">
        <v>21</v>
      </c>
      <c r="D327" s="50" t="s">
        <v>22</v>
      </c>
      <c r="E327" s="50" t="s">
        <v>63</v>
      </c>
      <c r="F327" s="50" t="s">
        <v>256</v>
      </c>
      <c r="G327" s="50">
        <v>21425.8467</v>
      </c>
      <c r="H327" s="50" t="s">
        <v>25</v>
      </c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</row>
    <row r="328" ht="15.75" hidden="1" customHeight="1">
      <c r="A328" s="50" t="s">
        <v>19</v>
      </c>
      <c r="B328" s="50" t="s">
        <v>255</v>
      </c>
      <c r="C328" s="50" t="s">
        <v>21</v>
      </c>
      <c r="D328" s="50" t="s">
        <v>22</v>
      </c>
      <c r="E328" s="50" t="s">
        <v>63</v>
      </c>
      <c r="F328" s="50" t="s">
        <v>256</v>
      </c>
      <c r="G328" s="50">
        <v>21046.5104</v>
      </c>
      <c r="H328" s="50" t="s">
        <v>27</v>
      </c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</row>
    <row r="329" ht="15.75" hidden="1" customHeight="1">
      <c r="A329" s="50" t="s">
        <v>19</v>
      </c>
      <c r="B329" s="50" t="s">
        <v>255</v>
      </c>
      <c r="C329" s="50" t="s">
        <v>21</v>
      </c>
      <c r="D329" s="50" t="s">
        <v>22</v>
      </c>
      <c r="E329" s="50" t="s">
        <v>63</v>
      </c>
      <c r="F329" s="50" t="s">
        <v>256</v>
      </c>
      <c r="G329" s="51">
        <f>7926.24+'Hoja 1'!L121</f>
        <v>17377.44</v>
      </c>
      <c r="H329" s="52" t="s">
        <v>28</v>
      </c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</row>
    <row r="330" ht="15.75" hidden="1" customHeight="1">
      <c r="A330" s="50" t="s">
        <v>19</v>
      </c>
      <c r="B330" s="50" t="s">
        <v>257</v>
      </c>
      <c r="C330" s="50" t="s">
        <v>32</v>
      </c>
      <c r="D330" s="50" t="s">
        <v>39</v>
      </c>
      <c r="E330" s="49"/>
      <c r="F330" s="50" t="s">
        <v>258</v>
      </c>
      <c r="G330" s="50">
        <v>14700.15378</v>
      </c>
      <c r="H330" s="50" t="s">
        <v>27</v>
      </c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</row>
    <row r="331" ht="15.75" hidden="1" customHeight="1">
      <c r="A331" s="50" t="s">
        <v>19</v>
      </c>
      <c r="B331" s="50" t="s">
        <v>257</v>
      </c>
      <c r="C331" s="50" t="s">
        <v>32</v>
      </c>
      <c r="D331" s="50" t="s">
        <v>39</v>
      </c>
      <c r="E331" s="49"/>
      <c r="F331" s="50" t="s">
        <v>258</v>
      </c>
      <c r="G331" s="50">
        <v>14977.174718</v>
      </c>
      <c r="H331" s="50" t="s">
        <v>25</v>
      </c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</row>
    <row r="332" ht="15.75" hidden="1" customHeight="1">
      <c r="A332" s="50" t="s">
        <v>19</v>
      </c>
      <c r="B332" s="50" t="s">
        <v>257</v>
      </c>
      <c r="C332" s="50" t="s">
        <v>32</v>
      </c>
      <c r="D332" s="50" t="s">
        <v>39</v>
      </c>
      <c r="E332" s="49"/>
      <c r="F332" s="50" t="s">
        <v>258</v>
      </c>
      <c r="G332" s="50">
        <v>14943.282958</v>
      </c>
      <c r="H332" s="50" t="s">
        <v>26</v>
      </c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</row>
    <row r="333" ht="15.75" hidden="1" customHeight="1">
      <c r="A333" s="50" t="s">
        <v>19</v>
      </c>
      <c r="B333" s="50" t="s">
        <v>259</v>
      </c>
      <c r="C333" s="50" t="s">
        <v>21</v>
      </c>
      <c r="D333" s="50" t="s">
        <v>22</v>
      </c>
      <c r="E333" s="50" t="s">
        <v>63</v>
      </c>
      <c r="F333" s="50" t="s">
        <v>260</v>
      </c>
      <c r="G333" s="50">
        <v>16715.736044</v>
      </c>
      <c r="H333" s="50" t="s">
        <v>27</v>
      </c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</row>
    <row r="334" ht="15.75" hidden="1" customHeight="1">
      <c r="A334" s="50" t="s">
        <v>19</v>
      </c>
      <c r="B334" s="50" t="s">
        <v>259</v>
      </c>
      <c r="C334" s="50" t="s">
        <v>21</v>
      </c>
      <c r="D334" s="50" t="s">
        <v>22</v>
      </c>
      <c r="E334" s="50" t="s">
        <v>63</v>
      </c>
      <c r="F334" s="50" t="s">
        <v>260</v>
      </c>
      <c r="G334" s="50">
        <v>18670.363418</v>
      </c>
      <c r="H334" s="50" t="s">
        <v>25</v>
      </c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</row>
    <row r="335" ht="15.75" hidden="1" customHeight="1">
      <c r="A335" s="50" t="s">
        <v>19</v>
      </c>
      <c r="B335" s="50" t="s">
        <v>259</v>
      </c>
      <c r="C335" s="50" t="s">
        <v>21</v>
      </c>
      <c r="D335" s="50" t="s">
        <v>22</v>
      </c>
      <c r="E335" s="50" t="s">
        <v>63</v>
      </c>
      <c r="F335" s="50" t="s">
        <v>260</v>
      </c>
      <c r="G335" s="50">
        <v>18039.056587</v>
      </c>
      <c r="H335" s="50" t="s">
        <v>26</v>
      </c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</row>
    <row r="336" ht="15.75" hidden="1" customHeight="1">
      <c r="A336" s="50" t="s">
        <v>19</v>
      </c>
      <c r="B336" s="50" t="s">
        <v>261</v>
      </c>
      <c r="C336" s="50" t="s">
        <v>21</v>
      </c>
      <c r="D336" s="50" t="s">
        <v>22</v>
      </c>
      <c r="E336" s="50" t="s">
        <v>53</v>
      </c>
      <c r="F336" s="50" t="s">
        <v>262</v>
      </c>
      <c r="G336" s="50">
        <v>15147.448181</v>
      </c>
      <c r="H336" s="50" t="s">
        <v>25</v>
      </c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</row>
    <row r="337" ht="15.75" hidden="1" customHeight="1">
      <c r="A337" s="50" t="s">
        <v>19</v>
      </c>
      <c r="B337" s="50" t="s">
        <v>261</v>
      </c>
      <c r="C337" s="50" t="s">
        <v>21</v>
      </c>
      <c r="D337" s="50" t="s">
        <v>22</v>
      </c>
      <c r="E337" s="50" t="s">
        <v>53</v>
      </c>
      <c r="F337" s="50" t="s">
        <v>262</v>
      </c>
      <c r="G337" s="50">
        <v>17038.780152</v>
      </c>
      <c r="H337" s="50" t="s">
        <v>27</v>
      </c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</row>
    <row r="338" ht="15.75" hidden="1" customHeight="1">
      <c r="A338" s="50" t="s">
        <v>19</v>
      </c>
      <c r="B338" s="50" t="s">
        <v>261</v>
      </c>
      <c r="C338" s="50" t="s">
        <v>21</v>
      </c>
      <c r="D338" s="50" t="s">
        <v>22</v>
      </c>
      <c r="E338" s="50" t="s">
        <v>53</v>
      </c>
      <c r="F338" s="50" t="s">
        <v>262</v>
      </c>
      <c r="G338" s="51">
        <f>4776.24+'Hoja 1'!L73</f>
        <v>14227.44</v>
      </c>
      <c r="H338" s="50" t="s">
        <v>26</v>
      </c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</row>
    <row r="339" ht="15.75" hidden="1" customHeight="1">
      <c r="A339" s="50" t="s">
        <v>19</v>
      </c>
      <c r="B339" s="50" t="s">
        <v>261</v>
      </c>
      <c r="C339" s="50" t="s">
        <v>21</v>
      </c>
      <c r="D339" s="50" t="s">
        <v>22</v>
      </c>
      <c r="E339" s="50" t="s">
        <v>53</v>
      </c>
      <c r="F339" s="50" t="s">
        <v>262</v>
      </c>
      <c r="G339" s="51">
        <f>624.624+'Hoja 1'!L126</f>
        <v>10075.824</v>
      </c>
      <c r="H339" s="52" t="s">
        <v>28</v>
      </c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</row>
    <row r="340" ht="15.75" hidden="1" customHeight="1">
      <c r="A340" s="50" t="s">
        <v>19</v>
      </c>
      <c r="B340" s="50" t="s">
        <v>263</v>
      </c>
      <c r="C340" s="50" t="s">
        <v>21</v>
      </c>
      <c r="D340" s="50" t="s">
        <v>22</v>
      </c>
      <c r="E340" s="49"/>
      <c r="F340" s="50" t="s">
        <v>264</v>
      </c>
      <c r="G340" s="50">
        <v>7350.0</v>
      </c>
      <c r="H340" s="50" t="s">
        <v>27</v>
      </c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</row>
    <row r="341" ht="15.75" hidden="1" customHeight="1">
      <c r="A341" s="50" t="s">
        <v>19</v>
      </c>
      <c r="B341" s="50" t="s">
        <v>263</v>
      </c>
      <c r="C341" s="50" t="s">
        <v>21</v>
      </c>
      <c r="D341" s="50" t="s">
        <v>22</v>
      </c>
      <c r="E341" s="49"/>
      <c r="F341" s="50" t="s">
        <v>264</v>
      </c>
      <c r="G341" s="50">
        <v>7350.0</v>
      </c>
      <c r="H341" s="50" t="s">
        <v>25</v>
      </c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</row>
    <row r="342" ht="15.75" hidden="1" customHeight="1">
      <c r="A342" s="50" t="s">
        <v>19</v>
      </c>
      <c r="B342" s="50" t="s">
        <v>263</v>
      </c>
      <c r="C342" s="50" t="s">
        <v>21</v>
      </c>
      <c r="D342" s="50" t="s">
        <v>22</v>
      </c>
      <c r="E342" s="49"/>
      <c r="F342" s="50" t="s">
        <v>264</v>
      </c>
      <c r="G342" s="50">
        <v>3675.0</v>
      </c>
      <c r="H342" s="50" t="s">
        <v>26</v>
      </c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</row>
    <row r="343" ht="15.75" hidden="1" customHeight="1">
      <c r="A343" s="50" t="s">
        <v>19</v>
      </c>
      <c r="B343" s="50" t="s">
        <v>265</v>
      </c>
      <c r="C343" s="50" t="s">
        <v>32</v>
      </c>
      <c r="D343" s="50" t="s">
        <v>193</v>
      </c>
      <c r="E343" s="50" t="s">
        <v>23</v>
      </c>
      <c r="F343" s="50" t="s">
        <v>266</v>
      </c>
      <c r="G343" s="50">
        <v>23508.75854</v>
      </c>
      <c r="H343" s="50" t="s">
        <v>27</v>
      </c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</row>
    <row r="344" ht="15.75" hidden="1" customHeight="1">
      <c r="A344" s="50" t="s">
        <v>19</v>
      </c>
      <c r="B344" s="50" t="s">
        <v>265</v>
      </c>
      <c r="C344" s="50" t="s">
        <v>32</v>
      </c>
      <c r="D344" s="50" t="s">
        <v>193</v>
      </c>
      <c r="E344" s="50" t="s">
        <v>23</v>
      </c>
      <c r="F344" s="50" t="s">
        <v>266</v>
      </c>
      <c r="G344" s="50">
        <v>22304.9482</v>
      </c>
      <c r="H344" s="50" t="s">
        <v>26</v>
      </c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</row>
    <row r="345" ht="15.75" hidden="1" customHeight="1">
      <c r="A345" s="50" t="s">
        <v>19</v>
      </c>
      <c r="B345" s="50" t="s">
        <v>265</v>
      </c>
      <c r="C345" s="50" t="s">
        <v>32</v>
      </c>
      <c r="D345" s="50" t="s">
        <v>193</v>
      </c>
      <c r="E345" s="50" t="s">
        <v>23</v>
      </c>
      <c r="F345" s="50" t="s">
        <v>266</v>
      </c>
      <c r="G345" s="50">
        <v>22618.83996</v>
      </c>
      <c r="H345" s="50" t="s">
        <v>25</v>
      </c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</row>
    <row r="346" ht="15.75" hidden="1" customHeight="1">
      <c r="A346" s="50" t="s">
        <v>19</v>
      </c>
      <c r="B346" s="50" t="s">
        <v>267</v>
      </c>
      <c r="C346" s="50" t="s">
        <v>21</v>
      </c>
      <c r="D346" s="50" t="s">
        <v>22</v>
      </c>
      <c r="E346" s="50" t="s">
        <v>23</v>
      </c>
      <c r="F346" s="50" t="s">
        <v>268</v>
      </c>
      <c r="G346" s="50">
        <v>7350.0</v>
      </c>
      <c r="H346" s="50" t="s">
        <v>25</v>
      </c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</row>
    <row r="347" ht="15.75" hidden="1" customHeight="1">
      <c r="A347" s="50" t="s">
        <v>19</v>
      </c>
      <c r="B347" s="50" t="s">
        <v>267</v>
      </c>
      <c r="C347" s="50" t="s">
        <v>21</v>
      </c>
      <c r="D347" s="50" t="s">
        <v>22</v>
      </c>
      <c r="E347" s="50" t="s">
        <v>23</v>
      </c>
      <c r="F347" s="50" t="s">
        <v>268</v>
      </c>
      <c r="G347" s="50">
        <v>7350.0</v>
      </c>
      <c r="H347" s="50" t="s">
        <v>26</v>
      </c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</row>
    <row r="348" ht="15.75" hidden="1" customHeight="1">
      <c r="A348" s="50" t="s">
        <v>19</v>
      </c>
      <c r="B348" s="50" t="s">
        <v>267</v>
      </c>
      <c r="C348" s="50" t="s">
        <v>21</v>
      </c>
      <c r="D348" s="50" t="s">
        <v>22</v>
      </c>
      <c r="E348" s="50" t="s">
        <v>23</v>
      </c>
      <c r="F348" s="50" t="s">
        <v>268</v>
      </c>
      <c r="G348" s="50">
        <v>7350.0</v>
      </c>
      <c r="H348" s="50" t="s">
        <v>27</v>
      </c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</row>
    <row r="349" ht="15.75" hidden="1" customHeight="1">
      <c r="A349" s="50" t="s">
        <v>19</v>
      </c>
      <c r="B349" s="50" t="s">
        <v>269</v>
      </c>
      <c r="C349" s="50" t="s">
        <v>21</v>
      </c>
      <c r="D349" s="50" t="s">
        <v>22</v>
      </c>
      <c r="E349" s="50" t="s">
        <v>36</v>
      </c>
      <c r="F349" s="50" t="s">
        <v>270</v>
      </c>
      <c r="G349" s="50">
        <v>15927.656463</v>
      </c>
      <c r="H349" s="50" t="s">
        <v>26</v>
      </c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</row>
    <row r="350" ht="15.75" hidden="1" customHeight="1">
      <c r="A350" s="50" t="s">
        <v>19</v>
      </c>
      <c r="B350" s="50" t="s">
        <v>269</v>
      </c>
      <c r="C350" s="50" t="s">
        <v>21</v>
      </c>
      <c r="D350" s="50" t="s">
        <v>22</v>
      </c>
      <c r="E350" s="50" t="s">
        <v>36</v>
      </c>
      <c r="F350" s="50" t="s">
        <v>270</v>
      </c>
      <c r="G350" s="50">
        <v>15635.661516</v>
      </c>
      <c r="H350" s="50" t="s">
        <v>27</v>
      </c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</row>
    <row r="351" ht="15.75" hidden="1" customHeight="1">
      <c r="A351" s="50" t="s">
        <v>19</v>
      </c>
      <c r="B351" s="50" t="s">
        <v>269</v>
      </c>
      <c r="C351" s="50" t="s">
        <v>21</v>
      </c>
      <c r="D351" s="50" t="s">
        <v>22</v>
      </c>
      <c r="E351" s="50" t="s">
        <v>36</v>
      </c>
      <c r="F351" s="50" t="s">
        <v>270</v>
      </c>
      <c r="G351" s="50">
        <v>15934.228414</v>
      </c>
      <c r="H351" s="50" t="s">
        <v>25</v>
      </c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</row>
    <row r="352" ht="15.75" hidden="1" customHeight="1">
      <c r="A352" s="50" t="s">
        <v>19</v>
      </c>
      <c r="B352" s="50" t="s">
        <v>271</v>
      </c>
      <c r="C352" s="50" t="s">
        <v>32</v>
      </c>
      <c r="D352" s="50" t="s">
        <v>48</v>
      </c>
      <c r="E352" s="49"/>
      <c r="F352" s="50" t="s">
        <v>272</v>
      </c>
      <c r="G352" s="50">
        <v>29400.0</v>
      </c>
      <c r="H352" s="50" t="s">
        <v>26</v>
      </c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</row>
    <row r="353" ht="15.75" hidden="1" customHeight="1">
      <c r="A353" s="50" t="s">
        <v>19</v>
      </c>
      <c r="B353" s="50" t="s">
        <v>271</v>
      </c>
      <c r="C353" s="50" t="s">
        <v>32</v>
      </c>
      <c r="D353" s="50" t="s">
        <v>48</v>
      </c>
      <c r="E353" s="49"/>
      <c r="F353" s="50" t="s">
        <v>272</v>
      </c>
      <c r="G353" s="50">
        <v>29400.0</v>
      </c>
      <c r="H353" s="50" t="s">
        <v>27</v>
      </c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</row>
    <row r="354" ht="15.75" hidden="1" customHeight="1">
      <c r="A354" s="50" t="s">
        <v>19</v>
      </c>
      <c r="B354" s="50" t="s">
        <v>271</v>
      </c>
      <c r="C354" s="50" t="s">
        <v>32</v>
      </c>
      <c r="D354" s="50" t="s">
        <v>48</v>
      </c>
      <c r="E354" s="49"/>
      <c r="F354" s="50" t="s">
        <v>272</v>
      </c>
      <c r="G354" s="50">
        <v>29400.0</v>
      </c>
      <c r="H354" s="50" t="s">
        <v>25</v>
      </c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</row>
    <row r="355" ht="15.75" hidden="1" customHeight="1">
      <c r="A355" s="50" t="s">
        <v>19</v>
      </c>
      <c r="B355" s="50" t="s">
        <v>273</v>
      </c>
      <c r="C355" s="50" t="s">
        <v>21</v>
      </c>
      <c r="D355" s="50" t="s">
        <v>22</v>
      </c>
      <c r="E355" s="50" t="s">
        <v>23</v>
      </c>
      <c r="F355" s="50" t="s">
        <v>274</v>
      </c>
      <c r="G355" s="51">
        <f>6351.24+'Hoja 1'!C61+'Hoja 1'!I59</f>
        <v>15802.44</v>
      </c>
      <c r="H355" s="50" t="s">
        <v>26</v>
      </c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</row>
    <row r="356" ht="15.75" hidden="1" customHeight="1">
      <c r="A356" s="50" t="s">
        <v>19</v>
      </c>
      <c r="B356" s="50" t="s">
        <v>273</v>
      </c>
      <c r="C356" s="50" t="s">
        <v>21</v>
      </c>
      <c r="D356" s="50" t="s">
        <v>22</v>
      </c>
      <c r="E356" s="50" t="s">
        <v>23</v>
      </c>
      <c r="F356" s="50" t="s">
        <v>274</v>
      </c>
      <c r="G356" s="50">
        <f>16540.080385+1575.2</f>
        <v>18115.28039</v>
      </c>
      <c r="H356" s="50" t="s">
        <v>27</v>
      </c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</row>
    <row r="357" ht="15.75" hidden="1" customHeight="1">
      <c r="A357" s="50" t="s">
        <v>19</v>
      </c>
      <c r="B357" s="50" t="s">
        <v>273</v>
      </c>
      <c r="C357" s="50" t="s">
        <v>21</v>
      </c>
      <c r="D357" s="50" t="s">
        <v>22</v>
      </c>
      <c r="E357" s="50" t="s">
        <v>23</v>
      </c>
      <c r="F357" s="50" t="s">
        <v>274</v>
      </c>
      <c r="G357" s="50">
        <v>18822.928181</v>
      </c>
      <c r="H357" s="50" t="s">
        <v>25</v>
      </c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</row>
    <row r="358" ht="15.75" hidden="1" customHeight="1">
      <c r="A358" s="59" t="s">
        <v>19</v>
      </c>
      <c r="B358" s="59" t="s">
        <v>273</v>
      </c>
      <c r="C358" s="59" t="s">
        <v>21</v>
      </c>
      <c r="D358" s="59" t="s">
        <v>22</v>
      </c>
      <c r="E358" s="59" t="s">
        <v>23</v>
      </c>
      <c r="F358" s="59" t="s">
        <v>274</v>
      </c>
      <c r="G358" s="53">
        <f>6112.89+'Hoja 1'!C113+'Hoja 1'!I113</f>
        <v>15564.09</v>
      </c>
      <c r="H358" s="60" t="s">
        <v>28</v>
      </c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2"/>
      <c r="U358" s="62"/>
      <c r="V358" s="62"/>
      <c r="W358" s="62"/>
      <c r="X358" s="62"/>
      <c r="Y358" s="31"/>
      <c r="Z358" s="31"/>
    </row>
    <row r="359" ht="15.75" hidden="1" customHeight="1">
      <c r="A359" s="50" t="s">
        <v>19</v>
      </c>
      <c r="B359" s="50" t="s">
        <v>275</v>
      </c>
      <c r="C359" s="50" t="s">
        <v>21</v>
      </c>
      <c r="D359" s="50" t="s">
        <v>22</v>
      </c>
      <c r="E359" s="50" t="s">
        <v>23</v>
      </c>
      <c r="F359" s="50" t="s">
        <v>276</v>
      </c>
      <c r="G359" s="50">
        <v>16974.754614</v>
      </c>
      <c r="H359" s="50" t="s">
        <v>26</v>
      </c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</row>
    <row r="360" ht="15.75" hidden="1" customHeight="1">
      <c r="A360" s="50" t="s">
        <v>19</v>
      </c>
      <c r="B360" s="50" t="s">
        <v>275</v>
      </c>
      <c r="C360" s="50" t="s">
        <v>21</v>
      </c>
      <c r="D360" s="50" t="s">
        <v>22</v>
      </c>
      <c r="E360" s="50" t="s">
        <v>23</v>
      </c>
      <c r="F360" s="50" t="s">
        <v>276</v>
      </c>
      <c r="G360" s="50">
        <v>16703.097092</v>
      </c>
      <c r="H360" s="50" t="s">
        <v>27</v>
      </c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</row>
    <row r="361" ht="15.75" hidden="1" customHeight="1">
      <c r="A361" s="50" t="s">
        <v>19</v>
      </c>
      <c r="B361" s="50" t="s">
        <v>275</v>
      </c>
      <c r="C361" s="50" t="s">
        <v>21</v>
      </c>
      <c r="D361" s="50" t="s">
        <v>22</v>
      </c>
      <c r="E361" s="50" t="s">
        <v>23</v>
      </c>
      <c r="F361" s="50" t="s">
        <v>276</v>
      </c>
      <c r="G361" s="50">
        <v>17021.39405</v>
      </c>
      <c r="H361" s="50" t="s">
        <v>25</v>
      </c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</row>
    <row r="362" ht="15.75" hidden="1" customHeight="1">
      <c r="A362" s="50" t="s">
        <v>19</v>
      </c>
      <c r="B362" s="50" t="s">
        <v>277</v>
      </c>
      <c r="C362" s="50" t="s">
        <v>32</v>
      </c>
      <c r="D362" s="50" t="s">
        <v>56</v>
      </c>
      <c r="E362" s="49"/>
      <c r="F362" s="50" t="s">
        <v>278</v>
      </c>
      <c r="G362" s="50">
        <v>21778.98612</v>
      </c>
      <c r="H362" s="50" t="s">
        <v>26</v>
      </c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</row>
    <row r="363" ht="15.75" hidden="1" customHeight="1">
      <c r="A363" s="50" t="s">
        <v>19</v>
      </c>
      <c r="B363" s="50" t="s">
        <v>277</v>
      </c>
      <c r="C363" s="50" t="s">
        <v>32</v>
      </c>
      <c r="D363" s="50" t="s">
        <v>56</v>
      </c>
      <c r="E363" s="49"/>
      <c r="F363" s="50" t="s">
        <v>278</v>
      </c>
      <c r="G363" s="50">
        <v>20697.705549</v>
      </c>
      <c r="H363" s="50" t="s">
        <v>25</v>
      </c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</row>
    <row r="364" ht="15.75" hidden="1" customHeight="1">
      <c r="A364" s="50" t="s">
        <v>19</v>
      </c>
      <c r="B364" s="50" t="s">
        <v>277</v>
      </c>
      <c r="C364" s="50" t="s">
        <v>32</v>
      </c>
      <c r="D364" s="50" t="s">
        <v>56</v>
      </c>
      <c r="E364" s="49"/>
      <c r="F364" s="50" t="s">
        <v>278</v>
      </c>
      <c r="G364" s="50">
        <v>21661.06821</v>
      </c>
      <c r="H364" s="50" t="s">
        <v>27</v>
      </c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</row>
    <row r="365" ht="15.75" hidden="1" customHeight="1">
      <c r="A365" s="50" t="s">
        <v>19</v>
      </c>
      <c r="B365" s="63" t="s">
        <v>279</v>
      </c>
      <c r="C365" s="64" t="s">
        <v>68</v>
      </c>
      <c r="D365" s="52" t="s">
        <v>69</v>
      </c>
      <c r="E365" s="50"/>
      <c r="F365" s="63" t="s">
        <v>279</v>
      </c>
      <c r="G365" s="65">
        <v>131250.0</v>
      </c>
      <c r="H365" s="52" t="s">
        <v>25</v>
      </c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</row>
    <row r="366" ht="15.75" hidden="1" customHeight="1">
      <c r="A366" s="50" t="s">
        <v>19</v>
      </c>
      <c r="B366" s="63" t="s">
        <v>279</v>
      </c>
      <c r="C366" s="64" t="s">
        <v>68</v>
      </c>
      <c r="D366" s="52" t="s">
        <v>69</v>
      </c>
      <c r="E366" s="50"/>
      <c r="F366" s="63" t="s">
        <v>279</v>
      </c>
      <c r="G366" s="65">
        <v>131250.0</v>
      </c>
      <c r="H366" s="52" t="s">
        <v>27</v>
      </c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</row>
    <row r="367" ht="15.75" hidden="1" customHeight="1">
      <c r="A367" s="50" t="s">
        <v>19</v>
      </c>
      <c r="B367" s="63" t="s">
        <v>279</v>
      </c>
      <c r="C367" s="64" t="s">
        <v>68</v>
      </c>
      <c r="D367" s="52" t="s">
        <v>69</v>
      </c>
      <c r="E367" s="50"/>
      <c r="F367" s="63" t="s">
        <v>279</v>
      </c>
      <c r="G367" s="65">
        <v>131250.0</v>
      </c>
      <c r="H367" s="52" t="s">
        <v>26</v>
      </c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</row>
    <row r="368" ht="15.75" hidden="1" customHeight="1">
      <c r="A368" s="50" t="s">
        <v>19</v>
      </c>
      <c r="B368" s="63" t="s">
        <v>279</v>
      </c>
      <c r="C368" s="64" t="s">
        <v>68</v>
      </c>
      <c r="D368" s="52" t="s">
        <v>69</v>
      </c>
      <c r="E368" s="50"/>
      <c r="F368" s="63" t="s">
        <v>279</v>
      </c>
      <c r="G368" s="65">
        <v>131250.0</v>
      </c>
      <c r="H368" s="52" t="s">
        <v>28</v>
      </c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</row>
    <row r="369" ht="15.75" hidden="1" customHeight="1">
      <c r="A369" s="50" t="s">
        <v>19</v>
      </c>
      <c r="B369" s="50" t="s">
        <v>280</v>
      </c>
      <c r="C369" s="50" t="s">
        <v>32</v>
      </c>
      <c r="D369" s="50" t="s">
        <v>193</v>
      </c>
      <c r="E369" s="50" t="s">
        <v>23</v>
      </c>
      <c r="F369" s="50" t="s">
        <v>281</v>
      </c>
      <c r="G369" s="50">
        <v>13291.944052</v>
      </c>
      <c r="H369" s="50" t="s">
        <v>25</v>
      </c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</row>
    <row r="370" ht="15.75" hidden="1" customHeight="1">
      <c r="A370" s="50" t="s">
        <v>19</v>
      </c>
      <c r="B370" s="50" t="s">
        <v>280</v>
      </c>
      <c r="C370" s="50" t="s">
        <v>32</v>
      </c>
      <c r="D370" s="50" t="s">
        <v>193</v>
      </c>
      <c r="E370" s="50" t="s">
        <v>23</v>
      </c>
      <c r="F370" s="50" t="s">
        <v>281</v>
      </c>
      <c r="G370" s="50">
        <v>14658.132292</v>
      </c>
      <c r="H370" s="50" t="s">
        <v>26</v>
      </c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</row>
    <row r="371" ht="15.75" hidden="1" customHeight="1">
      <c r="A371" s="50" t="s">
        <v>19</v>
      </c>
      <c r="B371" s="50" t="s">
        <v>280</v>
      </c>
      <c r="C371" s="50" t="s">
        <v>32</v>
      </c>
      <c r="D371" s="50" t="s">
        <v>193</v>
      </c>
      <c r="E371" s="50" t="s">
        <v>23</v>
      </c>
      <c r="F371" s="50" t="s">
        <v>281</v>
      </c>
      <c r="G371" s="50">
        <v>13045.633175</v>
      </c>
      <c r="H371" s="50" t="s">
        <v>27</v>
      </c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</row>
    <row r="372" ht="15.75" hidden="1" customHeight="1">
      <c r="A372" s="50" t="s">
        <v>19</v>
      </c>
      <c r="B372" s="50" t="s">
        <v>282</v>
      </c>
      <c r="C372" s="50" t="s">
        <v>21</v>
      </c>
      <c r="D372" s="50" t="s">
        <v>56</v>
      </c>
      <c r="E372" s="49"/>
      <c r="F372" s="50" t="s">
        <v>283</v>
      </c>
      <c r="G372" s="50">
        <v>21381.39405</v>
      </c>
      <c r="H372" s="50" t="s">
        <v>25</v>
      </c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</row>
    <row r="373" ht="15.75" hidden="1" customHeight="1">
      <c r="A373" s="50" t="s">
        <v>19</v>
      </c>
      <c r="B373" s="50" t="s">
        <v>282</v>
      </c>
      <c r="C373" s="50" t="s">
        <v>21</v>
      </c>
      <c r="D373" s="50" t="s">
        <v>56</v>
      </c>
      <c r="E373" s="49"/>
      <c r="F373" s="50" t="s">
        <v>283</v>
      </c>
      <c r="G373" s="50">
        <v>19452.096152</v>
      </c>
      <c r="H373" s="50" t="s">
        <v>26</v>
      </c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</row>
    <row r="374" ht="15.75" hidden="1" customHeight="1">
      <c r="A374" s="50" t="s">
        <v>19</v>
      </c>
      <c r="B374" s="50" t="s">
        <v>282</v>
      </c>
      <c r="C374" s="50" t="s">
        <v>21</v>
      </c>
      <c r="D374" s="50" t="s">
        <v>56</v>
      </c>
      <c r="E374" s="49"/>
      <c r="F374" s="50" t="s">
        <v>283</v>
      </c>
      <c r="G374" s="50">
        <v>14542.782092</v>
      </c>
      <c r="H374" s="50" t="s">
        <v>27</v>
      </c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</row>
    <row r="375" ht="15.75" hidden="1" customHeight="1">
      <c r="A375" s="50" t="s">
        <v>19</v>
      </c>
      <c r="B375" s="50" t="s">
        <v>284</v>
      </c>
      <c r="C375" s="50" t="s">
        <v>21</v>
      </c>
      <c r="D375" s="50" t="s">
        <v>22</v>
      </c>
      <c r="E375" s="50" t="s">
        <v>23</v>
      </c>
      <c r="F375" s="50" t="s">
        <v>285</v>
      </c>
      <c r="G375" s="50">
        <v>17778.225941</v>
      </c>
      <c r="H375" s="50" t="s">
        <v>27</v>
      </c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</row>
    <row r="376" ht="15.75" hidden="1" customHeight="1">
      <c r="A376" s="50" t="s">
        <v>19</v>
      </c>
      <c r="B376" s="50" t="s">
        <v>284</v>
      </c>
      <c r="C376" s="50" t="s">
        <v>21</v>
      </c>
      <c r="D376" s="50" t="s">
        <v>22</v>
      </c>
      <c r="E376" s="50" t="s">
        <v>23</v>
      </c>
      <c r="F376" s="50" t="s">
        <v>285</v>
      </c>
      <c r="G376" s="50">
        <v>18117.062778</v>
      </c>
      <c r="H376" s="50" t="s">
        <v>25</v>
      </c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</row>
    <row r="377" ht="15.75" hidden="1" customHeight="1">
      <c r="A377" s="50" t="s">
        <v>19</v>
      </c>
      <c r="B377" s="50" t="s">
        <v>284</v>
      </c>
      <c r="C377" s="50" t="s">
        <v>21</v>
      </c>
      <c r="D377" s="50" t="s">
        <v>22</v>
      </c>
      <c r="E377" s="50" t="s">
        <v>23</v>
      </c>
      <c r="F377" s="50" t="s">
        <v>285</v>
      </c>
      <c r="G377" s="50">
        <v>18030.558312</v>
      </c>
      <c r="H377" s="50" t="s">
        <v>26</v>
      </c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</row>
    <row r="378" ht="15.75" hidden="1" customHeight="1">
      <c r="A378" s="50" t="s">
        <v>19</v>
      </c>
      <c r="B378" s="50" t="s">
        <v>286</v>
      </c>
      <c r="C378" s="50" t="s">
        <v>21</v>
      </c>
      <c r="D378" s="50" t="s">
        <v>22</v>
      </c>
      <c r="E378" s="50" t="s">
        <v>63</v>
      </c>
      <c r="F378" s="50" t="s">
        <v>287</v>
      </c>
      <c r="G378" s="51">
        <f>2676.24+'Hoja 1'!L74</f>
        <v>9292.08</v>
      </c>
      <c r="H378" s="50" t="s">
        <v>26</v>
      </c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</row>
    <row r="379" ht="15.75" hidden="1" customHeight="1">
      <c r="A379" s="50" t="s">
        <v>19</v>
      </c>
      <c r="B379" s="50" t="s">
        <v>286</v>
      </c>
      <c r="C379" s="50" t="s">
        <v>21</v>
      </c>
      <c r="D379" s="50" t="s">
        <v>22</v>
      </c>
      <c r="E379" s="50" t="s">
        <v>63</v>
      </c>
      <c r="F379" s="50" t="s">
        <v>287</v>
      </c>
      <c r="G379" s="50">
        <v>15686.20395</v>
      </c>
      <c r="H379" s="50" t="s">
        <v>27</v>
      </c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</row>
    <row r="380" ht="15.75" hidden="1" customHeight="1">
      <c r="A380" s="50" t="s">
        <v>19</v>
      </c>
      <c r="B380" s="50" t="s">
        <v>286</v>
      </c>
      <c r="C380" s="50" t="s">
        <v>21</v>
      </c>
      <c r="D380" s="50" t="s">
        <v>22</v>
      </c>
      <c r="E380" s="50" t="s">
        <v>63</v>
      </c>
      <c r="F380" s="50" t="s">
        <v>287</v>
      </c>
      <c r="G380" s="50">
        <v>15964.552952</v>
      </c>
      <c r="H380" s="50" t="s">
        <v>25</v>
      </c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</row>
    <row r="381" ht="15.75" hidden="1" customHeight="1">
      <c r="A381" s="50" t="s">
        <v>19</v>
      </c>
      <c r="B381" s="50" t="s">
        <v>286</v>
      </c>
      <c r="C381" s="50" t="s">
        <v>21</v>
      </c>
      <c r="D381" s="50" t="s">
        <v>22</v>
      </c>
      <c r="E381" s="50" t="s">
        <v>63</v>
      </c>
      <c r="F381" s="50" t="s">
        <v>287</v>
      </c>
      <c r="G381" s="51">
        <f>2676.24+'Hoja 1'!L126</f>
        <v>12127.44</v>
      </c>
      <c r="H381" s="52" t="s">
        <v>28</v>
      </c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</row>
    <row r="382" ht="15.75" hidden="1" customHeight="1">
      <c r="A382" s="50" t="s">
        <v>19</v>
      </c>
      <c r="B382" s="50" t="s">
        <v>288</v>
      </c>
      <c r="C382" s="50" t="s">
        <v>32</v>
      </c>
      <c r="D382" s="50" t="s">
        <v>48</v>
      </c>
      <c r="E382" s="49"/>
      <c r="F382" s="50" t="s">
        <v>289</v>
      </c>
      <c r="G382" s="50">
        <v>18843.097092</v>
      </c>
      <c r="H382" s="50" t="s">
        <v>27</v>
      </c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</row>
    <row r="383" ht="15.75" hidden="1" customHeight="1">
      <c r="A383" s="50" t="s">
        <v>19</v>
      </c>
      <c r="B383" s="50" t="s">
        <v>288</v>
      </c>
      <c r="C383" s="50" t="s">
        <v>32</v>
      </c>
      <c r="D383" s="50" t="s">
        <v>48</v>
      </c>
      <c r="E383" s="49"/>
      <c r="F383" s="50" t="s">
        <v>289</v>
      </c>
      <c r="G383" s="50">
        <v>19201.39405</v>
      </c>
      <c r="H383" s="50" t="s">
        <v>25</v>
      </c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</row>
    <row r="384" ht="15.75" hidden="1" customHeight="1">
      <c r="A384" s="50" t="s">
        <v>19</v>
      </c>
      <c r="B384" s="50" t="s">
        <v>288</v>
      </c>
      <c r="C384" s="50" t="s">
        <v>32</v>
      </c>
      <c r="D384" s="50" t="s">
        <v>48</v>
      </c>
      <c r="E384" s="49"/>
      <c r="F384" s="50" t="s">
        <v>289</v>
      </c>
      <c r="G384" s="50">
        <v>19074.754614</v>
      </c>
      <c r="H384" s="50" t="s">
        <v>26</v>
      </c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</row>
    <row r="385" ht="15.75" hidden="1" customHeight="1">
      <c r="A385" s="50" t="s">
        <v>19</v>
      </c>
      <c r="B385" s="50" t="s">
        <v>290</v>
      </c>
      <c r="C385" s="50" t="s">
        <v>32</v>
      </c>
      <c r="D385" s="50" t="s">
        <v>56</v>
      </c>
      <c r="E385" s="49"/>
      <c r="F385" s="50" t="s">
        <v>291</v>
      </c>
      <c r="G385" s="50">
        <v>13161.494689</v>
      </c>
      <c r="H385" s="50" t="s">
        <v>25</v>
      </c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</row>
    <row r="386" ht="15.75" hidden="1" customHeight="1">
      <c r="A386" s="50" t="s">
        <v>19</v>
      </c>
      <c r="B386" s="50" t="s">
        <v>290</v>
      </c>
      <c r="C386" s="50" t="s">
        <v>32</v>
      </c>
      <c r="D386" s="50" t="s">
        <v>56</v>
      </c>
      <c r="E386" s="49"/>
      <c r="F386" s="50" t="s">
        <v>291</v>
      </c>
      <c r="G386" s="50">
        <v>12913.387193</v>
      </c>
      <c r="H386" s="50" t="s">
        <v>27</v>
      </c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</row>
    <row r="387" ht="15.75" hidden="1" customHeight="1">
      <c r="A387" s="50" t="s">
        <v>19</v>
      </c>
      <c r="B387" s="50" t="s">
        <v>290</v>
      </c>
      <c r="C387" s="50" t="s">
        <v>32</v>
      </c>
      <c r="D387" s="50" t="s">
        <v>56</v>
      </c>
      <c r="E387" s="49"/>
      <c r="F387" s="50" t="s">
        <v>291</v>
      </c>
      <c r="G387" s="50">
        <v>13257.012887</v>
      </c>
      <c r="H387" s="50" t="s">
        <v>26</v>
      </c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</row>
    <row r="388" ht="15.75" hidden="1" customHeight="1">
      <c r="A388" s="50" t="s">
        <v>19</v>
      </c>
      <c r="B388" s="50" t="s">
        <v>292</v>
      </c>
      <c r="C388" s="50" t="s">
        <v>68</v>
      </c>
      <c r="D388" s="50" t="s">
        <v>198</v>
      </c>
      <c r="E388" s="49"/>
      <c r="F388" s="50" t="s">
        <v>293</v>
      </c>
      <c r="G388" s="50">
        <v>20207.91754</v>
      </c>
      <c r="H388" s="50" t="s">
        <v>26</v>
      </c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</row>
    <row r="389" ht="15.75" hidden="1" customHeight="1">
      <c r="A389" s="50" t="s">
        <v>19</v>
      </c>
      <c r="B389" s="50" t="s">
        <v>292</v>
      </c>
      <c r="C389" s="50" t="s">
        <v>68</v>
      </c>
      <c r="D389" s="50" t="s">
        <v>198</v>
      </c>
      <c r="E389" s="49"/>
      <c r="F389" s="50" t="s">
        <v>293</v>
      </c>
      <c r="G389" s="50">
        <v>20063.457943</v>
      </c>
      <c r="H389" s="50" t="s">
        <v>27</v>
      </c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</row>
    <row r="390" ht="15.75" hidden="1" customHeight="1">
      <c r="A390" s="50" t="s">
        <v>19</v>
      </c>
      <c r="B390" s="50" t="s">
        <v>292</v>
      </c>
      <c r="C390" s="50" t="s">
        <v>68</v>
      </c>
      <c r="D390" s="50" t="s">
        <v>198</v>
      </c>
      <c r="E390" s="49"/>
      <c r="F390" s="50" t="s">
        <v>293</v>
      </c>
      <c r="G390" s="50">
        <v>20441.8093</v>
      </c>
      <c r="H390" s="50" t="s">
        <v>25</v>
      </c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</row>
    <row r="391" ht="15.75" hidden="1" customHeight="1">
      <c r="A391" s="50" t="s">
        <v>19</v>
      </c>
      <c r="B391" s="50" t="s">
        <v>294</v>
      </c>
      <c r="C391" s="52" t="s">
        <v>21</v>
      </c>
      <c r="D391" s="50" t="s">
        <v>22</v>
      </c>
      <c r="E391" s="50" t="s">
        <v>295</v>
      </c>
      <c r="F391" s="50" t="s">
        <v>296</v>
      </c>
      <c r="G391" s="50">
        <v>24296.58051</v>
      </c>
      <c r="H391" s="50" t="s">
        <v>27</v>
      </c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</row>
    <row r="392" ht="15.75" hidden="1" customHeight="1">
      <c r="A392" s="50" t="s">
        <v>19</v>
      </c>
      <c r="B392" s="50" t="s">
        <v>294</v>
      </c>
      <c r="C392" s="52" t="s">
        <v>21</v>
      </c>
      <c r="D392" s="50" t="s">
        <v>22</v>
      </c>
      <c r="E392" s="50" t="s">
        <v>295</v>
      </c>
      <c r="F392" s="50" t="s">
        <v>296</v>
      </c>
      <c r="G392" s="50">
        <v>24765.77046</v>
      </c>
      <c r="H392" s="50" t="s">
        <v>25</v>
      </c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</row>
    <row r="393" ht="15.75" hidden="1" customHeight="1">
      <c r="A393" s="50" t="s">
        <v>19</v>
      </c>
      <c r="B393" s="50" t="s">
        <v>294</v>
      </c>
      <c r="C393" s="52" t="s">
        <v>21</v>
      </c>
      <c r="D393" s="50" t="s">
        <v>22</v>
      </c>
      <c r="E393" s="50" t="s">
        <v>295</v>
      </c>
      <c r="F393" s="50" t="s">
        <v>296</v>
      </c>
      <c r="G393" s="50">
        <v>24289.39677</v>
      </c>
      <c r="H393" s="50" t="s">
        <v>26</v>
      </c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</row>
    <row r="394" ht="15.75" hidden="1" customHeight="1">
      <c r="A394" s="50" t="s">
        <v>19</v>
      </c>
      <c r="B394" s="50" t="s">
        <v>297</v>
      </c>
      <c r="C394" s="50" t="s">
        <v>21</v>
      </c>
      <c r="D394" s="50" t="s">
        <v>22</v>
      </c>
      <c r="E394" s="50" t="s">
        <v>45</v>
      </c>
      <c r="F394" s="50" t="s">
        <v>298</v>
      </c>
      <c r="G394" s="50">
        <v>19153.68456</v>
      </c>
      <c r="H394" s="50" t="s">
        <v>26</v>
      </c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</row>
    <row r="395" ht="15.75" hidden="1" customHeight="1">
      <c r="A395" s="50" t="s">
        <v>19</v>
      </c>
      <c r="B395" s="50" t="s">
        <v>297</v>
      </c>
      <c r="C395" s="50" t="s">
        <v>21</v>
      </c>
      <c r="D395" s="50" t="s">
        <v>22</v>
      </c>
      <c r="E395" s="50" t="s">
        <v>45</v>
      </c>
      <c r="F395" s="50" t="s">
        <v>298</v>
      </c>
      <c r="G395" s="50">
        <v>18893.580152</v>
      </c>
      <c r="H395" s="50" t="s">
        <v>27</v>
      </c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</row>
    <row r="396" ht="15.75" hidden="1" customHeight="1">
      <c r="A396" s="50" t="s">
        <v>19</v>
      </c>
      <c r="B396" s="50" t="s">
        <v>297</v>
      </c>
      <c r="C396" s="50" t="s">
        <v>21</v>
      </c>
      <c r="D396" s="50" t="s">
        <v>22</v>
      </c>
      <c r="E396" s="50" t="s">
        <v>45</v>
      </c>
      <c r="F396" s="50" t="s">
        <v>298</v>
      </c>
      <c r="G396" s="50">
        <v>19231.678181</v>
      </c>
      <c r="H396" s="50" t="s">
        <v>25</v>
      </c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</row>
    <row r="397" ht="15.75" hidden="1" customHeight="1">
      <c r="A397" s="50" t="s">
        <v>19</v>
      </c>
      <c r="B397" s="50" t="s">
        <v>299</v>
      </c>
      <c r="C397" s="50" t="s">
        <v>32</v>
      </c>
      <c r="D397" s="50" t="s">
        <v>193</v>
      </c>
      <c r="E397" s="50" t="s">
        <v>23</v>
      </c>
      <c r="F397" s="50" t="s">
        <v>300</v>
      </c>
      <c r="G397" s="50">
        <v>17773.097092</v>
      </c>
      <c r="H397" s="50" t="s">
        <v>27</v>
      </c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</row>
    <row r="398" ht="15.75" hidden="1" customHeight="1">
      <c r="A398" s="50" t="s">
        <v>19</v>
      </c>
      <c r="B398" s="50" t="s">
        <v>299</v>
      </c>
      <c r="C398" s="50" t="s">
        <v>32</v>
      </c>
      <c r="D398" s="50" t="s">
        <v>193</v>
      </c>
      <c r="E398" s="50" t="s">
        <v>23</v>
      </c>
      <c r="F398" s="50" t="s">
        <v>300</v>
      </c>
      <c r="G398" s="50">
        <v>18111.39405</v>
      </c>
      <c r="H398" s="50" t="s">
        <v>25</v>
      </c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</row>
    <row r="399" ht="15.75" hidden="1" customHeight="1">
      <c r="A399" s="50" t="s">
        <v>19</v>
      </c>
      <c r="B399" s="50" t="s">
        <v>299</v>
      </c>
      <c r="C399" s="50" t="s">
        <v>32</v>
      </c>
      <c r="D399" s="50" t="s">
        <v>193</v>
      </c>
      <c r="E399" s="50" t="s">
        <v>23</v>
      </c>
      <c r="F399" s="50" t="s">
        <v>300</v>
      </c>
      <c r="G399" s="50">
        <v>18024.754614</v>
      </c>
      <c r="H399" s="50" t="s">
        <v>26</v>
      </c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</row>
    <row r="400" ht="15.75" hidden="1" customHeight="1">
      <c r="A400" s="50" t="s">
        <v>19</v>
      </c>
      <c r="B400" s="50" t="s">
        <v>301</v>
      </c>
      <c r="C400" s="50" t="s">
        <v>32</v>
      </c>
      <c r="D400" s="50" t="s">
        <v>56</v>
      </c>
      <c r="E400" s="49"/>
      <c r="F400" s="50" t="s">
        <v>302</v>
      </c>
      <c r="G400" s="50">
        <v>21786.40512</v>
      </c>
      <c r="H400" s="50" t="s">
        <v>26</v>
      </c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</row>
    <row r="401" ht="15.75" hidden="1" customHeight="1">
      <c r="A401" s="50" t="s">
        <v>19</v>
      </c>
      <c r="B401" s="50" t="s">
        <v>301</v>
      </c>
      <c r="C401" s="50" t="s">
        <v>32</v>
      </c>
      <c r="D401" s="50" t="s">
        <v>56</v>
      </c>
      <c r="E401" s="49"/>
      <c r="F401" s="50" t="s">
        <v>302</v>
      </c>
      <c r="G401" s="50">
        <v>20686.97919</v>
      </c>
      <c r="H401" s="50" t="s">
        <v>27</v>
      </c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</row>
    <row r="402" ht="15.75" hidden="1" customHeight="1">
      <c r="A402" s="50" t="s">
        <v>19</v>
      </c>
      <c r="B402" s="50" t="s">
        <v>301</v>
      </c>
      <c r="C402" s="50" t="s">
        <v>32</v>
      </c>
      <c r="D402" s="50" t="s">
        <v>56</v>
      </c>
      <c r="E402" s="49"/>
      <c r="F402" s="50" t="s">
        <v>302</v>
      </c>
      <c r="G402" s="50">
        <v>20176.369</v>
      </c>
      <c r="H402" s="50" t="s">
        <v>25</v>
      </c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</row>
    <row r="403" ht="15.75" hidden="1" customHeight="1">
      <c r="A403" s="50" t="s">
        <v>19</v>
      </c>
      <c r="B403" s="50" t="s">
        <v>303</v>
      </c>
      <c r="C403" s="50" t="s">
        <v>21</v>
      </c>
      <c r="D403" s="50" t="s">
        <v>22</v>
      </c>
      <c r="E403" s="50" t="s">
        <v>42</v>
      </c>
      <c r="F403" s="50" t="s">
        <v>304</v>
      </c>
      <c r="G403" s="51">
        <f>4488.12+'Hoja 1'!C136</f>
        <v>9213.72</v>
      </c>
      <c r="H403" s="52" t="s">
        <v>28</v>
      </c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</row>
    <row r="404" ht="15.75" hidden="1" customHeight="1">
      <c r="A404" s="50" t="s">
        <v>19</v>
      </c>
      <c r="B404" s="50" t="s">
        <v>303</v>
      </c>
      <c r="C404" s="50" t="s">
        <v>21</v>
      </c>
      <c r="D404" s="50" t="s">
        <v>22</v>
      </c>
      <c r="E404" s="50" t="s">
        <v>42</v>
      </c>
      <c r="F404" s="50" t="s">
        <v>304</v>
      </c>
      <c r="G404" s="51">
        <f>14842.14224+'Hoja 1'!I82</f>
        <v>19567.74224</v>
      </c>
      <c r="H404" s="50" t="s">
        <v>26</v>
      </c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</row>
    <row r="405" ht="15.75" hidden="1" customHeight="1">
      <c r="A405" s="50" t="s">
        <v>19</v>
      </c>
      <c r="B405" s="50" t="s">
        <v>305</v>
      </c>
      <c r="C405" s="50" t="s">
        <v>21</v>
      </c>
      <c r="D405" s="50" t="s">
        <v>56</v>
      </c>
      <c r="E405" s="49"/>
      <c r="F405" s="50" t="s">
        <v>306</v>
      </c>
      <c r="G405" s="50">
        <v>9599.206537</v>
      </c>
      <c r="H405" s="50" t="s">
        <v>27</v>
      </c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</row>
    <row r="406" ht="15.75" hidden="1" customHeight="1">
      <c r="A406" s="50" t="s">
        <v>19</v>
      </c>
      <c r="B406" s="50" t="s">
        <v>305</v>
      </c>
      <c r="C406" s="50" t="s">
        <v>21</v>
      </c>
      <c r="D406" s="50" t="s">
        <v>56</v>
      </c>
      <c r="E406" s="49"/>
      <c r="F406" s="50" t="s">
        <v>306</v>
      </c>
      <c r="G406" s="50">
        <v>19037.435568</v>
      </c>
      <c r="H406" s="50" t="s">
        <v>26</v>
      </c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</row>
    <row r="407" ht="15.75" hidden="1" customHeight="1">
      <c r="A407" s="50" t="s">
        <v>19</v>
      </c>
      <c r="B407" s="50" t="s">
        <v>305</v>
      </c>
      <c r="C407" s="50" t="s">
        <v>21</v>
      </c>
      <c r="D407" s="50" t="s">
        <v>56</v>
      </c>
      <c r="E407" s="49"/>
      <c r="F407" s="50" t="s">
        <v>306</v>
      </c>
      <c r="G407" s="50">
        <v>19265.007247</v>
      </c>
      <c r="H407" s="50" t="s">
        <v>25</v>
      </c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</row>
    <row r="408" ht="15.75" hidden="1" customHeight="1">
      <c r="A408" s="50" t="s">
        <v>19</v>
      </c>
      <c r="B408" s="50" t="s">
        <v>307</v>
      </c>
      <c r="C408" s="50" t="s">
        <v>21</v>
      </c>
      <c r="D408" s="50" t="s">
        <v>56</v>
      </c>
      <c r="E408" s="49"/>
      <c r="F408" s="50" t="s">
        <v>308</v>
      </c>
      <c r="G408" s="50">
        <v>7350.0</v>
      </c>
      <c r="H408" s="50" t="s">
        <v>25</v>
      </c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</row>
    <row r="409" ht="15.75" hidden="1" customHeight="1">
      <c r="A409" s="50" t="s">
        <v>19</v>
      </c>
      <c r="B409" s="50" t="s">
        <v>307</v>
      </c>
      <c r="C409" s="50" t="s">
        <v>21</v>
      </c>
      <c r="D409" s="50" t="s">
        <v>56</v>
      </c>
      <c r="E409" s="49"/>
      <c r="F409" s="50" t="s">
        <v>308</v>
      </c>
      <c r="G409" s="50">
        <v>10059.743257</v>
      </c>
      <c r="H409" s="50" t="s">
        <v>27</v>
      </c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</row>
    <row r="410" ht="15.75" hidden="1" customHeight="1">
      <c r="A410" s="50" t="s">
        <v>19</v>
      </c>
      <c r="B410" s="50" t="s">
        <v>307</v>
      </c>
      <c r="C410" s="50" t="s">
        <v>21</v>
      </c>
      <c r="D410" s="50" t="s">
        <v>56</v>
      </c>
      <c r="E410" s="49"/>
      <c r="F410" s="50" t="s">
        <v>308</v>
      </c>
      <c r="G410" s="50">
        <v>13202.829051</v>
      </c>
      <c r="H410" s="50" t="s">
        <v>26</v>
      </c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</row>
    <row r="411" ht="15.75" hidden="1" customHeight="1">
      <c r="A411" s="50" t="s">
        <v>19</v>
      </c>
      <c r="B411" s="50" t="s">
        <v>309</v>
      </c>
      <c r="C411" s="50" t="s">
        <v>21</v>
      </c>
      <c r="D411" s="50" t="s">
        <v>22</v>
      </c>
      <c r="E411" s="50" t="s">
        <v>45</v>
      </c>
      <c r="F411" s="50" t="s">
        <v>310</v>
      </c>
      <c r="G411" s="50">
        <v>17051.678181</v>
      </c>
      <c r="H411" s="50" t="s">
        <v>25</v>
      </c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</row>
    <row r="412" ht="15.75" hidden="1" customHeight="1">
      <c r="A412" s="50" t="s">
        <v>19</v>
      </c>
      <c r="B412" s="50" t="s">
        <v>309</v>
      </c>
      <c r="C412" s="50" t="s">
        <v>21</v>
      </c>
      <c r="D412" s="50" t="s">
        <v>22</v>
      </c>
      <c r="E412" s="50" t="s">
        <v>45</v>
      </c>
      <c r="F412" s="50" t="s">
        <v>310</v>
      </c>
      <c r="G412" s="50">
        <v>16753.580152</v>
      </c>
      <c r="H412" s="50" t="s">
        <v>27</v>
      </c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</row>
    <row r="413" ht="15.75" hidden="1" customHeight="1">
      <c r="A413" s="50" t="s">
        <v>19</v>
      </c>
      <c r="B413" s="50" t="s">
        <v>309</v>
      </c>
      <c r="C413" s="50" t="s">
        <v>21</v>
      </c>
      <c r="D413" s="50" t="s">
        <v>22</v>
      </c>
      <c r="E413" s="50" t="s">
        <v>45</v>
      </c>
      <c r="F413" s="50" t="s">
        <v>310</v>
      </c>
      <c r="G413" s="50">
        <v>16686.18456</v>
      </c>
      <c r="H413" s="50" t="s">
        <v>26</v>
      </c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</row>
    <row r="414" ht="15.75" hidden="1" customHeight="1">
      <c r="A414" s="50" t="s">
        <v>19</v>
      </c>
      <c r="B414" s="50" t="s">
        <v>311</v>
      </c>
      <c r="C414" s="50" t="s">
        <v>21</v>
      </c>
      <c r="D414" s="50" t="s">
        <v>22</v>
      </c>
      <c r="E414" s="50" t="s">
        <v>45</v>
      </c>
      <c r="F414" s="50" t="s">
        <v>312</v>
      </c>
      <c r="G414" s="50">
        <v>14145.9939</v>
      </c>
      <c r="H414" s="50" t="s">
        <v>26</v>
      </c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</row>
    <row r="415" ht="15.75" hidden="1" customHeight="1">
      <c r="A415" s="50" t="s">
        <v>19</v>
      </c>
      <c r="B415" s="50" t="s">
        <v>311</v>
      </c>
      <c r="C415" s="50" t="s">
        <v>21</v>
      </c>
      <c r="D415" s="50" t="s">
        <v>22</v>
      </c>
      <c r="E415" s="50" t="s">
        <v>45</v>
      </c>
      <c r="F415" s="50" t="s">
        <v>312</v>
      </c>
      <c r="G415" s="50">
        <v>16753.580152</v>
      </c>
      <c r="H415" s="50" t="s">
        <v>27</v>
      </c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</row>
    <row r="416" ht="15.75" hidden="1" customHeight="1">
      <c r="A416" s="50" t="s">
        <v>19</v>
      </c>
      <c r="B416" s="50" t="s">
        <v>311</v>
      </c>
      <c r="C416" s="50" t="s">
        <v>21</v>
      </c>
      <c r="D416" s="50" t="s">
        <v>22</v>
      </c>
      <c r="E416" s="50" t="s">
        <v>45</v>
      </c>
      <c r="F416" s="50" t="s">
        <v>312</v>
      </c>
      <c r="G416" s="50">
        <v>17051.678181</v>
      </c>
      <c r="H416" s="50" t="s">
        <v>25</v>
      </c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</row>
    <row r="417" ht="15.75" hidden="1" customHeight="1">
      <c r="A417" s="50" t="s">
        <v>19</v>
      </c>
      <c r="B417" s="50" t="s">
        <v>313</v>
      </c>
      <c r="C417" s="50" t="s">
        <v>21</v>
      </c>
      <c r="D417" s="50" t="s">
        <v>22</v>
      </c>
      <c r="E417" s="50" t="s">
        <v>295</v>
      </c>
      <c r="F417" s="50" t="s">
        <v>314</v>
      </c>
      <c r="G417" s="50">
        <v>15685.577941</v>
      </c>
      <c r="H417" s="50" t="s">
        <v>27</v>
      </c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</row>
    <row r="418" ht="15.75" hidden="1" customHeight="1">
      <c r="A418" s="50" t="s">
        <v>19</v>
      </c>
      <c r="B418" s="50" t="s">
        <v>313</v>
      </c>
      <c r="C418" s="50" t="s">
        <v>21</v>
      </c>
      <c r="D418" s="50" t="s">
        <v>22</v>
      </c>
      <c r="E418" s="50" t="s">
        <v>295</v>
      </c>
      <c r="F418" s="50" t="s">
        <v>314</v>
      </c>
      <c r="G418" s="50">
        <v>15989.399199</v>
      </c>
      <c r="H418" s="50" t="s">
        <v>25</v>
      </c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</row>
    <row r="419" ht="17.25" hidden="1" customHeight="1">
      <c r="A419" s="50" t="s">
        <v>19</v>
      </c>
      <c r="B419" s="50" t="s">
        <v>313</v>
      </c>
      <c r="C419" s="50" t="s">
        <v>21</v>
      </c>
      <c r="D419" s="50" t="s">
        <v>22</v>
      </c>
      <c r="E419" s="50" t="s">
        <v>295</v>
      </c>
      <c r="F419" s="50" t="s">
        <v>314</v>
      </c>
      <c r="G419" s="50">
        <v>15881.92591</v>
      </c>
      <c r="H419" s="50" t="s">
        <v>26</v>
      </c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</row>
    <row r="420" ht="15.75" hidden="1" customHeight="1">
      <c r="A420" s="50" t="s">
        <v>19</v>
      </c>
      <c r="B420" s="50" t="s">
        <v>315</v>
      </c>
      <c r="C420" s="50" t="s">
        <v>32</v>
      </c>
      <c r="D420" s="50" t="s">
        <v>193</v>
      </c>
      <c r="E420" s="49"/>
      <c r="F420" s="50" t="s">
        <v>316</v>
      </c>
      <c r="G420" s="50">
        <v>7350.0</v>
      </c>
      <c r="H420" s="50" t="s">
        <v>25</v>
      </c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</row>
    <row r="421" ht="15.75" hidden="1" customHeight="1">
      <c r="A421" s="50" t="s">
        <v>19</v>
      </c>
      <c r="B421" s="50" t="s">
        <v>317</v>
      </c>
      <c r="C421" s="50" t="s">
        <v>21</v>
      </c>
      <c r="D421" s="50" t="s">
        <v>22</v>
      </c>
      <c r="E421" s="50" t="s">
        <v>42</v>
      </c>
      <c r="F421" s="50" t="s">
        <v>318</v>
      </c>
      <c r="G421" s="50">
        <v>16335.548181</v>
      </c>
      <c r="H421" s="50" t="s">
        <v>25</v>
      </c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</row>
    <row r="422" ht="15.75" hidden="1" customHeight="1">
      <c r="A422" s="50" t="s">
        <v>19</v>
      </c>
      <c r="B422" s="50" t="s">
        <v>317</v>
      </c>
      <c r="C422" s="50" t="s">
        <v>21</v>
      </c>
      <c r="D422" s="50" t="s">
        <v>22</v>
      </c>
      <c r="E422" s="50" t="s">
        <v>42</v>
      </c>
      <c r="F422" s="50" t="s">
        <v>318</v>
      </c>
      <c r="G422" s="51">
        <f>4776.24+'Hoja 1'!L62</f>
        <v>14227.44</v>
      </c>
      <c r="H422" s="50" t="s">
        <v>26</v>
      </c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</row>
    <row r="423" ht="15.75" hidden="1" customHeight="1">
      <c r="A423" s="50" t="s">
        <v>19</v>
      </c>
      <c r="B423" s="50" t="s">
        <v>317</v>
      </c>
      <c r="C423" s="50" t="s">
        <v>21</v>
      </c>
      <c r="D423" s="50" t="s">
        <v>22</v>
      </c>
      <c r="E423" s="50" t="s">
        <v>42</v>
      </c>
      <c r="F423" s="50" t="s">
        <v>318</v>
      </c>
      <c r="G423" s="50">
        <v>17823.580152</v>
      </c>
      <c r="H423" s="50" t="s">
        <v>27</v>
      </c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</row>
    <row r="424" ht="15.75" hidden="1" customHeight="1">
      <c r="A424" s="50" t="s">
        <v>19</v>
      </c>
      <c r="B424" s="50" t="s">
        <v>317</v>
      </c>
      <c r="C424" s="50" t="s">
        <v>21</v>
      </c>
      <c r="D424" s="50" t="s">
        <v>22</v>
      </c>
      <c r="E424" s="50" t="s">
        <v>42</v>
      </c>
      <c r="F424" s="50" t="s">
        <v>318</v>
      </c>
      <c r="G424" s="53">
        <f>4776.24+'Hoja 1'!L114</f>
        <v>14227.44</v>
      </c>
      <c r="H424" s="52" t="s">
        <v>28</v>
      </c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</row>
    <row r="425" ht="15.75" hidden="1" customHeight="1">
      <c r="A425" s="50" t="s">
        <v>19</v>
      </c>
      <c r="B425" s="50" t="s">
        <v>319</v>
      </c>
      <c r="C425" s="50" t="s">
        <v>32</v>
      </c>
      <c r="D425" s="50" t="s">
        <v>103</v>
      </c>
      <c r="E425" s="49"/>
      <c r="F425" s="50" t="s">
        <v>320</v>
      </c>
      <c r="G425" s="50">
        <v>21120.15378</v>
      </c>
      <c r="H425" s="50" t="s">
        <v>27</v>
      </c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</row>
    <row r="426" ht="15.75" hidden="1" customHeight="1">
      <c r="A426" s="50" t="s">
        <v>19</v>
      </c>
      <c r="B426" s="50" t="s">
        <v>319</v>
      </c>
      <c r="C426" s="50" t="s">
        <v>32</v>
      </c>
      <c r="D426" s="50" t="s">
        <v>103</v>
      </c>
      <c r="E426" s="49"/>
      <c r="F426" s="50" t="s">
        <v>320</v>
      </c>
      <c r="G426" s="50">
        <v>21517.17472</v>
      </c>
      <c r="H426" s="50" t="s">
        <v>25</v>
      </c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</row>
    <row r="427" ht="15.75" hidden="1" customHeight="1">
      <c r="A427" s="50" t="s">
        <v>19</v>
      </c>
      <c r="B427" s="50" t="s">
        <v>319</v>
      </c>
      <c r="C427" s="50" t="s">
        <v>32</v>
      </c>
      <c r="D427" s="50" t="s">
        <v>103</v>
      </c>
      <c r="E427" s="49"/>
      <c r="F427" s="50" t="s">
        <v>320</v>
      </c>
      <c r="G427" s="50">
        <v>21243.28296</v>
      </c>
      <c r="H427" s="50" t="s">
        <v>26</v>
      </c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</row>
    <row r="428" ht="15.75" hidden="1" customHeight="1">
      <c r="A428" s="50" t="s">
        <v>19</v>
      </c>
      <c r="B428" s="50" t="s">
        <v>321</v>
      </c>
      <c r="C428" s="50" t="s">
        <v>32</v>
      </c>
      <c r="D428" s="50" t="s">
        <v>193</v>
      </c>
      <c r="E428" s="50" t="s">
        <v>23</v>
      </c>
      <c r="F428" s="50" t="s">
        <v>322</v>
      </c>
      <c r="G428" s="50">
        <v>13045.633175</v>
      </c>
      <c r="H428" s="50" t="s">
        <v>27</v>
      </c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</row>
    <row r="429" ht="15.75" hidden="1" customHeight="1">
      <c r="A429" s="50" t="s">
        <v>19</v>
      </c>
      <c r="B429" s="50" t="s">
        <v>321</v>
      </c>
      <c r="C429" s="50" t="s">
        <v>32</v>
      </c>
      <c r="D429" s="50" t="s">
        <v>193</v>
      </c>
      <c r="E429" s="50" t="s">
        <v>23</v>
      </c>
      <c r="F429" s="50" t="s">
        <v>322</v>
      </c>
      <c r="G429" s="50">
        <v>13291.944052</v>
      </c>
      <c r="H429" s="50" t="s">
        <v>25</v>
      </c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</row>
    <row r="430" ht="15.75" hidden="1" customHeight="1">
      <c r="A430" s="50" t="s">
        <v>19</v>
      </c>
      <c r="B430" s="50" t="s">
        <v>321</v>
      </c>
      <c r="C430" s="50" t="s">
        <v>32</v>
      </c>
      <c r="D430" s="50" t="s">
        <v>193</v>
      </c>
      <c r="E430" s="50" t="s">
        <v>23</v>
      </c>
      <c r="F430" s="50" t="s">
        <v>322</v>
      </c>
      <c r="G430" s="50">
        <v>14658.132292</v>
      </c>
      <c r="H430" s="50" t="s">
        <v>26</v>
      </c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</row>
    <row r="431" ht="15.75" hidden="1" customHeight="1">
      <c r="A431" s="50" t="s">
        <v>19</v>
      </c>
      <c r="B431" s="50" t="s">
        <v>323</v>
      </c>
      <c r="C431" s="50" t="s">
        <v>21</v>
      </c>
      <c r="D431" s="50" t="s">
        <v>56</v>
      </c>
      <c r="E431" s="49"/>
      <c r="F431" s="50" t="s">
        <v>324</v>
      </c>
      <c r="G431" s="50">
        <v>16518.122589</v>
      </c>
      <c r="H431" s="50" t="s">
        <v>26</v>
      </c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</row>
    <row r="432" ht="15.75" hidden="1" customHeight="1">
      <c r="A432" s="50" t="s">
        <v>19</v>
      </c>
      <c r="B432" s="50" t="s">
        <v>323</v>
      </c>
      <c r="C432" s="50" t="s">
        <v>21</v>
      </c>
      <c r="D432" s="50" t="s">
        <v>56</v>
      </c>
      <c r="E432" s="49"/>
      <c r="F432" s="50" t="s">
        <v>324</v>
      </c>
      <c r="G432" s="50">
        <v>16300.94857</v>
      </c>
      <c r="H432" s="50" t="s">
        <v>27</v>
      </c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</row>
    <row r="433" ht="15.75" hidden="1" customHeight="1">
      <c r="A433" s="50" t="s">
        <v>19</v>
      </c>
      <c r="B433" s="50" t="s">
        <v>323</v>
      </c>
      <c r="C433" s="50" t="s">
        <v>21</v>
      </c>
      <c r="D433" s="50" t="s">
        <v>56</v>
      </c>
      <c r="E433" s="49"/>
      <c r="F433" s="50" t="s">
        <v>324</v>
      </c>
      <c r="G433" s="50">
        <v>16598.800683</v>
      </c>
      <c r="H433" s="50" t="s">
        <v>25</v>
      </c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</row>
    <row r="434" ht="15.75" hidden="1" customHeight="1">
      <c r="A434" s="50" t="s">
        <v>19</v>
      </c>
      <c r="B434" s="50" t="s">
        <v>325</v>
      </c>
      <c r="C434" s="50" t="s">
        <v>32</v>
      </c>
      <c r="D434" s="50" t="s">
        <v>118</v>
      </c>
      <c r="E434" s="49"/>
      <c r="F434" s="50" t="s">
        <v>326</v>
      </c>
      <c r="G434" s="50">
        <v>66396.25229</v>
      </c>
      <c r="H434" s="50" t="s">
        <v>26</v>
      </c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</row>
    <row r="435" ht="15.75" hidden="1" customHeight="1">
      <c r="A435" s="50" t="s">
        <v>19</v>
      </c>
      <c r="B435" s="50" t="s">
        <v>327</v>
      </c>
      <c r="C435" s="50" t="s">
        <v>32</v>
      </c>
      <c r="D435" s="50" t="s">
        <v>118</v>
      </c>
      <c r="E435" s="49"/>
      <c r="F435" s="50" t="s">
        <v>326</v>
      </c>
      <c r="G435" s="50">
        <v>68390.14405</v>
      </c>
      <c r="H435" s="50" t="s">
        <v>25</v>
      </c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</row>
    <row r="436" ht="15.75" hidden="1" customHeight="1">
      <c r="A436" s="50" t="s">
        <v>19</v>
      </c>
      <c r="B436" s="50" t="s">
        <v>327</v>
      </c>
      <c r="C436" s="50" t="s">
        <v>32</v>
      </c>
      <c r="D436" s="50" t="s">
        <v>118</v>
      </c>
      <c r="E436" s="49"/>
      <c r="F436" s="50" t="s">
        <v>326</v>
      </c>
      <c r="G436" s="50">
        <v>67132.85317</v>
      </c>
      <c r="H436" s="50" t="s">
        <v>27</v>
      </c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</row>
    <row r="437" ht="15.75" hidden="1" customHeight="1">
      <c r="A437" s="50" t="s">
        <v>19</v>
      </c>
      <c r="B437" s="50" t="s">
        <v>328</v>
      </c>
      <c r="C437" s="50" t="s">
        <v>21</v>
      </c>
      <c r="D437" s="50" t="s">
        <v>22</v>
      </c>
      <c r="E437" s="50" t="s">
        <v>45</v>
      </c>
      <c r="F437" s="50" t="s">
        <v>329</v>
      </c>
      <c r="G437" s="50">
        <v>12011.248991</v>
      </c>
      <c r="H437" s="50" t="s">
        <v>26</v>
      </c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</row>
    <row r="438" ht="15.75" hidden="1" customHeight="1">
      <c r="A438" s="50" t="s">
        <v>19</v>
      </c>
      <c r="B438" s="50" t="s">
        <v>330</v>
      </c>
      <c r="C438" s="50" t="s">
        <v>21</v>
      </c>
      <c r="D438" s="50" t="s">
        <v>22</v>
      </c>
      <c r="E438" s="50" t="s">
        <v>45</v>
      </c>
      <c r="F438" s="50" t="s">
        <v>331</v>
      </c>
      <c r="G438" s="50">
        <v>18118.442615</v>
      </c>
      <c r="H438" s="50" t="s">
        <v>26</v>
      </c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</row>
    <row r="439" ht="15.75" hidden="1" customHeight="1">
      <c r="A439" s="50" t="s">
        <v>19</v>
      </c>
      <c r="B439" s="50" t="s">
        <v>330</v>
      </c>
      <c r="C439" s="50" t="s">
        <v>21</v>
      </c>
      <c r="D439" s="50" t="s">
        <v>22</v>
      </c>
      <c r="E439" s="50" t="s">
        <v>45</v>
      </c>
      <c r="F439" s="50" t="s">
        <v>331</v>
      </c>
      <c r="G439" s="50">
        <v>17836.51173</v>
      </c>
      <c r="H439" s="50" t="s">
        <v>27</v>
      </c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</row>
    <row r="440" ht="15.75" hidden="1" customHeight="1">
      <c r="A440" s="50" t="s">
        <v>19</v>
      </c>
      <c r="B440" s="50" t="s">
        <v>330</v>
      </c>
      <c r="C440" s="50" t="s">
        <v>21</v>
      </c>
      <c r="D440" s="50" t="s">
        <v>22</v>
      </c>
      <c r="E440" s="50" t="s">
        <v>45</v>
      </c>
      <c r="F440" s="50" t="s">
        <v>331</v>
      </c>
      <c r="G440" s="50">
        <v>17789.606693</v>
      </c>
      <c r="H440" s="50" t="s">
        <v>25</v>
      </c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</row>
    <row r="441" ht="15.75" hidden="1" customHeight="1">
      <c r="A441" s="50" t="s">
        <v>19</v>
      </c>
      <c r="B441" s="50" t="s">
        <v>332</v>
      </c>
      <c r="C441" s="50" t="s">
        <v>21</v>
      </c>
      <c r="D441" s="50" t="s">
        <v>22</v>
      </c>
      <c r="E441" s="50" t="s">
        <v>45</v>
      </c>
      <c r="F441" s="50" t="s">
        <v>333</v>
      </c>
      <c r="G441" s="50">
        <v>3184.9965</v>
      </c>
      <c r="H441" s="50" t="s">
        <v>26</v>
      </c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</row>
    <row r="442" ht="15.75" hidden="1" customHeight="1">
      <c r="A442" s="50" t="s">
        <v>19</v>
      </c>
      <c r="B442" s="50" t="s">
        <v>334</v>
      </c>
      <c r="C442" s="50" t="s">
        <v>21</v>
      </c>
      <c r="D442" s="50" t="s">
        <v>22</v>
      </c>
      <c r="E442" s="50" t="s">
        <v>45</v>
      </c>
      <c r="F442" s="50" t="s">
        <v>335</v>
      </c>
      <c r="G442" s="51">
        <f>11377.410583+'Hoja 1'!I83</f>
        <v>16103.01058</v>
      </c>
      <c r="H442" s="50" t="s">
        <v>26</v>
      </c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</row>
    <row r="443" ht="15.75" hidden="1" customHeight="1">
      <c r="A443" s="50" t="s">
        <v>19</v>
      </c>
      <c r="B443" s="50" t="s">
        <v>334</v>
      </c>
      <c r="C443" s="50" t="s">
        <v>21</v>
      </c>
      <c r="D443" s="50" t="s">
        <v>22</v>
      </c>
      <c r="E443" s="50" t="s">
        <v>45</v>
      </c>
      <c r="F443" s="50" t="s">
        <v>335</v>
      </c>
      <c r="G443" s="50">
        <v>17823.580152</v>
      </c>
      <c r="H443" s="50" t="s">
        <v>27</v>
      </c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</row>
    <row r="444" ht="15.75" hidden="1" customHeight="1">
      <c r="A444" s="50" t="s">
        <v>19</v>
      </c>
      <c r="B444" s="50" t="s">
        <v>334</v>
      </c>
      <c r="C444" s="50" t="s">
        <v>21</v>
      </c>
      <c r="D444" s="50" t="s">
        <v>22</v>
      </c>
      <c r="E444" s="50" t="s">
        <v>45</v>
      </c>
      <c r="F444" s="50" t="s">
        <v>335</v>
      </c>
      <c r="G444" s="50">
        <v>18141.678181</v>
      </c>
      <c r="H444" s="50" t="s">
        <v>25</v>
      </c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</row>
    <row r="445" ht="15.75" hidden="1" customHeight="1">
      <c r="A445" s="50" t="s">
        <v>19</v>
      </c>
      <c r="B445" s="50" t="s">
        <v>334</v>
      </c>
      <c r="C445" s="50" t="s">
        <v>21</v>
      </c>
      <c r="D445" s="50" t="s">
        <v>22</v>
      </c>
      <c r="E445" s="50" t="s">
        <v>45</v>
      </c>
      <c r="F445" s="50" t="s">
        <v>335</v>
      </c>
      <c r="G445" s="51">
        <f>4776.24+'Hoja 1'!L137</f>
        <v>14227.44</v>
      </c>
      <c r="H445" s="52" t="s">
        <v>28</v>
      </c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</row>
    <row r="446" ht="15.75" hidden="1" customHeight="1">
      <c r="A446" s="50" t="s">
        <v>19</v>
      </c>
      <c r="B446" s="50" t="s">
        <v>336</v>
      </c>
      <c r="C446" s="50" t="s">
        <v>21</v>
      </c>
      <c r="D446" s="50" t="s">
        <v>22</v>
      </c>
      <c r="E446" s="50" t="s">
        <v>42</v>
      </c>
      <c r="F446" s="50" t="s">
        <v>337</v>
      </c>
      <c r="G446" s="51">
        <f>14842.14224+'Hoja 1'!I78</f>
        <v>19567.74224</v>
      </c>
      <c r="H446" s="50" t="s">
        <v>26</v>
      </c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</row>
    <row r="447" ht="15.75" hidden="1" customHeight="1">
      <c r="A447" s="50" t="s">
        <v>19</v>
      </c>
      <c r="B447" s="50" t="s">
        <v>336</v>
      </c>
      <c r="C447" s="50" t="s">
        <v>21</v>
      </c>
      <c r="D447" s="50" t="s">
        <v>22</v>
      </c>
      <c r="E447" s="50" t="s">
        <v>42</v>
      </c>
      <c r="F447" s="50" t="s">
        <v>337</v>
      </c>
      <c r="G447" s="51">
        <f>8976.24+'Hoja 1'!L132</f>
        <v>13768.16</v>
      </c>
      <c r="H447" s="52" t="s">
        <v>28</v>
      </c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</row>
    <row r="448" ht="15.75" hidden="1" customHeight="1">
      <c r="A448" s="50" t="s">
        <v>19</v>
      </c>
      <c r="B448" s="50" t="s">
        <v>338</v>
      </c>
      <c r="C448" s="50" t="s">
        <v>21</v>
      </c>
      <c r="D448" s="50" t="s">
        <v>22</v>
      </c>
      <c r="E448" s="50" t="s">
        <v>23</v>
      </c>
      <c r="F448" s="50" t="s">
        <v>339</v>
      </c>
      <c r="G448" s="50">
        <v>7350.0</v>
      </c>
      <c r="H448" s="50" t="s">
        <v>25</v>
      </c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</row>
    <row r="449" ht="15.75" hidden="1" customHeight="1">
      <c r="A449" s="50" t="s">
        <v>19</v>
      </c>
      <c r="B449" s="50" t="s">
        <v>338</v>
      </c>
      <c r="C449" s="50" t="s">
        <v>21</v>
      </c>
      <c r="D449" s="50" t="s">
        <v>22</v>
      </c>
      <c r="E449" s="50" t="s">
        <v>23</v>
      </c>
      <c r="F449" s="50" t="s">
        <v>339</v>
      </c>
      <c r="G449" s="50">
        <v>3675.0</v>
      </c>
      <c r="H449" s="50" t="s">
        <v>27</v>
      </c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</row>
    <row r="450" ht="15.75" hidden="1" customHeight="1">
      <c r="A450" s="50" t="s">
        <v>19</v>
      </c>
      <c r="B450" s="50" t="s">
        <v>340</v>
      </c>
      <c r="C450" s="50" t="s">
        <v>21</v>
      </c>
      <c r="D450" s="50" t="s">
        <v>22</v>
      </c>
      <c r="E450" s="50" t="s">
        <v>45</v>
      </c>
      <c r="F450" s="50" t="s">
        <v>341</v>
      </c>
      <c r="G450" s="51">
        <f>8976.24+'Hoja 1'!L65</f>
        <v>18427.44</v>
      </c>
      <c r="H450" s="50" t="s">
        <v>26</v>
      </c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</row>
    <row r="451" ht="15.75" hidden="1" customHeight="1">
      <c r="A451" s="50" t="s">
        <v>19</v>
      </c>
      <c r="B451" s="50" t="s">
        <v>340</v>
      </c>
      <c r="C451" s="50" t="s">
        <v>21</v>
      </c>
      <c r="D451" s="50" t="s">
        <v>22</v>
      </c>
      <c r="E451" s="50" t="s">
        <v>45</v>
      </c>
      <c r="F451" s="50" t="s">
        <v>341</v>
      </c>
      <c r="G451" s="50">
        <v>22103.58015</v>
      </c>
      <c r="H451" s="50" t="s">
        <v>27</v>
      </c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</row>
    <row r="452" ht="15.75" hidden="1" customHeight="1">
      <c r="A452" s="50" t="s">
        <v>19</v>
      </c>
      <c r="B452" s="50" t="s">
        <v>340</v>
      </c>
      <c r="C452" s="50" t="s">
        <v>21</v>
      </c>
      <c r="D452" s="50" t="s">
        <v>22</v>
      </c>
      <c r="E452" s="50" t="s">
        <v>45</v>
      </c>
      <c r="F452" s="50" t="s">
        <v>341</v>
      </c>
      <c r="G452" s="50">
        <v>8223.170779</v>
      </c>
      <c r="H452" s="50" t="s">
        <v>25</v>
      </c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</row>
    <row r="453" ht="15.75" hidden="1" customHeight="1">
      <c r="A453" s="50" t="s">
        <v>19</v>
      </c>
      <c r="B453" s="50" t="s">
        <v>340</v>
      </c>
      <c r="C453" s="50" t="s">
        <v>21</v>
      </c>
      <c r="D453" s="50" t="s">
        <v>22</v>
      </c>
      <c r="E453" s="50" t="s">
        <v>45</v>
      </c>
      <c r="F453" s="50" t="s">
        <v>341</v>
      </c>
      <c r="G453" s="51">
        <f>8976.24+'Hoja 1'!L65</f>
        <v>18427.44</v>
      </c>
      <c r="H453" s="52" t="s">
        <v>28</v>
      </c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</row>
    <row r="454" ht="15.75" hidden="1" customHeight="1">
      <c r="A454" s="50" t="s">
        <v>19</v>
      </c>
      <c r="B454" s="50" t="s">
        <v>342</v>
      </c>
      <c r="C454" s="50" t="s">
        <v>21</v>
      </c>
      <c r="D454" s="50" t="s">
        <v>22</v>
      </c>
      <c r="E454" s="50" t="s">
        <v>23</v>
      </c>
      <c r="F454" s="50" t="s">
        <v>343</v>
      </c>
      <c r="G454" s="50">
        <v>14597.59959</v>
      </c>
      <c r="H454" s="50" t="s">
        <v>27</v>
      </c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</row>
    <row r="455" ht="15.75" hidden="1" customHeight="1">
      <c r="A455" s="50" t="s">
        <v>19</v>
      </c>
      <c r="B455" s="50" t="s">
        <v>342</v>
      </c>
      <c r="C455" s="50" t="s">
        <v>21</v>
      </c>
      <c r="D455" s="50" t="s">
        <v>22</v>
      </c>
      <c r="E455" s="50" t="s">
        <v>23</v>
      </c>
      <c r="F455" s="50" t="s">
        <v>343</v>
      </c>
      <c r="G455" s="50">
        <v>15931.39405</v>
      </c>
      <c r="H455" s="50" t="s">
        <v>25</v>
      </c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</row>
    <row r="456" ht="15.75" hidden="1" customHeight="1">
      <c r="A456" s="50" t="s">
        <v>19</v>
      </c>
      <c r="B456" s="50" t="s">
        <v>342</v>
      </c>
      <c r="C456" s="50" t="s">
        <v>21</v>
      </c>
      <c r="D456" s="50" t="s">
        <v>22</v>
      </c>
      <c r="E456" s="50" t="s">
        <v>23</v>
      </c>
      <c r="F456" s="50" t="s">
        <v>343</v>
      </c>
      <c r="G456" s="50">
        <v>11622.781714</v>
      </c>
      <c r="H456" s="50" t="s">
        <v>26</v>
      </c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</row>
    <row r="457" ht="15.75" hidden="1" customHeight="1">
      <c r="A457" s="50" t="s">
        <v>19</v>
      </c>
      <c r="B457" s="50" t="s">
        <v>344</v>
      </c>
      <c r="C457" s="50" t="s">
        <v>21</v>
      </c>
      <c r="D457" s="50" t="s">
        <v>22</v>
      </c>
      <c r="E457" s="50" t="s">
        <v>45</v>
      </c>
      <c r="F457" s="50" t="s">
        <v>345</v>
      </c>
      <c r="G457" s="51">
        <f>18426.24+'Hoja 1'!C54+'Hoja 1'!I52</f>
        <v>28370.03</v>
      </c>
      <c r="H457" s="50" t="s">
        <v>26</v>
      </c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</row>
    <row r="458" ht="15.75" hidden="1" customHeight="1">
      <c r="A458" s="50" t="s">
        <v>19</v>
      </c>
      <c r="B458" s="50" t="s">
        <v>344</v>
      </c>
      <c r="C458" s="50" t="s">
        <v>21</v>
      </c>
      <c r="D458" s="50" t="s">
        <v>22</v>
      </c>
      <c r="E458" s="50" t="s">
        <v>45</v>
      </c>
      <c r="F458" s="50" t="s">
        <v>345</v>
      </c>
      <c r="G458" s="51">
        <f>28234.21921+'Hoja 1'!I29</f>
        <v>29809.41921</v>
      </c>
      <c r="H458" s="50" t="s">
        <v>27</v>
      </c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</row>
    <row r="459" ht="15.75" hidden="1" customHeight="1">
      <c r="A459" s="50" t="s">
        <v>19</v>
      </c>
      <c r="B459" s="50" t="s">
        <v>344</v>
      </c>
      <c r="C459" s="50" t="s">
        <v>21</v>
      </c>
      <c r="D459" s="50" t="s">
        <v>22</v>
      </c>
      <c r="E459" s="50" t="s">
        <v>45</v>
      </c>
      <c r="F459" s="50" t="s">
        <v>345</v>
      </c>
      <c r="G459" s="50">
        <f>22339.29715</f>
        <v>22339.29715</v>
      </c>
      <c r="H459" s="50" t="s">
        <v>25</v>
      </c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</row>
    <row r="460" ht="15.75" hidden="1" customHeight="1">
      <c r="A460" s="50" t="s">
        <v>19</v>
      </c>
      <c r="B460" s="50" t="s">
        <v>344</v>
      </c>
      <c r="C460" s="50" t="s">
        <v>21</v>
      </c>
      <c r="D460" s="50" t="s">
        <v>22</v>
      </c>
      <c r="E460" s="50" t="s">
        <v>45</v>
      </c>
      <c r="F460" s="50" t="s">
        <v>345</v>
      </c>
      <c r="G460" s="51">
        <f>18426.24+'Hoja 1'!C106+'Hoja 1'!I106</f>
        <v>27877.44</v>
      </c>
      <c r="H460" s="52" t="s">
        <v>28</v>
      </c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</row>
    <row r="461" ht="15.75" hidden="1" customHeight="1">
      <c r="A461" s="50" t="s">
        <v>19</v>
      </c>
      <c r="B461" s="50" t="s">
        <v>346</v>
      </c>
      <c r="C461" s="50" t="s">
        <v>21</v>
      </c>
      <c r="D461" s="50" t="s">
        <v>22</v>
      </c>
      <c r="E461" s="50" t="s">
        <v>63</v>
      </c>
      <c r="F461" s="50" t="s">
        <v>347</v>
      </c>
      <c r="G461" s="50">
        <v>14563.097092</v>
      </c>
      <c r="H461" s="50" t="s">
        <v>27</v>
      </c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</row>
    <row r="462" ht="15.75" hidden="1" customHeight="1">
      <c r="A462" s="50" t="s">
        <v>19</v>
      </c>
      <c r="B462" s="50" t="s">
        <v>346</v>
      </c>
      <c r="C462" s="50" t="s">
        <v>21</v>
      </c>
      <c r="D462" s="50" t="s">
        <v>22</v>
      </c>
      <c r="E462" s="50" t="s">
        <v>63</v>
      </c>
      <c r="F462" s="50" t="s">
        <v>347</v>
      </c>
      <c r="G462" s="51">
        <f>1626.24+'Hoja 1'!L77</f>
        <v>8242.08</v>
      </c>
      <c r="H462" s="50" t="s">
        <v>26</v>
      </c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</row>
    <row r="463" ht="15.75" hidden="1" customHeight="1">
      <c r="A463" s="50" t="s">
        <v>19</v>
      </c>
      <c r="B463" s="50" t="s">
        <v>346</v>
      </c>
      <c r="C463" s="50" t="s">
        <v>21</v>
      </c>
      <c r="D463" s="50" t="s">
        <v>22</v>
      </c>
      <c r="E463" s="50" t="s">
        <v>63</v>
      </c>
      <c r="F463" s="50" t="s">
        <v>347</v>
      </c>
      <c r="G463" s="50">
        <v>8845.99814</v>
      </c>
      <c r="H463" s="50" t="s">
        <v>25</v>
      </c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</row>
    <row r="464" ht="15.75" hidden="1" customHeight="1">
      <c r="A464" s="50" t="s">
        <v>19</v>
      </c>
      <c r="B464" s="50" t="s">
        <v>346</v>
      </c>
      <c r="C464" s="50" t="s">
        <v>21</v>
      </c>
      <c r="D464" s="50" t="s">
        <v>22</v>
      </c>
      <c r="E464" s="50" t="s">
        <v>63</v>
      </c>
      <c r="F464" s="50" t="s">
        <v>347</v>
      </c>
      <c r="G464" s="51">
        <f>1626.24+'Hoja 1'!L129</f>
        <v>11077.44</v>
      </c>
      <c r="H464" s="52" t="s">
        <v>28</v>
      </c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</row>
    <row r="465" ht="15.75" hidden="1" customHeight="1">
      <c r="A465" s="50" t="s">
        <v>19</v>
      </c>
      <c r="B465" s="50" t="s">
        <v>348</v>
      </c>
      <c r="C465" s="50" t="s">
        <v>21</v>
      </c>
      <c r="D465" s="50" t="s">
        <v>22</v>
      </c>
      <c r="E465" s="50" t="s">
        <v>23</v>
      </c>
      <c r="F465" s="50" t="s">
        <v>349</v>
      </c>
      <c r="G465" s="50">
        <f>17052.48746+1575.2</f>
        <v>18627.68746</v>
      </c>
      <c r="H465" s="50" t="s">
        <v>27</v>
      </c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</row>
    <row r="466" ht="15.75" hidden="1" customHeight="1">
      <c r="A466" s="50" t="s">
        <v>19</v>
      </c>
      <c r="B466" s="50" t="s">
        <v>348</v>
      </c>
      <c r="C466" s="50" t="s">
        <v>21</v>
      </c>
      <c r="D466" s="50" t="s">
        <v>22</v>
      </c>
      <c r="E466" s="50" t="s">
        <v>23</v>
      </c>
      <c r="F466" s="50" t="s">
        <v>349</v>
      </c>
      <c r="G466" s="51">
        <f>6876.24+'Hoja 1'!C58+'Hoja 1'!I56</f>
        <v>16820.03</v>
      </c>
      <c r="H466" s="50" t="s">
        <v>26</v>
      </c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</row>
    <row r="467" ht="15.75" hidden="1" customHeight="1">
      <c r="A467" s="50" t="s">
        <v>19</v>
      </c>
      <c r="B467" s="50" t="s">
        <v>348</v>
      </c>
      <c r="C467" s="50" t="s">
        <v>21</v>
      </c>
      <c r="D467" s="50" t="s">
        <v>22</v>
      </c>
      <c r="E467" s="50" t="s">
        <v>23</v>
      </c>
      <c r="F467" s="50" t="s">
        <v>349</v>
      </c>
      <c r="G467" s="51">
        <f>6876.24+'Hoja 1'!C110+'Hoja 1'!I110</f>
        <v>16327.44</v>
      </c>
      <c r="H467" s="52" t="s">
        <v>28</v>
      </c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</row>
    <row r="468" ht="15.75" hidden="1" customHeight="1">
      <c r="A468" s="50" t="s">
        <v>19</v>
      </c>
      <c r="B468" s="50" t="s">
        <v>348</v>
      </c>
      <c r="C468" s="50" t="s">
        <v>21</v>
      </c>
      <c r="D468" s="50" t="s">
        <v>22</v>
      </c>
      <c r="E468" s="50" t="s">
        <v>23</v>
      </c>
      <c r="F468" s="50" t="s">
        <v>349</v>
      </c>
      <c r="G468" s="50">
        <v>20291.39405</v>
      </c>
      <c r="H468" s="50" t="s">
        <v>25</v>
      </c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</row>
    <row r="469" ht="15.75" hidden="1" customHeight="1">
      <c r="A469" s="50" t="s">
        <v>19</v>
      </c>
      <c r="B469" s="50" t="s">
        <v>350</v>
      </c>
      <c r="C469" s="52" t="s">
        <v>21</v>
      </c>
      <c r="D469" s="50" t="s">
        <v>22</v>
      </c>
      <c r="E469" s="50" t="s">
        <v>45</v>
      </c>
      <c r="F469" s="50" t="s">
        <v>351</v>
      </c>
      <c r="G469" s="50">
        <v>33868.44261</v>
      </c>
      <c r="H469" s="50" t="s">
        <v>26</v>
      </c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</row>
    <row r="470" ht="15.75" hidden="1" customHeight="1">
      <c r="A470" s="50" t="s">
        <v>19</v>
      </c>
      <c r="B470" s="50" t="s">
        <v>350</v>
      </c>
      <c r="C470" s="52" t="s">
        <v>21</v>
      </c>
      <c r="D470" s="50" t="s">
        <v>22</v>
      </c>
      <c r="E470" s="50" t="s">
        <v>45</v>
      </c>
      <c r="F470" s="50" t="s">
        <v>351</v>
      </c>
      <c r="G470" s="50">
        <v>32935.3767</v>
      </c>
      <c r="H470" s="50" t="s">
        <v>25</v>
      </c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</row>
    <row r="471" ht="15.75" hidden="1" customHeight="1">
      <c r="A471" s="50" t="s">
        <v>19</v>
      </c>
      <c r="B471" s="50" t="s">
        <v>350</v>
      </c>
      <c r="C471" s="52" t="s">
        <v>21</v>
      </c>
      <c r="D471" s="50" t="s">
        <v>22</v>
      </c>
      <c r="E471" s="50" t="s">
        <v>45</v>
      </c>
      <c r="F471" s="50" t="s">
        <v>351</v>
      </c>
      <c r="G471" s="50">
        <v>33886.51173</v>
      </c>
      <c r="H471" s="50" t="s">
        <v>27</v>
      </c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</row>
    <row r="472" ht="15.75" hidden="1" customHeight="1">
      <c r="A472" s="50" t="s">
        <v>19</v>
      </c>
      <c r="B472" s="50" t="s">
        <v>352</v>
      </c>
      <c r="C472" s="50" t="s">
        <v>21</v>
      </c>
      <c r="D472" s="50" t="s">
        <v>22</v>
      </c>
      <c r="E472" s="50" t="s">
        <v>53</v>
      </c>
      <c r="F472" s="50" t="s">
        <v>353</v>
      </c>
      <c r="G472" s="50">
        <v>21568.41622</v>
      </c>
      <c r="H472" s="50" t="s">
        <v>26</v>
      </c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</row>
    <row r="473" hidden="1">
      <c r="A473" s="50" t="s">
        <v>19</v>
      </c>
      <c r="B473" s="50" t="s">
        <v>354</v>
      </c>
      <c r="C473" s="50" t="s">
        <v>21</v>
      </c>
      <c r="D473" s="50" t="s">
        <v>22</v>
      </c>
      <c r="E473" s="50" t="s">
        <v>23</v>
      </c>
      <c r="F473" s="50" t="s">
        <v>355</v>
      </c>
      <c r="G473" s="50">
        <v>13042.93378</v>
      </c>
      <c r="H473" s="50" t="s">
        <v>27</v>
      </c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</row>
    <row r="474" hidden="1">
      <c r="A474" s="50" t="s">
        <v>19</v>
      </c>
      <c r="B474" s="50" t="s">
        <v>354</v>
      </c>
      <c r="C474" s="50" t="s">
        <v>21</v>
      </c>
      <c r="D474" s="50" t="s">
        <v>22</v>
      </c>
      <c r="E474" s="50" t="s">
        <v>23</v>
      </c>
      <c r="F474" s="50" t="s">
        <v>355</v>
      </c>
      <c r="G474" s="50">
        <v>13288.974718</v>
      </c>
      <c r="H474" s="50" t="s">
        <v>25</v>
      </c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</row>
    <row r="475" ht="15.75" hidden="1" customHeight="1">
      <c r="A475" s="50" t="s">
        <v>19</v>
      </c>
      <c r="B475" s="50" t="s">
        <v>354</v>
      </c>
      <c r="C475" s="50" t="s">
        <v>21</v>
      </c>
      <c r="D475" s="50" t="s">
        <v>22</v>
      </c>
      <c r="E475" s="50" t="s">
        <v>23</v>
      </c>
      <c r="F475" s="50" t="s">
        <v>355</v>
      </c>
      <c r="G475" s="51">
        <f>2676.24+'Hoja 1'!L128</f>
        <v>12127.44</v>
      </c>
      <c r="H475" s="52" t="s">
        <v>28</v>
      </c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</row>
    <row r="476" ht="15.75" hidden="1" customHeight="1">
      <c r="A476" s="50" t="s">
        <v>356</v>
      </c>
      <c r="B476" s="66" t="s">
        <v>357</v>
      </c>
      <c r="C476" s="66" t="s">
        <v>32</v>
      </c>
      <c r="D476" s="67" t="s">
        <v>56</v>
      </c>
      <c r="E476" s="67"/>
      <c r="F476" s="67" t="s">
        <v>357</v>
      </c>
      <c r="G476" s="68">
        <v>3087.11</v>
      </c>
      <c r="H476" s="49"/>
      <c r="I476" s="49"/>
      <c r="J476" s="49"/>
      <c r="K476" s="49"/>
      <c r="L476" s="50"/>
      <c r="M476" s="69">
        <v>46082.0</v>
      </c>
      <c r="N476" s="50"/>
      <c r="O476" s="50"/>
      <c r="P476" s="50"/>
      <c r="Q476" s="49"/>
      <c r="R476" s="49"/>
      <c r="S476" s="49"/>
      <c r="T476" s="49"/>
      <c r="U476" s="49"/>
      <c r="V476" s="49"/>
      <c r="W476" s="49"/>
      <c r="X476" s="49"/>
    </row>
    <row r="477" ht="15.75" hidden="1" customHeight="1">
      <c r="A477" s="52" t="s">
        <v>437</v>
      </c>
      <c r="B477" s="50" t="s">
        <v>436</v>
      </c>
      <c r="C477" s="52" t="s">
        <v>32</v>
      </c>
      <c r="D477" s="54" t="s">
        <v>56</v>
      </c>
      <c r="E477" s="49"/>
      <c r="F477" s="49"/>
      <c r="G477" s="52">
        <v>10169.65289</v>
      </c>
      <c r="H477" s="49"/>
      <c r="I477" s="49"/>
      <c r="J477" s="49"/>
      <c r="K477" s="49"/>
      <c r="L477" s="50">
        <v>32688.17</v>
      </c>
      <c r="M477" s="50" t="s">
        <v>366</v>
      </c>
      <c r="N477" s="50" t="s">
        <v>361</v>
      </c>
      <c r="O477" s="50">
        <v>502.0</v>
      </c>
      <c r="P477" s="50" t="s">
        <v>438</v>
      </c>
      <c r="Q477" s="49"/>
      <c r="R477" s="49"/>
      <c r="S477" s="49"/>
      <c r="T477" s="49"/>
      <c r="U477" s="49"/>
      <c r="V477" s="49"/>
      <c r="W477" s="49"/>
      <c r="X477" s="49"/>
    </row>
    <row r="478" ht="15.75" hidden="1" customHeight="1">
      <c r="A478" s="52" t="s">
        <v>356</v>
      </c>
      <c r="B478" s="52" t="s">
        <v>363</v>
      </c>
      <c r="C478" s="52" t="s">
        <v>32</v>
      </c>
      <c r="D478" s="52" t="s">
        <v>39</v>
      </c>
      <c r="E478" s="52" t="s">
        <v>363</v>
      </c>
      <c r="F478" s="52"/>
      <c r="G478" s="52">
        <v>479.7</v>
      </c>
      <c r="H478" s="52"/>
      <c r="I478" s="52"/>
      <c r="J478" s="52"/>
      <c r="K478" s="52"/>
      <c r="L478" s="52"/>
      <c r="M478" s="52">
        <v>46082.0</v>
      </c>
      <c r="N478" s="52"/>
      <c r="O478" s="52"/>
      <c r="P478" s="52"/>
      <c r="Q478" s="52"/>
      <c r="R478" s="52"/>
      <c r="S478" s="52"/>
      <c r="T478" s="49"/>
      <c r="U478" s="49"/>
      <c r="V478" s="49"/>
      <c r="W478" s="49"/>
      <c r="X478" s="49"/>
    </row>
    <row r="479" ht="15.75" hidden="1" customHeight="1">
      <c r="A479" s="50" t="s">
        <v>19</v>
      </c>
      <c r="B479" s="50" t="s">
        <v>354</v>
      </c>
      <c r="C479" s="50" t="s">
        <v>21</v>
      </c>
      <c r="D479" s="50" t="s">
        <v>22</v>
      </c>
      <c r="E479" s="50" t="s">
        <v>23</v>
      </c>
      <c r="F479" s="50" t="s">
        <v>355</v>
      </c>
      <c r="G479" s="51">
        <f>2676.24+'Hoja 1'!L76</f>
        <v>9292.08</v>
      </c>
      <c r="H479" s="50" t="s">
        <v>26</v>
      </c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</row>
    <row r="480" ht="15.75" hidden="1" customHeight="1">
      <c r="A480" s="50" t="s">
        <v>424</v>
      </c>
      <c r="B480" s="50" t="s">
        <v>425</v>
      </c>
      <c r="C480" s="52" t="s">
        <v>373</v>
      </c>
      <c r="D480" s="49"/>
      <c r="E480" s="49"/>
      <c r="F480" s="49"/>
      <c r="G480" s="50">
        <v>13833.01</v>
      </c>
      <c r="H480" s="49"/>
      <c r="I480" s="49"/>
      <c r="J480" s="49"/>
      <c r="K480" s="49"/>
      <c r="L480" s="50">
        <v>13833.01</v>
      </c>
      <c r="M480" s="50" t="s">
        <v>366</v>
      </c>
      <c r="N480" s="50" t="s">
        <v>361</v>
      </c>
      <c r="O480" s="50">
        <v>500.0</v>
      </c>
      <c r="P480" s="50" t="s">
        <v>424</v>
      </c>
      <c r="Q480" s="49"/>
      <c r="R480" s="49"/>
      <c r="S480" s="49"/>
      <c r="T480" s="49"/>
      <c r="U480" s="49"/>
      <c r="V480" s="49"/>
      <c r="W480" s="49"/>
      <c r="X480" s="49"/>
    </row>
    <row r="481" ht="15.75" hidden="1" customHeight="1">
      <c r="A481" s="50" t="s">
        <v>433</v>
      </c>
      <c r="B481" s="50" t="s">
        <v>469</v>
      </c>
      <c r="C481" s="52" t="s">
        <v>32</v>
      </c>
      <c r="D481" s="52" t="s">
        <v>193</v>
      </c>
      <c r="E481" s="49"/>
      <c r="F481" s="49"/>
      <c r="G481" s="50">
        <v>20324.14</v>
      </c>
      <c r="H481" s="49"/>
      <c r="I481" s="49"/>
      <c r="J481" s="49"/>
      <c r="K481" s="49"/>
      <c r="L481" s="50">
        <v>20324.14</v>
      </c>
      <c r="M481" s="50" t="s">
        <v>366</v>
      </c>
      <c r="N481" s="50" t="s">
        <v>361</v>
      </c>
      <c r="O481" s="50">
        <v>288.0</v>
      </c>
      <c r="P481" s="50" t="s">
        <v>403</v>
      </c>
      <c r="Q481" s="49"/>
      <c r="R481" s="49"/>
      <c r="S481" s="49"/>
      <c r="T481" s="49"/>
      <c r="U481" s="49"/>
      <c r="V481" s="49"/>
      <c r="W481" s="49"/>
      <c r="X481" s="49"/>
    </row>
    <row r="482" ht="15.75" hidden="1" customHeight="1">
      <c r="A482" s="50" t="s">
        <v>490</v>
      </c>
      <c r="B482" s="50" t="s">
        <v>494</v>
      </c>
      <c r="C482" s="50" t="s">
        <v>32</v>
      </c>
      <c r="D482" s="49"/>
      <c r="E482" s="49"/>
      <c r="F482" s="49"/>
      <c r="G482" s="50">
        <v>86206.9</v>
      </c>
      <c r="H482" s="49"/>
      <c r="I482" s="49"/>
      <c r="J482" s="49"/>
      <c r="K482" s="49"/>
      <c r="L482" s="50">
        <v>86206.9</v>
      </c>
      <c r="M482" s="50" t="s">
        <v>366</v>
      </c>
      <c r="N482" s="50" t="s">
        <v>361</v>
      </c>
      <c r="O482" s="50">
        <v>288.0</v>
      </c>
      <c r="P482" s="50" t="s">
        <v>403</v>
      </c>
      <c r="Q482" s="49"/>
      <c r="R482" s="49"/>
      <c r="S482" s="49"/>
      <c r="T482" s="49"/>
      <c r="U482" s="49"/>
      <c r="V482" s="49"/>
      <c r="W482" s="49"/>
      <c r="X482" s="49"/>
    </row>
    <row r="483" ht="15.75" hidden="1" customHeight="1">
      <c r="A483" s="50" t="s">
        <v>523</v>
      </c>
      <c r="B483" s="50" t="s">
        <v>524</v>
      </c>
      <c r="C483" s="52" t="s">
        <v>32</v>
      </c>
      <c r="D483" s="52" t="s">
        <v>39</v>
      </c>
      <c r="E483" s="49"/>
      <c r="F483" s="49"/>
      <c r="G483" s="50">
        <v>29000.0</v>
      </c>
      <c r="H483" s="49"/>
      <c r="I483" s="49"/>
      <c r="J483" s="49"/>
      <c r="K483" s="49"/>
      <c r="L483" s="50">
        <v>29000.0</v>
      </c>
      <c r="M483" s="50" t="s">
        <v>366</v>
      </c>
      <c r="N483" s="50" t="s">
        <v>361</v>
      </c>
      <c r="O483" s="50">
        <v>288.0</v>
      </c>
      <c r="P483" s="50" t="s">
        <v>403</v>
      </c>
      <c r="Q483" s="49"/>
      <c r="R483" s="49"/>
      <c r="S483" s="49"/>
      <c r="T483" s="49"/>
      <c r="U483" s="49"/>
      <c r="V483" s="49"/>
      <c r="W483" s="49"/>
      <c r="X483" s="49"/>
    </row>
    <row r="484" ht="15.75" hidden="1" customHeight="1">
      <c r="A484" s="50" t="s">
        <v>391</v>
      </c>
      <c r="B484" s="50" t="s">
        <v>426</v>
      </c>
      <c r="C484" s="52" t="s">
        <v>32</v>
      </c>
      <c r="D484" s="49"/>
      <c r="E484" s="49"/>
      <c r="F484" s="49"/>
      <c r="G484" s="50">
        <v>5244.76</v>
      </c>
      <c r="H484" s="49"/>
      <c r="I484" s="49"/>
      <c r="J484" s="49"/>
      <c r="K484" s="49"/>
      <c r="L484" s="50">
        <v>5244.76</v>
      </c>
      <c r="M484" s="50" t="s">
        <v>366</v>
      </c>
      <c r="N484" s="50" t="s">
        <v>361</v>
      </c>
      <c r="O484" s="50">
        <v>288.0</v>
      </c>
      <c r="P484" s="50" t="s">
        <v>403</v>
      </c>
      <c r="Q484" s="49"/>
      <c r="R484" s="49"/>
      <c r="S484" s="49"/>
      <c r="T484" s="49"/>
      <c r="U484" s="49"/>
      <c r="V484" s="49"/>
      <c r="W484" s="49"/>
      <c r="X484" s="49"/>
    </row>
    <row r="485" ht="15.75" hidden="1" customHeight="1">
      <c r="A485" s="50" t="s">
        <v>401</v>
      </c>
      <c r="B485" s="50" t="s">
        <v>402</v>
      </c>
      <c r="C485" s="52" t="s">
        <v>32</v>
      </c>
      <c r="D485" s="52" t="s">
        <v>118</v>
      </c>
      <c r="E485" s="49"/>
      <c r="F485" s="49"/>
      <c r="G485" s="50">
        <v>8500.0</v>
      </c>
      <c r="H485" s="49"/>
      <c r="I485" s="49"/>
      <c r="J485" s="49"/>
      <c r="K485" s="49"/>
      <c r="L485" s="50">
        <v>8500.0</v>
      </c>
      <c r="M485" s="50" t="s">
        <v>366</v>
      </c>
      <c r="N485" s="50" t="s">
        <v>361</v>
      </c>
      <c r="O485" s="50">
        <v>288.0</v>
      </c>
      <c r="P485" s="50" t="s">
        <v>403</v>
      </c>
      <c r="Q485" s="49"/>
      <c r="R485" s="49"/>
      <c r="S485" s="49"/>
      <c r="T485" s="49"/>
      <c r="U485" s="49"/>
      <c r="V485" s="49"/>
      <c r="W485" s="49"/>
      <c r="X485" s="49"/>
    </row>
    <row r="486" ht="15.75" hidden="1" customHeight="1">
      <c r="A486" s="50" t="s">
        <v>371</v>
      </c>
      <c r="B486" s="50" t="s">
        <v>372</v>
      </c>
      <c r="C486" s="52" t="s">
        <v>373</v>
      </c>
      <c r="D486" s="49"/>
      <c r="E486" s="49"/>
      <c r="F486" s="49"/>
      <c r="G486" s="50">
        <v>4258.36</v>
      </c>
      <c r="H486" s="49"/>
      <c r="I486" s="49"/>
      <c r="J486" s="49"/>
      <c r="K486" s="49"/>
      <c r="L486" s="50">
        <v>4258.36</v>
      </c>
      <c r="M486" s="50" t="s">
        <v>366</v>
      </c>
      <c r="N486" s="50" t="s">
        <v>361</v>
      </c>
      <c r="O486" s="50">
        <v>272.0</v>
      </c>
      <c r="P486" s="50" t="s">
        <v>374</v>
      </c>
      <c r="Q486" s="49"/>
      <c r="R486" s="49"/>
      <c r="S486" s="49"/>
      <c r="T486" s="49"/>
      <c r="U486" s="49"/>
      <c r="V486" s="49"/>
      <c r="W486" s="49"/>
      <c r="X486" s="49"/>
    </row>
    <row r="487" ht="15.75" hidden="1" customHeight="1">
      <c r="A487" s="50" t="s">
        <v>490</v>
      </c>
      <c r="B487" s="50" t="s">
        <v>495</v>
      </c>
      <c r="C487" s="50" t="s">
        <v>32</v>
      </c>
      <c r="D487" s="49"/>
      <c r="E487" s="49"/>
      <c r="F487" s="49"/>
      <c r="G487" s="50">
        <v>7343.97</v>
      </c>
      <c r="H487" s="49"/>
      <c r="I487" s="49"/>
      <c r="J487" s="49"/>
      <c r="K487" s="49"/>
      <c r="L487" s="50">
        <v>7343.97</v>
      </c>
      <c r="M487" s="50" t="s">
        <v>366</v>
      </c>
      <c r="N487" s="50" t="s">
        <v>361</v>
      </c>
      <c r="O487" s="50">
        <v>272.0</v>
      </c>
      <c r="P487" s="50" t="s">
        <v>375</v>
      </c>
      <c r="Q487" s="49"/>
      <c r="R487" s="49"/>
      <c r="S487" s="49"/>
      <c r="T487" s="49"/>
      <c r="U487" s="49"/>
      <c r="V487" s="49"/>
      <c r="W487" s="49"/>
      <c r="X487" s="49"/>
    </row>
    <row r="488" ht="15.75" hidden="1" customHeight="1">
      <c r="A488" s="50" t="s">
        <v>371</v>
      </c>
      <c r="B488" s="50" t="s">
        <v>372</v>
      </c>
      <c r="C488" s="52" t="s">
        <v>373</v>
      </c>
      <c r="D488" s="49"/>
      <c r="E488" s="49"/>
      <c r="F488" s="49"/>
      <c r="G488" s="50">
        <v>15365.54</v>
      </c>
      <c r="H488" s="49"/>
      <c r="I488" s="49"/>
      <c r="J488" s="49"/>
      <c r="K488" s="49"/>
      <c r="L488" s="50">
        <v>15365.54</v>
      </c>
      <c r="M488" s="50" t="s">
        <v>366</v>
      </c>
      <c r="N488" s="50" t="s">
        <v>361</v>
      </c>
      <c r="O488" s="50">
        <v>272.0</v>
      </c>
      <c r="P488" s="50" t="s">
        <v>375</v>
      </c>
      <c r="Q488" s="49"/>
      <c r="R488" s="49"/>
      <c r="S488" s="49"/>
      <c r="T488" s="49"/>
      <c r="U488" s="49"/>
      <c r="V488" s="49"/>
      <c r="W488" s="49"/>
      <c r="X488" s="49"/>
    </row>
    <row r="489" ht="15.75" hidden="1" customHeight="1">
      <c r="A489" s="50" t="s">
        <v>371</v>
      </c>
      <c r="B489" s="50" t="s">
        <v>372</v>
      </c>
      <c r="C489" s="52" t="s">
        <v>373</v>
      </c>
      <c r="D489" s="49"/>
      <c r="E489" s="49"/>
      <c r="F489" s="49"/>
      <c r="G489" s="50">
        <v>17316.68</v>
      </c>
      <c r="H489" s="49"/>
      <c r="I489" s="49"/>
      <c r="J489" s="49"/>
      <c r="K489" s="49"/>
      <c r="L489" s="50">
        <v>17316.68</v>
      </c>
      <c r="M489" s="50" t="s">
        <v>366</v>
      </c>
      <c r="N489" s="50" t="s">
        <v>361</v>
      </c>
      <c r="O489" s="50">
        <v>272.0</v>
      </c>
      <c r="P489" s="50" t="s">
        <v>375</v>
      </c>
      <c r="Q489" s="49"/>
      <c r="R489" s="49"/>
      <c r="S489" s="49"/>
      <c r="T489" s="49"/>
      <c r="U489" s="49"/>
      <c r="V489" s="49"/>
      <c r="W489" s="49"/>
      <c r="X489" s="49"/>
    </row>
    <row r="490" ht="15.75" hidden="1" customHeight="1">
      <c r="A490" s="50" t="s">
        <v>490</v>
      </c>
      <c r="B490" s="50" t="s">
        <v>496</v>
      </c>
      <c r="C490" s="50" t="s">
        <v>32</v>
      </c>
      <c r="D490" s="49"/>
      <c r="E490" s="49"/>
      <c r="F490" s="49"/>
      <c r="G490" s="50">
        <v>8900.0</v>
      </c>
      <c r="H490" s="49"/>
      <c r="I490" s="49"/>
      <c r="J490" s="49"/>
      <c r="K490" s="49"/>
      <c r="L490" s="50">
        <v>8900.0</v>
      </c>
      <c r="M490" s="50" t="s">
        <v>366</v>
      </c>
      <c r="N490" s="50" t="s">
        <v>361</v>
      </c>
      <c r="O490" s="50">
        <v>272.0</v>
      </c>
      <c r="P490" s="50" t="s">
        <v>375</v>
      </c>
      <c r="Q490" s="49"/>
      <c r="R490" s="49"/>
      <c r="S490" s="49"/>
      <c r="T490" s="49"/>
      <c r="U490" s="49"/>
      <c r="V490" s="49"/>
      <c r="W490" s="49"/>
      <c r="X490" s="49"/>
    </row>
    <row r="491" ht="15.75" hidden="1" customHeight="1">
      <c r="A491" s="50" t="s">
        <v>490</v>
      </c>
      <c r="B491" s="50" t="s">
        <v>497</v>
      </c>
      <c r="C491" s="50" t="s">
        <v>32</v>
      </c>
      <c r="D491" s="49"/>
      <c r="E491" s="49"/>
      <c r="F491" s="49"/>
      <c r="G491" s="50">
        <v>114992.67</v>
      </c>
      <c r="H491" s="49"/>
      <c r="I491" s="49"/>
      <c r="J491" s="49"/>
      <c r="K491" s="49"/>
      <c r="L491" s="50">
        <v>114992.67</v>
      </c>
      <c r="M491" s="50" t="s">
        <v>366</v>
      </c>
      <c r="N491" s="50" t="s">
        <v>361</v>
      </c>
      <c r="O491" s="50">
        <v>272.0</v>
      </c>
      <c r="P491" s="50" t="s">
        <v>375</v>
      </c>
      <c r="Q491" s="49"/>
      <c r="R491" s="49"/>
      <c r="S491" s="49"/>
      <c r="T491" s="49"/>
      <c r="U491" s="49"/>
      <c r="V491" s="49"/>
      <c r="W491" s="49"/>
      <c r="X491" s="49"/>
    </row>
    <row r="492" ht="15.75" hidden="1" customHeight="1">
      <c r="A492" s="50" t="s">
        <v>375</v>
      </c>
      <c r="B492" s="50" t="s">
        <v>376</v>
      </c>
      <c r="C492" s="70" t="s">
        <v>32</v>
      </c>
      <c r="D492" s="50" t="s">
        <v>56</v>
      </c>
      <c r="E492" s="49"/>
      <c r="F492" s="49"/>
      <c r="G492" s="52">
        <v>15289.59289</v>
      </c>
      <c r="H492" s="49"/>
      <c r="I492" s="49"/>
      <c r="J492" s="49"/>
      <c r="K492" s="49"/>
      <c r="L492" s="50">
        <v>3985.76</v>
      </c>
      <c r="M492" s="50" t="s">
        <v>366</v>
      </c>
      <c r="N492" s="50" t="s">
        <v>361</v>
      </c>
      <c r="O492" s="50">
        <v>272.0</v>
      </c>
      <c r="P492" s="50" t="s">
        <v>375</v>
      </c>
      <c r="Q492" s="49"/>
      <c r="R492" s="49"/>
      <c r="S492" s="49"/>
      <c r="T492" s="49"/>
      <c r="U492" s="49"/>
      <c r="V492" s="49"/>
      <c r="W492" s="49"/>
      <c r="X492" s="49"/>
    </row>
    <row r="493" ht="15.75" hidden="1" customHeight="1">
      <c r="A493" s="50" t="s">
        <v>375</v>
      </c>
      <c r="B493" s="50" t="s">
        <v>376</v>
      </c>
      <c r="C493" s="70" t="s">
        <v>32</v>
      </c>
      <c r="D493" s="50" t="s">
        <v>103</v>
      </c>
      <c r="E493" s="49"/>
      <c r="F493" s="49"/>
      <c r="G493" s="52">
        <v>1092.113778</v>
      </c>
      <c r="H493" s="49"/>
      <c r="I493" s="49"/>
      <c r="J493" s="49"/>
      <c r="K493" s="49"/>
      <c r="L493" s="50">
        <v>4172.27</v>
      </c>
      <c r="M493" s="50" t="s">
        <v>366</v>
      </c>
      <c r="N493" s="50" t="s">
        <v>361</v>
      </c>
      <c r="O493" s="50">
        <v>272.0</v>
      </c>
      <c r="P493" s="50" t="s">
        <v>375</v>
      </c>
      <c r="Q493" s="49"/>
      <c r="R493" s="49"/>
      <c r="S493" s="49"/>
      <c r="T493" s="49"/>
      <c r="U493" s="49"/>
      <c r="V493" s="49"/>
      <c r="W493" s="49"/>
      <c r="X493" s="49"/>
    </row>
    <row r="494" ht="15.75" hidden="1" customHeight="1">
      <c r="A494" s="50" t="s">
        <v>375</v>
      </c>
      <c r="B494" s="50" t="s">
        <v>376</v>
      </c>
      <c r="C494" s="70" t="s">
        <v>21</v>
      </c>
      <c r="D494" s="50" t="s">
        <v>22</v>
      </c>
      <c r="E494" s="49"/>
      <c r="F494" s="49"/>
      <c r="G494" s="52">
        <v>20750.16178</v>
      </c>
      <c r="H494" s="49"/>
      <c r="I494" s="49"/>
      <c r="J494" s="49"/>
      <c r="K494" s="49"/>
      <c r="L494" s="50">
        <v>4578.49</v>
      </c>
      <c r="M494" s="50" t="s">
        <v>366</v>
      </c>
      <c r="N494" s="50" t="s">
        <v>361</v>
      </c>
      <c r="O494" s="50">
        <v>272.0</v>
      </c>
      <c r="P494" s="50" t="s">
        <v>375</v>
      </c>
      <c r="Q494" s="49"/>
      <c r="R494" s="49"/>
      <c r="S494" s="49"/>
      <c r="T494" s="49"/>
      <c r="U494" s="49"/>
      <c r="V494" s="49"/>
      <c r="W494" s="49"/>
      <c r="X494" s="49"/>
    </row>
    <row r="495" ht="15.75" hidden="1" customHeight="1">
      <c r="A495" s="50" t="s">
        <v>375</v>
      </c>
      <c r="B495" s="50" t="s">
        <v>376</v>
      </c>
      <c r="C495" s="70" t="s">
        <v>32</v>
      </c>
      <c r="D495" s="50" t="s">
        <v>193</v>
      </c>
      <c r="E495" s="49"/>
      <c r="F495" s="49"/>
      <c r="G495" s="52">
        <v>2912.303407</v>
      </c>
      <c r="H495" s="49"/>
      <c r="I495" s="49"/>
      <c r="J495" s="49"/>
      <c r="K495" s="49"/>
      <c r="L495" s="50">
        <v>6890.7</v>
      </c>
      <c r="M495" s="50" t="s">
        <v>366</v>
      </c>
      <c r="N495" s="50" t="s">
        <v>361</v>
      </c>
      <c r="O495" s="50">
        <v>272.0</v>
      </c>
      <c r="P495" s="50" t="s">
        <v>375</v>
      </c>
      <c r="Q495" s="49"/>
      <c r="R495" s="49"/>
      <c r="S495" s="49"/>
      <c r="T495" s="49"/>
      <c r="U495" s="49"/>
      <c r="V495" s="49"/>
      <c r="W495" s="49"/>
      <c r="X495" s="49"/>
    </row>
    <row r="496" ht="15.75" hidden="1" customHeight="1">
      <c r="A496" s="50" t="s">
        <v>375</v>
      </c>
      <c r="B496" s="50" t="s">
        <v>376</v>
      </c>
      <c r="C496" s="70" t="s">
        <v>32</v>
      </c>
      <c r="D496" s="50" t="s">
        <v>39</v>
      </c>
      <c r="E496" s="49"/>
      <c r="F496" s="49"/>
      <c r="G496" s="52">
        <v>1638.170667</v>
      </c>
      <c r="H496" s="49"/>
      <c r="I496" s="49"/>
      <c r="J496" s="49"/>
      <c r="K496" s="49"/>
      <c r="L496" s="50">
        <v>7734.15</v>
      </c>
      <c r="M496" s="50" t="s">
        <v>366</v>
      </c>
      <c r="N496" s="50" t="s">
        <v>361</v>
      </c>
      <c r="O496" s="50">
        <v>272.0</v>
      </c>
      <c r="P496" s="50" t="s">
        <v>375</v>
      </c>
      <c r="Q496" s="49"/>
      <c r="R496" s="49"/>
      <c r="S496" s="49"/>
      <c r="T496" s="49"/>
      <c r="U496" s="49"/>
      <c r="V496" s="49"/>
      <c r="W496" s="49"/>
      <c r="X496" s="49"/>
    </row>
    <row r="497" ht="15.75" hidden="1" customHeight="1">
      <c r="A497" s="50" t="s">
        <v>375</v>
      </c>
      <c r="B497" s="50" t="s">
        <v>376</v>
      </c>
      <c r="C497" s="70" t="s">
        <v>32</v>
      </c>
      <c r="D497" s="50" t="s">
        <v>48</v>
      </c>
      <c r="E497" s="49"/>
      <c r="F497" s="49"/>
      <c r="G497" s="52">
        <v>5824.606815</v>
      </c>
      <c r="H497" s="49"/>
      <c r="I497" s="49"/>
      <c r="J497" s="49"/>
      <c r="K497" s="49"/>
      <c r="L497" s="50">
        <v>9987.58</v>
      </c>
      <c r="M497" s="50" t="s">
        <v>366</v>
      </c>
      <c r="N497" s="50" t="s">
        <v>361</v>
      </c>
      <c r="O497" s="50">
        <v>272.0</v>
      </c>
      <c r="P497" s="50" t="s">
        <v>375</v>
      </c>
      <c r="Q497" s="49"/>
      <c r="R497" s="49"/>
      <c r="S497" s="49"/>
      <c r="T497" s="49"/>
      <c r="U497" s="49"/>
      <c r="V497" s="49"/>
      <c r="W497" s="49"/>
      <c r="X497" s="49"/>
    </row>
    <row r="498" ht="15.75" hidden="1" customHeight="1">
      <c r="A498" s="50" t="s">
        <v>375</v>
      </c>
      <c r="B498" s="50" t="s">
        <v>376</v>
      </c>
      <c r="C498" s="70" t="s">
        <v>32</v>
      </c>
      <c r="D498" s="50" t="s">
        <v>118</v>
      </c>
      <c r="E498" s="49"/>
      <c r="F498" s="49"/>
      <c r="G498" s="52">
        <v>1638.170667</v>
      </c>
      <c r="H498" s="49"/>
      <c r="I498" s="49"/>
      <c r="J498" s="49"/>
      <c r="K498" s="49"/>
      <c r="L498" s="50">
        <v>11796.17</v>
      </c>
      <c r="M498" s="50" t="s">
        <v>366</v>
      </c>
      <c r="N498" s="50" t="s">
        <v>361</v>
      </c>
      <c r="O498" s="50">
        <v>272.0</v>
      </c>
      <c r="P498" s="50" t="s">
        <v>375</v>
      </c>
      <c r="Q498" s="49"/>
      <c r="R498" s="49"/>
      <c r="S498" s="49"/>
      <c r="T498" s="49"/>
      <c r="U498" s="49"/>
      <c r="V498" s="49"/>
      <c r="W498" s="49"/>
      <c r="X498" s="49"/>
    </row>
    <row r="499" ht="15.75" hidden="1" customHeight="1">
      <c r="A499" s="50" t="s">
        <v>375</v>
      </c>
      <c r="B499" s="50" t="s">
        <v>377</v>
      </c>
      <c r="C499" s="52" t="s">
        <v>373</v>
      </c>
      <c r="D499" s="49"/>
      <c r="E499" s="49"/>
      <c r="F499" s="49"/>
      <c r="G499" s="50">
        <v>11900.0</v>
      </c>
      <c r="H499" s="49"/>
      <c r="I499" s="49"/>
      <c r="J499" s="49"/>
      <c r="K499" s="49"/>
      <c r="L499" s="50">
        <v>11900.0</v>
      </c>
      <c r="M499" s="50" t="s">
        <v>366</v>
      </c>
      <c r="N499" s="50" t="s">
        <v>361</v>
      </c>
      <c r="O499" s="50">
        <v>272.0</v>
      </c>
      <c r="P499" s="50" t="s">
        <v>375</v>
      </c>
      <c r="Q499" s="49"/>
      <c r="R499" s="49"/>
      <c r="S499" s="49"/>
      <c r="T499" s="49"/>
      <c r="U499" s="49"/>
      <c r="V499" s="49"/>
      <c r="W499" s="49"/>
      <c r="X499" s="49"/>
    </row>
    <row r="500" ht="15.75" hidden="1" customHeight="1">
      <c r="A500" s="50" t="s">
        <v>384</v>
      </c>
      <c r="B500" s="50" t="s">
        <v>385</v>
      </c>
      <c r="C500" s="52" t="s">
        <v>373</v>
      </c>
      <c r="D500" s="49"/>
      <c r="E500" s="49"/>
      <c r="F500" s="49"/>
      <c r="G500" s="50">
        <v>19503.8</v>
      </c>
      <c r="H500" s="49"/>
      <c r="I500" s="49"/>
      <c r="J500" s="49"/>
      <c r="K500" s="49"/>
      <c r="L500" s="50">
        <v>19503.8</v>
      </c>
      <c r="M500" s="50" t="s">
        <v>366</v>
      </c>
      <c r="N500" s="50" t="s">
        <v>361</v>
      </c>
      <c r="O500" s="50">
        <v>272.0</v>
      </c>
      <c r="P500" s="50" t="s">
        <v>375</v>
      </c>
      <c r="Q500" s="49"/>
      <c r="R500" s="49"/>
      <c r="S500" s="49"/>
      <c r="T500" s="49"/>
      <c r="U500" s="49"/>
      <c r="V500" s="49"/>
      <c r="W500" s="49"/>
      <c r="X500" s="49"/>
    </row>
    <row r="501" ht="15.75" hidden="1" customHeight="1">
      <c r="A501" s="50" t="s">
        <v>375</v>
      </c>
      <c r="B501" s="50" t="s">
        <v>378</v>
      </c>
      <c r="C501" s="52" t="s">
        <v>21</v>
      </c>
      <c r="D501" s="52" t="s">
        <v>22</v>
      </c>
      <c r="E501" s="49"/>
      <c r="F501" s="49"/>
      <c r="G501" s="50">
        <v>2392.85</v>
      </c>
      <c r="H501" s="49"/>
      <c r="I501" s="49"/>
      <c r="J501" s="49"/>
      <c r="K501" s="49"/>
      <c r="L501" s="50">
        <v>2392.85</v>
      </c>
      <c r="M501" s="50" t="s">
        <v>366</v>
      </c>
      <c r="N501" s="50" t="s">
        <v>361</v>
      </c>
      <c r="O501" s="50">
        <v>272.0</v>
      </c>
      <c r="P501" s="50" t="s">
        <v>375</v>
      </c>
      <c r="Q501" s="49"/>
      <c r="R501" s="49"/>
      <c r="S501" s="49"/>
      <c r="T501" s="49"/>
      <c r="U501" s="49"/>
      <c r="V501" s="49"/>
      <c r="W501" s="49"/>
      <c r="X501" s="49"/>
    </row>
    <row r="502" ht="15.75" hidden="1" customHeight="1">
      <c r="A502" s="50" t="s">
        <v>375</v>
      </c>
      <c r="B502" s="50" t="s">
        <v>378</v>
      </c>
      <c r="C502" s="52" t="s">
        <v>21</v>
      </c>
      <c r="D502" s="52" t="s">
        <v>22</v>
      </c>
      <c r="E502" s="49"/>
      <c r="F502" s="49"/>
      <c r="G502" s="50">
        <v>2758.62</v>
      </c>
      <c r="H502" s="49"/>
      <c r="I502" s="49"/>
      <c r="J502" s="49"/>
      <c r="K502" s="49"/>
      <c r="L502" s="50">
        <v>2758.62</v>
      </c>
      <c r="M502" s="50" t="s">
        <v>366</v>
      </c>
      <c r="N502" s="50" t="s">
        <v>361</v>
      </c>
      <c r="O502" s="50">
        <v>272.0</v>
      </c>
      <c r="P502" s="50" t="s">
        <v>375</v>
      </c>
      <c r="Q502" s="49"/>
      <c r="R502" s="49"/>
      <c r="S502" s="49"/>
      <c r="T502" s="49"/>
      <c r="U502" s="49"/>
      <c r="V502" s="49"/>
      <c r="W502" s="49"/>
      <c r="X502" s="49"/>
    </row>
    <row r="503" ht="15.75" hidden="1" customHeight="1">
      <c r="A503" s="50" t="s">
        <v>375</v>
      </c>
      <c r="B503" s="50" t="s">
        <v>378</v>
      </c>
      <c r="C503" s="52" t="s">
        <v>21</v>
      </c>
      <c r="D503" s="52" t="s">
        <v>22</v>
      </c>
      <c r="E503" s="49"/>
      <c r="F503" s="49"/>
      <c r="G503" s="50">
        <v>5475.37</v>
      </c>
      <c r="H503" s="49"/>
      <c r="I503" s="49"/>
      <c r="J503" s="49"/>
      <c r="K503" s="49"/>
      <c r="L503" s="50">
        <v>5475.37</v>
      </c>
      <c r="M503" s="50" t="s">
        <v>366</v>
      </c>
      <c r="N503" s="50" t="s">
        <v>361</v>
      </c>
      <c r="O503" s="50">
        <v>272.0</v>
      </c>
      <c r="P503" s="50" t="s">
        <v>375</v>
      </c>
      <c r="Q503" s="49"/>
      <c r="R503" s="49"/>
      <c r="S503" s="49"/>
      <c r="T503" s="49"/>
      <c r="U503" s="49"/>
      <c r="V503" s="49"/>
      <c r="W503" s="49"/>
      <c r="X503" s="49"/>
    </row>
    <row r="504" ht="15.75" hidden="1" customHeight="1">
      <c r="A504" s="50" t="s">
        <v>384</v>
      </c>
      <c r="B504" s="50" t="s">
        <v>386</v>
      </c>
      <c r="C504" s="52" t="s">
        <v>21</v>
      </c>
      <c r="D504" s="52"/>
      <c r="E504" s="49"/>
      <c r="F504" s="52" t="s">
        <v>387</v>
      </c>
      <c r="G504" s="50">
        <v>17306.48</v>
      </c>
      <c r="H504" s="49"/>
      <c r="I504" s="49"/>
      <c r="J504" s="49"/>
      <c r="K504" s="49"/>
      <c r="L504" s="50">
        <v>17306.48</v>
      </c>
      <c r="M504" s="50" t="s">
        <v>366</v>
      </c>
      <c r="N504" s="50" t="s">
        <v>361</v>
      </c>
      <c r="O504" s="50">
        <v>272.0</v>
      </c>
      <c r="P504" s="50" t="s">
        <v>375</v>
      </c>
      <c r="Q504" s="49"/>
      <c r="R504" s="49"/>
      <c r="S504" s="49"/>
      <c r="T504" s="49"/>
      <c r="U504" s="49"/>
      <c r="V504" s="49"/>
      <c r="W504" s="49"/>
      <c r="X504" s="49"/>
    </row>
    <row r="505" ht="15.75" customHeight="1">
      <c r="A505" s="50" t="s">
        <v>375</v>
      </c>
      <c r="B505" s="50" t="s">
        <v>379</v>
      </c>
      <c r="C505" s="71" t="s">
        <v>32</v>
      </c>
      <c r="D505" s="54" t="s">
        <v>56</v>
      </c>
      <c r="E505" s="49"/>
      <c r="F505" s="49"/>
      <c r="G505" s="72">
        <v>145600.0</v>
      </c>
      <c r="H505" s="49"/>
      <c r="I505" s="49"/>
      <c r="J505" s="49"/>
      <c r="K505" s="49"/>
      <c r="L505" s="50"/>
      <c r="M505" s="50" t="s">
        <v>366</v>
      </c>
      <c r="N505" s="50" t="s">
        <v>361</v>
      </c>
      <c r="O505" s="50">
        <v>272.0</v>
      </c>
      <c r="P505" s="50" t="s">
        <v>375</v>
      </c>
      <c r="Q505" s="49"/>
      <c r="R505" s="49"/>
      <c r="S505" s="49"/>
      <c r="T505" s="49"/>
      <c r="U505" s="49"/>
      <c r="V505" s="49"/>
      <c r="W505" s="49"/>
      <c r="X505" s="49"/>
    </row>
    <row r="506" ht="15.75" customHeight="1">
      <c r="A506" s="50" t="s">
        <v>375</v>
      </c>
      <c r="B506" s="50" t="s">
        <v>379</v>
      </c>
      <c r="C506" s="71" t="s">
        <v>32</v>
      </c>
      <c r="D506" s="54" t="s">
        <v>103</v>
      </c>
      <c r="E506" s="49"/>
      <c r="F506" s="49"/>
      <c r="G506" s="72">
        <v>10400.0</v>
      </c>
      <c r="H506" s="49"/>
      <c r="I506" s="49"/>
      <c r="J506" s="49"/>
      <c r="K506" s="49"/>
      <c r="L506" s="50"/>
      <c r="M506" s="50" t="s">
        <v>366</v>
      </c>
      <c r="N506" s="50" t="s">
        <v>361</v>
      </c>
      <c r="O506" s="50">
        <v>272.0</v>
      </c>
      <c r="P506" s="50" t="s">
        <v>375</v>
      </c>
      <c r="Q506" s="49"/>
      <c r="R506" s="49"/>
      <c r="S506" s="49"/>
      <c r="T506" s="49"/>
      <c r="U506" s="49"/>
      <c r="V506" s="49"/>
      <c r="W506" s="49"/>
      <c r="X506" s="49"/>
    </row>
    <row r="507" ht="15.75" customHeight="1">
      <c r="A507" s="50" t="s">
        <v>375</v>
      </c>
      <c r="B507" s="50" t="s">
        <v>379</v>
      </c>
      <c r="C507" s="52" t="s">
        <v>21</v>
      </c>
      <c r="D507" s="54" t="s">
        <v>22</v>
      </c>
      <c r="E507" s="52" t="s">
        <v>23</v>
      </c>
      <c r="F507" s="49"/>
      <c r="G507" s="72">
        <v>197600.0</v>
      </c>
      <c r="H507" s="49"/>
      <c r="I507" s="49"/>
      <c r="J507" s="49"/>
      <c r="K507" s="49"/>
      <c r="L507" s="50"/>
      <c r="M507" s="50" t="s">
        <v>366</v>
      </c>
      <c r="N507" s="50" t="s">
        <v>361</v>
      </c>
      <c r="O507" s="50">
        <v>272.0</v>
      </c>
      <c r="P507" s="50" t="s">
        <v>375</v>
      </c>
      <c r="Q507" s="49"/>
      <c r="R507" s="49"/>
      <c r="S507" s="49"/>
      <c r="T507" s="49"/>
      <c r="U507" s="49"/>
      <c r="V507" s="49"/>
      <c r="W507" s="49"/>
      <c r="X507" s="49"/>
    </row>
    <row r="508" ht="15.75" hidden="1" customHeight="1">
      <c r="A508" s="50" t="s">
        <v>395</v>
      </c>
      <c r="B508" s="50" t="s">
        <v>396</v>
      </c>
      <c r="C508" s="50" t="s">
        <v>21</v>
      </c>
      <c r="D508" s="52" t="s">
        <v>22</v>
      </c>
      <c r="E508" s="49"/>
      <c r="F508" s="49"/>
      <c r="G508" s="50">
        <v>20826.33</v>
      </c>
      <c r="H508" s="49"/>
      <c r="I508" s="49"/>
      <c r="J508" s="49"/>
      <c r="K508" s="49"/>
      <c r="L508" s="50">
        <v>20826.33</v>
      </c>
      <c r="M508" s="50" t="s">
        <v>366</v>
      </c>
      <c r="N508" s="50" t="s">
        <v>361</v>
      </c>
      <c r="O508" s="50">
        <v>272.0</v>
      </c>
      <c r="P508" s="50" t="s">
        <v>375</v>
      </c>
      <c r="Q508" s="49"/>
      <c r="R508" s="49"/>
      <c r="S508" s="49"/>
      <c r="T508" s="49"/>
      <c r="U508" s="49"/>
      <c r="V508" s="49"/>
      <c r="W508" s="49"/>
      <c r="X508" s="49"/>
    </row>
    <row r="509" ht="15.75" hidden="1" customHeight="1">
      <c r="A509" s="73" t="s">
        <v>407</v>
      </c>
      <c r="B509" s="73" t="s">
        <v>408</v>
      </c>
      <c r="C509" s="73" t="s">
        <v>21</v>
      </c>
      <c r="D509" s="74"/>
      <c r="E509" s="74"/>
      <c r="F509" s="74"/>
      <c r="G509" s="73">
        <v>19833.79</v>
      </c>
      <c r="H509" s="74"/>
      <c r="I509" s="74"/>
      <c r="J509" s="74"/>
      <c r="K509" s="74"/>
      <c r="L509" s="73">
        <v>19833.79</v>
      </c>
      <c r="M509" s="73" t="s">
        <v>366</v>
      </c>
      <c r="N509" s="73" t="s">
        <v>361</v>
      </c>
      <c r="O509" s="73">
        <v>260.0</v>
      </c>
      <c r="P509" s="73" t="s">
        <v>407</v>
      </c>
      <c r="Q509" s="74"/>
      <c r="R509" s="74"/>
      <c r="S509" s="74"/>
      <c r="T509" s="74"/>
      <c r="U509" s="74"/>
      <c r="V509" s="74"/>
      <c r="W509" s="74"/>
      <c r="X509" s="74"/>
      <c r="Y509" s="75"/>
      <c r="Z509" s="75"/>
    </row>
    <row r="510" ht="15.75" hidden="1" customHeight="1">
      <c r="A510" s="50" t="s">
        <v>356</v>
      </c>
      <c r="B510" s="76" t="s">
        <v>388</v>
      </c>
      <c r="C510" s="77" t="s">
        <v>21</v>
      </c>
      <c r="D510" s="78" t="s">
        <v>22</v>
      </c>
      <c r="E510" s="78" t="s">
        <v>23</v>
      </c>
      <c r="F510" s="79"/>
      <c r="G510" s="80">
        <v>115700.88</v>
      </c>
      <c r="H510" s="49"/>
      <c r="I510" s="49"/>
      <c r="J510" s="49"/>
      <c r="K510" s="49"/>
      <c r="L510" s="50"/>
      <c r="M510" s="50" t="s">
        <v>366</v>
      </c>
      <c r="N510" s="50"/>
      <c r="O510" s="50"/>
      <c r="P510" s="50"/>
      <c r="Q510" s="49"/>
      <c r="R510" s="49"/>
      <c r="S510" s="49"/>
      <c r="T510" s="49"/>
      <c r="U510" s="49"/>
      <c r="V510" s="49"/>
      <c r="W510" s="49"/>
      <c r="X510" s="49"/>
    </row>
    <row r="511" ht="15.75" hidden="1" customHeight="1">
      <c r="A511" s="50" t="s">
        <v>356</v>
      </c>
      <c r="B511" s="81" t="s">
        <v>389</v>
      </c>
      <c r="C511" s="66" t="s">
        <v>21</v>
      </c>
      <c r="D511" s="67" t="s">
        <v>22</v>
      </c>
      <c r="E511" s="67" t="s">
        <v>23</v>
      </c>
      <c r="F511" s="82" t="s">
        <v>389</v>
      </c>
      <c r="G511" s="83">
        <v>283.5</v>
      </c>
      <c r="H511" s="49"/>
      <c r="I511" s="49"/>
      <c r="J511" s="49"/>
      <c r="K511" s="49"/>
      <c r="L511" s="50"/>
      <c r="M511" s="50" t="s">
        <v>366</v>
      </c>
      <c r="N511" s="50"/>
      <c r="O511" s="50"/>
      <c r="P511" s="50"/>
      <c r="Q511" s="49"/>
      <c r="R511" s="49"/>
      <c r="S511" s="49"/>
      <c r="T511" s="49"/>
      <c r="U511" s="49"/>
      <c r="V511" s="49"/>
      <c r="W511" s="49"/>
      <c r="X511" s="49"/>
    </row>
    <row r="512" ht="15.75" hidden="1" customHeight="1">
      <c r="A512" s="84" t="s">
        <v>375</v>
      </c>
      <c r="B512" s="50" t="s">
        <v>380</v>
      </c>
      <c r="C512" s="52" t="s">
        <v>21</v>
      </c>
      <c r="D512" s="52" t="s">
        <v>22</v>
      </c>
      <c r="E512" s="49"/>
      <c r="F512" s="49"/>
      <c r="G512" s="50">
        <v>4346.25</v>
      </c>
      <c r="H512" s="49"/>
      <c r="I512" s="49"/>
      <c r="J512" s="49"/>
      <c r="K512" s="49"/>
      <c r="L512" s="50">
        <v>4346.25</v>
      </c>
      <c r="M512" s="50" t="s">
        <v>366</v>
      </c>
      <c r="N512" s="50" t="s">
        <v>361</v>
      </c>
      <c r="O512" s="50">
        <v>275.0</v>
      </c>
      <c r="P512" s="50" t="s">
        <v>381</v>
      </c>
      <c r="Q512" s="49"/>
      <c r="R512" s="49"/>
      <c r="S512" s="49"/>
      <c r="T512" s="49"/>
      <c r="U512" s="49"/>
      <c r="V512" s="49"/>
      <c r="W512" s="49"/>
      <c r="X512" s="49"/>
    </row>
    <row r="513" ht="15.75" hidden="1" customHeight="1">
      <c r="A513" s="50" t="s">
        <v>356</v>
      </c>
      <c r="B513" s="85"/>
      <c r="C513" s="77" t="s">
        <v>21</v>
      </c>
      <c r="D513" s="78" t="s">
        <v>22</v>
      </c>
      <c r="E513" s="78" t="s">
        <v>63</v>
      </c>
      <c r="F513" s="79"/>
      <c r="G513" s="86">
        <v>276857.45</v>
      </c>
      <c r="H513" s="49"/>
      <c r="I513" s="49"/>
      <c r="J513" s="49"/>
      <c r="K513" s="49"/>
      <c r="L513" s="50"/>
      <c r="M513" s="50" t="s">
        <v>366</v>
      </c>
      <c r="N513" s="50"/>
      <c r="O513" s="50"/>
      <c r="P513" s="50"/>
      <c r="Q513" s="49"/>
      <c r="R513" s="49"/>
      <c r="S513" s="49"/>
      <c r="T513" s="49"/>
      <c r="U513" s="49"/>
      <c r="V513" s="49"/>
      <c r="W513" s="49"/>
      <c r="X513" s="49"/>
    </row>
    <row r="514" ht="15.75" hidden="1" customHeight="1">
      <c r="A514" s="50" t="s">
        <v>356</v>
      </c>
      <c r="B514" s="87"/>
      <c r="C514" s="66" t="s">
        <v>21</v>
      </c>
      <c r="D514" s="67" t="s">
        <v>22</v>
      </c>
      <c r="E514" s="67" t="s">
        <v>45</v>
      </c>
      <c r="F514" s="88"/>
      <c r="G514" s="89">
        <v>116807.69</v>
      </c>
      <c r="H514" s="49"/>
      <c r="I514" s="49"/>
      <c r="J514" s="49"/>
      <c r="K514" s="49"/>
      <c r="L514" s="50"/>
      <c r="M514" s="50" t="s">
        <v>366</v>
      </c>
      <c r="N514" s="50"/>
      <c r="O514" s="50"/>
      <c r="P514" s="50"/>
      <c r="Q514" s="49"/>
      <c r="R514" s="49"/>
      <c r="S514" s="49"/>
      <c r="T514" s="49"/>
      <c r="U514" s="49"/>
      <c r="V514" s="49"/>
      <c r="W514" s="49"/>
      <c r="X514" s="49"/>
    </row>
    <row r="515" ht="15.75" hidden="1" customHeight="1">
      <c r="A515" s="50" t="s">
        <v>356</v>
      </c>
      <c r="B515" s="85"/>
      <c r="C515" s="77" t="s">
        <v>21</v>
      </c>
      <c r="D515" s="78" t="s">
        <v>22</v>
      </c>
      <c r="E515" s="78" t="s">
        <v>392</v>
      </c>
      <c r="F515" s="79"/>
      <c r="G515" s="86">
        <v>15788.81</v>
      </c>
      <c r="H515" s="49"/>
      <c r="I515" s="49"/>
      <c r="J515" s="49"/>
      <c r="K515" s="49"/>
      <c r="L515" s="50"/>
      <c r="M515" s="50" t="s">
        <v>366</v>
      </c>
      <c r="N515" s="50"/>
      <c r="O515" s="50"/>
      <c r="P515" s="50"/>
      <c r="Q515" s="49"/>
      <c r="R515" s="49"/>
      <c r="S515" s="49"/>
      <c r="T515" s="49"/>
      <c r="U515" s="49"/>
      <c r="V515" s="49"/>
      <c r="W515" s="49"/>
      <c r="X515" s="49"/>
    </row>
    <row r="516" ht="15.75" hidden="1" customHeight="1">
      <c r="A516" s="50" t="s">
        <v>356</v>
      </c>
      <c r="B516" s="66" t="s">
        <v>393</v>
      </c>
      <c r="C516" s="66" t="s">
        <v>32</v>
      </c>
      <c r="D516" s="67" t="s">
        <v>56</v>
      </c>
      <c r="E516" s="67"/>
      <c r="F516" s="67" t="s">
        <v>393</v>
      </c>
      <c r="G516" s="90">
        <v>52488.89</v>
      </c>
      <c r="H516" s="49"/>
      <c r="I516" s="49"/>
      <c r="J516" s="49"/>
      <c r="K516" s="49"/>
      <c r="L516" s="50"/>
      <c r="M516" s="50" t="s">
        <v>366</v>
      </c>
      <c r="N516" s="50"/>
      <c r="O516" s="50"/>
      <c r="P516" s="50"/>
      <c r="Q516" s="49"/>
      <c r="R516" s="49"/>
      <c r="S516" s="49"/>
      <c r="T516" s="49"/>
      <c r="U516" s="49"/>
      <c r="V516" s="49"/>
      <c r="W516" s="49"/>
      <c r="X516" s="49"/>
    </row>
    <row r="517" ht="15.75" hidden="1" customHeight="1">
      <c r="A517" s="50" t="s">
        <v>356</v>
      </c>
      <c r="B517" s="77" t="s">
        <v>394</v>
      </c>
      <c r="C517" s="77" t="s">
        <v>21</v>
      </c>
      <c r="D517" s="78" t="s">
        <v>56</v>
      </c>
      <c r="E517" s="78"/>
      <c r="F517" s="78" t="s">
        <v>394</v>
      </c>
      <c r="G517" s="86">
        <v>5599.92</v>
      </c>
      <c r="H517" s="49"/>
      <c r="I517" s="49"/>
      <c r="J517" s="49"/>
      <c r="K517" s="49"/>
      <c r="L517" s="50"/>
      <c r="M517" s="50" t="s">
        <v>366</v>
      </c>
      <c r="N517" s="50"/>
      <c r="O517" s="50"/>
      <c r="P517" s="50"/>
      <c r="Q517" s="49"/>
      <c r="R517" s="49"/>
      <c r="S517" s="49"/>
      <c r="T517" s="49"/>
      <c r="U517" s="49"/>
      <c r="V517" s="49"/>
      <c r="W517" s="49"/>
      <c r="X517" s="49"/>
    </row>
    <row r="518" ht="15.75" hidden="1" customHeight="1">
      <c r="A518" s="50" t="s">
        <v>375</v>
      </c>
      <c r="B518" s="50" t="s">
        <v>382</v>
      </c>
      <c r="C518" s="52" t="s">
        <v>21</v>
      </c>
      <c r="D518" s="52" t="s">
        <v>22</v>
      </c>
      <c r="E518" s="49"/>
      <c r="F518" s="49"/>
      <c r="G518" s="50">
        <v>4456.0</v>
      </c>
      <c r="H518" s="49"/>
      <c r="I518" s="49"/>
      <c r="J518" s="49"/>
      <c r="K518" s="49"/>
      <c r="L518" s="50">
        <v>4456.0</v>
      </c>
      <c r="M518" s="50" t="s">
        <v>366</v>
      </c>
      <c r="N518" s="50" t="s">
        <v>361</v>
      </c>
      <c r="O518" s="50">
        <v>293.0</v>
      </c>
      <c r="P518" s="50" t="s">
        <v>383</v>
      </c>
      <c r="Q518" s="49"/>
      <c r="R518" s="49"/>
      <c r="S518" s="49"/>
      <c r="T518" s="49"/>
      <c r="U518" s="49"/>
      <c r="V518" s="49"/>
      <c r="W518" s="49"/>
      <c r="X518" s="49"/>
    </row>
    <row r="519" ht="15.75" hidden="1" customHeight="1">
      <c r="A519" s="50" t="s">
        <v>375</v>
      </c>
      <c r="B519" s="50" t="s">
        <v>382</v>
      </c>
      <c r="C519" s="52" t="s">
        <v>21</v>
      </c>
      <c r="D519" s="52" t="s">
        <v>22</v>
      </c>
      <c r="E519" s="49"/>
      <c r="F519" s="49"/>
      <c r="G519" s="50">
        <v>4456.0</v>
      </c>
      <c r="H519" s="49"/>
      <c r="I519" s="49"/>
      <c r="J519" s="49"/>
      <c r="K519" s="49"/>
      <c r="L519" s="50">
        <v>4456.0</v>
      </c>
      <c r="M519" s="50" t="s">
        <v>366</v>
      </c>
      <c r="N519" s="50" t="s">
        <v>361</v>
      </c>
      <c r="O519" s="50">
        <v>293.0</v>
      </c>
      <c r="P519" s="50" t="s">
        <v>383</v>
      </c>
      <c r="Q519" s="49"/>
      <c r="R519" s="49"/>
      <c r="S519" s="49"/>
      <c r="T519" s="49"/>
      <c r="U519" s="49"/>
      <c r="V519" s="49"/>
      <c r="W519" s="49"/>
      <c r="X519" s="49"/>
    </row>
    <row r="520" ht="15.75" hidden="1" customHeight="1">
      <c r="A520" s="50" t="s">
        <v>535</v>
      </c>
      <c r="B520" s="50" t="s">
        <v>536</v>
      </c>
      <c r="C520" s="52" t="s">
        <v>32</v>
      </c>
      <c r="D520" s="54" t="s">
        <v>56</v>
      </c>
      <c r="E520" s="49"/>
      <c r="F520" s="49"/>
      <c r="G520" s="91">
        <v>42625.90578</v>
      </c>
      <c r="H520" s="49"/>
      <c r="I520" s="49"/>
      <c r="J520" s="49"/>
      <c r="K520" s="49"/>
      <c r="L520" s="50">
        <v>15000.0</v>
      </c>
      <c r="M520" s="50" t="s">
        <v>366</v>
      </c>
      <c r="N520" s="50" t="s">
        <v>361</v>
      </c>
      <c r="O520" s="50">
        <v>290.0</v>
      </c>
      <c r="P520" s="50" t="s">
        <v>499</v>
      </c>
      <c r="Q520" s="49"/>
      <c r="R520" s="49"/>
      <c r="S520" s="49"/>
      <c r="T520" s="49"/>
      <c r="U520" s="49"/>
      <c r="V520" s="49"/>
      <c r="W520" s="49"/>
      <c r="X520" s="49"/>
    </row>
    <row r="521" ht="15.75" hidden="1" customHeight="1">
      <c r="A521" s="50" t="s">
        <v>490</v>
      </c>
      <c r="B521" s="50" t="s">
        <v>498</v>
      </c>
      <c r="C521" s="50" t="s">
        <v>32</v>
      </c>
      <c r="D521" s="49"/>
      <c r="E521" s="49"/>
      <c r="F521" s="49"/>
      <c r="G521" s="50">
        <v>17.24</v>
      </c>
      <c r="H521" s="49"/>
      <c r="I521" s="49"/>
      <c r="J521" s="49"/>
      <c r="K521" s="49"/>
      <c r="L521" s="50">
        <v>17.24</v>
      </c>
      <c r="M521" s="50" t="s">
        <v>366</v>
      </c>
      <c r="N521" s="50" t="s">
        <v>361</v>
      </c>
      <c r="O521" s="50">
        <v>290.0</v>
      </c>
      <c r="P521" s="50" t="s">
        <v>499</v>
      </c>
      <c r="Q521" s="49"/>
      <c r="R521" s="49"/>
      <c r="S521" s="49"/>
      <c r="T521" s="49"/>
      <c r="U521" s="49"/>
      <c r="V521" s="49"/>
      <c r="W521" s="49"/>
      <c r="X521" s="49"/>
    </row>
    <row r="522" ht="15.75" hidden="1" customHeight="1">
      <c r="A522" s="50" t="s">
        <v>535</v>
      </c>
      <c r="B522" s="50" t="s">
        <v>537</v>
      </c>
      <c r="C522" s="52" t="s">
        <v>32</v>
      </c>
      <c r="D522" s="54" t="s">
        <v>103</v>
      </c>
      <c r="E522" s="49"/>
      <c r="F522" s="49"/>
      <c r="G522" s="92">
        <v>3044.707556</v>
      </c>
      <c r="H522" s="49"/>
      <c r="I522" s="49"/>
      <c r="J522" s="49"/>
      <c r="K522" s="49"/>
      <c r="L522" s="50">
        <v>36844.28</v>
      </c>
      <c r="M522" s="50" t="s">
        <v>366</v>
      </c>
      <c r="N522" s="50" t="s">
        <v>361</v>
      </c>
      <c r="O522" s="50">
        <v>290.0</v>
      </c>
      <c r="P522" s="50" t="s">
        <v>499</v>
      </c>
      <c r="Q522" s="49"/>
      <c r="R522" s="49"/>
      <c r="S522" s="49"/>
      <c r="T522" s="49"/>
      <c r="U522" s="49"/>
      <c r="V522" s="49"/>
      <c r="W522" s="49"/>
      <c r="X522" s="49"/>
    </row>
    <row r="523" ht="15.75" hidden="1" customHeight="1">
      <c r="A523" s="50" t="s">
        <v>535</v>
      </c>
      <c r="B523" s="50" t="s">
        <v>538</v>
      </c>
      <c r="C523" s="52" t="s">
        <v>21</v>
      </c>
      <c r="D523" s="54" t="s">
        <v>22</v>
      </c>
      <c r="E523" s="49"/>
      <c r="F523" s="49"/>
      <c r="G523" s="91">
        <v>57849.44356</v>
      </c>
      <c r="H523" s="49"/>
      <c r="I523" s="49"/>
      <c r="J523" s="49"/>
      <c r="K523" s="49"/>
      <c r="L523" s="50">
        <v>473.28</v>
      </c>
      <c r="M523" s="50" t="s">
        <v>366</v>
      </c>
      <c r="N523" s="50" t="s">
        <v>361</v>
      </c>
      <c r="O523" s="50">
        <v>290.0</v>
      </c>
      <c r="P523" s="50" t="s">
        <v>499</v>
      </c>
      <c r="Q523" s="49"/>
      <c r="R523" s="49"/>
      <c r="S523" s="49"/>
      <c r="T523" s="49"/>
      <c r="U523" s="49"/>
      <c r="V523" s="49"/>
      <c r="W523" s="49"/>
      <c r="X523" s="49"/>
    </row>
    <row r="524" ht="15.75" hidden="1" customHeight="1">
      <c r="A524" s="50" t="s">
        <v>535</v>
      </c>
      <c r="B524" s="50" t="s">
        <v>539</v>
      </c>
      <c r="C524" s="52" t="s">
        <v>32</v>
      </c>
      <c r="D524" s="54" t="s">
        <v>193</v>
      </c>
      <c r="E524" s="49"/>
      <c r="F524" s="49"/>
      <c r="G524" s="92">
        <v>8119.220148</v>
      </c>
      <c r="H524" s="49"/>
      <c r="I524" s="49"/>
      <c r="J524" s="49"/>
      <c r="K524" s="49"/>
      <c r="L524" s="50">
        <v>688.79</v>
      </c>
      <c r="M524" s="50" t="s">
        <v>366</v>
      </c>
      <c r="N524" s="50" t="s">
        <v>361</v>
      </c>
      <c r="O524" s="50">
        <v>290.0</v>
      </c>
      <c r="P524" s="50" t="s">
        <v>499</v>
      </c>
      <c r="Q524" s="49"/>
      <c r="R524" s="49"/>
      <c r="S524" s="49"/>
      <c r="T524" s="49"/>
      <c r="U524" s="49"/>
      <c r="V524" s="49"/>
      <c r="W524" s="49"/>
      <c r="X524" s="49"/>
    </row>
    <row r="525" ht="15.75" hidden="1" customHeight="1">
      <c r="A525" s="50" t="s">
        <v>535</v>
      </c>
      <c r="B525" s="50" t="s">
        <v>538</v>
      </c>
      <c r="C525" s="52" t="s">
        <v>32</v>
      </c>
      <c r="D525" s="54" t="s">
        <v>39</v>
      </c>
      <c r="E525" s="49"/>
      <c r="F525" s="49"/>
      <c r="G525" s="91">
        <v>4567.061333</v>
      </c>
      <c r="H525" s="49"/>
      <c r="I525" s="49"/>
      <c r="J525" s="49"/>
      <c r="K525" s="49"/>
      <c r="L525" s="50">
        <v>194.39</v>
      </c>
      <c r="M525" s="50" t="s">
        <v>366</v>
      </c>
      <c r="N525" s="50" t="s">
        <v>361</v>
      </c>
      <c r="O525" s="50">
        <v>290.0</v>
      </c>
      <c r="P525" s="50" t="s">
        <v>499</v>
      </c>
      <c r="Q525" s="49"/>
      <c r="R525" s="49"/>
      <c r="S525" s="49"/>
      <c r="T525" s="49"/>
      <c r="U525" s="49"/>
      <c r="V525" s="49"/>
      <c r="W525" s="49"/>
      <c r="X525" s="49"/>
    </row>
    <row r="526" ht="15.75" hidden="1" customHeight="1">
      <c r="A526" s="50" t="s">
        <v>535</v>
      </c>
      <c r="B526" s="50" t="s">
        <v>540</v>
      </c>
      <c r="C526" s="52" t="s">
        <v>32</v>
      </c>
      <c r="D526" s="54" t="s">
        <v>48</v>
      </c>
      <c r="E526" s="49"/>
      <c r="F526" s="49"/>
      <c r="G526" s="92">
        <v>16238.4403</v>
      </c>
      <c r="H526" s="49"/>
      <c r="I526" s="49"/>
      <c r="J526" s="49"/>
      <c r="K526" s="49"/>
      <c r="L526" s="50">
        <v>473.28</v>
      </c>
      <c r="M526" s="50" t="s">
        <v>366</v>
      </c>
      <c r="N526" s="50" t="s">
        <v>361</v>
      </c>
      <c r="O526" s="50">
        <v>290.0</v>
      </c>
      <c r="P526" s="50" t="s">
        <v>499</v>
      </c>
      <c r="Q526" s="49"/>
      <c r="R526" s="49"/>
      <c r="S526" s="49"/>
      <c r="T526" s="49"/>
      <c r="U526" s="49"/>
      <c r="V526" s="49"/>
      <c r="W526" s="49"/>
      <c r="X526" s="49"/>
    </row>
    <row r="527" ht="15.75" hidden="1" customHeight="1">
      <c r="A527" s="50" t="s">
        <v>535</v>
      </c>
      <c r="B527" s="50" t="s">
        <v>541</v>
      </c>
      <c r="C527" s="52" t="s">
        <v>32</v>
      </c>
      <c r="D527" s="54" t="s">
        <v>118</v>
      </c>
      <c r="E527" s="49"/>
      <c r="F527" s="49"/>
      <c r="G527" s="91">
        <v>4567.061333</v>
      </c>
      <c r="H527" s="49"/>
      <c r="I527" s="49"/>
      <c r="J527" s="49"/>
      <c r="K527" s="49"/>
      <c r="L527" s="50">
        <v>86.52</v>
      </c>
      <c r="M527" s="50" t="s">
        <v>366</v>
      </c>
      <c r="N527" s="50" t="s">
        <v>361</v>
      </c>
      <c r="O527" s="50">
        <v>290.0</v>
      </c>
      <c r="P527" s="50" t="s">
        <v>499</v>
      </c>
      <c r="Q527" s="49"/>
      <c r="R527" s="49"/>
      <c r="S527" s="49"/>
      <c r="T527" s="49"/>
      <c r="U527" s="49"/>
      <c r="V527" s="49"/>
      <c r="W527" s="49"/>
      <c r="X527" s="49"/>
    </row>
    <row r="528" ht="15.75" hidden="1" customHeight="1">
      <c r="A528" s="50" t="s">
        <v>364</v>
      </c>
      <c r="B528" s="50" t="s">
        <v>541</v>
      </c>
      <c r="C528" s="52" t="s">
        <v>32</v>
      </c>
      <c r="D528" s="54" t="s">
        <v>56</v>
      </c>
      <c r="E528" s="49"/>
      <c r="F528" s="49"/>
      <c r="G528" s="91">
        <v>816.8222222</v>
      </c>
      <c r="H528" s="49"/>
      <c r="I528" s="49"/>
      <c r="J528" s="49"/>
      <c r="K528" s="49"/>
      <c r="L528" s="50">
        <v>106.0</v>
      </c>
      <c r="M528" s="50" t="s">
        <v>366</v>
      </c>
      <c r="N528" s="50" t="s">
        <v>361</v>
      </c>
      <c r="O528" s="50">
        <v>271.0</v>
      </c>
      <c r="P528" s="50" t="s">
        <v>364</v>
      </c>
      <c r="Q528" s="49"/>
      <c r="R528" s="49"/>
      <c r="S528" s="49"/>
      <c r="T528" s="49"/>
      <c r="U528" s="49"/>
      <c r="V528" s="49"/>
      <c r="W528" s="49"/>
      <c r="X528" s="49"/>
    </row>
    <row r="529" ht="15.75" hidden="1" customHeight="1">
      <c r="A529" s="50" t="s">
        <v>364</v>
      </c>
      <c r="B529" s="50" t="s">
        <v>709</v>
      </c>
      <c r="C529" s="52" t="s">
        <v>32</v>
      </c>
      <c r="D529" s="54" t="s">
        <v>103</v>
      </c>
      <c r="E529" s="49"/>
      <c r="F529" s="49"/>
      <c r="G529" s="92">
        <v>58.34444444</v>
      </c>
      <c r="H529" s="49"/>
      <c r="I529" s="49"/>
      <c r="J529" s="49"/>
      <c r="K529" s="49"/>
      <c r="L529" s="50">
        <v>192.0</v>
      </c>
      <c r="M529" s="50" t="s">
        <v>366</v>
      </c>
      <c r="N529" s="50" t="s">
        <v>361</v>
      </c>
      <c r="O529" s="50">
        <v>271.0</v>
      </c>
      <c r="P529" s="50" t="s">
        <v>364</v>
      </c>
      <c r="Q529" s="49"/>
      <c r="R529" s="49"/>
      <c r="S529" s="49"/>
      <c r="T529" s="49"/>
      <c r="U529" s="49"/>
      <c r="V529" s="49"/>
      <c r="W529" s="49"/>
      <c r="X529" s="49"/>
    </row>
    <row r="530" ht="15.75" hidden="1" customHeight="1">
      <c r="A530" s="50" t="s">
        <v>364</v>
      </c>
      <c r="B530" s="50" t="s">
        <v>709</v>
      </c>
      <c r="C530" s="52" t="s">
        <v>21</v>
      </c>
      <c r="D530" s="54" t="s">
        <v>22</v>
      </c>
      <c r="E530" s="49"/>
      <c r="F530" s="49"/>
      <c r="G530" s="91">
        <v>1108.544444</v>
      </c>
      <c r="H530" s="49"/>
      <c r="I530" s="49"/>
      <c r="J530" s="49"/>
      <c r="K530" s="49"/>
      <c r="L530" s="50">
        <v>430.0</v>
      </c>
      <c r="M530" s="50" t="s">
        <v>366</v>
      </c>
      <c r="N530" s="50" t="s">
        <v>361</v>
      </c>
      <c r="O530" s="50">
        <v>271.0</v>
      </c>
      <c r="P530" s="50" t="s">
        <v>364</v>
      </c>
      <c r="Q530" s="49"/>
      <c r="R530" s="49"/>
      <c r="S530" s="49"/>
      <c r="T530" s="49"/>
      <c r="U530" s="49"/>
      <c r="V530" s="49"/>
      <c r="W530" s="49"/>
      <c r="X530" s="49"/>
    </row>
    <row r="531" ht="15.75" hidden="1" customHeight="1">
      <c r="A531" s="50" t="s">
        <v>364</v>
      </c>
      <c r="B531" s="50" t="s">
        <v>476</v>
      </c>
      <c r="C531" s="52" t="s">
        <v>32</v>
      </c>
      <c r="D531" s="54" t="s">
        <v>193</v>
      </c>
      <c r="E531" s="49"/>
      <c r="F531" s="49"/>
      <c r="G531" s="92">
        <v>155.5851852</v>
      </c>
      <c r="H531" s="49"/>
      <c r="I531" s="49"/>
      <c r="J531" s="49"/>
      <c r="K531" s="49"/>
      <c r="L531" s="50">
        <v>1897.5</v>
      </c>
      <c r="M531" s="50" t="s">
        <v>366</v>
      </c>
      <c r="N531" s="50" t="s">
        <v>361</v>
      </c>
      <c r="O531" s="50">
        <v>271.0</v>
      </c>
      <c r="P531" s="50" t="s">
        <v>364</v>
      </c>
      <c r="Q531" s="49"/>
      <c r="R531" s="49"/>
      <c r="S531" s="49"/>
      <c r="T531" s="49"/>
      <c r="U531" s="49"/>
      <c r="V531" s="49"/>
      <c r="W531" s="49"/>
      <c r="X531" s="49"/>
    </row>
    <row r="532" ht="15.75" hidden="1" customHeight="1">
      <c r="A532" s="50" t="s">
        <v>475</v>
      </c>
      <c r="B532" s="50" t="s">
        <v>478</v>
      </c>
      <c r="C532" s="49"/>
      <c r="D532" s="49"/>
      <c r="E532" s="49"/>
      <c r="F532" s="49"/>
      <c r="G532" s="50">
        <v>5921.68</v>
      </c>
      <c r="H532" s="49"/>
      <c r="I532" s="49"/>
      <c r="J532" s="49"/>
      <c r="K532" s="49"/>
      <c r="L532" s="50">
        <v>5921.68</v>
      </c>
      <c r="M532" s="50" t="s">
        <v>366</v>
      </c>
      <c r="N532" s="50" t="s">
        <v>361</v>
      </c>
      <c r="O532" s="50">
        <v>283.0</v>
      </c>
      <c r="P532" s="50" t="s">
        <v>475</v>
      </c>
      <c r="Q532" s="49"/>
      <c r="R532" s="49"/>
      <c r="S532" s="49"/>
      <c r="T532" s="49"/>
      <c r="U532" s="49"/>
      <c r="V532" s="49"/>
      <c r="W532" s="49"/>
      <c r="X532" s="49"/>
    </row>
    <row r="533" ht="15.75" hidden="1" customHeight="1">
      <c r="A533" s="50" t="s">
        <v>477</v>
      </c>
      <c r="B533" s="50" t="s">
        <v>478</v>
      </c>
      <c r="C533" s="49"/>
      <c r="D533" s="49"/>
      <c r="E533" s="49"/>
      <c r="F533" s="49"/>
      <c r="G533" s="50">
        <v>5000.0</v>
      </c>
      <c r="H533" s="49"/>
      <c r="I533" s="49"/>
      <c r="J533" s="49"/>
      <c r="K533" s="49"/>
      <c r="L533" s="50">
        <v>5000.0</v>
      </c>
      <c r="M533" s="50" t="s">
        <v>366</v>
      </c>
      <c r="N533" s="50" t="s">
        <v>361</v>
      </c>
      <c r="O533" s="50">
        <v>283.0</v>
      </c>
      <c r="P533" s="50" t="s">
        <v>475</v>
      </c>
      <c r="Q533" s="49"/>
      <c r="R533" s="49"/>
      <c r="S533" s="49"/>
      <c r="T533" s="49"/>
      <c r="U533" s="49"/>
      <c r="V533" s="49"/>
      <c r="W533" s="49"/>
      <c r="X533" s="49"/>
    </row>
    <row r="534" ht="15.75" hidden="1" customHeight="1">
      <c r="A534" s="50" t="s">
        <v>477</v>
      </c>
      <c r="B534" s="50" t="s">
        <v>516</v>
      </c>
      <c r="C534" s="49"/>
      <c r="D534" s="49"/>
      <c r="E534" s="49"/>
      <c r="F534" s="49"/>
      <c r="G534" s="50">
        <v>758.62</v>
      </c>
      <c r="H534" s="49"/>
      <c r="I534" s="49"/>
      <c r="J534" s="49"/>
      <c r="K534" s="49"/>
      <c r="L534" s="50">
        <v>758.62</v>
      </c>
      <c r="M534" s="50" t="s">
        <v>366</v>
      </c>
      <c r="N534" s="50" t="s">
        <v>361</v>
      </c>
      <c r="O534" s="50">
        <v>283.0</v>
      </c>
      <c r="P534" s="50" t="s">
        <v>475</v>
      </c>
      <c r="Q534" s="49"/>
      <c r="R534" s="49"/>
      <c r="S534" s="49"/>
      <c r="T534" s="49"/>
      <c r="U534" s="49"/>
      <c r="V534" s="49"/>
      <c r="W534" s="49"/>
      <c r="X534" s="49"/>
    </row>
    <row r="535" ht="15.75" hidden="1" customHeight="1">
      <c r="A535" s="50" t="s">
        <v>515</v>
      </c>
      <c r="B535" s="50" t="s">
        <v>517</v>
      </c>
      <c r="C535" s="49"/>
      <c r="D535" s="49"/>
      <c r="E535" s="49"/>
      <c r="F535" s="49"/>
      <c r="G535" s="50">
        <v>14653.38</v>
      </c>
      <c r="H535" s="49"/>
      <c r="I535" s="49"/>
      <c r="J535" s="49"/>
      <c r="K535" s="49"/>
      <c r="L535" s="50">
        <v>14653.38</v>
      </c>
      <c r="M535" s="50" t="s">
        <v>366</v>
      </c>
      <c r="N535" s="50" t="s">
        <v>361</v>
      </c>
      <c r="O535" s="50">
        <v>266.0</v>
      </c>
      <c r="P535" s="50" t="s">
        <v>481</v>
      </c>
      <c r="Q535" s="49"/>
      <c r="R535" s="49"/>
      <c r="S535" s="49"/>
      <c r="T535" s="49"/>
      <c r="U535" s="49"/>
      <c r="V535" s="49"/>
      <c r="W535" s="49"/>
      <c r="X535" s="49"/>
    </row>
    <row r="536" ht="15.75" hidden="1" customHeight="1">
      <c r="A536" s="50" t="s">
        <v>515</v>
      </c>
      <c r="B536" s="50" t="s">
        <v>518</v>
      </c>
      <c r="C536" s="49"/>
      <c r="D536" s="49"/>
      <c r="E536" s="49"/>
      <c r="F536" s="49"/>
      <c r="G536" s="50">
        <v>3580.45</v>
      </c>
      <c r="H536" s="49"/>
      <c r="I536" s="49"/>
      <c r="J536" s="49"/>
      <c r="K536" s="49"/>
      <c r="L536" s="50">
        <v>3580.45</v>
      </c>
      <c r="M536" s="50" t="s">
        <v>366</v>
      </c>
      <c r="N536" s="50" t="s">
        <v>361</v>
      </c>
      <c r="O536" s="50">
        <v>286.0</v>
      </c>
      <c r="P536" s="50" t="s">
        <v>481</v>
      </c>
      <c r="Q536" s="49"/>
      <c r="R536" s="49"/>
      <c r="S536" s="49"/>
      <c r="T536" s="49"/>
      <c r="U536" s="49"/>
      <c r="V536" s="49"/>
      <c r="W536" s="49"/>
      <c r="X536" s="49"/>
    </row>
    <row r="537" ht="15.75" hidden="1" customHeight="1">
      <c r="A537" s="50" t="s">
        <v>515</v>
      </c>
      <c r="B537" s="50" t="s">
        <v>519</v>
      </c>
      <c r="C537" s="49"/>
      <c r="D537" s="49"/>
      <c r="E537" s="49"/>
      <c r="F537" s="49"/>
      <c r="G537" s="50">
        <v>13054.18</v>
      </c>
      <c r="H537" s="49"/>
      <c r="I537" s="49"/>
      <c r="J537" s="49"/>
      <c r="K537" s="49"/>
      <c r="L537" s="50">
        <v>13054.18</v>
      </c>
      <c r="M537" s="50" t="s">
        <v>366</v>
      </c>
      <c r="N537" s="50" t="s">
        <v>361</v>
      </c>
      <c r="O537" s="50">
        <v>286.0</v>
      </c>
      <c r="P537" s="50" t="s">
        <v>481</v>
      </c>
      <c r="Q537" s="49"/>
      <c r="R537" s="49"/>
      <c r="S537" s="49"/>
      <c r="T537" s="49"/>
      <c r="U537" s="49"/>
      <c r="V537" s="49"/>
      <c r="W537" s="49"/>
      <c r="X537" s="49"/>
    </row>
    <row r="538" ht="15.75" hidden="1" customHeight="1">
      <c r="A538" s="50" t="s">
        <v>515</v>
      </c>
      <c r="B538" s="50" t="s">
        <v>479</v>
      </c>
      <c r="C538" s="49"/>
      <c r="D538" s="49"/>
      <c r="E538" s="49"/>
      <c r="F538" s="49"/>
      <c r="G538" s="50">
        <v>1618.88</v>
      </c>
      <c r="H538" s="49"/>
      <c r="I538" s="49"/>
      <c r="J538" s="49"/>
      <c r="K538" s="49"/>
      <c r="L538" s="50">
        <v>1618.88</v>
      </c>
      <c r="M538" s="50" t="s">
        <v>366</v>
      </c>
      <c r="N538" s="50" t="s">
        <v>361</v>
      </c>
      <c r="O538" s="50">
        <v>286.0</v>
      </c>
      <c r="P538" s="50" t="s">
        <v>481</v>
      </c>
      <c r="Q538" s="49"/>
      <c r="R538" s="49"/>
      <c r="S538" s="49"/>
      <c r="T538" s="49"/>
      <c r="U538" s="49"/>
      <c r="V538" s="49"/>
      <c r="W538" s="49"/>
      <c r="X538" s="49"/>
    </row>
    <row r="539" ht="15.75" hidden="1" customHeight="1">
      <c r="A539" s="50" t="s">
        <v>477</v>
      </c>
      <c r="B539" s="50" t="s">
        <v>482</v>
      </c>
      <c r="C539" s="49"/>
      <c r="D539" s="49"/>
      <c r="E539" s="49"/>
      <c r="F539" s="49"/>
      <c r="G539" s="50">
        <v>6425.56</v>
      </c>
      <c r="H539" s="49"/>
      <c r="I539" s="49"/>
      <c r="J539" s="49"/>
      <c r="K539" s="49"/>
      <c r="L539" s="50">
        <v>6425.56</v>
      </c>
      <c r="M539" s="50" t="s">
        <v>366</v>
      </c>
      <c r="N539" s="50" t="s">
        <v>361</v>
      </c>
      <c r="O539" s="50">
        <v>264.0</v>
      </c>
      <c r="P539" s="50" t="s">
        <v>399</v>
      </c>
      <c r="Q539" s="49"/>
      <c r="R539" s="49"/>
      <c r="S539" s="49"/>
      <c r="T539" s="49"/>
      <c r="U539" s="49"/>
      <c r="V539" s="49"/>
      <c r="W539" s="49"/>
      <c r="X539" s="49"/>
    </row>
    <row r="540" ht="15.75" hidden="1" customHeight="1">
      <c r="A540" s="50" t="s">
        <v>477</v>
      </c>
      <c r="B540" s="50" t="s">
        <v>483</v>
      </c>
      <c r="C540" s="49"/>
      <c r="D540" s="49"/>
      <c r="E540" s="49"/>
      <c r="F540" s="49"/>
      <c r="G540" s="50">
        <v>934.0</v>
      </c>
      <c r="H540" s="49"/>
      <c r="I540" s="49"/>
      <c r="J540" s="49"/>
      <c r="K540" s="49"/>
      <c r="L540" s="50">
        <v>934.0</v>
      </c>
      <c r="M540" s="50" t="s">
        <v>366</v>
      </c>
      <c r="N540" s="50" t="s">
        <v>361</v>
      </c>
      <c r="O540" s="50">
        <v>284.0</v>
      </c>
      <c r="P540" s="50" t="s">
        <v>399</v>
      </c>
      <c r="Q540" s="49"/>
      <c r="R540" s="49"/>
      <c r="S540" s="49"/>
      <c r="T540" s="49"/>
      <c r="U540" s="49"/>
      <c r="V540" s="49"/>
      <c r="W540" s="49"/>
      <c r="X540" s="49"/>
    </row>
    <row r="541" ht="15.75" hidden="1" customHeight="1">
      <c r="A541" s="50" t="s">
        <v>477</v>
      </c>
      <c r="B541" s="50" t="s">
        <v>483</v>
      </c>
      <c r="C541" s="49"/>
      <c r="D541" s="49"/>
      <c r="E541" s="49"/>
      <c r="F541" s="49"/>
      <c r="G541" s="50">
        <v>6397.41</v>
      </c>
      <c r="H541" s="49"/>
      <c r="I541" s="49"/>
      <c r="J541" s="49"/>
      <c r="K541" s="49"/>
      <c r="L541" s="50">
        <v>6397.41</v>
      </c>
      <c r="M541" s="50" t="s">
        <v>366</v>
      </c>
      <c r="N541" s="50" t="s">
        <v>361</v>
      </c>
      <c r="O541" s="50">
        <v>284.0</v>
      </c>
      <c r="P541" s="50" t="s">
        <v>399</v>
      </c>
      <c r="Q541" s="49"/>
      <c r="R541" s="49"/>
      <c r="S541" s="49"/>
      <c r="T541" s="49"/>
      <c r="U541" s="49"/>
      <c r="V541" s="49"/>
      <c r="W541" s="49"/>
      <c r="X541" s="49"/>
    </row>
    <row r="542" ht="15.75" hidden="1" customHeight="1">
      <c r="A542" s="50" t="s">
        <v>477</v>
      </c>
      <c r="B542" s="50" t="s">
        <v>484</v>
      </c>
      <c r="C542" s="49"/>
      <c r="D542" s="49"/>
      <c r="E542" s="49"/>
      <c r="F542" s="49"/>
      <c r="G542" s="50">
        <v>8505.17</v>
      </c>
      <c r="H542" s="49"/>
      <c r="I542" s="49"/>
      <c r="J542" s="49"/>
      <c r="K542" s="49"/>
      <c r="L542" s="50">
        <v>8505.17</v>
      </c>
      <c r="M542" s="50" t="s">
        <v>366</v>
      </c>
      <c r="N542" s="50" t="s">
        <v>361</v>
      </c>
      <c r="O542" s="50">
        <v>284.0</v>
      </c>
      <c r="P542" s="50" t="s">
        <v>399</v>
      </c>
      <c r="Q542" s="49"/>
      <c r="R542" s="49"/>
      <c r="S542" s="49"/>
      <c r="T542" s="49"/>
      <c r="U542" s="49"/>
      <c r="V542" s="49"/>
      <c r="W542" s="49"/>
      <c r="X542" s="49"/>
    </row>
    <row r="543" ht="15.75" hidden="1" customHeight="1">
      <c r="A543" s="50" t="s">
        <v>477</v>
      </c>
      <c r="B543" s="50" t="s">
        <v>398</v>
      </c>
      <c r="C543" s="49"/>
      <c r="D543" s="49"/>
      <c r="E543" s="49"/>
      <c r="F543" s="49"/>
      <c r="G543" s="50">
        <v>3370.7</v>
      </c>
      <c r="H543" s="49"/>
      <c r="I543" s="49"/>
      <c r="J543" s="49"/>
      <c r="K543" s="49"/>
      <c r="L543" s="50">
        <v>3370.7</v>
      </c>
      <c r="M543" s="50" t="s">
        <v>366</v>
      </c>
      <c r="N543" s="50" t="s">
        <v>361</v>
      </c>
      <c r="O543" s="50">
        <v>284.0</v>
      </c>
      <c r="P543" s="50" t="s">
        <v>399</v>
      </c>
      <c r="Q543" s="49"/>
      <c r="R543" s="49"/>
      <c r="S543" s="49"/>
      <c r="T543" s="49"/>
      <c r="U543" s="49"/>
      <c r="V543" s="49"/>
      <c r="W543" s="49"/>
      <c r="X543" s="49"/>
    </row>
    <row r="544" ht="15.75" hidden="1" customHeight="1">
      <c r="A544" s="50" t="s">
        <v>397</v>
      </c>
      <c r="B544" s="50" t="s">
        <v>532</v>
      </c>
      <c r="C544" s="50" t="s">
        <v>32</v>
      </c>
      <c r="D544" s="49"/>
      <c r="E544" s="49"/>
      <c r="F544" s="49"/>
      <c r="G544" s="50">
        <v>25000.0</v>
      </c>
      <c r="H544" s="49"/>
      <c r="I544" s="49"/>
      <c r="J544" s="49"/>
      <c r="K544" s="49"/>
      <c r="L544" s="50">
        <v>25000.0</v>
      </c>
      <c r="M544" s="50" t="s">
        <v>366</v>
      </c>
      <c r="N544" s="50" t="s">
        <v>361</v>
      </c>
      <c r="O544" s="50">
        <v>287.0</v>
      </c>
      <c r="P544" s="50" t="s">
        <v>429</v>
      </c>
      <c r="Q544" s="49"/>
      <c r="R544" s="49"/>
      <c r="S544" s="49"/>
      <c r="T544" s="49"/>
      <c r="U544" s="49"/>
      <c r="V544" s="49"/>
      <c r="W544" s="49"/>
      <c r="X544" s="49"/>
    </row>
    <row r="545" ht="15.75" hidden="1" customHeight="1">
      <c r="A545" s="50" t="s">
        <v>429</v>
      </c>
      <c r="B545" s="50" t="s">
        <v>532</v>
      </c>
      <c r="C545" s="70" t="s">
        <v>32</v>
      </c>
      <c r="D545" s="49"/>
      <c r="E545" s="49"/>
      <c r="F545" s="49"/>
      <c r="G545" s="50">
        <v>3608.33</v>
      </c>
      <c r="H545" s="49"/>
      <c r="I545" s="49"/>
      <c r="J545" s="49"/>
      <c r="K545" s="49"/>
      <c r="L545" s="50">
        <v>3608.33</v>
      </c>
      <c r="M545" s="50" t="s">
        <v>533</v>
      </c>
      <c r="N545" s="50" t="s">
        <v>415</v>
      </c>
      <c r="O545" s="50">
        <v>2.0</v>
      </c>
      <c r="P545" s="50" t="s">
        <v>429</v>
      </c>
      <c r="Q545" s="49"/>
      <c r="R545" s="49"/>
      <c r="S545" s="49"/>
      <c r="T545" s="49"/>
      <c r="U545" s="49"/>
      <c r="V545" s="49"/>
      <c r="W545" s="49"/>
      <c r="X545" s="49"/>
    </row>
    <row r="546" ht="15.75" hidden="1" customHeight="1">
      <c r="A546" s="52" t="s">
        <v>397</v>
      </c>
      <c r="B546" s="50" t="s">
        <v>534</v>
      </c>
      <c r="C546" s="70" t="s">
        <v>32</v>
      </c>
      <c r="D546" s="49"/>
      <c r="E546" s="49"/>
      <c r="F546" s="49"/>
      <c r="G546" s="50">
        <v>53535.0</v>
      </c>
      <c r="H546" s="49"/>
      <c r="I546" s="49"/>
      <c r="J546" s="49"/>
      <c r="K546" s="49"/>
      <c r="L546" s="50">
        <v>53535.0</v>
      </c>
      <c r="M546" s="50" t="s">
        <v>464</v>
      </c>
      <c r="N546" s="50" t="s">
        <v>415</v>
      </c>
      <c r="O546" s="50">
        <v>79.0</v>
      </c>
      <c r="P546" s="50" t="s">
        <v>429</v>
      </c>
      <c r="Q546" s="49"/>
      <c r="R546" s="49"/>
      <c r="S546" s="49"/>
      <c r="T546" s="49"/>
      <c r="U546" s="49"/>
      <c r="V546" s="49"/>
      <c r="W546" s="49"/>
      <c r="X546" s="49"/>
    </row>
    <row r="547" ht="15.75" hidden="1" customHeight="1">
      <c r="A547" s="52" t="s">
        <v>384</v>
      </c>
      <c r="B547" s="50" t="s">
        <v>427</v>
      </c>
      <c r="C547" s="70" t="s">
        <v>32</v>
      </c>
      <c r="D547" s="49"/>
      <c r="E547" s="49"/>
      <c r="F547" s="49"/>
      <c r="G547" s="50">
        <v>5700.83</v>
      </c>
      <c r="H547" s="49"/>
      <c r="I547" s="49"/>
      <c r="J547" s="49"/>
      <c r="K547" s="49"/>
      <c r="L547" s="50">
        <v>5700.83</v>
      </c>
      <c r="M547" s="50" t="s">
        <v>428</v>
      </c>
      <c r="N547" s="50" t="s">
        <v>415</v>
      </c>
      <c r="O547" s="50">
        <v>148.0</v>
      </c>
      <c r="P547" s="50" t="s">
        <v>429</v>
      </c>
      <c r="Q547" s="49"/>
      <c r="R547" s="49"/>
      <c r="S547" s="49"/>
      <c r="T547" s="49"/>
      <c r="U547" s="49"/>
      <c r="V547" s="49"/>
      <c r="W547" s="49"/>
      <c r="X547" s="49"/>
    </row>
    <row r="548" ht="15.75" hidden="1" customHeight="1">
      <c r="A548" s="52" t="s">
        <v>535</v>
      </c>
      <c r="B548" s="50" t="s">
        <v>390</v>
      </c>
      <c r="C548" s="70" t="s">
        <v>32</v>
      </c>
      <c r="D548" s="49"/>
      <c r="E548" s="49"/>
      <c r="F548" s="49"/>
      <c r="G548" s="50">
        <v>585.56</v>
      </c>
      <c r="H548" s="49"/>
      <c r="I548" s="49"/>
      <c r="J548" s="49"/>
      <c r="K548" s="49"/>
      <c r="L548" s="50">
        <v>585.56</v>
      </c>
      <c r="M548" s="50" t="s">
        <v>366</v>
      </c>
      <c r="N548" s="50" t="s">
        <v>361</v>
      </c>
      <c r="O548" s="50">
        <v>262.0</v>
      </c>
      <c r="P548" s="50" t="s">
        <v>391</v>
      </c>
      <c r="Q548" s="49"/>
      <c r="R548" s="49"/>
      <c r="S548" s="49"/>
      <c r="T548" s="49"/>
      <c r="U548" s="49"/>
      <c r="V548" s="49"/>
      <c r="W548" s="49"/>
      <c r="X548" s="49"/>
    </row>
    <row r="549" ht="15.75" hidden="1" customHeight="1">
      <c r="A549" s="52" t="s">
        <v>433</v>
      </c>
      <c r="B549" s="50" t="s">
        <v>390</v>
      </c>
      <c r="C549" s="52" t="s">
        <v>32</v>
      </c>
      <c r="D549" s="52" t="s">
        <v>56</v>
      </c>
      <c r="E549" s="49"/>
      <c r="F549" s="49"/>
      <c r="G549" s="50">
        <v>1227.1</v>
      </c>
      <c r="H549" s="49"/>
      <c r="I549" s="49"/>
      <c r="J549" s="49"/>
      <c r="K549" s="49"/>
      <c r="L549" s="50">
        <v>1227.1</v>
      </c>
      <c r="M549" s="50" t="s">
        <v>366</v>
      </c>
      <c r="N549" s="50" t="s">
        <v>361</v>
      </c>
      <c r="O549" s="50">
        <v>276.0</v>
      </c>
      <c r="P549" s="50" t="s">
        <v>391</v>
      </c>
      <c r="Q549" s="49"/>
      <c r="R549" s="49"/>
      <c r="S549" s="49"/>
      <c r="T549" s="49"/>
      <c r="U549" s="49"/>
      <c r="V549" s="49"/>
      <c r="W549" s="49"/>
      <c r="X549" s="49"/>
    </row>
    <row r="550" ht="15.75" hidden="1" customHeight="1">
      <c r="A550" s="52" t="s">
        <v>433</v>
      </c>
      <c r="B550" s="50" t="s">
        <v>390</v>
      </c>
      <c r="C550" s="52" t="s">
        <v>32</v>
      </c>
      <c r="D550" s="52" t="s">
        <v>56</v>
      </c>
      <c r="E550" s="49"/>
      <c r="F550" s="49"/>
      <c r="G550" s="50">
        <v>4275.0</v>
      </c>
      <c r="H550" s="49"/>
      <c r="I550" s="49"/>
      <c r="J550" s="49"/>
      <c r="K550" s="49"/>
      <c r="L550" s="50">
        <v>4275.0</v>
      </c>
      <c r="M550" s="50" t="s">
        <v>366</v>
      </c>
      <c r="N550" s="50" t="s">
        <v>361</v>
      </c>
      <c r="O550" s="50">
        <v>276.0</v>
      </c>
      <c r="P550" s="50" t="s">
        <v>391</v>
      </c>
      <c r="Q550" s="49"/>
      <c r="R550" s="49"/>
      <c r="S550" s="49"/>
      <c r="T550" s="49"/>
      <c r="U550" s="49"/>
      <c r="V550" s="49"/>
      <c r="W550" s="49"/>
      <c r="X550" s="49"/>
    </row>
    <row r="551" ht="15.75" hidden="1" customHeight="1">
      <c r="A551" s="52" t="s">
        <v>433</v>
      </c>
      <c r="B551" s="50" t="s">
        <v>430</v>
      </c>
      <c r="C551" s="52" t="s">
        <v>32</v>
      </c>
      <c r="D551" s="52" t="s">
        <v>56</v>
      </c>
      <c r="E551" s="49"/>
      <c r="F551" s="49"/>
      <c r="G551" s="50">
        <v>18254.66</v>
      </c>
      <c r="H551" s="49"/>
      <c r="I551" s="49"/>
      <c r="J551" s="49"/>
      <c r="K551" s="49"/>
      <c r="L551" s="50">
        <v>18254.66</v>
      </c>
      <c r="M551" s="50" t="s">
        <v>366</v>
      </c>
      <c r="N551" s="50" t="s">
        <v>361</v>
      </c>
      <c r="O551" s="50">
        <v>276.0</v>
      </c>
      <c r="P551" s="50" t="s">
        <v>391</v>
      </c>
      <c r="Q551" s="49"/>
      <c r="R551" s="49"/>
      <c r="S551" s="49"/>
      <c r="T551" s="49"/>
      <c r="U551" s="49"/>
      <c r="V551" s="49"/>
      <c r="W551" s="49"/>
      <c r="X551" s="49"/>
    </row>
    <row r="552" ht="15.75" hidden="1" customHeight="1">
      <c r="A552" s="50" t="s">
        <v>391</v>
      </c>
      <c r="B552" s="50" t="s">
        <v>430</v>
      </c>
      <c r="C552" s="52" t="s">
        <v>32</v>
      </c>
      <c r="D552" s="52" t="s">
        <v>193</v>
      </c>
      <c r="E552" s="49"/>
      <c r="F552" s="49"/>
      <c r="G552" s="50">
        <v>4500.0</v>
      </c>
      <c r="H552" s="49"/>
      <c r="I552" s="49"/>
      <c r="J552" s="49"/>
      <c r="K552" s="49"/>
      <c r="L552" s="50">
        <v>4500.0</v>
      </c>
      <c r="M552" s="50" t="s">
        <v>366</v>
      </c>
      <c r="N552" s="50" t="s">
        <v>361</v>
      </c>
      <c r="O552" s="50">
        <v>276.0</v>
      </c>
      <c r="P552" s="50" t="s">
        <v>391</v>
      </c>
      <c r="Q552" s="49"/>
      <c r="R552" s="49"/>
      <c r="S552" s="49"/>
      <c r="T552" s="49"/>
      <c r="U552" s="49"/>
      <c r="V552" s="49"/>
      <c r="W552" s="49"/>
      <c r="X552" s="49"/>
    </row>
    <row r="553" ht="15.75" hidden="1" customHeight="1">
      <c r="A553" s="50" t="s">
        <v>391</v>
      </c>
      <c r="B553" s="50" t="s">
        <v>431</v>
      </c>
      <c r="C553" s="52" t="s">
        <v>32</v>
      </c>
      <c r="D553" s="52" t="s">
        <v>193</v>
      </c>
      <c r="E553" s="49"/>
      <c r="F553" s="49"/>
      <c r="G553" s="50">
        <v>3190.0</v>
      </c>
      <c r="H553" s="49"/>
      <c r="I553" s="49"/>
      <c r="J553" s="49"/>
      <c r="K553" s="49"/>
      <c r="L553" s="50">
        <v>3190.0</v>
      </c>
      <c r="M553" s="50" t="s">
        <v>366</v>
      </c>
      <c r="N553" s="50" t="s">
        <v>361</v>
      </c>
      <c r="O553" s="50">
        <v>276.0</v>
      </c>
      <c r="P553" s="50" t="s">
        <v>391</v>
      </c>
      <c r="Q553" s="49"/>
      <c r="R553" s="49"/>
      <c r="S553" s="49"/>
      <c r="T553" s="49"/>
      <c r="U553" s="49"/>
      <c r="V553" s="49"/>
      <c r="W553" s="49"/>
      <c r="X553" s="49"/>
    </row>
    <row r="554" ht="15.75" hidden="1" customHeight="1">
      <c r="A554" s="50" t="s">
        <v>391</v>
      </c>
      <c r="B554" s="50" t="s">
        <v>432</v>
      </c>
      <c r="C554" s="52" t="s">
        <v>32</v>
      </c>
      <c r="D554" s="52" t="s">
        <v>103</v>
      </c>
      <c r="E554" s="49"/>
      <c r="F554" s="49"/>
      <c r="G554" s="50">
        <v>3864.0</v>
      </c>
      <c r="H554" s="49"/>
      <c r="I554" s="49"/>
      <c r="J554" s="49"/>
      <c r="K554" s="49"/>
      <c r="L554" s="50">
        <v>3864.0</v>
      </c>
      <c r="M554" s="50" t="s">
        <v>366</v>
      </c>
      <c r="N554" s="50" t="s">
        <v>361</v>
      </c>
      <c r="O554" s="50">
        <v>276.0</v>
      </c>
      <c r="P554" s="50" t="s">
        <v>391</v>
      </c>
      <c r="Q554" s="49"/>
      <c r="R554" s="49"/>
      <c r="S554" s="49"/>
      <c r="T554" s="49"/>
      <c r="U554" s="49"/>
      <c r="V554" s="49"/>
      <c r="W554" s="49"/>
      <c r="X554" s="49"/>
    </row>
    <row r="555" ht="15.75" hidden="1" customHeight="1">
      <c r="A555" s="50" t="s">
        <v>391</v>
      </c>
      <c r="B555" s="50" t="s">
        <v>432</v>
      </c>
      <c r="C555" s="52" t="s">
        <v>32</v>
      </c>
      <c r="D555" s="54" t="s">
        <v>56</v>
      </c>
      <c r="E555" s="49"/>
      <c r="F555" s="49"/>
      <c r="G555" s="72">
        <v>2681.992444</v>
      </c>
      <c r="H555" s="49"/>
      <c r="I555" s="49"/>
      <c r="J555" s="49"/>
      <c r="K555" s="49"/>
      <c r="L555" s="50">
        <v>-5233.75</v>
      </c>
      <c r="M555" s="50" t="s">
        <v>366</v>
      </c>
      <c r="N555" s="50" t="s">
        <v>361</v>
      </c>
      <c r="O555" s="50">
        <v>281.0</v>
      </c>
      <c r="P555" s="50" t="s">
        <v>391</v>
      </c>
      <c r="Q555" s="49"/>
      <c r="R555" s="49"/>
      <c r="S555" s="49"/>
      <c r="T555" s="49"/>
      <c r="U555" s="49"/>
      <c r="V555" s="49"/>
      <c r="W555" s="49"/>
      <c r="X555" s="49"/>
    </row>
    <row r="556" ht="15.75" hidden="1" customHeight="1">
      <c r="A556" s="50" t="s">
        <v>391</v>
      </c>
      <c r="B556" s="50" t="s">
        <v>432</v>
      </c>
      <c r="C556" s="52" t="s">
        <v>32</v>
      </c>
      <c r="D556" s="54" t="s">
        <v>103</v>
      </c>
      <c r="E556" s="49"/>
      <c r="F556" s="49"/>
      <c r="G556" s="72">
        <v>191.5708889</v>
      </c>
      <c r="H556" s="49"/>
      <c r="I556" s="49"/>
      <c r="J556" s="49"/>
      <c r="K556" s="49"/>
      <c r="L556" s="50">
        <v>-3274.32</v>
      </c>
      <c r="M556" s="50" t="s">
        <v>366</v>
      </c>
      <c r="N556" s="50" t="s">
        <v>361</v>
      </c>
      <c r="O556" s="50">
        <v>281.0</v>
      </c>
      <c r="P556" s="50" t="s">
        <v>391</v>
      </c>
      <c r="Q556" s="49"/>
      <c r="R556" s="49"/>
      <c r="S556" s="49"/>
      <c r="T556" s="49"/>
      <c r="U556" s="49"/>
      <c r="V556" s="49"/>
      <c r="W556" s="49"/>
      <c r="X556" s="49"/>
    </row>
    <row r="557" ht="15.75" hidden="1" customHeight="1">
      <c r="A557" s="50" t="s">
        <v>391</v>
      </c>
      <c r="B557" s="50" t="s">
        <v>432</v>
      </c>
      <c r="C557" s="52" t="s">
        <v>21</v>
      </c>
      <c r="D557" s="54" t="s">
        <v>22</v>
      </c>
      <c r="E557" s="49"/>
      <c r="F557" s="49"/>
      <c r="G557" s="72">
        <v>3639.846889</v>
      </c>
      <c r="H557" s="49"/>
      <c r="I557" s="49"/>
      <c r="J557" s="49"/>
      <c r="K557" s="49"/>
      <c r="L557" s="50">
        <v>8508.07</v>
      </c>
      <c r="M557" s="50" t="s">
        <v>366</v>
      </c>
      <c r="N557" s="50" t="s">
        <v>361</v>
      </c>
      <c r="O557" s="50">
        <v>281.0</v>
      </c>
      <c r="P557" s="50" t="s">
        <v>391</v>
      </c>
      <c r="Q557" s="49"/>
      <c r="R557" s="49"/>
      <c r="S557" s="49"/>
      <c r="T557" s="49"/>
      <c r="U557" s="49"/>
      <c r="V557" s="49"/>
      <c r="W557" s="49"/>
      <c r="X557" s="49"/>
    </row>
    <row r="558" ht="15.75" hidden="1" customHeight="1">
      <c r="A558" s="50" t="s">
        <v>391</v>
      </c>
      <c r="B558" s="50" t="s">
        <v>434</v>
      </c>
      <c r="C558" s="52" t="s">
        <v>32</v>
      </c>
      <c r="D558" s="54" t="s">
        <v>193</v>
      </c>
      <c r="E558" s="49"/>
      <c r="F558" s="49"/>
      <c r="G558" s="72">
        <v>510.8557037</v>
      </c>
      <c r="H558" s="49"/>
      <c r="I558" s="49"/>
      <c r="J558" s="49"/>
      <c r="K558" s="49"/>
      <c r="L558" s="50">
        <v>8620.69</v>
      </c>
      <c r="M558" s="50" t="s">
        <v>366</v>
      </c>
      <c r="N558" s="50" t="s">
        <v>361</v>
      </c>
      <c r="O558" s="50">
        <v>281.0</v>
      </c>
      <c r="P558" s="50" t="s">
        <v>391</v>
      </c>
      <c r="Q558" s="49"/>
      <c r="R558" s="49"/>
      <c r="S558" s="49"/>
      <c r="T558" s="49"/>
      <c r="U558" s="49"/>
      <c r="V558" s="49"/>
      <c r="W558" s="49"/>
      <c r="X558" s="49"/>
    </row>
    <row r="559" ht="15.75" hidden="1" customHeight="1">
      <c r="A559" s="52" t="s">
        <v>490</v>
      </c>
      <c r="B559" s="50" t="s">
        <v>500</v>
      </c>
      <c r="C559" s="52" t="s">
        <v>501</v>
      </c>
      <c r="D559" s="52" t="s">
        <v>502</v>
      </c>
      <c r="E559" s="49"/>
      <c r="F559" s="49"/>
      <c r="G559" s="50">
        <v>46093.1</v>
      </c>
      <c r="H559" s="49"/>
      <c r="I559" s="49"/>
      <c r="J559" s="49"/>
      <c r="K559" s="49"/>
      <c r="L559" s="50">
        <v>46093.1</v>
      </c>
      <c r="M559" s="50" t="s">
        <v>366</v>
      </c>
      <c r="N559" s="50" t="s">
        <v>361</v>
      </c>
      <c r="O559" s="50">
        <v>282.0</v>
      </c>
      <c r="P559" s="50" t="s">
        <v>391</v>
      </c>
      <c r="Q559" s="49"/>
      <c r="R559" s="49"/>
      <c r="S559" s="49"/>
      <c r="T559" s="49"/>
      <c r="U559" s="49"/>
      <c r="V559" s="49"/>
      <c r="W559" s="49"/>
      <c r="X559" s="49"/>
    </row>
    <row r="560" ht="15.75" hidden="1" customHeight="1">
      <c r="A560" s="50" t="s">
        <v>490</v>
      </c>
      <c r="B560" s="50" t="s">
        <v>503</v>
      </c>
      <c r="C560" s="50" t="s">
        <v>32</v>
      </c>
      <c r="D560" s="49"/>
      <c r="E560" s="49"/>
      <c r="F560" s="49"/>
      <c r="G560" s="50">
        <v>7067.24</v>
      </c>
      <c r="H560" s="49"/>
      <c r="I560" s="49"/>
      <c r="J560" s="49"/>
      <c r="K560" s="49"/>
      <c r="L560" s="50">
        <v>7067.24</v>
      </c>
      <c r="M560" s="50" t="s">
        <v>504</v>
      </c>
      <c r="N560" s="50" t="s">
        <v>415</v>
      </c>
      <c r="O560" s="50">
        <v>106.0</v>
      </c>
      <c r="P560" s="50" t="s">
        <v>391</v>
      </c>
      <c r="Q560" s="49"/>
      <c r="R560" s="49"/>
      <c r="S560" s="49"/>
      <c r="T560" s="49"/>
      <c r="U560" s="49"/>
      <c r="V560" s="49"/>
      <c r="W560" s="49"/>
      <c r="X560" s="49"/>
    </row>
    <row r="561" ht="15.75" hidden="1" customHeight="1">
      <c r="A561" s="50" t="s">
        <v>490</v>
      </c>
      <c r="B561" s="50" t="s">
        <v>503</v>
      </c>
      <c r="C561" s="50" t="s">
        <v>32</v>
      </c>
      <c r="D561" s="49"/>
      <c r="E561" s="49"/>
      <c r="F561" s="49"/>
      <c r="G561" s="50">
        <v>3052.96</v>
      </c>
      <c r="H561" s="49"/>
      <c r="I561" s="49"/>
      <c r="J561" s="49"/>
      <c r="K561" s="49"/>
      <c r="L561" s="50">
        <v>3052.96</v>
      </c>
      <c r="M561" s="50" t="s">
        <v>505</v>
      </c>
      <c r="N561" s="50" t="s">
        <v>415</v>
      </c>
      <c r="O561" s="50">
        <v>220.0</v>
      </c>
      <c r="P561" s="50" t="s">
        <v>391</v>
      </c>
      <c r="Q561" s="49"/>
      <c r="R561" s="49"/>
      <c r="S561" s="49"/>
      <c r="T561" s="49"/>
      <c r="U561" s="49"/>
      <c r="V561" s="49"/>
      <c r="W561" s="49"/>
      <c r="X561" s="49"/>
    </row>
    <row r="562" ht="15.75" hidden="1" customHeight="1">
      <c r="A562" s="50" t="s">
        <v>490</v>
      </c>
      <c r="B562" s="50" t="s">
        <v>503</v>
      </c>
      <c r="C562" s="50" t="s">
        <v>32</v>
      </c>
      <c r="D562" s="49"/>
      <c r="E562" s="49"/>
      <c r="F562" s="49"/>
      <c r="G562" s="50">
        <v>14460.38</v>
      </c>
      <c r="H562" s="49"/>
      <c r="I562" s="49"/>
      <c r="J562" s="49"/>
      <c r="K562" s="49"/>
      <c r="L562" s="50">
        <v>14460.38</v>
      </c>
      <c r="M562" s="50" t="s">
        <v>505</v>
      </c>
      <c r="N562" s="50" t="s">
        <v>415</v>
      </c>
      <c r="O562" s="50">
        <v>235.0</v>
      </c>
      <c r="P562" s="50" t="s">
        <v>391</v>
      </c>
      <c r="Q562" s="49"/>
      <c r="R562" s="49"/>
      <c r="S562" s="49"/>
      <c r="T562" s="49"/>
      <c r="U562" s="49"/>
      <c r="V562" s="49"/>
      <c r="W562" s="49"/>
      <c r="X562" s="49"/>
    </row>
    <row r="563" ht="15.75" hidden="1" customHeight="1">
      <c r="A563" s="50" t="s">
        <v>490</v>
      </c>
      <c r="B563" s="50" t="s">
        <v>503</v>
      </c>
      <c r="C563" s="50" t="s">
        <v>32</v>
      </c>
      <c r="D563" s="49"/>
      <c r="E563" s="49"/>
      <c r="F563" s="49"/>
      <c r="G563" s="50">
        <v>28237.34</v>
      </c>
      <c r="H563" s="49"/>
      <c r="I563" s="49"/>
      <c r="J563" s="49"/>
      <c r="K563" s="49"/>
      <c r="L563" s="50">
        <v>28237.34</v>
      </c>
      <c r="M563" s="50" t="s">
        <v>505</v>
      </c>
      <c r="N563" s="50" t="s">
        <v>415</v>
      </c>
      <c r="O563" s="50">
        <v>236.0</v>
      </c>
      <c r="P563" s="50" t="s">
        <v>391</v>
      </c>
      <c r="Q563" s="49"/>
      <c r="R563" s="49"/>
      <c r="S563" s="49"/>
      <c r="T563" s="49"/>
      <c r="U563" s="49"/>
      <c r="V563" s="49"/>
      <c r="W563" s="49"/>
      <c r="X563" s="49"/>
    </row>
    <row r="564" ht="15.75" hidden="1" customHeight="1">
      <c r="A564" s="50" t="s">
        <v>490</v>
      </c>
      <c r="B564" s="50" t="s">
        <v>503</v>
      </c>
      <c r="C564" s="50" t="s">
        <v>32</v>
      </c>
      <c r="D564" s="49"/>
      <c r="E564" s="49"/>
      <c r="F564" s="49"/>
      <c r="G564" s="50">
        <v>6454.65</v>
      </c>
      <c r="H564" s="49"/>
      <c r="I564" s="49"/>
      <c r="J564" s="49"/>
      <c r="K564" s="49"/>
      <c r="L564" s="50">
        <v>6454.65</v>
      </c>
      <c r="M564" s="50" t="s">
        <v>418</v>
      </c>
      <c r="N564" s="50" t="s">
        <v>415</v>
      </c>
      <c r="O564" s="50">
        <v>237.0</v>
      </c>
      <c r="P564" s="50" t="s">
        <v>391</v>
      </c>
      <c r="Q564" s="49"/>
      <c r="R564" s="49"/>
      <c r="S564" s="49"/>
      <c r="T564" s="49"/>
      <c r="U564" s="49"/>
      <c r="V564" s="49"/>
      <c r="W564" s="49"/>
      <c r="X564" s="49"/>
    </row>
    <row r="565" ht="15.75" hidden="1" customHeight="1">
      <c r="A565" s="50" t="s">
        <v>490</v>
      </c>
      <c r="B565" s="50" t="s">
        <v>506</v>
      </c>
      <c r="C565" s="50" t="s">
        <v>32</v>
      </c>
      <c r="D565" s="49"/>
      <c r="E565" s="49"/>
      <c r="F565" s="49"/>
      <c r="G565" s="50">
        <v>2422.94</v>
      </c>
      <c r="H565" s="49"/>
      <c r="I565" s="49"/>
      <c r="J565" s="49"/>
      <c r="K565" s="49"/>
      <c r="L565" s="50">
        <v>2422.94</v>
      </c>
      <c r="M565" s="50" t="s">
        <v>418</v>
      </c>
      <c r="N565" s="50" t="s">
        <v>415</v>
      </c>
      <c r="O565" s="50">
        <v>238.0</v>
      </c>
      <c r="P565" s="50" t="s">
        <v>391</v>
      </c>
      <c r="Q565" s="49"/>
      <c r="R565" s="49"/>
      <c r="S565" s="49"/>
      <c r="T565" s="49"/>
      <c r="U565" s="49"/>
      <c r="V565" s="49"/>
      <c r="W565" s="49"/>
      <c r="X565" s="49"/>
    </row>
    <row r="566" ht="15.75" hidden="1" customHeight="1">
      <c r="A566" s="50" t="s">
        <v>490</v>
      </c>
      <c r="B566" s="50" t="s">
        <v>507</v>
      </c>
      <c r="C566" s="50" t="s">
        <v>32</v>
      </c>
      <c r="D566" s="49"/>
      <c r="E566" s="49"/>
      <c r="F566" s="49"/>
      <c r="G566" s="50">
        <v>86195.46</v>
      </c>
      <c r="H566" s="49"/>
      <c r="I566" s="49"/>
      <c r="J566" s="49"/>
      <c r="K566" s="49"/>
      <c r="L566" s="50">
        <v>86195.46</v>
      </c>
      <c r="M566" s="50" t="s">
        <v>508</v>
      </c>
      <c r="N566" s="50" t="s">
        <v>415</v>
      </c>
      <c r="O566" s="50">
        <v>241.0</v>
      </c>
      <c r="P566" s="50" t="s">
        <v>391</v>
      </c>
      <c r="Q566" s="49"/>
      <c r="R566" s="49"/>
      <c r="S566" s="49"/>
      <c r="T566" s="49"/>
      <c r="U566" s="49"/>
      <c r="V566" s="49"/>
      <c r="W566" s="49"/>
      <c r="X566" s="49"/>
    </row>
    <row r="567" ht="15.75" hidden="1" customHeight="1">
      <c r="A567" s="52" t="s">
        <v>543</v>
      </c>
      <c r="B567" s="50" t="s">
        <v>474</v>
      </c>
      <c r="C567" s="52" t="s">
        <v>21</v>
      </c>
      <c r="D567" s="52" t="s">
        <v>22</v>
      </c>
      <c r="E567" s="49"/>
      <c r="F567" s="49"/>
      <c r="G567" s="50">
        <v>2478.51</v>
      </c>
      <c r="H567" s="49"/>
      <c r="I567" s="49"/>
      <c r="J567" s="49"/>
      <c r="K567" s="49"/>
      <c r="L567" s="50">
        <v>2478.51</v>
      </c>
      <c r="M567" s="50" t="s">
        <v>508</v>
      </c>
      <c r="N567" s="50" t="s">
        <v>415</v>
      </c>
      <c r="O567" s="50">
        <v>252.0</v>
      </c>
      <c r="P567" s="50" t="s">
        <v>391</v>
      </c>
      <c r="Q567" s="49"/>
      <c r="R567" s="49"/>
      <c r="S567" s="49"/>
      <c r="T567" s="49"/>
      <c r="U567" s="49"/>
      <c r="V567" s="49"/>
      <c r="W567" s="49"/>
      <c r="X567" s="49"/>
    </row>
    <row r="568" ht="15.75" hidden="1" customHeight="1">
      <c r="A568" s="50" t="s">
        <v>543</v>
      </c>
      <c r="B568" s="50" t="s">
        <v>544</v>
      </c>
      <c r="C568" s="50" t="s">
        <v>21</v>
      </c>
      <c r="D568" s="49"/>
      <c r="E568" s="49"/>
      <c r="F568" s="49"/>
      <c r="G568" s="50">
        <v>32000.0</v>
      </c>
      <c r="H568" s="49"/>
      <c r="I568" s="49"/>
      <c r="J568" s="49"/>
      <c r="K568" s="49"/>
      <c r="L568" s="50">
        <v>32000.0</v>
      </c>
      <c r="M568" s="50" t="s">
        <v>366</v>
      </c>
      <c r="N568" s="50" t="s">
        <v>361</v>
      </c>
      <c r="O568" s="50">
        <v>292.0</v>
      </c>
      <c r="P568" s="50" t="s">
        <v>545</v>
      </c>
      <c r="Q568" s="49"/>
      <c r="R568" s="49"/>
      <c r="S568" s="49"/>
      <c r="T568" s="49"/>
      <c r="U568" s="49"/>
      <c r="V568" s="49"/>
      <c r="W568" s="49"/>
      <c r="X568" s="49"/>
    </row>
    <row r="569" ht="15.75" hidden="1" customHeight="1">
      <c r="A569" s="50" t="s">
        <v>473</v>
      </c>
      <c r="B569" s="50" t="s">
        <v>550</v>
      </c>
      <c r="C569" s="52" t="s">
        <v>32</v>
      </c>
      <c r="D569" s="49"/>
      <c r="E569" s="49"/>
      <c r="F569" s="49"/>
      <c r="G569" s="50">
        <v>6378.42</v>
      </c>
      <c r="H569" s="49"/>
      <c r="I569" s="49"/>
      <c r="J569" s="49"/>
      <c r="K569" s="49"/>
      <c r="L569" s="50">
        <v>6378.42</v>
      </c>
      <c r="M569" s="50" t="s">
        <v>366</v>
      </c>
      <c r="N569" s="50" t="s">
        <v>361</v>
      </c>
      <c r="O569" s="50">
        <v>269.0</v>
      </c>
      <c r="P569" s="50" t="s">
        <v>473</v>
      </c>
      <c r="Q569" s="49"/>
      <c r="R569" s="49"/>
      <c r="S569" s="49"/>
      <c r="T569" s="49"/>
      <c r="U569" s="49"/>
      <c r="V569" s="49"/>
      <c r="W569" s="49"/>
      <c r="X569" s="49"/>
    </row>
    <row r="570" ht="15.75" hidden="1" customHeight="1">
      <c r="A570" s="50" t="s">
        <v>473</v>
      </c>
      <c r="B570" s="50" t="s">
        <v>550</v>
      </c>
      <c r="C570" s="52" t="s">
        <v>32</v>
      </c>
      <c r="D570" s="49"/>
      <c r="E570" s="49"/>
      <c r="F570" s="49"/>
      <c r="G570" s="50">
        <v>4212.0</v>
      </c>
      <c r="H570" s="49"/>
      <c r="I570" s="49"/>
      <c r="J570" s="49"/>
      <c r="K570" s="49"/>
      <c r="L570" s="50">
        <v>4212.0</v>
      </c>
      <c r="M570" s="50" t="s">
        <v>366</v>
      </c>
      <c r="N570" s="50" t="s">
        <v>361</v>
      </c>
      <c r="O570" s="50">
        <v>294.0</v>
      </c>
      <c r="P570" s="50" t="s">
        <v>473</v>
      </c>
      <c r="Q570" s="49"/>
      <c r="R570" s="49"/>
      <c r="S570" s="49"/>
      <c r="T570" s="49"/>
      <c r="U570" s="49"/>
      <c r="V570" s="49"/>
      <c r="W570" s="49"/>
      <c r="X570" s="49"/>
    </row>
    <row r="571" ht="15.75" hidden="1" customHeight="1">
      <c r="A571" s="52" t="s">
        <v>471</v>
      </c>
      <c r="B571" s="50" t="s">
        <v>472</v>
      </c>
      <c r="C571" s="52" t="s">
        <v>21</v>
      </c>
      <c r="D571" s="52" t="s">
        <v>22</v>
      </c>
      <c r="E571" s="49"/>
      <c r="F571" s="49"/>
      <c r="G571" s="50">
        <v>14762.0</v>
      </c>
      <c r="H571" s="49"/>
      <c r="I571" s="49"/>
      <c r="J571" s="49"/>
      <c r="K571" s="49"/>
      <c r="L571" s="50">
        <v>14762.0</v>
      </c>
      <c r="M571" s="50" t="s">
        <v>366</v>
      </c>
      <c r="N571" s="50" t="s">
        <v>361</v>
      </c>
      <c r="O571" s="50">
        <v>294.0</v>
      </c>
      <c r="P571" s="50" t="s">
        <v>473</v>
      </c>
      <c r="Q571" s="49"/>
      <c r="R571" s="49"/>
      <c r="S571" s="49"/>
      <c r="T571" s="49"/>
      <c r="U571" s="49"/>
      <c r="V571" s="49"/>
      <c r="W571" s="49"/>
      <c r="X571" s="49"/>
    </row>
    <row r="572" ht="15.75" hidden="1" customHeight="1">
      <c r="A572" s="50" t="s">
        <v>471</v>
      </c>
      <c r="B572" s="50" t="s">
        <v>472</v>
      </c>
      <c r="C572" s="52" t="s">
        <v>21</v>
      </c>
      <c r="D572" s="52" t="s">
        <v>22</v>
      </c>
      <c r="E572" s="49"/>
      <c r="F572" s="49"/>
      <c r="G572" s="50">
        <v>583.4</v>
      </c>
      <c r="H572" s="49"/>
      <c r="I572" s="49"/>
      <c r="J572" s="49"/>
      <c r="K572" s="49"/>
      <c r="L572" s="50">
        <v>583.4</v>
      </c>
      <c r="M572" s="50" t="s">
        <v>366</v>
      </c>
      <c r="N572" s="50" t="s">
        <v>361</v>
      </c>
      <c r="O572" s="50">
        <v>294.0</v>
      </c>
      <c r="P572" s="50" t="s">
        <v>473</v>
      </c>
      <c r="Q572" s="49"/>
      <c r="R572" s="49"/>
      <c r="S572" s="49"/>
      <c r="T572" s="49"/>
      <c r="U572" s="49"/>
      <c r="V572" s="49"/>
      <c r="W572" s="49"/>
      <c r="X572" s="49"/>
    </row>
    <row r="573" ht="15.75" hidden="1" customHeight="1">
      <c r="A573" s="50" t="s">
        <v>471</v>
      </c>
      <c r="B573" s="50" t="s">
        <v>474</v>
      </c>
      <c r="C573" s="52" t="s">
        <v>21</v>
      </c>
      <c r="D573" s="52" t="s">
        <v>22</v>
      </c>
      <c r="E573" s="49"/>
      <c r="F573" s="49"/>
      <c r="G573" s="50">
        <v>7029.5</v>
      </c>
      <c r="H573" s="49"/>
      <c r="I573" s="49"/>
      <c r="J573" s="49"/>
      <c r="K573" s="49"/>
      <c r="L573" s="50">
        <v>7029.5</v>
      </c>
      <c r="M573" s="50" t="s">
        <v>366</v>
      </c>
      <c r="N573" s="50" t="s">
        <v>361</v>
      </c>
      <c r="O573" s="50">
        <v>294.0</v>
      </c>
      <c r="P573" s="50" t="s">
        <v>473</v>
      </c>
      <c r="Q573" s="49"/>
      <c r="R573" s="49"/>
      <c r="S573" s="49"/>
      <c r="T573" s="49"/>
      <c r="U573" s="49"/>
      <c r="V573" s="49"/>
      <c r="W573" s="49"/>
      <c r="X573" s="49"/>
    </row>
    <row r="574" ht="15.75" hidden="1" customHeight="1">
      <c r="A574" s="50" t="s">
        <v>543</v>
      </c>
      <c r="B574" s="50" t="s">
        <v>511</v>
      </c>
      <c r="C574" s="55" t="s">
        <v>68</v>
      </c>
      <c r="D574" s="49"/>
      <c r="E574" s="49"/>
      <c r="F574" s="49"/>
      <c r="G574" s="50">
        <v>400.0</v>
      </c>
      <c r="H574" s="49"/>
      <c r="I574" s="49"/>
      <c r="J574" s="49"/>
      <c r="K574" s="49"/>
      <c r="L574" s="50">
        <v>400.0</v>
      </c>
      <c r="M574" s="50" t="s">
        <v>492</v>
      </c>
      <c r="N574" s="50" t="s">
        <v>415</v>
      </c>
      <c r="O574" s="50">
        <v>4.0</v>
      </c>
      <c r="P574" s="50" t="s">
        <v>465</v>
      </c>
      <c r="Q574" s="49"/>
      <c r="R574" s="49"/>
      <c r="S574" s="49"/>
      <c r="T574" s="49"/>
      <c r="U574" s="49"/>
      <c r="V574" s="49"/>
      <c r="W574" s="49"/>
      <c r="X574" s="49"/>
    </row>
    <row r="575" ht="15.75" hidden="1" customHeight="1">
      <c r="A575" s="50" t="s">
        <v>490</v>
      </c>
      <c r="B575" s="50" t="s">
        <v>497</v>
      </c>
      <c r="C575" s="50" t="s">
        <v>32</v>
      </c>
      <c r="D575" s="49"/>
      <c r="E575" s="49"/>
      <c r="F575" s="49"/>
      <c r="G575" s="50">
        <v>272.02</v>
      </c>
      <c r="H575" s="49"/>
      <c r="I575" s="49"/>
      <c r="J575" s="49"/>
      <c r="K575" s="49"/>
      <c r="L575" s="50">
        <v>272.02</v>
      </c>
      <c r="M575" s="50" t="s">
        <v>492</v>
      </c>
      <c r="N575" s="50" t="s">
        <v>415</v>
      </c>
      <c r="O575" s="50">
        <v>200.0</v>
      </c>
      <c r="P575" s="50" t="s">
        <v>465</v>
      </c>
      <c r="Q575" s="49"/>
      <c r="R575" s="49"/>
      <c r="S575" s="49"/>
      <c r="T575" s="49"/>
      <c r="U575" s="49"/>
      <c r="V575" s="49"/>
      <c r="W575" s="49"/>
      <c r="X575" s="49"/>
    </row>
    <row r="576" ht="15.75" hidden="1" customHeight="1">
      <c r="A576" s="50" t="s">
        <v>490</v>
      </c>
      <c r="B576" s="50" t="s">
        <v>509</v>
      </c>
      <c r="C576" s="50" t="s">
        <v>32</v>
      </c>
      <c r="D576" s="49"/>
      <c r="E576" s="49"/>
      <c r="F576" s="49"/>
      <c r="G576" s="50">
        <v>0.01</v>
      </c>
      <c r="H576" s="49"/>
      <c r="I576" s="49"/>
      <c r="J576" s="49"/>
      <c r="K576" s="49"/>
      <c r="L576" s="50">
        <v>0.01</v>
      </c>
      <c r="M576" s="50" t="s">
        <v>414</v>
      </c>
      <c r="N576" s="50" t="s">
        <v>415</v>
      </c>
      <c r="O576" s="50">
        <v>27.0</v>
      </c>
      <c r="P576" s="50" t="s">
        <v>465</v>
      </c>
      <c r="Q576" s="49"/>
      <c r="R576" s="49"/>
      <c r="S576" s="49"/>
      <c r="T576" s="49"/>
      <c r="U576" s="49"/>
      <c r="V576" s="49"/>
      <c r="W576" s="49"/>
      <c r="X576" s="49"/>
    </row>
    <row r="577" ht="15.75" hidden="1" customHeight="1">
      <c r="A577" s="50" t="s">
        <v>395</v>
      </c>
      <c r="B577" s="50" t="s">
        <v>510</v>
      </c>
      <c r="C577" s="50" t="s">
        <v>21</v>
      </c>
      <c r="D577" s="49"/>
      <c r="E577" s="49"/>
      <c r="F577" s="49"/>
      <c r="G577" s="50">
        <v>14252.68</v>
      </c>
      <c r="H577" s="49"/>
      <c r="I577" s="49"/>
      <c r="J577" s="49"/>
      <c r="K577" s="49"/>
      <c r="L577" s="50">
        <v>14252.68</v>
      </c>
      <c r="M577" s="50" t="s">
        <v>414</v>
      </c>
      <c r="N577" s="50" t="s">
        <v>415</v>
      </c>
      <c r="O577" s="50">
        <v>28.0</v>
      </c>
      <c r="P577" s="50" t="s">
        <v>465</v>
      </c>
      <c r="Q577" s="49"/>
      <c r="R577" s="49"/>
      <c r="S577" s="49"/>
      <c r="T577" s="49"/>
      <c r="U577" s="49"/>
      <c r="V577" s="49"/>
      <c r="W577" s="49"/>
      <c r="X577" s="49"/>
    </row>
    <row r="578" ht="15.75" hidden="1" customHeight="1">
      <c r="A578" s="50" t="s">
        <v>462</v>
      </c>
      <c r="B578" s="50" t="s">
        <v>510</v>
      </c>
      <c r="C578" s="50" t="s">
        <v>413</v>
      </c>
      <c r="D578" s="49"/>
      <c r="E578" s="49"/>
      <c r="F578" s="49"/>
      <c r="G578" s="50">
        <v>1849.04</v>
      </c>
      <c r="H578" s="49"/>
      <c r="I578" s="49"/>
      <c r="J578" s="49"/>
      <c r="K578" s="49"/>
      <c r="L578" s="50">
        <v>1849.04</v>
      </c>
      <c r="M578" s="50" t="s">
        <v>464</v>
      </c>
      <c r="N578" s="50" t="s">
        <v>415</v>
      </c>
      <c r="O578" s="50">
        <v>78.0</v>
      </c>
      <c r="P578" s="50" t="s">
        <v>465</v>
      </c>
      <c r="Q578" s="49"/>
      <c r="R578" s="49"/>
      <c r="S578" s="49"/>
      <c r="T578" s="49"/>
      <c r="U578" s="49"/>
      <c r="V578" s="49"/>
      <c r="W578" s="49"/>
      <c r="X578" s="49"/>
    </row>
    <row r="579" ht="15.75" hidden="1" customHeight="1">
      <c r="A579" s="50" t="s">
        <v>462</v>
      </c>
      <c r="B579" s="50" t="s">
        <v>506</v>
      </c>
      <c r="C579" s="50" t="s">
        <v>413</v>
      </c>
      <c r="D579" s="49"/>
      <c r="E579" s="49"/>
      <c r="F579" s="49"/>
      <c r="G579" s="50">
        <v>428.0</v>
      </c>
      <c r="H579" s="49"/>
      <c r="I579" s="49"/>
      <c r="J579" s="49"/>
      <c r="K579" s="49"/>
      <c r="L579" s="50">
        <v>428.0</v>
      </c>
      <c r="M579" s="50" t="s">
        <v>466</v>
      </c>
      <c r="N579" s="50" t="s">
        <v>415</v>
      </c>
      <c r="O579" s="50">
        <v>95.0</v>
      </c>
      <c r="P579" s="50" t="s">
        <v>465</v>
      </c>
      <c r="Q579" s="49"/>
      <c r="R579" s="49"/>
      <c r="S579" s="49"/>
      <c r="T579" s="49"/>
      <c r="U579" s="49"/>
      <c r="V579" s="49"/>
      <c r="W579" s="49"/>
      <c r="X579" s="49"/>
    </row>
    <row r="580" ht="15.75" hidden="1" customHeight="1">
      <c r="A580" s="50" t="s">
        <v>490</v>
      </c>
      <c r="B580" s="50" t="s">
        <v>510</v>
      </c>
      <c r="C580" s="50" t="s">
        <v>32</v>
      </c>
      <c r="D580" s="49"/>
      <c r="E580" s="49"/>
      <c r="F580" s="49"/>
      <c r="G580" s="50">
        <v>1256.54</v>
      </c>
      <c r="H580" s="49"/>
      <c r="I580" s="49"/>
      <c r="J580" s="49"/>
      <c r="K580" s="49"/>
      <c r="L580" s="50">
        <v>1256.54</v>
      </c>
      <c r="M580" s="50" t="s">
        <v>505</v>
      </c>
      <c r="N580" s="50" t="s">
        <v>415</v>
      </c>
      <c r="O580" s="50">
        <v>234.0</v>
      </c>
      <c r="P580" s="50" t="s">
        <v>465</v>
      </c>
      <c r="Q580" s="49"/>
      <c r="R580" s="49"/>
      <c r="S580" s="49"/>
      <c r="T580" s="49"/>
      <c r="U580" s="49"/>
      <c r="V580" s="49"/>
      <c r="W580" s="49"/>
      <c r="X580" s="49"/>
    </row>
    <row r="581" ht="15.75" hidden="1" customHeight="1">
      <c r="A581" s="50" t="s">
        <v>462</v>
      </c>
      <c r="B581" s="50" t="s">
        <v>710</v>
      </c>
      <c r="C581" s="50" t="s">
        <v>413</v>
      </c>
      <c r="D581" s="49"/>
      <c r="E581" s="49"/>
      <c r="F581" s="49"/>
      <c r="G581" s="50">
        <v>4958.17</v>
      </c>
      <c r="H581" s="49"/>
      <c r="I581" s="49"/>
      <c r="J581" s="49"/>
      <c r="K581" s="49"/>
      <c r="L581" s="50">
        <v>4958.17</v>
      </c>
      <c r="M581" s="50" t="s">
        <v>418</v>
      </c>
      <c r="N581" s="50" t="s">
        <v>415</v>
      </c>
      <c r="O581" s="50">
        <v>222.0</v>
      </c>
      <c r="P581" s="50" t="s">
        <v>465</v>
      </c>
      <c r="Q581" s="49"/>
      <c r="R581" s="49"/>
      <c r="S581" s="49"/>
      <c r="T581" s="49"/>
      <c r="U581" s="49"/>
      <c r="V581" s="49"/>
      <c r="W581" s="49"/>
      <c r="X581" s="49"/>
    </row>
    <row r="582" ht="15.75" hidden="1" customHeight="1">
      <c r="A582" s="50" t="s">
        <v>490</v>
      </c>
      <c r="B582" s="50" t="s">
        <v>486</v>
      </c>
      <c r="C582" s="50" t="s">
        <v>32</v>
      </c>
      <c r="D582" s="49"/>
      <c r="E582" s="49"/>
      <c r="F582" s="49"/>
      <c r="G582" s="50">
        <v>1121.46</v>
      </c>
      <c r="H582" s="49"/>
      <c r="I582" s="49"/>
      <c r="J582" s="49"/>
      <c r="K582" s="49"/>
      <c r="L582" s="50">
        <v>1121.46</v>
      </c>
      <c r="M582" s="50" t="s">
        <v>421</v>
      </c>
      <c r="N582" s="50" t="s">
        <v>415</v>
      </c>
      <c r="O582" s="50">
        <v>242.0</v>
      </c>
      <c r="P582" s="50" t="s">
        <v>465</v>
      </c>
      <c r="Q582" s="49"/>
      <c r="R582" s="49"/>
      <c r="S582" s="49"/>
      <c r="T582" s="49"/>
      <c r="U582" s="49"/>
      <c r="V582" s="49"/>
      <c r="W582" s="49"/>
      <c r="X582" s="49"/>
    </row>
    <row r="583" ht="15.75" hidden="1" customHeight="1">
      <c r="A583" s="50" t="s">
        <v>485</v>
      </c>
      <c r="B583" s="50" t="s">
        <v>486</v>
      </c>
      <c r="C583" s="52" t="s">
        <v>21</v>
      </c>
      <c r="D583" s="52" t="s">
        <v>22</v>
      </c>
      <c r="E583" s="49"/>
      <c r="F583" s="49"/>
      <c r="G583" s="50">
        <v>1614.2</v>
      </c>
      <c r="H583" s="49"/>
      <c r="I583" s="49"/>
      <c r="J583" s="49"/>
      <c r="K583" s="49"/>
      <c r="L583" s="50">
        <v>1614.2</v>
      </c>
      <c r="M583" s="50" t="s">
        <v>366</v>
      </c>
      <c r="N583" s="50" t="s">
        <v>361</v>
      </c>
      <c r="O583" s="50">
        <v>285.0</v>
      </c>
      <c r="P583" s="50" t="s">
        <v>485</v>
      </c>
      <c r="Q583" s="49"/>
      <c r="R583" s="49"/>
      <c r="S583" s="49"/>
      <c r="T583" s="49"/>
      <c r="U583" s="49"/>
      <c r="V583" s="49"/>
      <c r="W583" s="49"/>
      <c r="X583" s="49"/>
    </row>
    <row r="584" ht="15.75" hidden="1" customHeight="1">
      <c r="A584" s="50" t="s">
        <v>485</v>
      </c>
      <c r="B584" s="50" t="s">
        <v>486</v>
      </c>
      <c r="C584" s="52" t="s">
        <v>21</v>
      </c>
      <c r="D584" s="52" t="s">
        <v>22</v>
      </c>
      <c r="E584" s="49"/>
      <c r="F584" s="49"/>
      <c r="G584" s="50">
        <v>8686.68</v>
      </c>
      <c r="H584" s="49"/>
      <c r="I584" s="49"/>
      <c r="J584" s="49"/>
      <c r="K584" s="49"/>
      <c r="L584" s="50">
        <v>8686.68</v>
      </c>
      <c r="M584" s="50" t="s">
        <v>366</v>
      </c>
      <c r="N584" s="50" t="s">
        <v>361</v>
      </c>
      <c r="O584" s="50">
        <v>285.0</v>
      </c>
      <c r="P584" s="50" t="s">
        <v>485</v>
      </c>
      <c r="Q584" s="49"/>
      <c r="R584" s="49"/>
      <c r="S584" s="49"/>
      <c r="T584" s="49"/>
      <c r="U584" s="49"/>
      <c r="V584" s="49"/>
      <c r="W584" s="49"/>
      <c r="X584" s="49"/>
    </row>
    <row r="585" ht="15.75" hidden="1" customHeight="1">
      <c r="A585" s="50" t="s">
        <v>485</v>
      </c>
      <c r="B585" s="50" t="s">
        <v>486</v>
      </c>
      <c r="C585" s="52" t="s">
        <v>21</v>
      </c>
      <c r="D585" s="52" t="s">
        <v>22</v>
      </c>
      <c r="E585" s="49"/>
      <c r="F585" s="49"/>
      <c r="G585" s="50">
        <v>12420.34</v>
      </c>
      <c r="H585" s="49"/>
      <c r="I585" s="49"/>
      <c r="J585" s="49"/>
      <c r="K585" s="49"/>
      <c r="L585" s="50">
        <v>12420.34</v>
      </c>
      <c r="M585" s="50" t="s">
        <v>366</v>
      </c>
      <c r="N585" s="50" t="s">
        <v>361</v>
      </c>
      <c r="O585" s="50">
        <v>285.0</v>
      </c>
      <c r="P585" s="50" t="s">
        <v>485</v>
      </c>
      <c r="Q585" s="49"/>
      <c r="R585" s="49"/>
      <c r="S585" s="49"/>
      <c r="T585" s="49"/>
      <c r="U585" s="49"/>
      <c r="V585" s="49"/>
      <c r="W585" s="49"/>
      <c r="X585" s="49"/>
    </row>
    <row r="586" ht="15.75" hidden="1" customHeight="1">
      <c r="A586" s="50" t="s">
        <v>485</v>
      </c>
      <c r="B586" s="50" t="s">
        <v>486</v>
      </c>
      <c r="C586" s="52" t="s">
        <v>21</v>
      </c>
      <c r="D586" s="52" t="s">
        <v>22</v>
      </c>
      <c r="E586" s="49"/>
      <c r="F586" s="49"/>
      <c r="G586" s="50">
        <v>14372.07</v>
      </c>
      <c r="H586" s="49"/>
      <c r="I586" s="49"/>
      <c r="J586" s="49"/>
      <c r="K586" s="49"/>
      <c r="L586" s="50">
        <v>14372.07</v>
      </c>
      <c r="M586" s="50" t="s">
        <v>366</v>
      </c>
      <c r="N586" s="50" t="s">
        <v>361</v>
      </c>
      <c r="O586" s="50">
        <v>285.0</v>
      </c>
      <c r="P586" s="50" t="s">
        <v>485</v>
      </c>
      <c r="Q586" s="49"/>
      <c r="R586" s="49"/>
      <c r="S586" s="49"/>
      <c r="T586" s="49"/>
      <c r="U586" s="49"/>
      <c r="V586" s="49"/>
      <c r="W586" s="49"/>
      <c r="X586" s="49"/>
    </row>
    <row r="587" ht="15.75" hidden="1" customHeight="1">
      <c r="A587" s="50" t="s">
        <v>485</v>
      </c>
      <c r="B587" s="50" t="s">
        <v>487</v>
      </c>
      <c r="C587" s="52" t="s">
        <v>21</v>
      </c>
      <c r="D587" s="52" t="s">
        <v>22</v>
      </c>
      <c r="E587" s="49"/>
      <c r="F587" s="49"/>
      <c r="G587" s="50">
        <v>15416.65</v>
      </c>
      <c r="H587" s="49"/>
      <c r="I587" s="49"/>
      <c r="J587" s="49"/>
      <c r="K587" s="49"/>
      <c r="L587" s="50">
        <v>15416.65</v>
      </c>
      <c r="M587" s="50" t="s">
        <v>366</v>
      </c>
      <c r="N587" s="50" t="s">
        <v>361</v>
      </c>
      <c r="O587" s="50">
        <v>285.0</v>
      </c>
      <c r="P587" s="50" t="s">
        <v>485</v>
      </c>
      <c r="Q587" s="49"/>
      <c r="R587" s="49"/>
      <c r="S587" s="49"/>
      <c r="T587" s="49"/>
      <c r="U587" s="49"/>
      <c r="V587" s="49"/>
      <c r="W587" s="49"/>
      <c r="X587" s="49"/>
    </row>
    <row r="588" ht="15.75" hidden="1" customHeight="1">
      <c r="A588" s="50" t="s">
        <v>444</v>
      </c>
      <c r="B588" s="50" t="s">
        <v>446</v>
      </c>
      <c r="C588" s="50" t="s">
        <v>21</v>
      </c>
      <c r="D588" s="52" t="s">
        <v>22</v>
      </c>
      <c r="E588" s="49"/>
      <c r="F588" s="49"/>
      <c r="G588" s="50">
        <v>8000.0</v>
      </c>
      <c r="H588" s="49"/>
      <c r="I588" s="49"/>
      <c r="J588" s="49"/>
      <c r="K588" s="49"/>
      <c r="L588" s="50">
        <v>8000.0</v>
      </c>
      <c r="M588" s="50" t="s">
        <v>366</v>
      </c>
      <c r="N588" s="50" t="s">
        <v>361</v>
      </c>
      <c r="O588" s="50">
        <v>278.0</v>
      </c>
      <c r="P588" s="50" t="s">
        <v>444</v>
      </c>
      <c r="Q588" s="49"/>
      <c r="R588" s="49"/>
      <c r="S588" s="49"/>
      <c r="T588" s="49"/>
      <c r="U588" s="49"/>
      <c r="V588" s="49"/>
      <c r="W588" s="49"/>
      <c r="X588" s="49"/>
    </row>
    <row r="589" ht="15.75" hidden="1" customHeight="1">
      <c r="A589" s="50" t="s">
        <v>444</v>
      </c>
      <c r="B589" s="50" t="s">
        <v>448</v>
      </c>
      <c r="C589" s="50" t="s">
        <v>21</v>
      </c>
      <c r="D589" s="52" t="s">
        <v>22</v>
      </c>
      <c r="E589" s="49"/>
      <c r="F589" s="49"/>
      <c r="G589" s="50">
        <v>24124.7</v>
      </c>
      <c r="H589" s="49"/>
      <c r="I589" s="49"/>
      <c r="J589" s="49"/>
      <c r="K589" s="49"/>
      <c r="L589" s="50">
        <v>24124.7</v>
      </c>
      <c r="M589" s="50" t="s">
        <v>366</v>
      </c>
      <c r="N589" s="50" t="s">
        <v>361</v>
      </c>
      <c r="O589" s="50">
        <v>278.0</v>
      </c>
      <c r="P589" s="50" t="s">
        <v>444</v>
      </c>
      <c r="Q589" s="49"/>
      <c r="R589" s="49"/>
      <c r="S589" s="49"/>
      <c r="T589" s="49"/>
      <c r="U589" s="49"/>
      <c r="V589" s="49"/>
      <c r="W589" s="49"/>
      <c r="X589" s="49"/>
    </row>
    <row r="590" ht="15.75" hidden="1" customHeight="1">
      <c r="A590" s="50" t="s">
        <v>447</v>
      </c>
      <c r="B590" s="50" t="s">
        <v>467</v>
      </c>
      <c r="C590" s="52" t="s">
        <v>21</v>
      </c>
      <c r="D590" s="52" t="s">
        <v>22</v>
      </c>
      <c r="E590" s="49"/>
      <c r="F590" s="49"/>
      <c r="G590" s="50">
        <v>8208.0</v>
      </c>
      <c r="H590" s="49"/>
      <c r="I590" s="49"/>
      <c r="J590" s="49"/>
      <c r="K590" s="49"/>
      <c r="L590" s="50">
        <v>8208.0</v>
      </c>
      <c r="M590" s="50" t="s">
        <v>366</v>
      </c>
      <c r="N590" s="50" t="s">
        <v>361</v>
      </c>
      <c r="O590" s="50">
        <v>278.0</v>
      </c>
      <c r="P590" s="50" t="s">
        <v>444</v>
      </c>
      <c r="Q590" s="49"/>
      <c r="R590" s="49"/>
      <c r="S590" s="49"/>
      <c r="T590" s="49"/>
      <c r="U590" s="49"/>
      <c r="V590" s="49"/>
      <c r="W590" s="49"/>
      <c r="X590" s="49"/>
    </row>
    <row r="591" ht="15.75" hidden="1" customHeight="1">
      <c r="A591" s="50" t="s">
        <v>458</v>
      </c>
      <c r="B591" s="50" t="s">
        <v>467</v>
      </c>
      <c r="C591" s="52" t="s">
        <v>21</v>
      </c>
      <c r="D591" s="52" t="s">
        <v>22</v>
      </c>
      <c r="E591" s="49"/>
      <c r="F591" s="49"/>
      <c r="G591" s="50">
        <v>689.66</v>
      </c>
      <c r="H591" s="49"/>
      <c r="I591" s="49"/>
      <c r="J591" s="49"/>
      <c r="K591" s="49"/>
      <c r="L591" s="50">
        <v>689.66</v>
      </c>
      <c r="M591" s="50" t="s">
        <v>366</v>
      </c>
      <c r="N591" s="50" t="s">
        <v>361</v>
      </c>
      <c r="O591" s="50">
        <v>278.0</v>
      </c>
      <c r="P591" s="50" t="s">
        <v>444</v>
      </c>
      <c r="Q591" s="49"/>
      <c r="R591" s="49"/>
      <c r="S591" s="49"/>
      <c r="T591" s="49"/>
      <c r="U591" s="49"/>
      <c r="V591" s="49"/>
      <c r="W591" s="49"/>
      <c r="X591" s="49"/>
    </row>
    <row r="592" ht="15.75" hidden="1" customHeight="1">
      <c r="A592" s="50" t="s">
        <v>458</v>
      </c>
      <c r="B592" s="50" t="s">
        <v>467</v>
      </c>
      <c r="C592" s="52" t="s">
        <v>21</v>
      </c>
      <c r="D592" s="52" t="s">
        <v>22</v>
      </c>
      <c r="E592" s="49"/>
      <c r="F592" s="49"/>
      <c r="G592" s="50">
        <v>900.0</v>
      </c>
      <c r="H592" s="49"/>
      <c r="I592" s="49"/>
      <c r="J592" s="49"/>
      <c r="K592" s="49"/>
      <c r="L592" s="50">
        <v>900.0</v>
      </c>
      <c r="M592" s="50" t="s">
        <v>366</v>
      </c>
      <c r="N592" s="50" t="s">
        <v>361</v>
      </c>
      <c r="O592" s="50">
        <v>278.0</v>
      </c>
      <c r="P592" s="50" t="s">
        <v>444</v>
      </c>
      <c r="Q592" s="49"/>
      <c r="R592" s="49"/>
      <c r="S592" s="49"/>
      <c r="T592" s="49"/>
      <c r="U592" s="49"/>
      <c r="V592" s="49"/>
      <c r="W592" s="49"/>
      <c r="X592" s="49"/>
    </row>
    <row r="593" ht="15.75" hidden="1" customHeight="1">
      <c r="A593" s="50" t="s">
        <v>458</v>
      </c>
      <c r="B593" s="50" t="s">
        <v>467</v>
      </c>
      <c r="C593" s="52" t="s">
        <v>21</v>
      </c>
      <c r="D593" s="52" t="s">
        <v>22</v>
      </c>
      <c r="E593" s="49"/>
      <c r="F593" s="49"/>
      <c r="G593" s="50">
        <v>1000.0</v>
      </c>
      <c r="H593" s="49"/>
      <c r="I593" s="49"/>
      <c r="J593" s="49"/>
      <c r="K593" s="49"/>
      <c r="L593" s="50">
        <v>1000.0</v>
      </c>
      <c r="M593" s="50" t="s">
        <v>366</v>
      </c>
      <c r="N593" s="50" t="s">
        <v>361</v>
      </c>
      <c r="O593" s="50">
        <v>278.0</v>
      </c>
      <c r="P593" s="50" t="s">
        <v>444</v>
      </c>
      <c r="Q593" s="49"/>
      <c r="R593" s="49"/>
      <c r="S593" s="49"/>
      <c r="T593" s="49"/>
      <c r="U593" s="49"/>
      <c r="V593" s="49"/>
      <c r="W593" s="49"/>
      <c r="X593" s="49"/>
    </row>
    <row r="594" ht="15.75" hidden="1" customHeight="1">
      <c r="A594" s="50" t="s">
        <v>458</v>
      </c>
      <c r="B594" s="50" t="s">
        <v>449</v>
      </c>
      <c r="C594" s="52" t="s">
        <v>21</v>
      </c>
      <c r="D594" s="52" t="s">
        <v>22</v>
      </c>
      <c r="E594" s="49"/>
      <c r="F594" s="49"/>
      <c r="G594" s="50">
        <v>1000.0</v>
      </c>
      <c r="H594" s="49"/>
      <c r="I594" s="49"/>
      <c r="J594" s="49"/>
      <c r="K594" s="49"/>
      <c r="L594" s="50">
        <v>1000.0</v>
      </c>
      <c r="M594" s="50" t="s">
        <v>366</v>
      </c>
      <c r="N594" s="50" t="s">
        <v>361</v>
      </c>
      <c r="O594" s="50">
        <v>278.0</v>
      </c>
      <c r="P594" s="50" t="s">
        <v>444</v>
      </c>
      <c r="Q594" s="49"/>
      <c r="R594" s="49"/>
      <c r="S594" s="49"/>
      <c r="T594" s="49"/>
      <c r="U594" s="49"/>
      <c r="V594" s="49"/>
      <c r="W594" s="49"/>
      <c r="X594" s="49"/>
    </row>
    <row r="595" ht="15.75" hidden="1" customHeight="1">
      <c r="A595" s="50" t="s">
        <v>444</v>
      </c>
      <c r="B595" s="50" t="s">
        <v>449</v>
      </c>
      <c r="C595" s="50" t="s">
        <v>21</v>
      </c>
      <c r="D595" s="52" t="s">
        <v>22</v>
      </c>
      <c r="E595" s="49"/>
      <c r="F595" s="49"/>
      <c r="G595" s="50">
        <v>14000.0</v>
      </c>
      <c r="H595" s="49"/>
      <c r="I595" s="49"/>
      <c r="J595" s="49"/>
      <c r="K595" s="49"/>
      <c r="L595" s="50">
        <v>14000.0</v>
      </c>
      <c r="M595" s="50" t="s">
        <v>366</v>
      </c>
      <c r="N595" s="50" t="s">
        <v>361</v>
      </c>
      <c r="O595" s="50">
        <v>278.0</v>
      </c>
      <c r="P595" s="50" t="s">
        <v>444</v>
      </c>
      <c r="Q595" s="49"/>
      <c r="R595" s="49"/>
      <c r="S595" s="49"/>
      <c r="T595" s="49"/>
      <c r="U595" s="49"/>
      <c r="V595" s="49"/>
      <c r="W595" s="49"/>
      <c r="X595" s="49"/>
    </row>
    <row r="596" ht="15.75" hidden="1" customHeight="1">
      <c r="A596" s="50" t="s">
        <v>444</v>
      </c>
      <c r="B596" s="50" t="s">
        <v>525</v>
      </c>
      <c r="C596" s="50" t="s">
        <v>21</v>
      </c>
      <c r="D596" s="52" t="s">
        <v>22</v>
      </c>
      <c r="E596" s="49"/>
      <c r="F596" s="49"/>
      <c r="G596" s="50">
        <v>18500.0</v>
      </c>
      <c r="H596" s="49"/>
      <c r="I596" s="49"/>
      <c r="J596" s="49"/>
      <c r="K596" s="49"/>
      <c r="L596" s="50">
        <v>18500.0</v>
      </c>
      <c r="M596" s="50" t="s">
        <v>366</v>
      </c>
      <c r="N596" s="50" t="s">
        <v>361</v>
      </c>
      <c r="O596" s="50">
        <v>278.0</v>
      </c>
      <c r="P596" s="50" t="s">
        <v>444</v>
      </c>
      <c r="Q596" s="49"/>
      <c r="R596" s="49"/>
      <c r="S596" s="49"/>
      <c r="T596" s="49"/>
      <c r="U596" s="49"/>
      <c r="V596" s="49"/>
      <c r="W596" s="49"/>
      <c r="X596" s="49"/>
    </row>
    <row r="597" ht="15.75" hidden="1" customHeight="1">
      <c r="A597" s="50" t="s">
        <v>447</v>
      </c>
      <c r="B597" s="50" t="s">
        <v>525</v>
      </c>
      <c r="C597" s="52" t="s">
        <v>32</v>
      </c>
      <c r="D597" s="52" t="s">
        <v>56</v>
      </c>
      <c r="E597" s="49"/>
      <c r="F597" s="49"/>
      <c r="G597" s="50">
        <v>14595.06</v>
      </c>
      <c r="H597" s="49"/>
      <c r="I597" s="49"/>
      <c r="J597" s="49"/>
      <c r="K597" s="49"/>
      <c r="L597" s="50">
        <v>14595.06</v>
      </c>
      <c r="M597" s="50" t="s">
        <v>366</v>
      </c>
      <c r="N597" s="50" t="s">
        <v>361</v>
      </c>
      <c r="O597" s="50">
        <v>278.0</v>
      </c>
      <c r="P597" s="50" t="s">
        <v>444</v>
      </c>
      <c r="Q597" s="49"/>
      <c r="R597" s="49"/>
      <c r="S597" s="49"/>
      <c r="T597" s="49"/>
      <c r="U597" s="49"/>
      <c r="V597" s="49"/>
      <c r="W597" s="49"/>
      <c r="X597" s="49"/>
    </row>
    <row r="598" ht="15.75" hidden="1" customHeight="1">
      <c r="A598" s="50" t="s">
        <v>447</v>
      </c>
      <c r="B598" s="50" t="s">
        <v>450</v>
      </c>
      <c r="C598" s="52" t="s">
        <v>21</v>
      </c>
      <c r="D598" s="52" t="s">
        <v>22</v>
      </c>
      <c r="E598" s="49"/>
      <c r="F598" s="49"/>
      <c r="G598" s="50">
        <v>14595.06</v>
      </c>
      <c r="H598" s="49"/>
      <c r="I598" s="49"/>
      <c r="J598" s="49"/>
      <c r="K598" s="49"/>
      <c r="L598" s="50">
        <v>14595.06</v>
      </c>
      <c r="M598" s="50" t="s">
        <v>366</v>
      </c>
      <c r="N598" s="50" t="s">
        <v>361</v>
      </c>
      <c r="O598" s="50">
        <v>278.0</v>
      </c>
      <c r="P598" s="50" t="s">
        <v>444</v>
      </c>
      <c r="Q598" s="49"/>
      <c r="R598" s="49"/>
      <c r="S598" s="49"/>
      <c r="T598" s="49"/>
      <c r="U598" s="49"/>
      <c r="V598" s="49"/>
      <c r="W598" s="49"/>
      <c r="X598" s="49"/>
    </row>
    <row r="599" ht="15.75" hidden="1" customHeight="1">
      <c r="A599" s="50" t="s">
        <v>444</v>
      </c>
      <c r="B599" s="50" t="s">
        <v>450</v>
      </c>
      <c r="C599" s="50" t="s">
        <v>21</v>
      </c>
      <c r="D599" s="52" t="s">
        <v>22</v>
      </c>
      <c r="E599" s="49"/>
      <c r="F599" s="49"/>
      <c r="G599" s="50">
        <v>3097.23</v>
      </c>
      <c r="H599" s="49"/>
      <c r="I599" s="49"/>
      <c r="J599" s="49"/>
      <c r="K599" s="49"/>
      <c r="L599" s="50">
        <v>3097.23</v>
      </c>
      <c r="M599" s="50" t="s">
        <v>366</v>
      </c>
      <c r="N599" s="50" t="s">
        <v>361</v>
      </c>
      <c r="O599" s="50">
        <v>278.0</v>
      </c>
      <c r="P599" s="50" t="s">
        <v>444</v>
      </c>
      <c r="Q599" s="49"/>
      <c r="R599" s="49"/>
      <c r="S599" s="49"/>
      <c r="T599" s="49"/>
      <c r="U599" s="49"/>
      <c r="V599" s="49"/>
      <c r="W599" s="49"/>
      <c r="X599" s="49"/>
    </row>
    <row r="600" ht="15.75" hidden="1" customHeight="1">
      <c r="A600" s="50" t="s">
        <v>444</v>
      </c>
      <c r="B600" s="50" t="s">
        <v>450</v>
      </c>
      <c r="C600" s="50" t="s">
        <v>21</v>
      </c>
      <c r="D600" s="52" t="s">
        <v>22</v>
      </c>
      <c r="E600" s="49"/>
      <c r="F600" s="49"/>
      <c r="G600" s="50">
        <v>4386.83</v>
      </c>
      <c r="H600" s="49"/>
      <c r="I600" s="49"/>
      <c r="J600" s="49"/>
      <c r="K600" s="49"/>
      <c r="L600" s="50">
        <v>4386.83</v>
      </c>
      <c r="M600" s="50" t="s">
        <v>366</v>
      </c>
      <c r="N600" s="50" t="s">
        <v>361</v>
      </c>
      <c r="O600" s="50">
        <v>278.0</v>
      </c>
      <c r="P600" s="50" t="s">
        <v>444</v>
      </c>
      <c r="Q600" s="49"/>
      <c r="R600" s="49"/>
      <c r="S600" s="49"/>
      <c r="T600" s="49"/>
      <c r="U600" s="49"/>
      <c r="V600" s="49"/>
      <c r="W600" s="49"/>
      <c r="X600" s="49"/>
    </row>
    <row r="601" ht="15.75" hidden="1" customHeight="1">
      <c r="A601" s="50" t="s">
        <v>444</v>
      </c>
      <c r="B601" s="50" t="s">
        <v>451</v>
      </c>
      <c r="C601" s="50" t="s">
        <v>21</v>
      </c>
      <c r="D601" s="52" t="s">
        <v>22</v>
      </c>
      <c r="E601" s="49"/>
      <c r="F601" s="49"/>
      <c r="G601" s="50">
        <v>6000.0</v>
      </c>
      <c r="H601" s="49"/>
      <c r="I601" s="49"/>
      <c r="J601" s="49"/>
      <c r="K601" s="49"/>
      <c r="L601" s="50">
        <v>6000.0</v>
      </c>
      <c r="M601" s="50" t="s">
        <v>366</v>
      </c>
      <c r="N601" s="50" t="s">
        <v>361</v>
      </c>
      <c r="O601" s="50">
        <v>278.0</v>
      </c>
      <c r="P601" s="50" t="s">
        <v>444</v>
      </c>
      <c r="Q601" s="49"/>
      <c r="R601" s="49"/>
      <c r="S601" s="49"/>
      <c r="T601" s="49"/>
      <c r="U601" s="49"/>
      <c r="V601" s="49"/>
      <c r="W601" s="49"/>
      <c r="X601" s="49"/>
    </row>
    <row r="602" ht="15.75" hidden="1" customHeight="1">
      <c r="A602" s="50" t="s">
        <v>444</v>
      </c>
      <c r="B602" s="50" t="s">
        <v>452</v>
      </c>
      <c r="C602" s="50" t="s">
        <v>21</v>
      </c>
      <c r="D602" s="52" t="s">
        <v>22</v>
      </c>
      <c r="E602" s="49"/>
      <c r="F602" s="49"/>
      <c r="G602" s="50">
        <v>6500.0</v>
      </c>
      <c r="H602" s="49"/>
      <c r="I602" s="49"/>
      <c r="J602" s="49"/>
      <c r="K602" s="49"/>
      <c r="L602" s="50">
        <v>6500.0</v>
      </c>
      <c r="M602" s="50" t="s">
        <v>366</v>
      </c>
      <c r="N602" s="50" t="s">
        <v>361</v>
      </c>
      <c r="O602" s="50">
        <v>278.0</v>
      </c>
      <c r="P602" s="50" t="s">
        <v>444</v>
      </c>
      <c r="Q602" s="49"/>
      <c r="R602" s="49"/>
      <c r="S602" s="49"/>
      <c r="T602" s="49"/>
      <c r="U602" s="49"/>
      <c r="V602" s="49"/>
      <c r="W602" s="49"/>
      <c r="X602" s="49"/>
    </row>
    <row r="603" ht="15.75" hidden="1" customHeight="1">
      <c r="A603" s="50" t="s">
        <v>444</v>
      </c>
      <c r="B603" s="50" t="s">
        <v>453</v>
      </c>
      <c r="C603" s="50" t="s">
        <v>21</v>
      </c>
      <c r="D603" s="52" t="s">
        <v>22</v>
      </c>
      <c r="E603" s="49"/>
      <c r="F603" s="49"/>
      <c r="G603" s="50">
        <v>18000.0</v>
      </c>
      <c r="H603" s="49"/>
      <c r="I603" s="49"/>
      <c r="J603" s="49"/>
      <c r="K603" s="49"/>
      <c r="L603" s="50">
        <v>18000.0</v>
      </c>
      <c r="M603" s="50" t="s">
        <v>366</v>
      </c>
      <c r="N603" s="50" t="s">
        <v>361</v>
      </c>
      <c r="O603" s="50">
        <v>278.0</v>
      </c>
      <c r="P603" s="50" t="s">
        <v>444</v>
      </c>
      <c r="Q603" s="49"/>
      <c r="R603" s="49"/>
      <c r="S603" s="49"/>
      <c r="T603" s="49"/>
      <c r="U603" s="49"/>
      <c r="V603" s="49"/>
      <c r="W603" s="49"/>
      <c r="X603" s="49"/>
    </row>
    <row r="604" ht="15.75" hidden="1" customHeight="1">
      <c r="A604" s="50" t="s">
        <v>444</v>
      </c>
      <c r="B604" s="50" t="s">
        <v>454</v>
      </c>
      <c r="C604" s="50" t="s">
        <v>21</v>
      </c>
      <c r="D604" s="52" t="s">
        <v>22</v>
      </c>
      <c r="E604" s="49"/>
      <c r="F604" s="49"/>
      <c r="G604" s="50">
        <v>13200.0</v>
      </c>
      <c r="H604" s="49"/>
      <c r="I604" s="49"/>
      <c r="J604" s="49"/>
      <c r="K604" s="49"/>
      <c r="L604" s="50">
        <v>13200.0</v>
      </c>
      <c r="M604" s="50" t="s">
        <v>366</v>
      </c>
      <c r="N604" s="50" t="s">
        <v>361</v>
      </c>
      <c r="O604" s="50">
        <v>278.0</v>
      </c>
      <c r="P604" s="50" t="s">
        <v>444</v>
      </c>
      <c r="Q604" s="49"/>
      <c r="R604" s="49"/>
      <c r="S604" s="49"/>
      <c r="T604" s="49"/>
      <c r="U604" s="49"/>
      <c r="V604" s="49"/>
      <c r="W604" s="49"/>
      <c r="X604" s="49"/>
    </row>
    <row r="605" ht="15.75" hidden="1" customHeight="1">
      <c r="A605" s="50" t="s">
        <v>444</v>
      </c>
      <c r="B605" s="50" t="s">
        <v>454</v>
      </c>
      <c r="C605" s="50" t="s">
        <v>21</v>
      </c>
      <c r="D605" s="52" t="s">
        <v>22</v>
      </c>
      <c r="E605" s="49"/>
      <c r="F605" s="49"/>
      <c r="G605" s="50">
        <v>3500.0</v>
      </c>
      <c r="H605" s="49"/>
      <c r="I605" s="49"/>
      <c r="J605" s="49"/>
      <c r="K605" s="49"/>
      <c r="L605" s="50">
        <v>3500.0</v>
      </c>
      <c r="M605" s="50" t="s">
        <v>366</v>
      </c>
      <c r="N605" s="50" t="s">
        <v>361</v>
      </c>
      <c r="O605" s="50">
        <v>278.0</v>
      </c>
      <c r="P605" s="50" t="s">
        <v>444</v>
      </c>
      <c r="Q605" s="49"/>
      <c r="R605" s="49"/>
      <c r="S605" s="49"/>
      <c r="T605" s="49"/>
      <c r="U605" s="49"/>
      <c r="V605" s="49"/>
      <c r="W605" s="49"/>
      <c r="X605" s="49"/>
    </row>
    <row r="606" ht="15.75" hidden="1" customHeight="1">
      <c r="A606" s="50" t="s">
        <v>444</v>
      </c>
      <c r="B606" s="50" t="s">
        <v>454</v>
      </c>
      <c r="C606" s="50" t="s">
        <v>21</v>
      </c>
      <c r="D606" s="52" t="s">
        <v>22</v>
      </c>
      <c r="E606" s="49"/>
      <c r="F606" s="49"/>
      <c r="G606" s="50">
        <v>7000.0</v>
      </c>
      <c r="H606" s="49"/>
      <c r="I606" s="49"/>
      <c r="J606" s="49"/>
      <c r="K606" s="49"/>
      <c r="L606" s="50">
        <v>7000.0</v>
      </c>
      <c r="M606" s="50" t="s">
        <v>366</v>
      </c>
      <c r="N606" s="50" t="s">
        <v>361</v>
      </c>
      <c r="O606" s="50">
        <v>278.0</v>
      </c>
      <c r="P606" s="50" t="s">
        <v>444</v>
      </c>
      <c r="Q606" s="49"/>
      <c r="R606" s="49"/>
      <c r="S606" s="49"/>
      <c r="T606" s="49"/>
      <c r="U606" s="49"/>
      <c r="V606" s="49"/>
      <c r="W606" s="49"/>
      <c r="X606" s="49"/>
    </row>
    <row r="607" ht="15.75" hidden="1" customHeight="1">
      <c r="A607" s="50" t="s">
        <v>444</v>
      </c>
      <c r="B607" s="50" t="s">
        <v>513</v>
      </c>
      <c r="C607" s="50" t="s">
        <v>21</v>
      </c>
      <c r="D607" s="52" t="s">
        <v>22</v>
      </c>
      <c r="E607" s="49"/>
      <c r="F607" s="49"/>
      <c r="G607" s="50">
        <v>25250.0</v>
      </c>
      <c r="H607" s="49"/>
      <c r="I607" s="49"/>
      <c r="J607" s="49"/>
      <c r="K607" s="49"/>
      <c r="L607" s="50">
        <v>25250.0</v>
      </c>
      <c r="M607" s="50" t="s">
        <v>366</v>
      </c>
      <c r="N607" s="50" t="s">
        <v>361</v>
      </c>
      <c r="O607" s="50">
        <v>278.0</v>
      </c>
      <c r="P607" s="50" t="s">
        <v>444</v>
      </c>
      <c r="Q607" s="49"/>
      <c r="R607" s="49"/>
      <c r="S607" s="49"/>
      <c r="T607" s="49"/>
      <c r="U607" s="49"/>
      <c r="V607" s="49"/>
      <c r="W607" s="49"/>
      <c r="X607" s="49"/>
    </row>
    <row r="608" ht="15.75" hidden="1" customHeight="1">
      <c r="A608" s="50" t="s">
        <v>512</v>
      </c>
      <c r="B608" s="50" t="s">
        <v>513</v>
      </c>
      <c r="C608" s="52" t="s">
        <v>21</v>
      </c>
      <c r="D608" s="52" t="s">
        <v>22</v>
      </c>
      <c r="E608" s="49"/>
      <c r="F608" s="49"/>
      <c r="G608" s="50">
        <v>446.09</v>
      </c>
      <c r="H608" s="49"/>
      <c r="I608" s="49"/>
      <c r="J608" s="49"/>
      <c r="K608" s="49"/>
      <c r="L608" s="50">
        <v>446.09</v>
      </c>
      <c r="M608" s="50" t="s">
        <v>366</v>
      </c>
      <c r="N608" s="50" t="s">
        <v>361</v>
      </c>
      <c r="O608" s="50">
        <v>278.0</v>
      </c>
      <c r="P608" s="50" t="s">
        <v>444</v>
      </c>
      <c r="Q608" s="49"/>
      <c r="R608" s="49"/>
      <c r="S608" s="49"/>
      <c r="T608" s="49"/>
      <c r="U608" s="49"/>
      <c r="V608" s="49"/>
      <c r="W608" s="49"/>
      <c r="X608" s="49"/>
    </row>
    <row r="609" ht="15.75" hidden="1" customHeight="1">
      <c r="A609" s="50" t="s">
        <v>512</v>
      </c>
      <c r="B609" s="50" t="s">
        <v>455</v>
      </c>
      <c r="C609" s="52" t="s">
        <v>21</v>
      </c>
      <c r="D609" s="52" t="s">
        <v>22</v>
      </c>
      <c r="E609" s="49"/>
      <c r="F609" s="49"/>
      <c r="G609" s="50">
        <v>446.09</v>
      </c>
      <c r="H609" s="49"/>
      <c r="I609" s="49"/>
      <c r="J609" s="49"/>
      <c r="K609" s="49"/>
      <c r="L609" s="50">
        <v>446.09</v>
      </c>
      <c r="M609" s="50" t="s">
        <v>366</v>
      </c>
      <c r="N609" s="50" t="s">
        <v>361</v>
      </c>
      <c r="O609" s="50">
        <v>278.0</v>
      </c>
      <c r="P609" s="50" t="s">
        <v>444</v>
      </c>
      <c r="Q609" s="49"/>
      <c r="R609" s="49"/>
      <c r="S609" s="49"/>
      <c r="T609" s="49"/>
      <c r="U609" s="49"/>
      <c r="V609" s="49"/>
      <c r="W609" s="49"/>
      <c r="X609" s="49"/>
    </row>
    <row r="610" ht="15.75" hidden="1" customHeight="1">
      <c r="A610" s="50" t="s">
        <v>444</v>
      </c>
      <c r="B610" s="50" t="s">
        <v>456</v>
      </c>
      <c r="C610" s="50" t="s">
        <v>21</v>
      </c>
      <c r="D610" s="52" t="s">
        <v>22</v>
      </c>
      <c r="E610" s="49"/>
      <c r="F610" s="49"/>
      <c r="G610" s="50">
        <v>1011.71</v>
      </c>
      <c r="H610" s="49"/>
      <c r="I610" s="49"/>
      <c r="J610" s="49"/>
      <c r="K610" s="49"/>
      <c r="L610" s="50">
        <v>1011.71</v>
      </c>
      <c r="M610" s="50" t="s">
        <v>366</v>
      </c>
      <c r="N610" s="50" t="s">
        <v>361</v>
      </c>
      <c r="O610" s="50">
        <v>278.0</v>
      </c>
      <c r="P610" s="50" t="s">
        <v>444</v>
      </c>
      <c r="Q610" s="49"/>
      <c r="R610" s="49"/>
      <c r="S610" s="49"/>
      <c r="T610" s="49"/>
      <c r="U610" s="49"/>
      <c r="V610" s="49"/>
      <c r="W610" s="49"/>
      <c r="X610" s="49"/>
    </row>
    <row r="611" ht="15.75" hidden="1" customHeight="1">
      <c r="A611" s="50" t="s">
        <v>444</v>
      </c>
      <c r="B611" s="50" t="s">
        <v>456</v>
      </c>
      <c r="C611" s="50" t="s">
        <v>21</v>
      </c>
      <c r="D611" s="52" t="s">
        <v>22</v>
      </c>
      <c r="E611" s="49"/>
      <c r="F611" s="49"/>
      <c r="G611" s="50">
        <v>6500.0</v>
      </c>
      <c r="H611" s="49"/>
      <c r="I611" s="49"/>
      <c r="J611" s="49"/>
      <c r="K611" s="49"/>
      <c r="L611" s="50">
        <v>6500.0</v>
      </c>
      <c r="M611" s="50" t="s">
        <v>366</v>
      </c>
      <c r="N611" s="50" t="s">
        <v>361</v>
      </c>
      <c r="O611" s="50">
        <v>278.0</v>
      </c>
      <c r="P611" s="50" t="s">
        <v>444</v>
      </c>
      <c r="Q611" s="49"/>
      <c r="R611" s="49"/>
      <c r="S611" s="49"/>
      <c r="T611" s="49"/>
      <c r="U611" s="49"/>
      <c r="V611" s="49"/>
      <c r="W611" s="49"/>
      <c r="X611" s="49"/>
    </row>
    <row r="612" ht="15.75" hidden="1" customHeight="1">
      <c r="A612" s="50" t="s">
        <v>444</v>
      </c>
      <c r="B612" s="50" t="s">
        <v>457</v>
      </c>
      <c r="C612" s="50" t="s">
        <v>21</v>
      </c>
      <c r="D612" s="52" t="s">
        <v>22</v>
      </c>
      <c r="E612" s="49"/>
      <c r="F612" s="49"/>
      <c r="G612" s="50">
        <v>40000.0</v>
      </c>
      <c r="H612" s="49"/>
      <c r="I612" s="49"/>
      <c r="J612" s="49"/>
      <c r="K612" s="49"/>
      <c r="L612" s="50">
        <v>40000.0</v>
      </c>
      <c r="M612" s="50" t="s">
        <v>366</v>
      </c>
      <c r="N612" s="50" t="s">
        <v>361</v>
      </c>
      <c r="O612" s="50">
        <v>278.0</v>
      </c>
      <c r="P612" s="50" t="s">
        <v>444</v>
      </c>
      <c r="Q612" s="49"/>
      <c r="R612" s="49"/>
      <c r="S612" s="49"/>
      <c r="T612" s="49"/>
      <c r="U612" s="49"/>
      <c r="V612" s="49"/>
      <c r="W612" s="49"/>
      <c r="X612" s="49"/>
    </row>
    <row r="613" ht="15.75" hidden="1" customHeight="1">
      <c r="A613" s="50" t="s">
        <v>444</v>
      </c>
      <c r="B613" s="50" t="s">
        <v>459</v>
      </c>
      <c r="C613" s="50" t="s">
        <v>21</v>
      </c>
      <c r="D613" s="52" t="s">
        <v>22</v>
      </c>
      <c r="E613" s="49"/>
      <c r="F613" s="49"/>
      <c r="G613" s="50">
        <v>23500.0</v>
      </c>
      <c r="H613" s="49"/>
      <c r="I613" s="49"/>
      <c r="J613" s="49"/>
      <c r="K613" s="49"/>
      <c r="L613" s="50">
        <v>23500.0</v>
      </c>
      <c r="M613" s="50" t="s">
        <v>366</v>
      </c>
      <c r="N613" s="50" t="s">
        <v>361</v>
      </c>
      <c r="O613" s="50">
        <v>278.0</v>
      </c>
      <c r="P613" s="50" t="s">
        <v>444</v>
      </c>
      <c r="Q613" s="49"/>
      <c r="R613" s="49"/>
      <c r="S613" s="49"/>
      <c r="T613" s="49"/>
      <c r="U613" s="49"/>
      <c r="V613" s="49"/>
      <c r="W613" s="49"/>
      <c r="X613" s="49"/>
    </row>
    <row r="614" ht="15.75" hidden="1" customHeight="1">
      <c r="A614" s="50" t="s">
        <v>458</v>
      </c>
      <c r="B614" s="50" t="s">
        <v>459</v>
      </c>
      <c r="C614" s="50" t="s">
        <v>32</v>
      </c>
      <c r="D614" s="49"/>
      <c r="E614" s="49"/>
      <c r="F614" s="49"/>
      <c r="G614" s="50">
        <v>600.0</v>
      </c>
      <c r="H614" s="49"/>
      <c r="I614" s="49"/>
      <c r="J614" s="49"/>
      <c r="K614" s="49"/>
      <c r="L614" s="50">
        <v>600.0</v>
      </c>
      <c r="M614" s="50" t="s">
        <v>366</v>
      </c>
      <c r="N614" s="50" t="s">
        <v>361</v>
      </c>
      <c r="O614" s="50">
        <v>278.0</v>
      </c>
      <c r="P614" s="50" t="s">
        <v>444</v>
      </c>
      <c r="Q614" s="49"/>
      <c r="R614" s="49"/>
      <c r="S614" s="49"/>
      <c r="T614" s="49"/>
      <c r="U614" s="49"/>
      <c r="V614" s="49"/>
      <c r="W614" s="49"/>
      <c r="X614" s="49"/>
    </row>
    <row r="615" ht="15.75" hidden="1" customHeight="1">
      <c r="A615" s="50" t="s">
        <v>458</v>
      </c>
      <c r="B615" s="50" t="s">
        <v>468</v>
      </c>
      <c r="C615" s="50" t="s">
        <v>32</v>
      </c>
      <c r="D615" s="49"/>
      <c r="E615" s="49"/>
      <c r="F615" s="49"/>
      <c r="G615" s="50">
        <v>980.0</v>
      </c>
      <c r="H615" s="49"/>
      <c r="I615" s="49"/>
      <c r="J615" s="49"/>
      <c r="K615" s="49"/>
      <c r="L615" s="50">
        <v>980.0</v>
      </c>
      <c r="M615" s="50" t="s">
        <v>366</v>
      </c>
      <c r="N615" s="50" t="s">
        <v>361</v>
      </c>
      <c r="O615" s="50">
        <v>278.0</v>
      </c>
      <c r="P615" s="50" t="s">
        <v>444</v>
      </c>
      <c r="Q615" s="49"/>
      <c r="R615" s="49"/>
      <c r="S615" s="49"/>
      <c r="T615" s="49"/>
      <c r="U615" s="49"/>
      <c r="V615" s="49"/>
      <c r="W615" s="49"/>
      <c r="X615" s="49"/>
    </row>
    <row r="616" ht="15.75" hidden="1" customHeight="1">
      <c r="A616" s="50" t="s">
        <v>444</v>
      </c>
      <c r="B616" s="50" t="s">
        <v>461</v>
      </c>
      <c r="C616" s="50" t="s">
        <v>21</v>
      </c>
      <c r="D616" s="52" t="s">
        <v>22</v>
      </c>
      <c r="E616" s="49"/>
      <c r="F616" s="49"/>
      <c r="G616" s="50">
        <v>23093.68</v>
      </c>
      <c r="H616" s="49"/>
      <c r="I616" s="49"/>
      <c r="J616" s="49"/>
      <c r="K616" s="49"/>
      <c r="L616" s="50">
        <v>23093.68</v>
      </c>
      <c r="M616" s="50" t="s">
        <v>366</v>
      </c>
      <c r="N616" s="50" t="s">
        <v>361</v>
      </c>
      <c r="O616" s="50">
        <v>278.0</v>
      </c>
      <c r="P616" s="50" t="s">
        <v>444</v>
      </c>
      <c r="Q616" s="49"/>
      <c r="R616" s="49"/>
      <c r="S616" s="49"/>
      <c r="T616" s="49"/>
      <c r="U616" s="49"/>
      <c r="V616" s="49"/>
      <c r="W616" s="49"/>
      <c r="X616" s="49"/>
    </row>
    <row r="617" ht="15.75" hidden="1" customHeight="1">
      <c r="A617" s="50" t="s">
        <v>460</v>
      </c>
      <c r="B617" s="50" t="s">
        <v>711</v>
      </c>
      <c r="C617" s="52" t="s">
        <v>21</v>
      </c>
      <c r="D617" s="52" t="s">
        <v>22</v>
      </c>
      <c r="E617" s="49"/>
      <c r="F617" s="49"/>
      <c r="G617" s="50">
        <v>690.52</v>
      </c>
      <c r="H617" s="49"/>
      <c r="I617" s="49"/>
      <c r="J617" s="49"/>
      <c r="K617" s="49"/>
      <c r="L617" s="50">
        <v>690.52</v>
      </c>
      <c r="M617" s="50" t="s">
        <v>366</v>
      </c>
      <c r="N617" s="50" t="s">
        <v>361</v>
      </c>
      <c r="O617" s="50">
        <v>265.0</v>
      </c>
      <c r="P617" s="50" t="s">
        <v>460</v>
      </c>
      <c r="Q617" s="49"/>
      <c r="R617" s="49"/>
      <c r="S617" s="49"/>
      <c r="T617" s="49"/>
      <c r="U617" s="49"/>
      <c r="V617" s="49"/>
      <c r="W617" s="49"/>
      <c r="X617" s="49"/>
    </row>
    <row r="618" ht="15.75" hidden="1" customHeight="1">
      <c r="A618" s="50" t="s">
        <v>433</v>
      </c>
      <c r="B618" s="50" t="s">
        <v>404</v>
      </c>
      <c r="C618" s="52" t="s">
        <v>32</v>
      </c>
      <c r="D618" s="52" t="s">
        <v>103</v>
      </c>
      <c r="E618" s="49"/>
      <c r="F618" s="49"/>
      <c r="G618" s="50">
        <v>314.69</v>
      </c>
      <c r="H618" s="49"/>
      <c r="I618" s="49"/>
      <c r="J618" s="49"/>
      <c r="K618" s="49"/>
      <c r="L618" s="50">
        <v>314.69</v>
      </c>
      <c r="M618" s="50" t="s">
        <v>366</v>
      </c>
      <c r="N618" s="50" t="s">
        <v>361</v>
      </c>
      <c r="O618" s="50">
        <v>289.0</v>
      </c>
      <c r="P618" s="50" t="s">
        <v>460</v>
      </c>
      <c r="Q618" s="49"/>
      <c r="R618" s="49"/>
      <c r="S618" s="49"/>
      <c r="T618" s="49"/>
      <c r="U618" s="49"/>
      <c r="V618" s="49"/>
      <c r="W618" s="49"/>
      <c r="X618" s="49"/>
    </row>
    <row r="619" ht="15.75" hidden="1" customHeight="1">
      <c r="A619" s="50" t="s">
        <v>401</v>
      </c>
      <c r="B619" s="50" t="s">
        <v>405</v>
      </c>
      <c r="C619" s="52" t="s">
        <v>32</v>
      </c>
      <c r="D619" s="52" t="s">
        <v>48</v>
      </c>
      <c r="E619" s="49"/>
      <c r="F619" s="49"/>
      <c r="G619" s="50">
        <v>5500.0</v>
      </c>
      <c r="H619" s="49"/>
      <c r="I619" s="49"/>
      <c r="J619" s="49"/>
      <c r="K619" s="49"/>
      <c r="L619" s="50">
        <v>5500.0</v>
      </c>
      <c r="M619" s="50" t="s">
        <v>366</v>
      </c>
      <c r="N619" s="50" t="s">
        <v>361</v>
      </c>
      <c r="O619" s="50">
        <v>274.0</v>
      </c>
      <c r="P619" s="50" t="s">
        <v>401</v>
      </c>
      <c r="Q619" s="49"/>
      <c r="R619" s="49"/>
      <c r="S619" s="49"/>
      <c r="T619" s="49"/>
      <c r="U619" s="49"/>
      <c r="V619" s="49"/>
      <c r="W619" s="49"/>
      <c r="X619" s="49"/>
    </row>
    <row r="620" ht="15.75" hidden="1" customHeight="1">
      <c r="A620" s="50" t="s">
        <v>401</v>
      </c>
      <c r="B620" s="50" t="s">
        <v>406</v>
      </c>
      <c r="C620" s="93" t="s">
        <v>32</v>
      </c>
      <c r="D620" s="94" t="s">
        <v>48</v>
      </c>
      <c r="E620" s="49"/>
      <c r="F620" s="49"/>
      <c r="G620" s="50">
        <v>2689.66</v>
      </c>
      <c r="H620" s="49"/>
      <c r="I620" s="49"/>
      <c r="J620" s="49"/>
      <c r="K620" s="49"/>
      <c r="L620" s="50">
        <v>2689.66</v>
      </c>
      <c r="M620" s="50" t="s">
        <v>366</v>
      </c>
      <c r="N620" s="50" t="s">
        <v>361</v>
      </c>
      <c r="O620" s="50">
        <v>274.0</v>
      </c>
      <c r="P620" s="50" t="s">
        <v>401</v>
      </c>
      <c r="Q620" s="49"/>
      <c r="R620" s="49"/>
      <c r="S620" s="49"/>
      <c r="T620" s="49"/>
      <c r="U620" s="49"/>
      <c r="V620" s="49"/>
      <c r="W620" s="49"/>
      <c r="X620" s="49"/>
    </row>
    <row r="621" ht="15.75" hidden="1" customHeight="1">
      <c r="A621" s="50" t="s">
        <v>397</v>
      </c>
      <c r="B621" s="50" t="s">
        <v>400</v>
      </c>
      <c r="C621" s="50" t="s">
        <v>32</v>
      </c>
      <c r="D621" s="49"/>
      <c r="E621" s="49"/>
      <c r="F621" s="49"/>
      <c r="G621" s="50">
        <v>344.82</v>
      </c>
      <c r="H621" s="49"/>
      <c r="I621" s="49"/>
      <c r="J621" s="49"/>
      <c r="K621" s="49"/>
      <c r="L621" s="50">
        <v>344.82</v>
      </c>
      <c r="M621" s="50" t="s">
        <v>366</v>
      </c>
      <c r="N621" s="50" t="s">
        <v>361</v>
      </c>
      <c r="O621" s="50">
        <v>273.0</v>
      </c>
      <c r="P621" s="50" t="s">
        <v>397</v>
      </c>
      <c r="Q621" s="49"/>
      <c r="R621" s="49"/>
      <c r="S621" s="49"/>
      <c r="T621" s="49"/>
      <c r="U621" s="49"/>
      <c r="V621" s="49"/>
      <c r="W621" s="49"/>
      <c r="X621" s="49"/>
    </row>
    <row r="622" ht="15.75" hidden="1" customHeight="1">
      <c r="A622" s="52" t="s">
        <v>535</v>
      </c>
      <c r="B622" s="50" t="s">
        <v>542</v>
      </c>
      <c r="C622" s="52" t="s">
        <v>32</v>
      </c>
      <c r="D622" s="49"/>
      <c r="E622" s="49"/>
      <c r="F622" s="49"/>
      <c r="G622" s="50">
        <v>45000.0</v>
      </c>
      <c r="H622" s="49"/>
      <c r="I622" s="49"/>
      <c r="J622" s="49"/>
      <c r="K622" s="49"/>
      <c r="L622" s="50">
        <v>45000.0</v>
      </c>
      <c r="M622" s="50" t="s">
        <v>366</v>
      </c>
      <c r="N622" s="50" t="s">
        <v>361</v>
      </c>
      <c r="O622" s="50">
        <v>273.0</v>
      </c>
      <c r="P622" s="50" t="s">
        <v>397</v>
      </c>
      <c r="Q622" s="49"/>
      <c r="R622" s="49"/>
      <c r="S622" s="49"/>
      <c r="T622" s="49"/>
      <c r="U622" s="49"/>
      <c r="V622" s="49"/>
      <c r="W622" s="49"/>
      <c r="X622" s="49"/>
    </row>
    <row r="623" ht="15.75" hidden="1" customHeight="1">
      <c r="A623" s="50" t="s">
        <v>358</v>
      </c>
      <c r="B623" s="50" t="s">
        <v>359</v>
      </c>
      <c r="C623" s="49"/>
      <c r="D623" s="49"/>
      <c r="E623" s="49"/>
      <c r="F623" s="49"/>
      <c r="G623" s="50">
        <v>-619202.69</v>
      </c>
      <c r="H623" s="49"/>
      <c r="I623" s="49"/>
      <c r="J623" s="49"/>
      <c r="K623" s="49"/>
      <c r="L623" s="50">
        <v>-619202.69</v>
      </c>
      <c r="M623" s="50" t="s">
        <v>360</v>
      </c>
      <c r="N623" s="50" t="s">
        <v>361</v>
      </c>
      <c r="O623" s="50">
        <v>303.0</v>
      </c>
      <c r="P623" s="50" t="s">
        <v>362</v>
      </c>
      <c r="Q623" s="49"/>
      <c r="R623" s="49"/>
      <c r="S623" s="49"/>
      <c r="T623" s="49"/>
      <c r="U623" s="49"/>
      <c r="V623" s="49"/>
      <c r="W623" s="49"/>
      <c r="X623" s="49"/>
    </row>
    <row r="624" ht="15.75" hidden="1" customHeight="1">
      <c r="A624" s="50" t="s">
        <v>358</v>
      </c>
      <c r="B624" s="50" t="s">
        <v>359</v>
      </c>
      <c r="C624" s="49"/>
      <c r="D624" s="49"/>
      <c r="E624" s="49"/>
      <c r="F624" s="49"/>
      <c r="G624" s="50">
        <v>-33600.0</v>
      </c>
      <c r="H624" s="49"/>
      <c r="I624" s="49"/>
      <c r="J624" s="49"/>
      <c r="K624" s="49"/>
      <c r="L624" s="50">
        <v>-33600.0</v>
      </c>
      <c r="M624" s="50" t="s">
        <v>360</v>
      </c>
      <c r="N624" s="50" t="s">
        <v>361</v>
      </c>
      <c r="O624" s="50">
        <v>303.0</v>
      </c>
      <c r="P624" s="50" t="s">
        <v>362</v>
      </c>
      <c r="Q624" s="49"/>
      <c r="R624" s="49"/>
      <c r="S624" s="49"/>
      <c r="T624" s="49"/>
      <c r="U624" s="49"/>
      <c r="V624" s="49"/>
      <c r="W624" s="49"/>
      <c r="X624" s="49"/>
    </row>
    <row r="625" ht="15.75" hidden="1" customHeight="1">
      <c r="A625" s="50" t="s">
        <v>447</v>
      </c>
      <c r="B625" s="50" t="s">
        <v>531</v>
      </c>
      <c r="C625" s="52" t="s">
        <v>32</v>
      </c>
      <c r="D625" s="70" t="s">
        <v>56</v>
      </c>
      <c r="E625" s="49"/>
      <c r="F625" s="49"/>
      <c r="G625" s="50">
        <v>67868.64</v>
      </c>
      <c r="H625" s="49"/>
      <c r="I625" s="49"/>
      <c r="J625" s="49"/>
      <c r="K625" s="49"/>
      <c r="L625" s="50">
        <v>67868.64</v>
      </c>
      <c r="M625" s="50" t="s">
        <v>366</v>
      </c>
      <c r="N625" s="50" t="s">
        <v>361</v>
      </c>
      <c r="O625" s="50">
        <v>267.0</v>
      </c>
      <c r="P625" s="50" t="s">
        <v>531</v>
      </c>
      <c r="Q625" s="49"/>
      <c r="R625" s="49"/>
      <c r="S625" s="49"/>
      <c r="T625" s="49"/>
      <c r="U625" s="49"/>
      <c r="V625" s="49"/>
      <c r="W625" s="49"/>
      <c r="X625" s="49"/>
    </row>
    <row r="626" hidden="1">
      <c r="A626" s="50" t="s">
        <v>447</v>
      </c>
      <c r="B626" s="50" t="s">
        <v>393</v>
      </c>
      <c r="C626" s="52" t="s">
        <v>32</v>
      </c>
      <c r="D626" s="70" t="s">
        <v>56</v>
      </c>
      <c r="E626" s="49"/>
      <c r="F626" s="49"/>
      <c r="G626" s="50">
        <v>64130.0</v>
      </c>
      <c r="H626" s="49"/>
      <c r="I626" s="49"/>
      <c r="J626" s="49"/>
      <c r="K626" s="49"/>
      <c r="L626" s="50">
        <v>64130.0</v>
      </c>
      <c r="M626" s="50" t="s">
        <v>366</v>
      </c>
      <c r="N626" s="50" t="s">
        <v>361</v>
      </c>
      <c r="O626" s="50">
        <v>291.0</v>
      </c>
      <c r="P626" s="50" t="s">
        <v>531</v>
      </c>
      <c r="Q626" s="49"/>
      <c r="R626" s="49"/>
      <c r="S626" s="49"/>
      <c r="T626" s="49"/>
      <c r="U626" s="49"/>
      <c r="V626" s="49"/>
      <c r="W626" s="49"/>
      <c r="X626" s="49"/>
    </row>
    <row r="627" hidden="1">
      <c r="A627" s="50" t="s">
        <v>488</v>
      </c>
      <c r="B627" s="50" t="s">
        <v>436</v>
      </c>
      <c r="C627" s="49"/>
      <c r="D627" s="49"/>
      <c r="E627" s="49"/>
      <c r="F627" s="49"/>
      <c r="G627" s="50">
        <v>6213.65</v>
      </c>
      <c r="H627" s="49"/>
      <c r="I627" s="49"/>
      <c r="J627" s="49"/>
      <c r="K627" s="49"/>
      <c r="L627" s="50">
        <v>6213.65</v>
      </c>
      <c r="M627" s="50" t="s">
        <v>366</v>
      </c>
      <c r="N627" s="50" t="s">
        <v>361</v>
      </c>
      <c r="O627" s="50">
        <v>502.0</v>
      </c>
      <c r="P627" s="50" t="s">
        <v>489</v>
      </c>
      <c r="Q627" s="49"/>
      <c r="R627" s="49"/>
      <c r="S627" s="49"/>
      <c r="T627" s="49"/>
      <c r="U627" s="49"/>
      <c r="V627" s="49"/>
      <c r="W627" s="49"/>
      <c r="X627" s="49"/>
    </row>
    <row r="628" hidden="1">
      <c r="A628" s="52" t="s">
        <v>435</v>
      </c>
      <c r="B628" s="50" t="s">
        <v>436</v>
      </c>
      <c r="C628" s="52" t="s">
        <v>21</v>
      </c>
      <c r="D628" s="52" t="s">
        <v>22</v>
      </c>
      <c r="E628" s="49"/>
      <c r="F628" s="49"/>
      <c r="G628" s="50">
        <v>791.67</v>
      </c>
      <c r="H628" s="49"/>
      <c r="I628" s="49"/>
      <c r="J628" s="49"/>
      <c r="K628" s="49"/>
      <c r="L628" s="50">
        <v>791.67</v>
      </c>
      <c r="M628" s="50" t="s">
        <v>366</v>
      </c>
      <c r="N628" s="50" t="s">
        <v>361</v>
      </c>
      <c r="O628" s="50">
        <v>502.0</v>
      </c>
      <c r="P628" s="50" t="s">
        <v>435</v>
      </c>
      <c r="Q628" s="49"/>
      <c r="R628" s="49"/>
      <c r="S628" s="49"/>
      <c r="T628" s="49"/>
      <c r="U628" s="49"/>
      <c r="V628" s="49"/>
      <c r="W628" s="49"/>
      <c r="X628" s="49"/>
    </row>
    <row r="629" hidden="1">
      <c r="A629" s="52" t="s">
        <v>439</v>
      </c>
      <c r="B629" s="50" t="s">
        <v>436</v>
      </c>
      <c r="C629" s="52" t="s">
        <v>32</v>
      </c>
      <c r="D629" s="54" t="s">
        <v>56</v>
      </c>
      <c r="E629" s="49"/>
      <c r="F629" s="49"/>
      <c r="G629" s="72">
        <v>2908.587111</v>
      </c>
      <c r="H629" s="49"/>
      <c r="I629" s="49"/>
      <c r="J629" s="49"/>
      <c r="K629" s="49"/>
      <c r="L629" s="50">
        <v>9349.03</v>
      </c>
      <c r="M629" s="50" t="s">
        <v>366</v>
      </c>
      <c r="N629" s="50" t="s">
        <v>361</v>
      </c>
      <c r="O629" s="50">
        <v>502.0</v>
      </c>
      <c r="P629" s="50" t="s">
        <v>440</v>
      </c>
      <c r="Q629" s="49"/>
      <c r="R629" s="49"/>
      <c r="S629" s="49"/>
      <c r="T629" s="49"/>
      <c r="U629" s="49"/>
      <c r="V629" s="49"/>
      <c r="W629" s="49"/>
      <c r="X629" s="49"/>
    </row>
    <row r="630" hidden="1">
      <c r="A630" s="52" t="s">
        <v>439</v>
      </c>
      <c r="B630" s="50" t="s">
        <v>436</v>
      </c>
      <c r="C630" s="52" t="s">
        <v>32</v>
      </c>
      <c r="D630" s="54" t="s">
        <v>103</v>
      </c>
      <c r="E630" s="49"/>
      <c r="F630" s="49"/>
      <c r="G630" s="72">
        <v>207.7562222</v>
      </c>
      <c r="H630" s="49"/>
      <c r="I630" s="49"/>
      <c r="J630" s="49"/>
      <c r="K630" s="49"/>
      <c r="L630" s="49"/>
      <c r="M630" s="50" t="s">
        <v>366</v>
      </c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</row>
    <row r="631" hidden="1">
      <c r="A631" s="52" t="s">
        <v>439</v>
      </c>
      <c r="B631" s="50" t="s">
        <v>436</v>
      </c>
      <c r="C631" s="52" t="s">
        <v>21</v>
      </c>
      <c r="D631" s="54" t="s">
        <v>22</v>
      </c>
      <c r="E631" s="49"/>
      <c r="F631" s="49"/>
      <c r="G631" s="72">
        <v>3947.368222</v>
      </c>
      <c r="H631" s="49"/>
      <c r="I631" s="49"/>
      <c r="J631" s="49"/>
      <c r="K631" s="49"/>
      <c r="L631" s="49"/>
      <c r="M631" s="50" t="s">
        <v>366</v>
      </c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</row>
    <row r="632" ht="15.75" hidden="1" customHeight="1">
      <c r="A632" s="52" t="s">
        <v>439</v>
      </c>
      <c r="B632" s="50" t="s">
        <v>436</v>
      </c>
      <c r="C632" s="52" t="s">
        <v>32</v>
      </c>
      <c r="D632" s="54" t="s">
        <v>193</v>
      </c>
      <c r="E632" s="49"/>
      <c r="F632" s="49"/>
      <c r="G632" s="72">
        <v>554.0165926</v>
      </c>
      <c r="H632" s="49"/>
      <c r="I632" s="49"/>
      <c r="J632" s="49"/>
      <c r="K632" s="49"/>
      <c r="L632" s="49"/>
      <c r="M632" s="50" t="s">
        <v>366</v>
      </c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</row>
    <row r="633" ht="15.75" hidden="1" customHeight="1">
      <c r="A633" s="52" t="s">
        <v>439</v>
      </c>
      <c r="B633" s="50" t="s">
        <v>436</v>
      </c>
      <c r="C633" s="52" t="s">
        <v>32</v>
      </c>
      <c r="D633" s="54" t="s">
        <v>39</v>
      </c>
      <c r="E633" s="49"/>
      <c r="F633" s="49"/>
      <c r="G633" s="72">
        <v>311.6343333</v>
      </c>
      <c r="H633" s="49"/>
      <c r="I633" s="49"/>
      <c r="J633" s="49"/>
      <c r="K633" s="49"/>
      <c r="L633" s="49"/>
      <c r="M633" s="50" t="s">
        <v>366</v>
      </c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</row>
    <row r="634" ht="15.75" hidden="1" customHeight="1">
      <c r="A634" s="52" t="s">
        <v>439</v>
      </c>
      <c r="B634" s="50" t="s">
        <v>436</v>
      </c>
      <c r="C634" s="52" t="s">
        <v>32</v>
      </c>
      <c r="D634" s="54" t="s">
        <v>48</v>
      </c>
      <c r="E634" s="49"/>
      <c r="F634" s="49"/>
      <c r="G634" s="72">
        <v>1108.033185</v>
      </c>
      <c r="H634" s="49"/>
      <c r="I634" s="49"/>
      <c r="J634" s="49"/>
      <c r="K634" s="49"/>
      <c r="L634" s="49"/>
      <c r="M634" s="50" t="s">
        <v>366</v>
      </c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</row>
    <row r="635" ht="15.75" hidden="1" customHeight="1">
      <c r="A635" s="52" t="s">
        <v>439</v>
      </c>
      <c r="B635" s="50" t="s">
        <v>436</v>
      </c>
      <c r="C635" s="52" t="s">
        <v>32</v>
      </c>
      <c r="D635" s="54" t="s">
        <v>118</v>
      </c>
      <c r="E635" s="49"/>
      <c r="F635" s="49"/>
      <c r="G635" s="72">
        <v>311.6343333</v>
      </c>
      <c r="H635" s="49"/>
      <c r="I635" s="49"/>
      <c r="J635" s="49"/>
      <c r="K635" s="49"/>
      <c r="L635" s="49"/>
      <c r="M635" s="50" t="s">
        <v>366</v>
      </c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</row>
    <row r="636" ht="15.75" hidden="1" customHeight="1">
      <c r="A636" s="52" t="s">
        <v>356</v>
      </c>
      <c r="B636" s="52" t="s">
        <v>514</v>
      </c>
      <c r="C636" s="52" t="s">
        <v>68</v>
      </c>
      <c r="D636" s="52" t="s">
        <v>78</v>
      </c>
      <c r="E636" s="52"/>
      <c r="F636" s="52" t="s">
        <v>514</v>
      </c>
      <c r="G636" s="52">
        <v>1200.0</v>
      </c>
      <c r="H636" s="52"/>
      <c r="I636" s="52"/>
      <c r="J636" s="52"/>
      <c r="K636" s="52"/>
      <c r="L636" s="52"/>
      <c r="M636" s="52">
        <v>46082.0</v>
      </c>
      <c r="N636" s="52"/>
      <c r="O636" s="52"/>
      <c r="P636" s="52"/>
      <c r="Q636" s="52"/>
      <c r="R636" s="52"/>
      <c r="S636" s="52"/>
      <c r="T636" s="49"/>
      <c r="U636" s="49"/>
      <c r="V636" s="49"/>
      <c r="W636" s="49"/>
      <c r="X636" s="49"/>
    </row>
    <row r="637" ht="15.75" hidden="1" customHeight="1">
      <c r="A637" s="52" t="s">
        <v>356</v>
      </c>
      <c r="B637" s="52"/>
      <c r="C637" s="52" t="s">
        <v>32</v>
      </c>
      <c r="D637" s="52" t="s">
        <v>118</v>
      </c>
      <c r="E637" s="52"/>
      <c r="F637" s="52"/>
      <c r="G637" s="52">
        <v>15357.2</v>
      </c>
      <c r="H637" s="52"/>
      <c r="I637" s="52"/>
      <c r="J637" s="52"/>
      <c r="K637" s="52"/>
      <c r="L637" s="52"/>
      <c r="M637" s="52">
        <v>46082.0</v>
      </c>
      <c r="N637" s="52"/>
      <c r="O637" s="52"/>
      <c r="P637" s="52"/>
      <c r="Q637" s="52"/>
      <c r="R637" s="52"/>
      <c r="S637" s="52"/>
      <c r="T637" s="49"/>
      <c r="U637" s="49"/>
      <c r="V637" s="49"/>
      <c r="W637" s="49"/>
      <c r="X637" s="49"/>
    </row>
    <row r="638" ht="15.75" hidden="1" customHeight="1">
      <c r="A638" s="52" t="s">
        <v>367</v>
      </c>
      <c r="B638" s="52" t="s">
        <v>368</v>
      </c>
      <c r="C638" s="52" t="s">
        <v>21</v>
      </c>
      <c r="D638" s="52" t="s">
        <v>22</v>
      </c>
      <c r="E638" s="52"/>
      <c r="F638" s="52" t="s">
        <v>369</v>
      </c>
      <c r="G638" s="52">
        <v>101529.395</v>
      </c>
      <c r="H638" s="52"/>
      <c r="I638" s="52"/>
      <c r="J638" s="52"/>
      <c r="K638" s="52"/>
      <c r="L638" s="52"/>
      <c r="M638" s="52" t="s">
        <v>366</v>
      </c>
      <c r="N638" s="52"/>
      <c r="O638" s="52"/>
      <c r="P638" s="52"/>
      <c r="Q638" s="52"/>
      <c r="R638" s="52"/>
      <c r="S638" s="52"/>
      <c r="T638" s="49"/>
      <c r="U638" s="49"/>
      <c r="V638" s="49"/>
      <c r="W638" s="49"/>
      <c r="X638" s="49"/>
    </row>
    <row r="639" ht="15.75" hidden="1" customHeight="1">
      <c r="A639" s="52" t="s">
        <v>367</v>
      </c>
      <c r="B639" s="52" t="s">
        <v>368</v>
      </c>
      <c r="C639" s="52" t="s">
        <v>32</v>
      </c>
      <c r="D639" s="52" t="s">
        <v>193</v>
      </c>
      <c r="E639" s="52"/>
      <c r="F639" s="52" t="s">
        <v>370</v>
      </c>
      <c r="G639" s="52">
        <v>101529.395</v>
      </c>
      <c r="H639" s="52"/>
      <c r="I639" s="52"/>
      <c r="J639" s="52"/>
      <c r="K639" s="52"/>
      <c r="L639" s="52"/>
      <c r="M639" s="52" t="s">
        <v>366</v>
      </c>
      <c r="N639" s="52"/>
      <c r="O639" s="52"/>
      <c r="P639" s="52"/>
      <c r="Q639" s="52"/>
      <c r="R639" s="52"/>
      <c r="S639" s="52"/>
      <c r="T639" s="49"/>
      <c r="U639" s="49"/>
      <c r="V639" s="49"/>
      <c r="W639" s="49"/>
      <c r="X639" s="49"/>
    </row>
    <row r="640" ht="15.75" hidden="1" customHeight="1">
      <c r="A640" s="52" t="s">
        <v>364</v>
      </c>
      <c r="B640" s="52" t="s">
        <v>709</v>
      </c>
      <c r="C640" s="52" t="s">
        <v>32</v>
      </c>
      <c r="D640" s="52" t="s">
        <v>39</v>
      </c>
      <c r="E640" s="52"/>
      <c r="F640" s="52"/>
      <c r="G640" s="52">
        <v>87.51666667</v>
      </c>
      <c r="H640" s="52"/>
      <c r="I640" s="52"/>
      <c r="J640" s="52"/>
      <c r="K640" s="52"/>
      <c r="L640" s="52"/>
      <c r="M640" s="52" t="s">
        <v>366</v>
      </c>
      <c r="N640" s="52"/>
      <c r="O640" s="52"/>
      <c r="P640" s="52"/>
      <c r="Q640" s="52"/>
      <c r="R640" s="52"/>
      <c r="S640" s="52"/>
      <c r="T640" s="49"/>
      <c r="U640" s="49"/>
      <c r="V640" s="49"/>
      <c r="W640" s="49"/>
      <c r="X640" s="49"/>
    </row>
    <row r="641" ht="15.75" hidden="1" customHeight="1">
      <c r="A641" s="52" t="s">
        <v>364</v>
      </c>
      <c r="B641" s="52" t="s">
        <v>541</v>
      </c>
      <c r="C641" s="52" t="s">
        <v>32</v>
      </c>
      <c r="D641" s="52" t="s">
        <v>48</v>
      </c>
      <c r="E641" s="52"/>
      <c r="F641" s="52"/>
      <c r="G641" s="52">
        <v>311.1703704</v>
      </c>
      <c r="H641" s="52"/>
      <c r="I641" s="52"/>
      <c r="J641" s="52"/>
      <c r="K641" s="52"/>
      <c r="L641" s="52"/>
      <c r="M641" s="52" t="s">
        <v>366</v>
      </c>
      <c r="N641" s="52"/>
      <c r="O641" s="52"/>
      <c r="P641" s="52"/>
      <c r="Q641" s="52"/>
      <c r="R641" s="52"/>
      <c r="S641" s="52"/>
      <c r="T641" s="49"/>
      <c r="U641" s="49"/>
      <c r="V641" s="49"/>
      <c r="W641" s="49"/>
      <c r="X641" s="49"/>
    </row>
    <row r="642" ht="15.75" hidden="1" customHeight="1">
      <c r="A642" s="52" t="s">
        <v>364</v>
      </c>
      <c r="B642" s="52" t="s">
        <v>541</v>
      </c>
      <c r="C642" s="52" t="s">
        <v>32</v>
      </c>
      <c r="D642" s="52" t="s">
        <v>118</v>
      </c>
      <c r="E642" s="52"/>
      <c r="F642" s="52"/>
      <c r="G642" s="52">
        <v>87.51666667</v>
      </c>
      <c r="H642" s="52"/>
      <c r="I642" s="52"/>
      <c r="J642" s="52"/>
      <c r="K642" s="52"/>
      <c r="L642" s="52"/>
      <c r="M642" s="52" t="s">
        <v>366</v>
      </c>
      <c r="N642" s="52"/>
      <c r="O642" s="52"/>
      <c r="P642" s="52"/>
      <c r="Q642" s="52"/>
      <c r="R642" s="52"/>
      <c r="S642" s="52"/>
      <c r="T642" s="49"/>
      <c r="U642" s="49"/>
      <c r="V642" s="49"/>
      <c r="W642" s="49"/>
      <c r="X642" s="49"/>
    </row>
    <row r="643" ht="15.75" customHeight="1">
      <c r="A643" s="52" t="s">
        <v>375</v>
      </c>
      <c r="B643" s="52" t="s">
        <v>379</v>
      </c>
      <c r="C643" s="52" t="s">
        <v>32</v>
      </c>
      <c r="D643" s="52" t="s">
        <v>118</v>
      </c>
      <c r="E643" s="52"/>
      <c r="F643" s="52"/>
      <c r="G643" s="52">
        <v>15600.0</v>
      </c>
      <c r="H643" s="52"/>
      <c r="I643" s="52"/>
      <c r="J643" s="52"/>
      <c r="K643" s="52"/>
      <c r="L643" s="52"/>
      <c r="M643" s="52" t="s">
        <v>366</v>
      </c>
      <c r="N643" s="52"/>
      <c r="O643" s="52"/>
      <c r="P643" s="52"/>
      <c r="Q643" s="52"/>
      <c r="R643" s="52"/>
      <c r="S643" s="52"/>
      <c r="T643" s="49"/>
      <c r="U643" s="49"/>
      <c r="V643" s="49"/>
      <c r="W643" s="49"/>
      <c r="X643" s="49"/>
    </row>
    <row r="644" ht="15.75" hidden="1" customHeight="1">
      <c r="A644" s="52" t="s">
        <v>490</v>
      </c>
      <c r="B644" s="52" t="s">
        <v>511</v>
      </c>
      <c r="C644" s="52" t="s">
        <v>32</v>
      </c>
      <c r="D644" s="52"/>
      <c r="E644" s="52"/>
      <c r="F644" s="52"/>
      <c r="G644" s="52">
        <v>126798.61</v>
      </c>
      <c r="H644" s="52"/>
      <c r="I644" s="52"/>
      <c r="J644" s="52"/>
      <c r="K644" s="52"/>
      <c r="L644" s="52">
        <v>126798.61</v>
      </c>
      <c r="M644" s="52" t="s">
        <v>492</v>
      </c>
      <c r="N644" s="52" t="s">
        <v>415</v>
      </c>
      <c r="O644" s="52">
        <v>200.0</v>
      </c>
      <c r="P644" s="52" t="s">
        <v>493</v>
      </c>
      <c r="Q644" s="52"/>
      <c r="R644" s="52"/>
      <c r="S644" s="52"/>
      <c r="T644" s="49"/>
      <c r="U644" s="49"/>
      <c r="V644" s="49"/>
      <c r="W644" s="49"/>
      <c r="X644" s="49"/>
    </row>
    <row r="645" ht="15.75" hidden="1" customHeight="1">
      <c r="A645" s="52" t="s">
        <v>520</v>
      </c>
      <c r="B645" s="52" t="s">
        <v>521</v>
      </c>
      <c r="C645" s="52" t="s">
        <v>68</v>
      </c>
      <c r="D645" s="52" t="s">
        <v>502</v>
      </c>
      <c r="E645" s="52"/>
      <c r="F645" s="52"/>
      <c r="G645" s="52">
        <v>5557.72</v>
      </c>
      <c r="H645" s="52"/>
      <c r="I645" s="52"/>
      <c r="J645" s="52"/>
      <c r="K645" s="52"/>
      <c r="L645" s="52">
        <v>5557.72</v>
      </c>
      <c r="M645" s="52" t="s">
        <v>366</v>
      </c>
      <c r="N645" s="52" t="s">
        <v>415</v>
      </c>
      <c r="O645" s="52">
        <v>300.0</v>
      </c>
      <c r="P645" s="52" t="s">
        <v>522</v>
      </c>
      <c r="Q645" s="52"/>
      <c r="R645" s="52"/>
      <c r="S645" s="52"/>
      <c r="T645" s="49"/>
      <c r="U645" s="49"/>
      <c r="V645" s="49"/>
      <c r="W645" s="49"/>
      <c r="X645" s="49"/>
    </row>
    <row r="646" ht="15.75" hidden="1" customHeight="1">
      <c r="A646" s="52" t="s">
        <v>441</v>
      </c>
      <c r="B646" s="52" t="s">
        <v>436</v>
      </c>
      <c r="C646" s="52"/>
      <c r="D646" s="52"/>
      <c r="E646" s="52"/>
      <c r="F646" s="52"/>
      <c r="G646" s="52">
        <v>5539.44</v>
      </c>
      <c r="H646" s="52"/>
      <c r="I646" s="52"/>
      <c r="J646" s="52"/>
      <c r="K646" s="52"/>
      <c r="L646" s="52">
        <v>5539.44</v>
      </c>
      <c r="M646" s="52" t="s">
        <v>366</v>
      </c>
      <c r="N646" s="52" t="s">
        <v>361</v>
      </c>
      <c r="O646" s="52">
        <v>502.0</v>
      </c>
      <c r="P646" s="52" t="s">
        <v>442</v>
      </c>
      <c r="Q646" s="52"/>
      <c r="R646" s="52"/>
      <c r="S646" s="52"/>
      <c r="T646" s="49"/>
      <c r="U646" s="49"/>
      <c r="V646" s="49"/>
      <c r="W646" s="49"/>
      <c r="X646" s="49"/>
    </row>
    <row r="647" hidden="1">
      <c r="A647" s="52" t="s">
        <v>441</v>
      </c>
      <c r="B647" s="52" t="s">
        <v>436</v>
      </c>
      <c r="C647" s="52"/>
      <c r="D647" s="52"/>
      <c r="E647" s="52"/>
      <c r="F647" s="52"/>
      <c r="G647" s="52">
        <v>5828.89</v>
      </c>
      <c r="H647" s="52"/>
      <c r="I647" s="52"/>
      <c r="J647" s="52"/>
      <c r="K647" s="52"/>
      <c r="L647" s="52">
        <v>5828.89</v>
      </c>
      <c r="M647" s="52" t="s">
        <v>366</v>
      </c>
      <c r="N647" s="52" t="s">
        <v>361</v>
      </c>
      <c r="O647" s="52">
        <v>502.0</v>
      </c>
      <c r="P647" s="52" t="s">
        <v>443</v>
      </c>
      <c r="Q647" s="52"/>
      <c r="R647" s="52"/>
      <c r="S647" s="52"/>
      <c r="T647" s="49"/>
      <c r="U647" s="49"/>
      <c r="V647" s="49"/>
      <c r="W647" s="49"/>
      <c r="X647" s="49"/>
    </row>
    <row r="648" hidden="1">
      <c r="A648" s="52" t="s">
        <v>356</v>
      </c>
      <c r="B648" s="52" t="s">
        <v>526</v>
      </c>
      <c r="C648" s="52" t="s">
        <v>32</v>
      </c>
      <c r="D648" s="52" t="s">
        <v>48</v>
      </c>
      <c r="E648" s="52"/>
      <c r="F648" s="52" t="s">
        <v>526</v>
      </c>
      <c r="G648" s="52">
        <v>213.95</v>
      </c>
      <c r="H648" s="52"/>
      <c r="I648" s="52"/>
      <c r="J648" s="52"/>
      <c r="K648" s="52"/>
      <c r="L648" s="52"/>
      <c r="M648" s="52">
        <v>46082.0</v>
      </c>
      <c r="N648" s="52"/>
      <c r="O648" s="52"/>
      <c r="P648" s="52"/>
      <c r="Q648" s="52"/>
      <c r="R648" s="52"/>
      <c r="S648" s="52"/>
      <c r="T648" s="49"/>
      <c r="U648" s="49"/>
      <c r="V648" s="49"/>
      <c r="W648" s="49"/>
      <c r="X648" s="49"/>
    </row>
    <row r="649" hidden="1">
      <c r="A649" s="50" t="s">
        <v>356</v>
      </c>
      <c r="B649" s="95" t="s">
        <v>527</v>
      </c>
      <c r="C649" s="96" t="s">
        <v>68</v>
      </c>
      <c r="D649" s="78" t="s">
        <v>166</v>
      </c>
      <c r="E649" s="67"/>
      <c r="F649" s="95" t="s">
        <v>527</v>
      </c>
      <c r="G649" s="97">
        <v>17314.97</v>
      </c>
      <c r="H649" s="49"/>
      <c r="I649" s="49"/>
      <c r="J649" s="49"/>
      <c r="K649" s="49"/>
      <c r="L649" s="50"/>
      <c r="M649" s="69">
        <v>46082.0</v>
      </c>
      <c r="N649" s="50"/>
      <c r="O649" s="50"/>
      <c r="P649" s="50"/>
      <c r="Q649" s="49"/>
      <c r="R649" s="49"/>
      <c r="S649" s="49"/>
      <c r="T649" s="49"/>
      <c r="U649" s="49"/>
      <c r="V649" s="49"/>
      <c r="W649" s="49"/>
      <c r="X649" s="49"/>
    </row>
    <row r="650" hidden="1">
      <c r="A650" s="52" t="s">
        <v>356</v>
      </c>
      <c r="B650" s="52" t="s">
        <v>71</v>
      </c>
      <c r="C650" s="52" t="s">
        <v>68</v>
      </c>
      <c r="D650" s="52" t="s">
        <v>72</v>
      </c>
      <c r="E650" s="52"/>
      <c r="F650" s="52" t="s">
        <v>71</v>
      </c>
      <c r="G650" s="52">
        <v>10000.0</v>
      </c>
      <c r="H650" s="52"/>
      <c r="I650" s="52"/>
      <c r="J650" s="52"/>
      <c r="K650" s="52"/>
      <c r="L650" s="52"/>
      <c r="M650" s="52">
        <v>46082.0</v>
      </c>
      <c r="N650" s="52"/>
      <c r="O650" s="52"/>
      <c r="P650" s="52"/>
      <c r="Q650" s="52"/>
      <c r="R650" s="52"/>
      <c r="S650" s="52"/>
      <c r="T650" s="49"/>
      <c r="U650" s="49"/>
      <c r="V650" s="49"/>
      <c r="W650" s="49"/>
      <c r="X650" s="49"/>
    </row>
    <row r="651" hidden="1">
      <c r="A651" s="52" t="s">
        <v>356</v>
      </c>
      <c r="B651" s="52" t="s">
        <v>528</v>
      </c>
      <c r="C651" s="52" t="s">
        <v>21</v>
      </c>
      <c r="D651" s="52" t="s">
        <v>56</v>
      </c>
      <c r="E651" s="52"/>
      <c r="F651" s="52" t="s">
        <v>528</v>
      </c>
      <c r="G651" s="52">
        <v>18699.28</v>
      </c>
      <c r="H651" s="52"/>
      <c r="I651" s="52"/>
      <c r="J651" s="52"/>
      <c r="K651" s="52"/>
      <c r="L651" s="52"/>
      <c r="M651" s="52">
        <v>46082.0</v>
      </c>
      <c r="N651" s="52"/>
      <c r="O651" s="52"/>
      <c r="P651" s="52"/>
      <c r="Q651" s="52"/>
      <c r="R651" s="52"/>
      <c r="S651" s="52"/>
      <c r="T651" s="49"/>
      <c r="U651" s="49"/>
      <c r="V651" s="49"/>
      <c r="W651" s="49"/>
      <c r="X651" s="49"/>
    </row>
    <row r="652" hidden="1">
      <c r="A652" s="50" t="s">
        <v>356</v>
      </c>
      <c r="B652" s="87"/>
      <c r="C652" s="66" t="s">
        <v>32</v>
      </c>
      <c r="D652" s="67" t="s">
        <v>103</v>
      </c>
      <c r="E652" s="67"/>
      <c r="F652" s="88"/>
      <c r="G652" s="90">
        <v>19902.05</v>
      </c>
      <c r="H652" s="49"/>
      <c r="I652" s="49"/>
      <c r="J652" s="49"/>
      <c r="K652" s="49"/>
      <c r="L652" s="50"/>
      <c r="M652" s="69">
        <v>46082.0</v>
      </c>
      <c r="N652" s="50"/>
      <c r="O652" s="50"/>
      <c r="P652" s="50"/>
      <c r="Q652" s="49"/>
      <c r="R652" s="49"/>
      <c r="S652" s="49"/>
      <c r="T652" s="49"/>
      <c r="U652" s="49"/>
      <c r="V652" s="49"/>
      <c r="W652" s="49"/>
      <c r="X652" s="49"/>
    </row>
    <row r="653" hidden="1">
      <c r="A653" s="52" t="s">
        <v>356</v>
      </c>
      <c r="B653" s="52" t="s">
        <v>529</v>
      </c>
      <c r="C653" s="52" t="s">
        <v>21</v>
      </c>
      <c r="D653" s="52" t="s">
        <v>56</v>
      </c>
      <c r="E653" s="52"/>
      <c r="F653" s="52" t="s">
        <v>529</v>
      </c>
      <c r="G653" s="52">
        <v>3192.01</v>
      </c>
      <c r="H653" s="52"/>
      <c r="I653" s="52"/>
      <c r="J653" s="52"/>
      <c r="K653" s="52"/>
      <c r="L653" s="52"/>
      <c r="M653" s="52">
        <v>46082.0</v>
      </c>
      <c r="N653" s="52"/>
      <c r="O653" s="52"/>
      <c r="P653" s="52"/>
      <c r="Q653" s="52"/>
      <c r="R653" s="52"/>
      <c r="S653" s="52"/>
      <c r="T653" s="49"/>
      <c r="U653" s="49"/>
      <c r="V653" s="49"/>
      <c r="W653" s="49"/>
      <c r="X653" s="49"/>
    </row>
    <row r="654" hidden="1">
      <c r="A654" s="50" t="s">
        <v>356</v>
      </c>
      <c r="B654" s="77" t="s">
        <v>530</v>
      </c>
      <c r="C654" s="77" t="s">
        <v>21</v>
      </c>
      <c r="D654" s="78" t="s">
        <v>56</v>
      </c>
      <c r="E654" s="67"/>
      <c r="F654" s="78" t="s">
        <v>530</v>
      </c>
      <c r="G654" s="86">
        <v>197713.73</v>
      </c>
      <c r="H654" s="49"/>
      <c r="I654" s="49"/>
      <c r="J654" s="49"/>
      <c r="K654" s="49"/>
      <c r="L654" s="50"/>
      <c r="M654" s="69">
        <v>46082.0</v>
      </c>
      <c r="N654" s="50"/>
      <c r="O654" s="50"/>
      <c r="P654" s="50"/>
      <c r="Q654" s="49"/>
      <c r="R654" s="49"/>
      <c r="S654" s="49"/>
      <c r="T654" s="49"/>
      <c r="U654" s="49"/>
      <c r="V654" s="49"/>
      <c r="W654" s="49"/>
      <c r="X654" s="49"/>
    </row>
    <row r="655" ht="15.75" customHeight="1">
      <c r="A655" s="98" t="s">
        <v>437</v>
      </c>
      <c r="B655" s="50" t="s">
        <v>436</v>
      </c>
      <c r="C655" s="52" t="s">
        <v>32</v>
      </c>
      <c r="D655" s="54" t="s">
        <v>103</v>
      </c>
      <c r="E655" s="49"/>
      <c r="F655" s="49"/>
      <c r="G655" s="52">
        <v>726.4037778</v>
      </c>
      <c r="H655" s="49"/>
      <c r="I655" s="49"/>
      <c r="J655" s="49"/>
      <c r="K655" s="49"/>
      <c r="L655" s="49"/>
      <c r="M655" s="50" t="s">
        <v>366</v>
      </c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</row>
    <row r="656" ht="15.75" customHeight="1">
      <c r="A656" s="98" t="s">
        <v>437</v>
      </c>
      <c r="B656" s="50" t="s">
        <v>436</v>
      </c>
      <c r="C656" s="52" t="s">
        <v>32</v>
      </c>
      <c r="D656" s="54" t="s">
        <v>22</v>
      </c>
      <c r="E656" s="49"/>
      <c r="F656" s="49"/>
      <c r="G656" s="52">
        <v>13801.67178</v>
      </c>
      <c r="H656" s="49"/>
      <c r="I656" s="49"/>
      <c r="J656" s="49"/>
      <c r="K656" s="49"/>
      <c r="L656" s="49"/>
      <c r="M656" s="50" t="s">
        <v>366</v>
      </c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</row>
    <row r="657" ht="15.75" customHeight="1">
      <c r="A657" s="98" t="s">
        <v>437</v>
      </c>
      <c r="B657" s="50" t="s">
        <v>436</v>
      </c>
      <c r="C657" s="52" t="s">
        <v>32</v>
      </c>
      <c r="D657" s="54" t="s">
        <v>193</v>
      </c>
      <c r="E657" s="49"/>
      <c r="F657" s="49"/>
      <c r="G657" s="52">
        <v>1937.076741</v>
      </c>
      <c r="H657" s="49"/>
      <c r="I657" s="49"/>
      <c r="J657" s="49"/>
      <c r="K657" s="49"/>
      <c r="L657" s="49"/>
      <c r="M657" s="50" t="s">
        <v>366</v>
      </c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</row>
    <row r="658" ht="15.75" customHeight="1">
      <c r="A658" s="98" t="s">
        <v>437</v>
      </c>
      <c r="B658" s="50" t="s">
        <v>436</v>
      </c>
      <c r="C658" s="52" t="s">
        <v>32</v>
      </c>
      <c r="D658" s="54" t="s">
        <v>39</v>
      </c>
      <c r="E658" s="49"/>
      <c r="F658" s="49"/>
      <c r="G658" s="52">
        <v>1089.605667</v>
      </c>
      <c r="H658" s="49"/>
      <c r="I658" s="49"/>
      <c r="J658" s="49"/>
      <c r="K658" s="49"/>
      <c r="L658" s="49"/>
      <c r="M658" s="50" t="s">
        <v>366</v>
      </c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</row>
    <row r="659" ht="15.75" customHeight="1">
      <c r="A659" s="98" t="s">
        <v>437</v>
      </c>
      <c r="B659" s="50" t="s">
        <v>436</v>
      </c>
      <c r="C659" s="52" t="s">
        <v>32</v>
      </c>
      <c r="D659" s="54" t="s">
        <v>48</v>
      </c>
      <c r="E659" s="49"/>
      <c r="F659" s="49"/>
      <c r="G659" s="52">
        <v>3874.153481</v>
      </c>
      <c r="H659" s="49"/>
      <c r="I659" s="49"/>
      <c r="J659" s="49"/>
      <c r="K659" s="49"/>
      <c r="L659" s="49"/>
      <c r="M659" s="50" t="s">
        <v>366</v>
      </c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</row>
    <row r="660" ht="15.75" customHeight="1">
      <c r="A660" s="98" t="s">
        <v>437</v>
      </c>
      <c r="B660" s="50" t="s">
        <v>436</v>
      </c>
      <c r="C660" s="52" t="s">
        <v>32</v>
      </c>
      <c r="D660" s="54" t="s">
        <v>118</v>
      </c>
      <c r="E660" s="49"/>
      <c r="F660" s="49"/>
      <c r="G660" s="52">
        <v>1089.605667</v>
      </c>
      <c r="H660" s="49"/>
      <c r="I660" s="49"/>
      <c r="J660" s="49"/>
      <c r="K660" s="49"/>
      <c r="L660" s="49"/>
      <c r="M660" s="50" t="s">
        <v>366</v>
      </c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</row>
    <row r="661" ht="15.75" customHeight="1">
      <c r="A661" s="50" t="s">
        <v>411</v>
      </c>
      <c r="B661" s="50" t="s">
        <v>412</v>
      </c>
      <c r="C661" s="50" t="s">
        <v>413</v>
      </c>
      <c r="D661" s="52" t="s">
        <v>72</v>
      </c>
      <c r="E661" s="49"/>
      <c r="F661" s="49"/>
      <c r="G661" s="50">
        <v>3700.28</v>
      </c>
      <c r="H661" s="49"/>
      <c r="I661" s="49"/>
      <c r="J661" s="49"/>
      <c r="K661" s="49"/>
      <c r="L661" s="50">
        <v>3700.28</v>
      </c>
      <c r="M661" s="50" t="s">
        <v>414</v>
      </c>
      <c r="N661" s="50" t="s">
        <v>415</v>
      </c>
      <c r="O661" s="50">
        <v>202.0</v>
      </c>
      <c r="P661" s="50" t="s">
        <v>416</v>
      </c>
      <c r="Q661" s="49"/>
      <c r="R661" s="49"/>
      <c r="S661" s="49"/>
      <c r="T661" s="49"/>
      <c r="U661" s="49"/>
      <c r="V661" s="49"/>
      <c r="W661" s="49"/>
      <c r="X661" s="49"/>
    </row>
    <row r="662" ht="15.75" customHeight="1">
      <c r="A662" s="50" t="s">
        <v>411</v>
      </c>
      <c r="B662" s="50" t="s">
        <v>417</v>
      </c>
      <c r="C662" s="50" t="s">
        <v>413</v>
      </c>
      <c r="D662" s="49"/>
      <c r="E662" s="49"/>
      <c r="F662" s="49"/>
      <c r="G662" s="50">
        <v>524.48</v>
      </c>
      <c r="H662" s="49"/>
      <c r="I662" s="49"/>
      <c r="J662" s="49"/>
      <c r="K662" s="49"/>
      <c r="L662" s="50">
        <v>524.48</v>
      </c>
      <c r="M662" s="50" t="s">
        <v>418</v>
      </c>
      <c r="N662" s="50" t="s">
        <v>415</v>
      </c>
      <c r="O662" s="50">
        <v>240.0</v>
      </c>
      <c r="P662" s="50" t="s">
        <v>416</v>
      </c>
      <c r="Q662" s="49"/>
      <c r="R662" s="49"/>
      <c r="S662" s="49"/>
      <c r="T662" s="49"/>
      <c r="U662" s="49"/>
      <c r="V662" s="49"/>
      <c r="W662" s="49"/>
      <c r="X662" s="49"/>
    </row>
    <row r="663" ht="15.75" customHeight="1">
      <c r="A663" s="50" t="s">
        <v>411</v>
      </c>
      <c r="B663" s="50" t="s">
        <v>419</v>
      </c>
      <c r="C663" s="50" t="s">
        <v>413</v>
      </c>
      <c r="D663" s="49"/>
      <c r="E663" s="49"/>
      <c r="F663" s="49"/>
      <c r="G663" s="50">
        <v>9948.99</v>
      </c>
      <c r="H663" s="49"/>
      <c r="I663" s="49"/>
      <c r="J663" s="49"/>
      <c r="K663" s="49"/>
      <c r="L663" s="50">
        <v>9948.99</v>
      </c>
      <c r="M663" s="50" t="s">
        <v>418</v>
      </c>
      <c r="N663" s="50" t="s">
        <v>361</v>
      </c>
      <c r="O663" s="50">
        <v>400.0</v>
      </c>
      <c r="P663" s="50" t="s">
        <v>416</v>
      </c>
      <c r="Q663" s="49"/>
      <c r="R663" s="49"/>
      <c r="S663" s="49"/>
      <c r="T663" s="49"/>
      <c r="U663" s="49"/>
      <c r="V663" s="49"/>
      <c r="W663" s="49"/>
      <c r="X663" s="49"/>
    </row>
    <row r="664" ht="15.75" customHeight="1">
      <c r="A664" s="50" t="s">
        <v>411</v>
      </c>
      <c r="B664" s="50" t="s">
        <v>420</v>
      </c>
      <c r="C664" s="50" t="s">
        <v>413</v>
      </c>
      <c r="D664" s="49"/>
      <c r="E664" s="49"/>
      <c r="F664" s="49"/>
      <c r="G664" s="50">
        <v>400.0</v>
      </c>
      <c r="H664" s="49"/>
      <c r="I664" s="49"/>
      <c r="J664" s="49"/>
      <c r="K664" s="49"/>
      <c r="L664" s="50">
        <v>400.0</v>
      </c>
      <c r="M664" s="50" t="s">
        <v>421</v>
      </c>
      <c r="N664" s="50" t="s">
        <v>415</v>
      </c>
      <c r="O664" s="50">
        <v>243.0</v>
      </c>
      <c r="P664" s="50" t="s">
        <v>416</v>
      </c>
      <c r="Q664" s="49"/>
      <c r="R664" s="49"/>
      <c r="S664" s="49"/>
      <c r="T664" s="49"/>
      <c r="U664" s="49"/>
      <c r="V664" s="49"/>
      <c r="W664" s="49"/>
      <c r="X664" s="49"/>
    </row>
    <row r="665" ht="15.75" customHeight="1">
      <c r="A665" s="50" t="s">
        <v>411</v>
      </c>
      <c r="B665" s="50" t="s">
        <v>422</v>
      </c>
      <c r="C665" s="50" t="s">
        <v>413</v>
      </c>
      <c r="D665" s="49"/>
      <c r="E665" s="49"/>
      <c r="F665" s="49"/>
      <c r="G665" s="50">
        <v>256.55</v>
      </c>
      <c r="H665" s="49"/>
      <c r="I665" s="49"/>
      <c r="J665" s="49"/>
      <c r="K665" s="49"/>
      <c r="L665" s="50">
        <v>256.55</v>
      </c>
      <c r="M665" s="50" t="s">
        <v>360</v>
      </c>
      <c r="N665" s="50" t="s">
        <v>415</v>
      </c>
      <c r="O665" s="50">
        <v>246.0</v>
      </c>
      <c r="P665" s="50" t="s">
        <v>416</v>
      </c>
      <c r="Q665" s="49"/>
      <c r="R665" s="49"/>
      <c r="S665" s="49"/>
      <c r="T665" s="49"/>
      <c r="U665" s="49"/>
      <c r="V665" s="49"/>
      <c r="W665" s="49"/>
      <c r="X665" s="49"/>
    </row>
    <row r="666" ht="15.75" customHeight="1">
      <c r="A666" s="50" t="s">
        <v>411</v>
      </c>
      <c r="B666" s="50" t="s">
        <v>423</v>
      </c>
      <c r="C666" s="50" t="s">
        <v>413</v>
      </c>
      <c r="D666" s="49"/>
      <c r="E666" s="49"/>
      <c r="F666" s="49"/>
      <c r="G666" s="50">
        <v>620.0</v>
      </c>
      <c r="H666" s="49"/>
      <c r="I666" s="49"/>
      <c r="J666" s="49"/>
      <c r="K666" s="49"/>
      <c r="L666" s="50">
        <v>620.0</v>
      </c>
      <c r="M666" s="50" t="s">
        <v>360</v>
      </c>
      <c r="N666" s="50" t="s">
        <v>415</v>
      </c>
      <c r="O666" s="50">
        <v>247.0</v>
      </c>
      <c r="P666" s="50" t="s">
        <v>416</v>
      </c>
      <c r="Q666" s="49"/>
      <c r="R666" s="49"/>
      <c r="S666" s="49"/>
      <c r="T666" s="49"/>
      <c r="U666" s="49"/>
      <c r="V666" s="49"/>
      <c r="W666" s="49"/>
      <c r="X666" s="49"/>
    </row>
    <row r="667" ht="15.75" customHeight="1">
      <c r="A667" s="50" t="s">
        <v>407</v>
      </c>
      <c r="B667" s="50" t="s">
        <v>409</v>
      </c>
      <c r="C667" s="50" t="s">
        <v>21</v>
      </c>
      <c r="D667" s="49"/>
      <c r="E667" s="49"/>
      <c r="F667" s="49"/>
      <c r="G667" s="50">
        <v>858.75</v>
      </c>
      <c r="H667" s="49"/>
      <c r="I667" s="49"/>
      <c r="J667" s="49"/>
      <c r="K667" s="49"/>
      <c r="L667" s="50">
        <v>858.75</v>
      </c>
      <c r="M667" s="50" t="s">
        <v>366</v>
      </c>
      <c r="N667" s="50" t="s">
        <v>361</v>
      </c>
      <c r="O667" s="50">
        <v>295.0</v>
      </c>
      <c r="P667" s="50" t="s">
        <v>410</v>
      </c>
      <c r="Q667" s="49"/>
      <c r="R667" s="49"/>
      <c r="S667" s="49"/>
      <c r="T667" s="49"/>
      <c r="U667" s="49"/>
      <c r="V667" s="49"/>
      <c r="W667" s="49"/>
      <c r="X667" s="49"/>
    </row>
    <row r="668" ht="15.75" customHeight="1">
      <c r="A668" s="50" t="s">
        <v>407</v>
      </c>
      <c r="B668" s="50" t="s">
        <v>409</v>
      </c>
      <c r="C668" s="50" t="s">
        <v>21</v>
      </c>
      <c r="D668" s="49"/>
      <c r="E668" s="49"/>
      <c r="F668" s="49"/>
      <c r="G668" s="50">
        <v>858.75</v>
      </c>
      <c r="H668" s="49"/>
      <c r="I668" s="49"/>
      <c r="J668" s="49"/>
      <c r="K668" s="49"/>
      <c r="L668" s="50">
        <v>858.75</v>
      </c>
      <c r="M668" s="50" t="s">
        <v>366</v>
      </c>
      <c r="N668" s="50" t="s">
        <v>361</v>
      </c>
      <c r="O668" s="50">
        <v>295.0</v>
      </c>
      <c r="P668" s="50" t="s">
        <v>410</v>
      </c>
      <c r="Q668" s="49"/>
      <c r="R668" s="49"/>
      <c r="S668" s="49"/>
      <c r="T668" s="49"/>
      <c r="U668" s="49"/>
      <c r="V668" s="49"/>
      <c r="W668" s="49"/>
      <c r="X668" s="49"/>
    </row>
    <row r="669" ht="15.75" customHeight="1">
      <c r="A669" s="50" t="s">
        <v>407</v>
      </c>
      <c r="B669" s="50" t="s">
        <v>409</v>
      </c>
      <c r="C669" s="50" t="s">
        <v>21</v>
      </c>
      <c r="D669" s="49"/>
      <c r="E669" s="49"/>
      <c r="F669" s="49"/>
      <c r="G669" s="50">
        <v>1202.25</v>
      </c>
      <c r="H669" s="49"/>
      <c r="I669" s="49"/>
      <c r="J669" s="49"/>
      <c r="K669" s="49"/>
      <c r="L669" s="50">
        <v>1202.25</v>
      </c>
      <c r="M669" s="50" t="s">
        <v>366</v>
      </c>
      <c r="N669" s="50" t="s">
        <v>361</v>
      </c>
      <c r="O669" s="50">
        <v>295.0</v>
      </c>
      <c r="P669" s="50" t="s">
        <v>410</v>
      </c>
      <c r="Q669" s="49"/>
      <c r="R669" s="49"/>
      <c r="S669" s="49"/>
      <c r="T669" s="49"/>
      <c r="U669" s="49"/>
      <c r="V669" s="49"/>
      <c r="W669" s="49"/>
      <c r="X669" s="49"/>
    </row>
    <row r="670" ht="15.75" customHeight="1">
      <c r="A670" s="50" t="s">
        <v>407</v>
      </c>
      <c r="B670" s="50" t="s">
        <v>409</v>
      </c>
      <c r="C670" s="50" t="s">
        <v>21</v>
      </c>
      <c r="D670" s="49"/>
      <c r="E670" s="49"/>
      <c r="F670" s="49"/>
      <c r="G670" s="50">
        <v>1374.0</v>
      </c>
      <c r="H670" s="49"/>
      <c r="I670" s="49"/>
      <c r="J670" s="49"/>
      <c r="K670" s="49"/>
      <c r="L670" s="50">
        <v>1374.0</v>
      </c>
      <c r="M670" s="50" t="s">
        <v>366</v>
      </c>
      <c r="N670" s="50" t="s">
        <v>361</v>
      </c>
      <c r="O670" s="50">
        <v>295.0</v>
      </c>
      <c r="P670" s="50" t="s">
        <v>410</v>
      </c>
      <c r="Q670" s="49"/>
      <c r="R670" s="49"/>
      <c r="S670" s="49"/>
      <c r="T670" s="49"/>
      <c r="U670" s="49"/>
      <c r="V670" s="49"/>
      <c r="W670" s="49"/>
      <c r="X670" s="49"/>
    </row>
    <row r="671" ht="15.75" customHeight="1">
      <c r="A671" s="50" t="s">
        <v>356</v>
      </c>
      <c r="B671" s="66" t="s">
        <v>546</v>
      </c>
      <c r="C671" s="66" t="s">
        <v>32</v>
      </c>
      <c r="D671" s="67" t="s">
        <v>48</v>
      </c>
      <c r="E671" s="67"/>
      <c r="F671" s="67" t="s">
        <v>546</v>
      </c>
      <c r="G671" s="90">
        <v>1000.0</v>
      </c>
      <c r="H671" s="49"/>
      <c r="I671" s="49"/>
      <c r="J671" s="49"/>
      <c r="K671" s="49"/>
      <c r="L671" s="50"/>
      <c r="M671" s="50" t="s">
        <v>366</v>
      </c>
      <c r="N671" s="50"/>
      <c r="O671" s="50"/>
      <c r="P671" s="50"/>
      <c r="Q671" s="49"/>
      <c r="R671" s="49"/>
      <c r="S671" s="49"/>
      <c r="T671" s="49"/>
      <c r="U671" s="49"/>
      <c r="V671" s="49"/>
      <c r="W671" s="49"/>
      <c r="X671" s="49"/>
    </row>
    <row r="672" ht="15.75" customHeight="1">
      <c r="A672" s="50" t="s">
        <v>356</v>
      </c>
      <c r="B672" s="77" t="s">
        <v>530</v>
      </c>
      <c r="C672" s="77" t="s">
        <v>21</v>
      </c>
      <c r="D672" s="78" t="s">
        <v>56</v>
      </c>
      <c r="E672" s="78"/>
      <c r="F672" s="78" t="s">
        <v>530</v>
      </c>
      <c r="G672" s="86">
        <v>1613.0</v>
      </c>
      <c r="H672" s="49"/>
      <c r="I672" s="49"/>
      <c r="J672" s="49"/>
      <c r="K672" s="49"/>
      <c r="L672" s="50"/>
      <c r="M672" s="50" t="s">
        <v>366</v>
      </c>
      <c r="N672" s="50"/>
      <c r="O672" s="50"/>
      <c r="P672" s="50"/>
      <c r="Q672" s="49"/>
      <c r="R672" s="49"/>
      <c r="S672" s="49"/>
      <c r="T672" s="49"/>
      <c r="U672" s="49"/>
      <c r="V672" s="49"/>
      <c r="W672" s="49"/>
      <c r="X672" s="49"/>
    </row>
    <row r="673" ht="15.75" customHeight="1">
      <c r="A673" s="50" t="s">
        <v>356</v>
      </c>
      <c r="B673" s="87"/>
      <c r="C673" s="66" t="s">
        <v>32</v>
      </c>
      <c r="D673" s="67" t="s">
        <v>103</v>
      </c>
      <c r="E673" s="67"/>
      <c r="F673" s="88"/>
      <c r="G673" s="90">
        <v>27142.31</v>
      </c>
      <c r="H673" s="49"/>
      <c r="I673" s="49"/>
      <c r="J673" s="49"/>
      <c r="K673" s="49"/>
      <c r="L673" s="50"/>
      <c r="M673" s="50" t="s">
        <v>366</v>
      </c>
      <c r="N673" s="50"/>
      <c r="O673" s="50"/>
      <c r="P673" s="50"/>
      <c r="Q673" s="49"/>
      <c r="R673" s="49"/>
      <c r="S673" s="49"/>
      <c r="T673" s="49"/>
      <c r="U673" s="49"/>
      <c r="V673" s="49"/>
      <c r="W673" s="49"/>
      <c r="X673" s="49"/>
    </row>
    <row r="674" ht="15.75" customHeight="1">
      <c r="A674" s="50" t="s">
        <v>356</v>
      </c>
      <c r="B674" s="95" t="s">
        <v>527</v>
      </c>
      <c r="C674" s="99" t="s">
        <v>68</v>
      </c>
      <c r="D674" s="78" t="s">
        <v>166</v>
      </c>
      <c r="E674" s="78"/>
      <c r="F674" s="95" t="s">
        <v>527</v>
      </c>
      <c r="G674" s="86">
        <v>21424.02</v>
      </c>
      <c r="H674" s="49"/>
      <c r="I674" s="49"/>
      <c r="J674" s="49"/>
      <c r="K674" s="49"/>
      <c r="L674" s="50"/>
      <c r="M674" s="50" t="s">
        <v>366</v>
      </c>
      <c r="N674" s="50"/>
      <c r="O674" s="50"/>
      <c r="P674" s="50"/>
      <c r="Q674" s="49"/>
      <c r="R674" s="49"/>
      <c r="S674" s="49"/>
      <c r="T674" s="49"/>
      <c r="U674" s="49"/>
      <c r="V674" s="49"/>
      <c r="W674" s="49"/>
      <c r="X674" s="49"/>
    </row>
    <row r="675" ht="15.75" customHeight="1">
      <c r="A675" s="50" t="s">
        <v>356</v>
      </c>
      <c r="B675" s="66" t="s">
        <v>357</v>
      </c>
      <c r="C675" s="66" t="s">
        <v>32</v>
      </c>
      <c r="D675" s="67" t="s">
        <v>56</v>
      </c>
      <c r="E675" s="67"/>
      <c r="F675" s="67" t="s">
        <v>357</v>
      </c>
      <c r="G675" s="90">
        <v>21387.44</v>
      </c>
      <c r="H675" s="100"/>
      <c r="I675" s="100"/>
      <c r="J675" s="100"/>
      <c r="K675" s="100"/>
      <c r="L675" s="101"/>
      <c r="M675" s="50" t="s">
        <v>366</v>
      </c>
      <c r="N675" s="101"/>
      <c r="O675" s="101"/>
      <c r="P675" s="101"/>
      <c r="Q675" s="100"/>
      <c r="R675" s="100"/>
      <c r="S675" s="100"/>
      <c r="T675" s="49"/>
      <c r="U675" s="49"/>
      <c r="V675" s="49"/>
      <c r="W675" s="49"/>
      <c r="X675" s="49"/>
    </row>
    <row r="676" ht="15.75" customHeight="1">
      <c r="A676" s="50" t="s">
        <v>356</v>
      </c>
      <c r="B676" s="95" t="s">
        <v>514</v>
      </c>
      <c r="C676" s="99" t="s">
        <v>68</v>
      </c>
      <c r="D676" s="78" t="s">
        <v>78</v>
      </c>
      <c r="E676" s="78"/>
      <c r="F676" s="95" t="s">
        <v>514</v>
      </c>
      <c r="G676" s="86">
        <v>1500.0</v>
      </c>
      <c r="H676" s="100"/>
      <c r="I676" s="100"/>
      <c r="J676" s="100"/>
      <c r="K676" s="100"/>
      <c r="L676" s="101"/>
      <c r="M676" s="50" t="s">
        <v>366</v>
      </c>
      <c r="N676" s="101"/>
      <c r="O676" s="101"/>
      <c r="P676" s="101"/>
      <c r="Q676" s="100"/>
      <c r="R676" s="100"/>
      <c r="S676" s="100"/>
      <c r="T676" s="49"/>
      <c r="U676" s="49"/>
      <c r="V676" s="49"/>
      <c r="W676" s="49"/>
      <c r="X676" s="49"/>
    </row>
    <row r="677" ht="15.75" customHeight="1">
      <c r="A677" s="50" t="s">
        <v>356</v>
      </c>
      <c r="B677" s="87"/>
      <c r="C677" s="66" t="s">
        <v>32</v>
      </c>
      <c r="D677" s="67" t="s">
        <v>118</v>
      </c>
      <c r="E677" s="67"/>
      <c r="F677" s="88"/>
      <c r="G677" s="90">
        <v>35471.6</v>
      </c>
      <c r="H677" s="100"/>
      <c r="I677" s="100"/>
      <c r="J677" s="100"/>
      <c r="K677" s="100"/>
      <c r="L677" s="101"/>
      <c r="M677" s="50" t="s">
        <v>366</v>
      </c>
      <c r="N677" s="101"/>
      <c r="O677" s="101"/>
      <c r="P677" s="101"/>
      <c r="Q677" s="100"/>
      <c r="R677" s="100"/>
      <c r="S677" s="100"/>
      <c r="T677" s="49"/>
      <c r="U677" s="49"/>
      <c r="V677" s="49"/>
      <c r="W677" s="49"/>
      <c r="X677" s="49"/>
    </row>
    <row r="678" ht="15.75" customHeight="1">
      <c r="A678" s="50" t="s">
        <v>356</v>
      </c>
      <c r="B678" s="85"/>
      <c r="C678" s="77" t="s">
        <v>32</v>
      </c>
      <c r="D678" s="78" t="s">
        <v>39</v>
      </c>
      <c r="E678" s="102"/>
      <c r="F678" s="79"/>
      <c r="G678" s="97">
        <v>0.0</v>
      </c>
      <c r="H678" s="100"/>
      <c r="I678" s="100"/>
      <c r="J678" s="100"/>
      <c r="K678" s="100"/>
      <c r="L678" s="101"/>
      <c r="M678" s="50" t="s">
        <v>366</v>
      </c>
      <c r="N678" s="101"/>
      <c r="O678" s="101"/>
      <c r="P678" s="101"/>
      <c r="Q678" s="100"/>
      <c r="R678" s="100"/>
      <c r="S678" s="100"/>
      <c r="T678" s="49"/>
      <c r="U678" s="49"/>
      <c r="V678" s="49"/>
      <c r="W678" s="49"/>
      <c r="X678" s="49"/>
    </row>
    <row r="679" ht="15.75" customHeight="1">
      <c r="A679" s="50" t="s">
        <v>356</v>
      </c>
      <c r="B679" s="66" t="s">
        <v>526</v>
      </c>
      <c r="C679" s="66" t="s">
        <v>32</v>
      </c>
      <c r="D679" s="67" t="s">
        <v>48</v>
      </c>
      <c r="E679" s="102"/>
      <c r="F679" s="67" t="s">
        <v>526</v>
      </c>
      <c r="G679" s="90">
        <v>6818.35</v>
      </c>
      <c r="H679" s="100"/>
      <c r="I679" s="100"/>
      <c r="J679" s="100"/>
      <c r="K679" s="100"/>
      <c r="L679" s="101"/>
      <c r="M679" s="50" t="s">
        <v>366</v>
      </c>
      <c r="N679" s="101"/>
      <c r="O679" s="101"/>
      <c r="P679" s="101"/>
      <c r="Q679" s="100"/>
      <c r="R679" s="100"/>
      <c r="S679" s="100"/>
      <c r="T679" s="49"/>
      <c r="U679" s="49"/>
      <c r="V679" s="49"/>
      <c r="W679" s="49"/>
      <c r="X679" s="49"/>
    </row>
    <row r="680" ht="15.75" customHeight="1">
      <c r="A680" s="50" t="s">
        <v>356</v>
      </c>
      <c r="B680" s="77" t="s">
        <v>71</v>
      </c>
      <c r="C680" s="99" t="s">
        <v>68</v>
      </c>
      <c r="D680" s="78" t="s">
        <v>72</v>
      </c>
      <c r="E680" s="102"/>
      <c r="F680" s="78" t="s">
        <v>71</v>
      </c>
      <c r="G680" s="86">
        <v>16040.27</v>
      </c>
      <c r="H680" s="100"/>
      <c r="I680" s="100"/>
      <c r="J680" s="100"/>
      <c r="K680" s="100"/>
      <c r="L680" s="101"/>
      <c r="M680" s="50" t="s">
        <v>366</v>
      </c>
      <c r="N680" s="101"/>
      <c r="O680" s="101"/>
      <c r="P680" s="101"/>
      <c r="Q680" s="100"/>
      <c r="R680" s="100"/>
      <c r="S680" s="100"/>
      <c r="T680" s="49"/>
      <c r="U680" s="49"/>
      <c r="V680" s="49"/>
      <c r="W680" s="49"/>
      <c r="X680" s="49"/>
    </row>
    <row r="681" ht="15.75" customHeight="1">
      <c r="A681" s="50" t="s">
        <v>356</v>
      </c>
      <c r="B681" s="103"/>
      <c r="C681" s="104" t="s">
        <v>21</v>
      </c>
      <c r="D681" s="105" t="s">
        <v>22</v>
      </c>
      <c r="E681" s="105" t="s">
        <v>23</v>
      </c>
      <c r="F681" s="106"/>
      <c r="G681" s="107">
        <v>202390.83</v>
      </c>
      <c r="H681" s="100"/>
      <c r="I681" s="100"/>
      <c r="J681" s="100"/>
      <c r="K681" s="100"/>
      <c r="L681" s="101"/>
      <c r="M681" s="69">
        <v>46054.0</v>
      </c>
      <c r="N681" s="101"/>
      <c r="O681" s="101"/>
      <c r="P681" s="101"/>
      <c r="Q681" s="100"/>
      <c r="R681" s="100"/>
      <c r="S681" s="100"/>
      <c r="T681" s="49"/>
      <c r="U681" s="49"/>
      <c r="V681" s="49"/>
      <c r="W681" s="49"/>
      <c r="X681" s="49"/>
    </row>
    <row r="682" ht="15.75" customHeight="1">
      <c r="A682" s="50" t="s">
        <v>356</v>
      </c>
      <c r="B682" s="108"/>
      <c r="C682" s="109" t="s">
        <v>21</v>
      </c>
      <c r="D682" s="102" t="s">
        <v>22</v>
      </c>
      <c r="E682" s="102" t="s">
        <v>63</v>
      </c>
      <c r="F682" s="110"/>
      <c r="G682" s="111">
        <v>316716.01</v>
      </c>
      <c r="H682" s="100"/>
      <c r="I682" s="100"/>
      <c r="J682" s="100"/>
      <c r="K682" s="100"/>
      <c r="L682" s="101"/>
      <c r="M682" s="69">
        <v>46054.0</v>
      </c>
      <c r="N682" s="101"/>
      <c r="O682" s="101"/>
      <c r="P682" s="101"/>
      <c r="Q682" s="100"/>
      <c r="R682" s="100"/>
      <c r="S682" s="100"/>
      <c r="T682" s="49"/>
      <c r="U682" s="49"/>
      <c r="V682" s="49"/>
      <c r="W682" s="49"/>
      <c r="X682" s="49"/>
    </row>
    <row r="683" ht="15.75" customHeight="1">
      <c r="A683" s="50" t="s">
        <v>356</v>
      </c>
      <c r="B683" s="103"/>
      <c r="C683" s="104" t="s">
        <v>21</v>
      </c>
      <c r="D683" s="105" t="s">
        <v>22</v>
      </c>
      <c r="E683" s="105" t="s">
        <v>45</v>
      </c>
      <c r="F683" s="106"/>
      <c r="G683" s="107">
        <v>127369.76</v>
      </c>
      <c r="H683" s="100"/>
      <c r="I683" s="100"/>
      <c r="J683" s="100"/>
      <c r="K683" s="100"/>
      <c r="L683" s="101"/>
      <c r="M683" s="69">
        <v>46054.0</v>
      </c>
      <c r="N683" s="101"/>
      <c r="O683" s="101"/>
      <c r="P683" s="101"/>
      <c r="Q683" s="100"/>
      <c r="R683" s="100"/>
      <c r="S683" s="100"/>
      <c r="T683" s="49"/>
      <c r="U683" s="49"/>
      <c r="V683" s="49"/>
      <c r="W683" s="49"/>
      <c r="X683" s="49"/>
    </row>
    <row r="684" ht="15.75" customHeight="1">
      <c r="A684" s="50" t="s">
        <v>356</v>
      </c>
      <c r="B684" s="108"/>
      <c r="C684" s="109" t="s">
        <v>21</v>
      </c>
      <c r="D684" s="102" t="s">
        <v>22</v>
      </c>
      <c r="E684" s="102" t="s">
        <v>392</v>
      </c>
      <c r="F684" s="110"/>
      <c r="G684" s="111">
        <v>40556.6</v>
      </c>
      <c r="H684" s="100"/>
      <c r="I684" s="100"/>
      <c r="J684" s="100"/>
      <c r="K684" s="100"/>
      <c r="L684" s="101"/>
      <c r="M684" s="69">
        <v>46054.0</v>
      </c>
      <c r="N684" s="101"/>
      <c r="O684" s="101"/>
      <c r="P684" s="101"/>
      <c r="Q684" s="100"/>
      <c r="R684" s="100"/>
      <c r="S684" s="100"/>
      <c r="T684" s="49"/>
      <c r="U684" s="49"/>
      <c r="V684" s="49"/>
      <c r="W684" s="49"/>
      <c r="X684" s="49"/>
    </row>
    <row r="685" ht="15.75" customHeight="1">
      <c r="A685" s="50" t="s">
        <v>356</v>
      </c>
      <c r="B685" s="104" t="s">
        <v>393</v>
      </c>
      <c r="C685" s="104" t="s">
        <v>32</v>
      </c>
      <c r="D685" s="105" t="s">
        <v>56</v>
      </c>
      <c r="E685" s="102"/>
      <c r="F685" s="105" t="s">
        <v>393</v>
      </c>
      <c r="G685" s="112">
        <v>96311.02</v>
      </c>
      <c r="H685" s="100"/>
      <c r="I685" s="100"/>
      <c r="J685" s="100"/>
      <c r="K685" s="100"/>
      <c r="L685" s="101"/>
      <c r="M685" s="69">
        <v>46054.0</v>
      </c>
      <c r="N685" s="101"/>
      <c r="O685" s="101"/>
      <c r="P685" s="101"/>
      <c r="Q685" s="100"/>
      <c r="R685" s="100"/>
      <c r="S685" s="100"/>
      <c r="T685" s="49"/>
      <c r="U685" s="49"/>
      <c r="V685" s="49"/>
      <c r="W685" s="49"/>
      <c r="X685" s="49"/>
    </row>
    <row r="686" ht="15.75" customHeight="1">
      <c r="A686" s="50" t="s">
        <v>356</v>
      </c>
      <c r="B686" s="109" t="s">
        <v>394</v>
      </c>
      <c r="C686" s="109" t="s">
        <v>21</v>
      </c>
      <c r="D686" s="102" t="s">
        <v>56</v>
      </c>
      <c r="E686" s="102"/>
      <c r="F686" s="102" t="s">
        <v>394</v>
      </c>
      <c r="G686" s="111">
        <v>17355.63</v>
      </c>
      <c r="H686" s="100"/>
      <c r="I686" s="100"/>
      <c r="J686" s="100"/>
      <c r="K686" s="100"/>
      <c r="L686" s="101"/>
      <c r="M686" s="69">
        <v>46054.0</v>
      </c>
      <c r="N686" s="101"/>
      <c r="O686" s="101"/>
      <c r="P686" s="101"/>
      <c r="Q686" s="100"/>
      <c r="R686" s="100"/>
      <c r="S686" s="100"/>
      <c r="T686" s="49"/>
      <c r="U686" s="49"/>
      <c r="V686" s="49"/>
      <c r="W686" s="49"/>
      <c r="X686" s="49"/>
    </row>
    <row r="687" ht="15.75" customHeight="1">
      <c r="A687" s="50" t="s">
        <v>356</v>
      </c>
      <c r="B687" s="104" t="s">
        <v>546</v>
      </c>
      <c r="C687" s="104" t="s">
        <v>32</v>
      </c>
      <c r="D687" s="105" t="s">
        <v>48</v>
      </c>
      <c r="E687" s="102"/>
      <c r="F687" s="105" t="s">
        <v>546</v>
      </c>
      <c r="G687" s="113">
        <v>678.0</v>
      </c>
      <c r="H687" s="100"/>
      <c r="I687" s="100"/>
      <c r="J687" s="100"/>
      <c r="K687" s="100"/>
      <c r="L687" s="101"/>
      <c r="M687" s="69">
        <v>46054.0</v>
      </c>
      <c r="N687" s="101"/>
      <c r="O687" s="101"/>
      <c r="P687" s="101"/>
      <c r="Q687" s="100"/>
      <c r="R687" s="100"/>
      <c r="S687" s="100"/>
      <c r="T687" s="49"/>
      <c r="U687" s="49"/>
      <c r="V687" s="49"/>
      <c r="W687" s="49"/>
      <c r="X687" s="49"/>
    </row>
    <row r="688" ht="15.75" customHeight="1">
      <c r="A688" s="50" t="s">
        <v>356</v>
      </c>
      <c r="B688" s="109" t="s">
        <v>530</v>
      </c>
      <c r="C688" s="109" t="s">
        <v>21</v>
      </c>
      <c r="D688" s="102" t="s">
        <v>56</v>
      </c>
      <c r="E688" s="102"/>
      <c r="F688" s="102" t="s">
        <v>530</v>
      </c>
      <c r="G688" s="111">
        <v>38775.95</v>
      </c>
      <c r="H688" s="100"/>
      <c r="I688" s="100"/>
      <c r="J688" s="100"/>
      <c r="K688" s="100"/>
      <c r="L688" s="101"/>
      <c r="M688" s="69">
        <v>46054.0</v>
      </c>
      <c r="N688" s="101"/>
      <c r="O688" s="101"/>
      <c r="P688" s="101"/>
      <c r="Q688" s="100"/>
      <c r="R688" s="100"/>
      <c r="S688" s="100"/>
      <c r="T688" s="49"/>
      <c r="U688" s="49"/>
      <c r="V688" s="49"/>
      <c r="W688" s="49"/>
      <c r="X688" s="49"/>
    </row>
    <row r="689" ht="15.75" customHeight="1">
      <c r="A689" s="50" t="s">
        <v>356</v>
      </c>
      <c r="B689" s="103"/>
      <c r="C689" s="104" t="s">
        <v>32</v>
      </c>
      <c r="D689" s="105" t="s">
        <v>103</v>
      </c>
      <c r="E689" s="102"/>
      <c r="F689" s="106"/>
      <c r="G689" s="112">
        <v>17609.87</v>
      </c>
      <c r="H689" s="100"/>
      <c r="I689" s="100"/>
      <c r="J689" s="100"/>
      <c r="K689" s="100"/>
      <c r="L689" s="101"/>
      <c r="M689" s="69">
        <v>46054.0</v>
      </c>
      <c r="N689" s="101"/>
      <c r="O689" s="101"/>
      <c r="P689" s="101"/>
      <c r="Q689" s="100"/>
      <c r="R689" s="100"/>
      <c r="S689" s="100"/>
      <c r="T689" s="49"/>
      <c r="U689" s="49"/>
      <c r="V689" s="49"/>
      <c r="W689" s="49"/>
      <c r="X689" s="49"/>
    </row>
    <row r="690" ht="15.75" customHeight="1">
      <c r="A690" s="50" t="s">
        <v>356</v>
      </c>
      <c r="B690" s="114" t="s">
        <v>527</v>
      </c>
      <c r="C690" s="115" t="s">
        <v>68</v>
      </c>
      <c r="D690" s="102" t="s">
        <v>166</v>
      </c>
      <c r="E690" s="102"/>
      <c r="F690" s="114" t="s">
        <v>527</v>
      </c>
      <c r="G690" s="111">
        <v>16778.89</v>
      </c>
      <c r="H690" s="100"/>
      <c r="I690" s="100"/>
      <c r="J690" s="100"/>
      <c r="K690" s="100"/>
      <c r="L690" s="101"/>
      <c r="M690" s="69">
        <v>46054.0</v>
      </c>
      <c r="N690" s="101"/>
      <c r="O690" s="101"/>
      <c r="P690" s="101"/>
      <c r="Q690" s="100"/>
      <c r="R690" s="100"/>
      <c r="S690" s="100"/>
      <c r="T690" s="49"/>
      <c r="U690" s="49"/>
      <c r="V690" s="49"/>
      <c r="W690" s="49"/>
      <c r="X690" s="49"/>
    </row>
    <row r="691" ht="15.75" customHeight="1">
      <c r="A691" s="50" t="s">
        <v>356</v>
      </c>
      <c r="B691" s="104" t="s">
        <v>357</v>
      </c>
      <c r="C691" s="104" t="s">
        <v>32</v>
      </c>
      <c r="D691" s="105" t="s">
        <v>56</v>
      </c>
      <c r="E691" s="102"/>
      <c r="F691" s="105" t="s">
        <v>357</v>
      </c>
      <c r="G691" s="113">
        <v>22187.73</v>
      </c>
      <c r="H691" s="100"/>
      <c r="I691" s="100"/>
      <c r="J691" s="100"/>
      <c r="K691" s="100"/>
      <c r="L691" s="101"/>
      <c r="M691" s="69">
        <v>46054.0</v>
      </c>
      <c r="N691" s="101"/>
      <c r="O691" s="101"/>
      <c r="P691" s="101"/>
      <c r="Q691" s="100"/>
      <c r="R691" s="100"/>
      <c r="S691" s="100"/>
      <c r="T691" s="49"/>
      <c r="U691" s="49"/>
      <c r="V691" s="49"/>
      <c r="W691" s="49"/>
      <c r="X691" s="49"/>
    </row>
    <row r="692" ht="15.75" customHeight="1">
      <c r="A692" s="50" t="s">
        <v>356</v>
      </c>
      <c r="B692" s="114" t="s">
        <v>514</v>
      </c>
      <c r="C692" s="115" t="s">
        <v>68</v>
      </c>
      <c r="D692" s="102" t="s">
        <v>78</v>
      </c>
      <c r="E692" s="102"/>
      <c r="F692" s="114" t="s">
        <v>514</v>
      </c>
      <c r="G692" s="116">
        <v>1300.0</v>
      </c>
      <c r="H692" s="100"/>
      <c r="I692" s="100"/>
      <c r="J692" s="100"/>
      <c r="K692" s="100"/>
      <c r="L692" s="101"/>
      <c r="M692" s="69">
        <v>46054.0</v>
      </c>
      <c r="N692" s="101"/>
      <c r="O692" s="101"/>
      <c r="P692" s="101"/>
      <c r="Q692" s="100"/>
      <c r="R692" s="100"/>
      <c r="S692" s="100"/>
      <c r="T692" s="49"/>
      <c r="U692" s="49"/>
      <c r="V692" s="49"/>
      <c r="W692" s="49"/>
      <c r="X692" s="49"/>
    </row>
    <row r="693" ht="15.75" customHeight="1">
      <c r="A693" s="50" t="s">
        <v>356</v>
      </c>
      <c r="B693" s="103"/>
      <c r="C693" s="104" t="s">
        <v>32</v>
      </c>
      <c r="D693" s="105" t="s">
        <v>118</v>
      </c>
      <c r="E693" s="102"/>
      <c r="F693" s="106"/>
      <c r="G693" s="112">
        <v>9132.0</v>
      </c>
      <c r="H693" s="100"/>
      <c r="I693" s="100"/>
      <c r="J693" s="100"/>
      <c r="K693" s="100"/>
      <c r="L693" s="101"/>
      <c r="M693" s="69">
        <v>46054.0</v>
      </c>
      <c r="N693" s="101"/>
      <c r="O693" s="101"/>
      <c r="P693" s="101"/>
      <c r="Q693" s="100"/>
      <c r="R693" s="100"/>
      <c r="S693" s="100"/>
      <c r="T693" s="49"/>
      <c r="U693" s="49"/>
      <c r="V693" s="49"/>
      <c r="W693" s="49"/>
      <c r="X693" s="49"/>
    </row>
    <row r="694" ht="15.75" customHeight="1">
      <c r="A694" s="50" t="s">
        <v>356</v>
      </c>
      <c r="B694" s="108"/>
      <c r="C694" s="109" t="s">
        <v>32</v>
      </c>
      <c r="D694" s="102" t="s">
        <v>39</v>
      </c>
      <c r="E694" s="102"/>
      <c r="F694" s="110"/>
      <c r="G694" s="116">
        <v>950.0</v>
      </c>
      <c r="H694" s="100"/>
      <c r="I694" s="100"/>
      <c r="J694" s="100"/>
      <c r="K694" s="100"/>
      <c r="L694" s="101"/>
      <c r="M694" s="69">
        <v>46054.0</v>
      </c>
      <c r="N694" s="101"/>
      <c r="O694" s="101"/>
      <c r="P694" s="101"/>
      <c r="Q694" s="100"/>
      <c r="R694" s="100"/>
      <c r="S694" s="100"/>
      <c r="T694" s="49"/>
      <c r="U694" s="49"/>
      <c r="V694" s="49"/>
      <c r="W694" s="49"/>
      <c r="X694" s="49"/>
    </row>
    <row r="695" ht="15.75" customHeight="1">
      <c r="A695" s="50" t="s">
        <v>356</v>
      </c>
      <c r="B695" s="104" t="s">
        <v>526</v>
      </c>
      <c r="C695" s="104" t="s">
        <v>32</v>
      </c>
      <c r="D695" s="105" t="s">
        <v>48</v>
      </c>
      <c r="E695" s="102"/>
      <c r="F695" s="105" t="s">
        <v>526</v>
      </c>
      <c r="G695" s="112">
        <v>10200.83</v>
      </c>
      <c r="H695" s="100"/>
      <c r="I695" s="100"/>
      <c r="J695" s="100"/>
      <c r="K695" s="100"/>
      <c r="L695" s="101"/>
      <c r="M695" s="69">
        <v>46054.0</v>
      </c>
      <c r="N695" s="101"/>
      <c r="O695" s="101"/>
      <c r="P695" s="101"/>
      <c r="Q695" s="100"/>
      <c r="R695" s="100"/>
      <c r="S695" s="100"/>
      <c r="T695" s="49"/>
      <c r="U695" s="49"/>
      <c r="V695" s="49"/>
      <c r="W695" s="49"/>
      <c r="X695" s="49"/>
    </row>
    <row r="696" ht="15.75" customHeight="1">
      <c r="A696" s="50" t="s">
        <v>356</v>
      </c>
      <c r="B696" s="109" t="s">
        <v>71</v>
      </c>
      <c r="C696" s="115" t="s">
        <v>68</v>
      </c>
      <c r="D696" s="102" t="s">
        <v>72</v>
      </c>
      <c r="E696" s="102"/>
      <c r="F696" s="102" t="s">
        <v>71</v>
      </c>
      <c r="G696" s="111">
        <v>10697.49</v>
      </c>
      <c r="H696" s="100"/>
      <c r="I696" s="100"/>
      <c r="J696" s="100"/>
      <c r="K696" s="100"/>
      <c r="L696" s="101"/>
      <c r="M696" s="69">
        <v>46054.0</v>
      </c>
      <c r="N696" s="101"/>
      <c r="O696" s="101"/>
      <c r="P696" s="101"/>
      <c r="Q696" s="100"/>
      <c r="R696" s="100"/>
      <c r="S696" s="100"/>
      <c r="T696" s="49"/>
      <c r="U696" s="49"/>
      <c r="V696" s="49"/>
      <c r="W696" s="49"/>
      <c r="X696" s="49"/>
    </row>
    <row r="697" ht="15.75" customHeight="1">
      <c r="A697" s="50" t="s">
        <v>356</v>
      </c>
      <c r="B697" s="117" t="s">
        <v>547</v>
      </c>
      <c r="C697" s="104" t="s">
        <v>21</v>
      </c>
      <c r="D697" s="105" t="s">
        <v>56</v>
      </c>
      <c r="E697" s="102"/>
      <c r="F697" s="118" t="s">
        <v>547</v>
      </c>
      <c r="G697" s="112">
        <v>8691.08</v>
      </c>
      <c r="H697" s="100"/>
      <c r="I697" s="100"/>
      <c r="J697" s="100"/>
      <c r="K697" s="100"/>
      <c r="L697" s="101"/>
      <c r="M697" s="69">
        <v>46054.0</v>
      </c>
      <c r="N697" s="101"/>
      <c r="O697" s="101"/>
      <c r="P697" s="101"/>
      <c r="Q697" s="100"/>
      <c r="R697" s="100"/>
      <c r="S697" s="100"/>
      <c r="T697" s="49"/>
      <c r="U697" s="49"/>
      <c r="V697" s="49"/>
      <c r="W697" s="49"/>
      <c r="X697" s="49"/>
    </row>
    <row r="698" ht="15.75" customHeight="1">
      <c r="A698" s="50" t="s">
        <v>356</v>
      </c>
      <c r="B698" s="109" t="s">
        <v>528</v>
      </c>
      <c r="C698" s="109" t="s">
        <v>21</v>
      </c>
      <c r="D698" s="102" t="s">
        <v>56</v>
      </c>
      <c r="E698" s="102"/>
      <c r="F698" s="102" t="s">
        <v>528</v>
      </c>
      <c r="G698" s="111">
        <v>3280.0</v>
      </c>
      <c r="H698" s="100"/>
      <c r="I698" s="100"/>
      <c r="J698" s="100"/>
      <c r="K698" s="100"/>
      <c r="L698" s="101"/>
      <c r="M698" s="69">
        <v>46054.0</v>
      </c>
      <c r="N698" s="101"/>
      <c r="O698" s="101"/>
      <c r="P698" s="101"/>
      <c r="Q698" s="100"/>
      <c r="R698" s="100"/>
      <c r="S698" s="100"/>
      <c r="T698" s="49"/>
      <c r="U698" s="49"/>
      <c r="V698" s="49"/>
      <c r="W698" s="49"/>
      <c r="X698" s="49"/>
    </row>
    <row r="699" ht="15.75" customHeight="1">
      <c r="A699" s="50" t="s">
        <v>356</v>
      </c>
      <c r="B699" s="117" t="s">
        <v>548</v>
      </c>
      <c r="C699" s="115" t="s">
        <v>68</v>
      </c>
      <c r="D699" s="105" t="s">
        <v>72</v>
      </c>
      <c r="E699" s="102"/>
      <c r="F699" s="118" t="s">
        <v>548</v>
      </c>
      <c r="G699" s="112">
        <v>4999.6</v>
      </c>
      <c r="H699" s="100"/>
      <c r="I699" s="100"/>
      <c r="J699" s="100"/>
      <c r="K699" s="100"/>
      <c r="L699" s="101"/>
      <c r="M699" s="69">
        <v>46054.0</v>
      </c>
      <c r="N699" s="101"/>
      <c r="O699" s="101"/>
      <c r="P699" s="101"/>
      <c r="Q699" s="100"/>
      <c r="R699" s="100"/>
      <c r="S699" s="100"/>
      <c r="T699" s="49"/>
      <c r="U699" s="49"/>
      <c r="V699" s="49"/>
      <c r="W699" s="49"/>
      <c r="X699" s="49"/>
    </row>
    <row r="700" ht="15.75" customHeight="1">
      <c r="A700" s="50" t="s">
        <v>356</v>
      </c>
      <c r="B700" s="103"/>
      <c r="C700" s="104" t="s">
        <v>21</v>
      </c>
      <c r="D700" s="105" t="s">
        <v>22</v>
      </c>
      <c r="E700" s="105" t="s">
        <v>23</v>
      </c>
      <c r="F700" s="106"/>
      <c r="G700" s="107">
        <v>283775.9</v>
      </c>
      <c r="H700" s="100"/>
      <c r="I700" s="100"/>
      <c r="J700" s="100"/>
      <c r="K700" s="100"/>
      <c r="L700" s="101"/>
      <c r="M700" s="69">
        <v>46082.0</v>
      </c>
      <c r="N700" s="101"/>
      <c r="O700" s="101"/>
      <c r="P700" s="101"/>
      <c r="Q700" s="100"/>
      <c r="R700" s="100"/>
      <c r="S700" s="100"/>
      <c r="T700" s="49"/>
      <c r="U700" s="49"/>
      <c r="V700" s="49"/>
      <c r="W700" s="49"/>
      <c r="X700" s="49"/>
    </row>
    <row r="701">
      <c r="A701" s="50" t="s">
        <v>356</v>
      </c>
      <c r="B701" s="119" t="s">
        <v>549</v>
      </c>
      <c r="C701" s="109" t="s">
        <v>21</v>
      </c>
      <c r="D701" s="102" t="s">
        <v>22</v>
      </c>
      <c r="E701" s="102" t="s">
        <v>23</v>
      </c>
      <c r="F701" s="120" t="s">
        <v>549</v>
      </c>
      <c r="G701" s="121">
        <v>4455.9</v>
      </c>
      <c r="H701" s="100"/>
      <c r="I701" s="100"/>
      <c r="J701" s="100"/>
      <c r="K701" s="100"/>
      <c r="L701" s="101"/>
      <c r="M701" s="69">
        <v>46082.0</v>
      </c>
      <c r="N701" s="101"/>
      <c r="O701" s="101"/>
      <c r="P701" s="101"/>
      <c r="Q701" s="100"/>
      <c r="R701" s="100"/>
      <c r="S701" s="100"/>
      <c r="T701" s="49"/>
      <c r="U701" s="49"/>
      <c r="V701" s="49"/>
      <c r="W701" s="49"/>
      <c r="X701" s="49"/>
    </row>
    <row r="702" ht="15.75" customHeight="1">
      <c r="A702" s="50" t="s">
        <v>356</v>
      </c>
      <c r="B702" s="103"/>
      <c r="C702" s="104" t="s">
        <v>21</v>
      </c>
      <c r="D702" s="105" t="s">
        <v>22</v>
      </c>
      <c r="E702" s="105" t="s">
        <v>63</v>
      </c>
      <c r="F702" s="106"/>
      <c r="G702" s="112">
        <v>378872.83</v>
      </c>
      <c r="H702" s="100"/>
      <c r="I702" s="100"/>
      <c r="J702" s="100"/>
      <c r="K702" s="100"/>
      <c r="L702" s="101"/>
      <c r="M702" s="69">
        <v>46082.0</v>
      </c>
      <c r="N702" s="101"/>
      <c r="O702" s="101"/>
      <c r="P702" s="101"/>
      <c r="Q702" s="100"/>
      <c r="R702" s="100"/>
      <c r="S702" s="100"/>
      <c r="T702" s="49"/>
      <c r="U702" s="49"/>
      <c r="V702" s="49"/>
      <c r="W702" s="49"/>
      <c r="X702" s="49"/>
    </row>
    <row r="703">
      <c r="A703" s="50" t="s">
        <v>356</v>
      </c>
      <c r="B703" s="108"/>
      <c r="C703" s="109" t="s">
        <v>21</v>
      </c>
      <c r="D703" s="102" t="s">
        <v>22</v>
      </c>
      <c r="E703" s="102" t="s">
        <v>45</v>
      </c>
      <c r="F703" s="110"/>
      <c r="G703" s="122">
        <v>210345.66</v>
      </c>
      <c r="H703" s="100"/>
      <c r="I703" s="100"/>
      <c r="J703" s="100"/>
      <c r="K703" s="100"/>
      <c r="L703" s="101"/>
      <c r="M703" s="69">
        <v>46082.0</v>
      </c>
      <c r="N703" s="101"/>
      <c r="O703" s="101"/>
      <c r="P703" s="101"/>
      <c r="Q703" s="100"/>
      <c r="R703" s="100"/>
      <c r="S703" s="100"/>
      <c r="T703" s="49"/>
      <c r="U703" s="49"/>
      <c r="V703" s="49"/>
      <c r="W703" s="49"/>
      <c r="X703" s="49"/>
    </row>
    <row r="704" ht="15.75" customHeight="1">
      <c r="A704" s="50" t="s">
        <v>356</v>
      </c>
      <c r="B704" s="103"/>
      <c r="C704" s="104" t="s">
        <v>21</v>
      </c>
      <c r="D704" s="105" t="s">
        <v>22</v>
      </c>
      <c r="E704" s="105" t="s">
        <v>392</v>
      </c>
      <c r="F704" s="106"/>
      <c r="G704" s="112">
        <v>120956.97</v>
      </c>
      <c r="H704" s="100"/>
      <c r="I704" s="100"/>
      <c r="J704" s="100"/>
      <c r="K704" s="100"/>
      <c r="L704" s="101"/>
      <c r="M704" s="69">
        <v>46082.0</v>
      </c>
      <c r="N704" s="101"/>
      <c r="O704" s="101"/>
      <c r="P704" s="101"/>
      <c r="Q704" s="100"/>
      <c r="R704" s="100"/>
      <c r="S704" s="100"/>
      <c r="T704" s="49"/>
      <c r="U704" s="49"/>
      <c r="V704" s="49"/>
      <c r="W704" s="49"/>
      <c r="X704" s="49"/>
    </row>
    <row r="705" ht="15.75" customHeight="1">
      <c r="A705" s="50" t="s">
        <v>356</v>
      </c>
      <c r="B705" s="109" t="s">
        <v>393</v>
      </c>
      <c r="C705" s="109" t="s">
        <v>32</v>
      </c>
      <c r="D705" s="102" t="s">
        <v>56</v>
      </c>
      <c r="E705" s="102"/>
      <c r="F705" s="102" t="s">
        <v>393</v>
      </c>
      <c r="G705" s="111">
        <v>71283.97</v>
      </c>
      <c r="H705" s="100"/>
      <c r="I705" s="100"/>
      <c r="J705" s="100"/>
      <c r="K705" s="100"/>
      <c r="L705" s="101"/>
      <c r="M705" s="69">
        <v>46082.0</v>
      </c>
      <c r="N705" s="101"/>
      <c r="O705" s="101"/>
      <c r="P705" s="101"/>
      <c r="Q705" s="100"/>
      <c r="R705" s="100"/>
      <c r="S705" s="100"/>
      <c r="T705" s="49"/>
      <c r="U705" s="49"/>
      <c r="V705" s="49"/>
      <c r="W705" s="49"/>
      <c r="X705" s="49"/>
    </row>
    <row r="706">
      <c r="A706" s="50" t="s">
        <v>356</v>
      </c>
      <c r="B706" s="104" t="s">
        <v>394</v>
      </c>
      <c r="C706" s="104" t="s">
        <v>21</v>
      </c>
      <c r="D706" s="105" t="s">
        <v>56</v>
      </c>
      <c r="E706" s="102"/>
      <c r="F706" s="105" t="s">
        <v>394</v>
      </c>
      <c r="G706" s="112">
        <v>122883.41</v>
      </c>
      <c r="H706" s="100"/>
      <c r="I706" s="100"/>
      <c r="J706" s="100"/>
      <c r="K706" s="100"/>
      <c r="L706" s="101"/>
      <c r="M706" s="69">
        <v>46082.0</v>
      </c>
      <c r="N706" s="101"/>
      <c r="O706" s="101"/>
      <c r="P706" s="101"/>
      <c r="Q706" s="100"/>
      <c r="R706" s="100"/>
      <c r="S706" s="100"/>
      <c r="T706" s="49"/>
      <c r="U706" s="49"/>
      <c r="V706" s="49"/>
      <c r="W706" s="49"/>
      <c r="X706" s="49"/>
    </row>
    <row r="707" ht="15.75" customHeight="1">
      <c r="A707" s="50" t="s">
        <v>356</v>
      </c>
      <c r="B707" s="109" t="s">
        <v>546</v>
      </c>
      <c r="C707" s="109" t="s">
        <v>32</v>
      </c>
      <c r="D707" s="102" t="s">
        <v>48</v>
      </c>
      <c r="E707" s="102"/>
      <c r="F707" s="102" t="s">
        <v>546</v>
      </c>
      <c r="G707" s="111">
        <v>15305.85</v>
      </c>
      <c r="H707" s="100"/>
      <c r="I707" s="100"/>
      <c r="J707" s="100"/>
      <c r="K707" s="100"/>
      <c r="L707" s="101"/>
      <c r="M707" s="69">
        <v>46082.0</v>
      </c>
      <c r="N707" s="101"/>
      <c r="O707" s="101"/>
      <c r="P707" s="101"/>
      <c r="Q707" s="100"/>
      <c r="R707" s="100"/>
      <c r="S707" s="100"/>
      <c r="T707" s="49"/>
      <c r="U707" s="49"/>
      <c r="V707" s="49"/>
      <c r="W707" s="49"/>
      <c r="X707" s="49"/>
    </row>
    <row r="708">
      <c r="A708" s="98" t="s">
        <v>488</v>
      </c>
      <c r="B708" s="98" t="s">
        <v>491</v>
      </c>
      <c r="C708" s="98"/>
      <c r="D708" s="98"/>
      <c r="E708" s="98"/>
      <c r="F708" s="98"/>
      <c r="G708" s="98">
        <v>31802.26</v>
      </c>
      <c r="H708" s="98"/>
      <c r="I708" s="98"/>
      <c r="J708" s="98"/>
      <c r="K708" s="98"/>
      <c r="L708" s="98">
        <v>31802.26</v>
      </c>
      <c r="M708" s="98" t="s">
        <v>492</v>
      </c>
      <c r="N708" s="98" t="s">
        <v>415</v>
      </c>
      <c r="O708" s="98">
        <v>7.0</v>
      </c>
      <c r="P708" s="98" t="s">
        <v>493</v>
      </c>
      <c r="Q708" s="98"/>
      <c r="R708" s="98"/>
      <c r="S708" s="98"/>
      <c r="T708" s="49"/>
      <c r="U708" s="49"/>
      <c r="V708" s="49"/>
      <c r="W708" s="49"/>
      <c r="X708" s="49"/>
    </row>
    <row r="709" ht="15.75" customHeight="1">
      <c r="A709" s="98" t="s">
        <v>490</v>
      </c>
      <c r="B709" s="98" t="s">
        <v>500</v>
      </c>
      <c r="C709" s="98" t="s">
        <v>32</v>
      </c>
      <c r="D709" s="98"/>
      <c r="E709" s="98"/>
      <c r="F709" s="98"/>
      <c r="G709" s="98">
        <v>44066.6</v>
      </c>
      <c r="H709" s="98"/>
      <c r="I709" s="98"/>
      <c r="J709" s="98"/>
      <c r="K709" s="98"/>
      <c r="L709" s="98">
        <v>44066.6</v>
      </c>
      <c r="M709" s="98" t="s">
        <v>504</v>
      </c>
      <c r="N709" s="98" t="s">
        <v>415</v>
      </c>
      <c r="O709" s="98">
        <v>106.0</v>
      </c>
      <c r="P709" s="98" t="s">
        <v>493</v>
      </c>
      <c r="Q709" s="98"/>
      <c r="R709" s="98"/>
      <c r="S709" s="98"/>
      <c r="T709" s="49"/>
      <c r="U709" s="49"/>
      <c r="V709" s="49"/>
      <c r="W709" s="49"/>
      <c r="X709" s="49"/>
    </row>
    <row r="710" ht="15.75" customHeight="1">
      <c r="A710" s="98" t="s">
        <v>488</v>
      </c>
      <c r="B710" s="98" t="s">
        <v>491</v>
      </c>
      <c r="C710" s="98"/>
      <c r="D710" s="98"/>
      <c r="E710" s="98"/>
      <c r="F710" s="98"/>
      <c r="G710" s="98">
        <v>78740.0</v>
      </c>
      <c r="H710" s="98"/>
      <c r="I710" s="98"/>
      <c r="J710" s="98"/>
      <c r="K710" s="98"/>
      <c r="L710" s="98">
        <v>78740.0</v>
      </c>
      <c r="M710" s="98" t="s">
        <v>492</v>
      </c>
      <c r="N710" s="98" t="s">
        <v>415</v>
      </c>
      <c r="O710" s="98">
        <v>7.0</v>
      </c>
      <c r="P710" s="98" t="s">
        <v>416</v>
      </c>
      <c r="Q710" s="98"/>
      <c r="R710" s="98"/>
      <c r="S710" s="98"/>
      <c r="T710" s="49"/>
      <c r="U710" s="49"/>
      <c r="V710" s="49"/>
      <c r="W710" s="49"/>
      <c r="X710" s="49"/>
    </row>
    <row r="711" ht="15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49"/>
      <c r="U711" s="49"/>
      <c r="V711" s="49"/>
      <c r="W711" s="49"/>
      <c r="X711" s="49"/>
    </row>
    <row r="712" ht="15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49"/>
      <c r="U712" s="49"/>
      <c r="V712" s="49"/>
      <c r="W712" s="49"/>
      <c r="X712" s="49"/>
    </row>
    <row r="713" ht="15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49"/>
      <c r="U713" s="49"/>
      <c r="V713" s="49"/>
      <c r="W713" s="49"/>
      <c r="X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</row>
    <row r="715" ht="15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49"/>
      <c r="U715" s="49"/>
      <c r="V715" s="49"/>
      <c r="W715" s="49"/>
      <c r="X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</row>
    <row r="719" ht="15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49"/>
      <c r="U719" s="49"/>
      <c r="V719" s="49"/>
      <c r="W719" s="49"/>
      <c r="X719" s="49"/>
    </row>
    <row r="720" ht="15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49"/>
      <c r="U720" s="49"/>
      <c r="V720" s="49"/>
      <c r="W720" s="49"/>
      <c r="X720" s="49"/>
    </row>
    <row r="721" ht="15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49"/>
      <c r="U721" s="49"/>
      <c r="V721" s="49"/>
      <c r="W721" s="49"/>
      <c r="X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</row>
    <row r="1001" ht="15.75" customHeight="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</row>
    <row r="1002" ht="15.75" customHeight="1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</row>
    <row r="1003" ht="15.75" customHeight="1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</row>
    <row r="1004" ht="15.75" customHeight="1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</row>
    <row r="1005" ht="15.75" customHeight="1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</row>
    <row r="1006" ht="15.75" customHeight="1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</row>
    <row r="1007" ht="15.75" customHeight="1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</row>
    <row r="1008" ht="15.75" customHeight="1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</row>
    <row r="1009" ht="15.75" customHeight="1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</row>
    <row r="1010" ht="15.75" customHeight="1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</row>
    <row r="1011" ht="15.75" customHeight="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</row>
    <row r="1012" ht="15.75" customHeight="1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</row>
    <row r="1013" ht="15.75" customHeight="1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</row>
    <row r="1014" ht="15.75" customHeight="1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</row>
    <row r="1015" ht="15.75" customHeight="1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</row>
    <row r="1016" ht="15.75" customHeight="1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</row>
    <row r="1017" ht="15.75" customHeight="1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</row>
    <row r="1018" ht="15.75" customHeight="1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</row>
    <row r="1019" ht="15.75" customHeight="1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</row>
    <row r="1020" ht="15.75" customHeight="1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</row>
    <row r="1021" ht="15.75" customHeight="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</row>
    <row r="1022" ht="15.75" customHeight="1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</row>
    <row r="1023" ht="15.75" customHeight="1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</row>
    <row r="1024" ht="15.75" customHeight="1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</row>
    <row r="1025" ht="15.75" customHeight="1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</row>
    <row r="1026" ht="15.75" customHeight="1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</row>
    <row r="1027" ht="15.75" customHeight="1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</row>
    <row r="1028" ht="15.75" customHeight="1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</row>
    <row r="1029" ht="15.75" customHeight="1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</row>
    <row r="1030" ht="15.75" customHeight="1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</row>
    <row r="1031" ht="15.75" customHeight="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</row>
    <row r="1032" ht="15.75" customHeight="1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</row>
    <row r="1033" ht="15.75" customHeight="1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</row>
    <row r="1034" ht="15.75" customHeight="1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</row>
    <row r="1035" ht="15.75" customHeight="1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</row>
    <row r="1036" ht="15.75" customHeight="1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</row>
    <row r="1037" ht="15.75" customHeight="1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</row>
    <row r="1038" ht="15.75" customHeight="1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</row>
    <row r="1039" ht="15.75" customHeight="1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</row>
    <row r="1040" ht="15.75" customHeight="1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</row>
    <row r="1041" ht="15.75" customHeight="1">
      <c r="A1041" s="49"/>
      <c r="B1041" s="49"/>
      <c r="C1041" s="49"/>
      <c r="D1041" s="49"/>
      <c r="E1041" s="49"/>
      <c r="F1041" s="49"/>
      <c r="G1041" s="49"/>
      <c r="H1041" s="49"/>
      <c r="I1041" s="49"/>
      <c r="J1041" s="49"/>
      <c r="K1041" s="49"/>
      <c r="L1041" s="49"/>
      <c r="M1041" s="49"/>
      <c r="N1041" s="49"/>
      <c r="O1041" s="49"/>
      <c r="P1041" s="49"/>
      <c r="Q1041" s="49"/>
      <c r="R1041" s="49"/>
      <c r="S1041" s="49"/>
      <c r="T1041" s="49"/>
      <c r="U1041" s="49"/>
      <c r="V1041" s="49"/>
      <c r="W1041" s="49"/>
      <c r="X1041" s="49"/>
    </row>
    <row r="1042" ht="15.75" customHeight="1">
      <c r="A1042" s="49"/>
      <c r="B1042" s="49"/>
      <c r="C1042" s="49"/>
      <c r="D1042" s="49"/>
      <c r="E1042" s="49"/>
      <c r="F1042" s="49"/>
      <c r="G1042" s="49"/>
      <c r="H1042" s="49"/>
      <c r="I1042" s="49"/>
      <c r="J1042" s="49"/>
      <c r="K1042" s="49"/>
      <c r="L1042" s="49"/>
      <c r="M1042" s="49"/>
      <c r="N1042" s="49"/>
      <c r="O1042" s="49"/>
      <c r="P1042" s="49"/>
      <c r="Q1042" s="49"/>
      <c r="R1042" s="49"/>
      <c r="S1042" s="49"/>
      <c r="T1042" s="49"/>
      <c r="U1042" s="49"/>
      <c r="V1042" s="49"/>
      <c r="W1042" s="49"/>
      <c r="X1042" s="49"/>
    </row>
    <row r="1043" ht="15.75" customHeight="1">
      <c r="A1043" s="49"/>
      <c r="B1043" s="49"/>
      <c r="C1043" s="49"/>
      <c r="D1043" s="49"/>
      <c r="E1043" s="49"/>
      <c r="F1043" s="49"/>
      <c r="G1043" s="49"/>
      <c r="H1043" s="49"/>
      <c r="I1043" s="49"/>
      <c r="J1043" s="49"/>
      <c r="K1043" s="49"/>
      <c r="L1043" s="49"/>
      <c r="M1043" s="49"/>
      <c r="N1043" s="49"/>
      <c r="O1043" s="49"/>
      <c r="P1043" s="49"/>
      <c r="Q1043" s="49"/>
      <c r="R1043" s="49"/>
      <c r="S1043" s="49"/>
      <c r="T1043" s="49"/>
      <c r="U1043" s="49"/>
      <c r="V1043" s="49"/>
      <c r="W1043" s="49"/>
      <c r="X1043" s="49"/>
    </row>
    <row r="1044" ht="15.75" customHeight="1">
      <c r="A1044" s="49"/>
      <c r="B1044" s="49"/>
      <c r="C1044" s="49"/>
      <c r="D1044" s="49"/>
      <c r="E1044" s="49"/>
      <c r="F1044" s="49"/>
      <c r="G1044" s="49"/>
      <c r="H1044" s="49"/>
      <c r="I1044" s="49"/>
      <c r="J1044" s="49"/>
      <c r="K1044" s="49"/>
      <c r="L1044" s="49"/>
      <c r="M1044" s="49"/>
      <c r="N1044" s="49"/>
      <c r="O1044" s="49"/>
      <c r="P1044" s="49"/>
      <c r="Q1044" s="49"/>
      <c r="R1044" s="49"/>
      <c r="S1044" s="49"/>
      <c r="T1044" s="49"/>
      <c r="U1044" s="49"/>
      <c r="V1044" s="49"/>
      <c r="W1044" s="49"/>
      <c r="X1044" s="49"/>
    </row>
    <row r="1045" ht="15.75" customHeight="1">
      <c r="A1045" s="49"/>
      <c r="B1045" s="49"/>
      <c r="C1045" s="49"/>
      <c r="D1045" s="49"/>
      <c r="E1045" s="49"/>
      <c r="F1045" s="49"/>
      <c r="G1045" s="49"/>
      <c r="H1045" s="49"/>
      <c r="I1045" s="49"/>
      <c r="J1045" s="49"/>
      <c r="K1045" s="49"/>
      <c r="L1045" s="49"/>
      <c r="M1045" s="49"/>
      <c r="N1045" s="49"/>
      <c r="O1045" s="49"/>
      <c r="P1045" s="49"/>
      <c r="Q1045" s="49"/>
      <c r="R1045" s="49"/>
      <c r="S1045" s="49"/>
      <c r="T1045" s="49"/>
      <c r="U1045" s="49"/>
      <c r="V1045" s="49"/>
      <c r="W1045" s="49"/>
      <c r="X1045" s="49"/>
    </row>
    <row r="1046" ht="15.75" customHeight="1">
      <c r="A1046" s="49"/>
      <c r="B1046" s="49"/>
      <c r="C1046" s="49"/>
      <c r="D1046" s="49"/>
      <c r="E1046" s="49"/>
      <c r="F1046" s="49"/>
      <c r="G1046" s="49"/>
      <c r="H1046" s="49"/>
      <c r="I1046" s="49"/>
      <c r="J1046" s="49"/>
      <c r="K1046" s="49"/>
      <c r="L1046" s="49"/>
      <c r="M1046" s="49"/>
      <c r="N1046" s="49"/>
      <c r="O1046" s="49"/>
      <c r="P1046" s="49"/>
      <c r="Q1046" s="49"/>
      <c r="R1046" s="49"/>
      <c r="S1046" s="49"/>
      <c r="T1046" s="49"/>
      <c r="U1046" s="49"/>
      <c r="V1046" s="49"/>
      <c r="W1046" s="49"/>
      <c r="X1046" s="49"/>
    </row>
    <row r="1047" ht="15.75" customHeight="1">
      <c r="A1047" s="49"/>
      <c r="B1047" s="49"/>
      <c r="C1047" s="49"/>
      <c r="D1047" s="49"/>
      <c r="E1047" s="49"/>
      <c r="F1047" s="49"/>
      <c r="G1047" s="49"/>
      <c r="H1047" s="49"/>
      <c r="I1047" s="49"/>
      <c r="J1047" s="49"/>
      <c r="K1047" s="49"/>
      <c r="L1047" s="49"/>
      <c r="M1047" s="49"/>
      <c r="N1047" s="49"/>
      <c r="O1047" s="49"/>
      <c r="P1047" s="49"/>
      <c r="Q1047" s="49"/>
      <c r="R1047" s="49"/>
      <c r="S1047" s="49"/>
      <c r="T1047" s="49"/>
      <c r="U1047" s="49"/>
      <c r="V1047" s="49"/>
      <c r="W1047" s="49"/>
      <c r="X1047" s="49"/>
    </row>
    <row r="1048" ht="15.75" customHeight="1">
      <c r="A1048" s="49"/>
      <c r="B1048" s="49"/>
      <c r="C1048" s="49"/>
      <c r="D1048" s="49"/>
      <c r="E1048" s="49"/>
      <c r="F1048" s="49"/>
      <c r="G1048" s="49"/>
      <c r="H1048" s="49"/>
      <c r="I1048" s="49"/>
      <c r="J1048" s="49"/>
      <c r="K1048" s="49"/>
      <c r="L1048" s="49"/>
      <c r="M1048" s="49"/>
      <c r="N1048" s="49"/>
      <c r="O1048" s="49"/>
      <c r="P1048" s="49"/>
      <c r="Q1048" s="49"/>
      <c r="R1048" s="49"/>
      <c r="S1048" s="49"/>
      <c r="T1048" s="49"/>
      <c r="U1048" s="49"/>
      <c r="V1048" s="49"/>
      <c r="W1048" s="49"/>
      <c r="X1048" s="49"/>
    </row>
    <row r="1049" ht="15.75" customHeight="1">
      <c r="A1049" s="49"/>
      <c r="B1049" s="49"/>
      <c r="C1049" s="49"/>
      <c r="D1049" s="49"/>
      <c r="E1049" s="49"/>
      <c r="F1049" s="49"/>
      <c r="G1049" s="49"/>
      <c r="H1049" s="49"/>
      <c r="I1049" s="49"/>
      <c r="J1049" s="49"/>
      <c r="K1049" s="49"/>
      <c r="L1049" s="49"/>
      <c r="M1049" s="49"/>
      <c r="N1049" s="49"/>
      <c r="O1049" s="49"/>
      <c r="P1049" s="49"/>
      <c r="Q1049" s="49"/>
      <c r="R1049" s="49"/>
      <c r="S1049" s="49"/>
      <c r="T1049" s="49"/>
      <c r="U1049" s="49"/>
      <c r="V1049" s="49"/>
      <c r="W1049" s="49"/>
      <c r="X1049" s="49"/>
    </row>
    <row r="1050" ht="15.75" customHeight="1">
      <c r="A1050" s="49"/>
      <c r="B1050" s="49"/>
      <c r="C1050" s="49"/>
      <c r="D1050" s="49"/>
      <c r="E1050" s="49"/>
      <c r="F1050" s="49"/>
      <c r="G1050" s="49"/>
      <c r="H1050" s="49"/>
      <c r="I1050" s="49"/>
      <c r="J1050" s="49"/>
      <c r="K1050" s="49"/>
      <c r="L1050" s="49"/>
      <c r="M1050" s="49"/>
      <c r="N1050" s="49"/>
      <c r="O1050" s="49"/>
      <c r="P1050" s="49"/>
      <c r="Q1050" s="49"/>
      <c r="R1050" s="49"/>
      <c r="S1050" s="49"/>
      <c r="T1050" s="49"/>
      <c r="U1050" s="49"/>
      <c r="V1050" s="49"/>
      <c r="W1050" s="49"/>
      <c r="X1050" s="49"/>
    </row>
    <row r="1051" ht="15.75" customHeight="1">
      <c r="A1051" s="49"/>
      <c r="B1051" s="49"/>
      <c r="C1051" s="49"/>
      <c r="D1051" s="49"/>
      <c r="E1051" s="49"/>
      <c r="F1051" s="49"/>
      <c r="G1051" s="49"/>
      <c r="H1051" s="49"/>
      <c r="I1051" s="49"/>
      <c r="J1051" s="49"/>
      <c r="K1051" s="49"/>
      <c r="L1051" s="49"/>
      <c r="M1051" s="49"/>
      <c r="N1051" s="49"/>
      <c r="O1051" s="49"/>
      <c r="P1051" s="49"/>
      <c r="Q1051" s="49"/>
      <c r="R1051" s="49"/>
      <c r="S1051" s="49"/>
      <c r="T1051" s="49"/>
      <c r="U1051" s="49"/>
      <c r="V1051" s="49"/>
      <c r="W1051" s="49"/>
      <c r="X1051" s="49"/>
    </row>
    <row r="1052" ht="15.75" customHeight="1">
      <c r="A1052" s="49"/>
      <c r="B1052" s="49"/>
      <c r="C1052" s="49"/>
      <c r="D1052" s="49"/>
      <c r="E1052" s="49"/>
      <c r="F1052" s="49"/>
      <c r="G1052" s="49"/>
      <c r="H1052" s="49"/>
      <c r="I1052" s="49"/>
      <c r="J1052" s="49"/>
      <c r="K1052" s="49"/>
      <c r="L1052" s="49"/>
      <c r="M1052" s="49"/>
      <c r="N1052" s="49"/>
      <c r="O1052" s="49"/>
      <c r="P1052" s="49"/>
      <c r="Q1052" s="49"/>
      <c r="R1052" s="49"/>
      <c r="S1052" s="49"/>
      <c r="T1052" s="49"/>
      <c r="U1052" s="49"/>
      <c r="V1052" s="49"/>
      <c r="W1052" s="49"/>
      <c r="X1052" s="49"/>
    </row>
    <row r="1053" ht="15.75" customHeight="1">
      <c r="A1053" s="49"/>
      <c r="B1053" s="49"/>
      <c r="C1053" s="49"/>
      <c r="D1053" s="49"/>
      <c r="E1053" s="49"/>
      <c r="F1053" s="49"/>
      <c r="G1053" s="49"/>
      <c r="H1053" s="49"/>
      <c r="I1053" s="49"/>
      <c r="J1053" s="49"/>
      <c r="K1053" s="49"/>
      <c r="L1053" s="49"/>
      <c r="M1053" s="49"/>
      <c r="N1053" s="49"/>
      <c r="O1053" s="49"/>
      <c r="P1053" s="49"/>
      <c r="Q1053" s="49"/>
      <c r="R1053" s="49"/>
      <c r="S1053" s="49"/>
      <c r="T1053" s="49"/>
      <c r="U1053" s="49"/>
      <c r="V1053" s="49"/>
      <c r="W1053" s="49"/>
      <c r="X1053" s="49"/>
    </row>
    <row r="1054" ht="15.75" customHeight="1">
      <c r="A1054" s="49"/>
      <c r="B1054" s="49"/>
      <c r="C1054" s="49"/>
      <c r="D1054" s="49"/>
      <c r="E1054" s="49"/>
      <c r="F1054" s="49"/>
      <c r="G1054" s="49"/>
      <c r="H1054" s="49"/>
      <c r="I1054" s="49"/>
      <c r="J1054" s="49"/>
      <c r="K1054" s="49"/>
      <c r="L1054" s="49"/>
      <c r="M1054" s="49"/>
      <c r="N1054" s="49"/>
      <c r="O1054" s="49"/>
      <c r="P1054" s="49"/>
      <c r="Q1054" s="49"/>
      <c r="R1054" s="49"/>
      <c r="S1054" s="49"/>
      <c r="T1054" s="49"/>
      <c r="U1054" s="49"/>
      <c r="V1054" s="49"/>
      <c r="W1054" s="49"/>
      <c r="X1054" s="49"/>
    </row>
    <row r="1055" ht="15.75" customHeight="1">
      <c r="A1055" s="49"/>
      <c r="B1055" s="49"/>
      <c r="C1055" s="49"/>
      <c r="D1055" s="49"/>
      <c r="E1055" s="49"/>
      <c r="F1055" s="49"/>
      <c r="G1055" s="49"/>
      <c r="H1055" s="49"/>
      <c r="I1055" s="49"/>
      <c r="J1055" s="49"/>
      <c r="K1055" s="49"/>
      <c r="L1055" s="49"/>
      <c r="M1055" s="49"/>
      <c r="N1055" s="49"/>
      <c r="O1055" s="49"/>
      <c r="P1055" s="49"/>
      <c r="Q1055" s="49"/>
      <c r="R1055" s="49"/>
      <c r="S1055" s="49"/>
      <c r="T1055" s="49"/>
      <c r="U1055" s="49"/>
      <c r="V1055" s="49"/>
      <c r="W1055" s="49"/>
      <c r="X1055" s="49"/>
    </row>
    <row r="1056" ht="15.75" customHeight="1">
      <c r="A1056" s="49"/>
      <c r="B1056" s="49"/>
      <c r="C1056" s="49"/>
      <c r="D1056" s="49"/>
      <c r="E1056" s="49"/>
      <c r="F1056" s="49"/>
      <c r="G1056" s="49"/>
      <c r="H1056" s="49"/>
      <c r="I1056" s="49"/>
      <c r="J1056" s="49"/>
      <c r="K1056" s="49"/>
      <c r="L1056" s="49"/>
      <c r="M1056" s="49"/>
      <c r="N1056" s="49"/>
      <c r="O1056" s="49"/>
      <c r="P1056" s="49"/>
      <c r="Q1056" s="49"/>
      <c r="R1056" s="49"/>
      <c r="S1056" s="49"/>
      <c r="T1056" s="49"/>
      <c r="U1056" s="49"/>
      <c r="V1056" s="49"/>
      <c r="W1056" s="49"/>
      <c r="X1056" s="49"/>
    </row>
    <row r="1057" ht="15.75" customHeight="1">
      <c r="A1057" s="49"/>
      <c r="B1057" s="49"/>
      <c r="C1057" s="49"/>
      <c r="D1057" s="49"/>
      <c r="E1057" s="49"/>
      <c r="F1057" s="49"/>
      <c r="G1057" s="49"/>
      <c r="H1057" s="49"/>
      <c r="I1057" s="49"/>
      <c r="J1057" s="49"/>
      <c r="K1057" s="49"/>
      <c r="L1057" s="49"/>
      <c r="M1057" s="49"/>
      <c r="N1057" s="49"/>
      <c r="O1057" s="49"/>
      <c r="P1057" s="49"/>
      <c r="Q1057" s="49"/>
      <c r="R1057" s="49"/>
      <c r="S1057" s="49"/>
      <c r="T1057" s="49"/>
      <c r="U1057" s="49"/>
      <c r="V1057" s="49"/>
      <c r="W1057" s="49"/>
      <c r="X1057" s="49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