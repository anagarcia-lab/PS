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2025" sheetId="2" r:id="rId5"/>
    <sheet state="visible" name="NOTAS" sheetId="3" r:id="rId6"/>
    <sheet state="visible" name="DF_LIMPIO1" sheetId="4" r:id="rId7"/>
    <sheet state="visible" name="DF_LIMPIO2" sheetId="5" r:id="rId8"/>
    <sheet state="visible" name="DF_LIMPIO3" sheetId="6" r:id="rId9"/>
    <sheet state="visible" name="nom_interna" sheetId="7" r:id="rId10"/>
    <sheet state="hidden" name="respaldo otros egresos" sheetId="8" r:id="rId11"/>
    <sheet state="hidden" name="respaldo sueldos y salarios" sheetId="9" r:id="rId12"/>
    <sheet state="hidden" name="Sheet2" sheetId="10" r:id="rId13"/>
  </sheets>
  <definedNames>
    <definedName hidden="1" localSheetId="0" name="_xlnm._FilterDatabase">Sheet1!$A$1:$R$838</definedName>
    <definedName hidden="1" localSheetId="1" name="_xlnm._FilterDatabase">'2025'!$A$1:$I$496</definedName>
    <definedName hidden="1" localSheetId="4" name="_xlnm._FilterDatabase">DF_LIMPIO2!$A$1:$Y$1043</definedName>
    <definedName hidden="1" localSheetId="5" name="_xlnm._FilterDatabase">DF_LIMPIO3!$A$1:$Y$1029</definedName>
    <definedName hidden="1" localSheetId="8" name="_xlnm._FilterDatabase">'respaldo sueldos y salarios'!$A$1:$S$476</definedName>
    <definedName hidden="1" localSheetId="9" name="_xlnm._FilterDatabase">Sheet2!$A$1:$S$654</definedName>
  </definedNames>
  <calcPr/>
  <extLst>
    <ext uri="GoogleSheetsCustomDataVersion2">
      <go:sheetsCustomData xmlns:go="http://customooxmlschemas.google.com/" r:id="rId14" roundtripDataChecksum="pr/KvwtTtxVAQ2+3N8qDmd8mUlrTfcLp2uZNC+kVPHM="/>
    </ext>
  </extLst>
</workbook>
</file>

<file path=xl/sharedStrings.xml><?xml version="1.0" encoding="utf-8"?>
<sst xmlns="http://schemas.openxmlformats.org/spreadsheetml/2006/main" count="24853" uniqueCount="1772">
  <si>
    <t>CATEGORIA_NETSUITE</t>
  </si>
  <si>
    <t>Concepto</t>
  </si>
  <si>
    <t>IS</t>
  </si>
  <si>
    <t>ÁREA</t>
  </si>
  <si>
    <t>ZONA PPTO</t>
  </si>
  <si>
    <t>EMPLEADO</t>
  </si>
  <si>
    <t>MONTO</t>
  </si>
  <si>
    <t>PERIODO</t>
  </si>
  <si>
    <t>AREA</t>
  </si>
  <si>
    <t>ZONA</t>
  </si>
  <si>
    <t>PCT_POND</t>
  </si>
  <si>
    <t>Fecha</t>
  </si>
  <si>
    <t>Tipo</t>
  </si>
  <si>
    <t>Número</t>
  </si>
  <si>
    <t>Clasf Efs</t>
  </si>
  <si>
    <t>ID SGN</t>
  </si>
  <si>
    <t>PUESTO</t>
  </si>
  <si>
    <t>PAGADORA</t>
  </si>
  <si>
    <t>Sueldos y salarios</t>
  </si>
  <si>
    <t>ACEVEDO LOPEZ GERMAIN</t>
  </si>
  <si>
    <t>COGS</t>
  </si>
  <si>
    <t>OPERACIONES</t>
  </si>
  <si>
    <t>CENTRO</t>
  </si>
  <si>
    <t>GERMAIN ACEVEDO LOPEZ</t>
  </si>
  <si>
    <t>ENERO</t>
  </si>
  <si>
    <t>MARZO</t>
  </si>
  <si>
    <t>FEBRERO</t>
  </si>
  <si>
    <t>ABRIL</t>
  </si>
  <si>
    <t>AGUILAR MORALES EMANUEL</t>
  </si>
  <si>
    <t>EMANUEL AGUILAR MORALES</t>
  </si>
  <si>
    <t>ALCANTARA SEGURA MIRIAM JOSEFINA</t>
  </si>
  <si>
    <t>GASTOS DE ADMINISTRACIÓN</t>
  </si>
  <si>
    <t xml:space="preserve"> TÉCNICO</t>
  </si>
  <si>
    <t>MIRIAM JOSEFINA ALCANTARA SEGURA</t>
  </si>
  <si>
    <t>ALMADA NOZATO DANNA PAOLA</t>
  </si>
  <si>
    <t>SURESTE</t>
  </si>
  <si>
    <t>DANNA PAOLA ALMADA NOZATO</t>
  </si>
  <si>
    <t>ALMANZA GUZMAN FREDDY JESUS</t>
  </si>
  <si>
    <t>BRAND BUILDING</t>
  </si>
  <si>
    <t>FREDDY JESUS ALMANZA GUZMAN</t>
  </si>
  <si>
    <t>ALTAMIRANO DIAZ CIELO ANEL</t>
  </si>
  <si>
    <t>NOROESTE</t>
  </si>
  <si>
    <t>CIELO ANEL ALTAMIRANO DIAZ</t>
  </si>
  <si>
    <t>ALVAREZ CABRERA RODRIGO</t>
  </si>
  <si>
    <t>OCCIDENTE</t>
  </si>
  <si>
    <t>RODRIGO ALVAREZ CABRERA</t>
  </si>
  <si>
    <t>ALVAREZ CHAVEZ VICTOR MANUEL</t>
  </si>
  <si>
    <t>COMERCIAL</t>
  </si>
  <si>
    <t>VICTOR MANUEL ALVAREZ CHAVEZ</t>
  </si>
  <si>
    <t>AREVALO CERVANTES MIGUEL ANGEL</t>
  </si>
  <si>
    <t>MIGUEL ANGEL AREVALO CERVANTES</t>
  </si>
  <si>
    <t>ARRAZOLA SANTAELLA ALBERTO NICOLAS</t>
  </si>
  <si>
    <t>ALBERTO NICOLAS ARRAZOLA SANTAELLA</t>
  </si>
  <si>
    <t>ARREOLA ALATRISTE ALEXANDRA ESTEPHANIA</t>
  </si>
  <si>
    <t>TÉCNICO</t>
  </si>
  <si>
    <t>ALEXANDRA ESTEPHANIA ARREOLA ALATRISTE</t>
  </si>
  <si>
    <t>ARVIZU ESTRADA ALBA MARIANA</t>
  </si>
  <si>
    <t>ALBA MARIANA ARVIZU ESTRADA</t>
  </si>
  <si>
    <t>BACA AGUIRRE ANTONIO</t>
  </si>
  <si>
    <t>ANTONIO BACA AGUIRRE</t>
  </si>
  <si>
    <t>BALTAZAR RODRIGUEZ SERGIO ALBERTO</t>
  </si>
  <si>
    <t>NORTE</t>
  </si>
  <si>
    <t>SERGIO ALBERTO BALTAZAR RODRIGUEZ</t>
  </si>
  <si>
    <t>BERNAL MONROY MARIA DEL PILAR JAZMINE</t>
  </si>
  <si>
    <t>MARIA DEL PILAR JAZMINE BERNAL MONROY</t>
  </si>
  <si>
    <t>FRANCISCO JAVIER BERRUETA GUTIERREZ</t>
  </si>
  <si>
    <t>OTROS Facturación / GASTOS</t>
  </si>
  <si>
    <t>SOCIOS</t>
  </si>
  <si>
    <t>JOSE DE JESUS RAMIREZ GONZALEZ</t>
  </si>
  <si>
    <t>SUSANA RUTH GARCIA MARTINEZ</t>
  </si>
  <si>
    <t>LAE</t>
  </si>
  <si>
    <t>DIEGO GUERRA GUTIERREZ</t>
  </si>
  <si>
    <t xml:space="preserve">JOSE CARLOS SAENZ FERNANDEZ </t>
  </si>
  <si>
    <t>NADIA YURIT ARAUJO ISLAS</t>
  </si>
  <si>
    <t>BERRUETA GONZALEZ FRANCISCO JAVIER</t>
  </si>
  <si>
    <t>PENDIENTE</t>
  </si>
  <si>
    <t>FRANCISCO JAVIER BERRUETA GONZALEZ</t>
  </si>
  <si>
    <t>BERRUETA GUTIERREZ SOFIA</t>
  </si>
  <si>
    <t>SOFIA BERRUETA GUTIERREZ</t>
  </si>
  <si>
    <t>BOCANEGRA MARTINEZ ELEAZAR</t>
  </si>
  <si>
    <t>ELEAZAR BOCANEGRA MARTINEZ</t>
  </si>
  <si>
    <t>BRAVO ZAPIAIN NATALIA</t>
  </si>
  <si>
    <t>NATALIA BRAVO ZAPIAIN</t>
  </si>
  <si>
    <t>CABRERA TERAN ARTURO</t>
  </si>
  <si>
    <t>ARTURO CABRERA TERAN</t>
  </si>
  <si>
    <t>CAMACHO MONCADA MARIA JOSE</t>
  </si>
  <si>
    <t>MARIA JOSE CAMACHO MONCADA</t>
  </si>
  <si>
    <t>CAMACHO NUÑO IVAN ANGEL</t>
  </si>
  <si>
    <t>IVAN ANGEL CAMACHO NUÑO</t>
  </si>
  <si>
    <t>CATARINO TENORIO GRISELDA</t>
  </si>
  <si>
    <t>GRISELDA CATARINO TENORIO</t>
  </si>
  <si>
    <t>CERVANTES AGUILAR JENNIFER MICHELLE</t>
  </si>
  <si>
    <t>JENNIFER MICHELLE CERVANTES AGUILAR</t>
  </si>
  <si>
    <t>CORNEJO JIMENEZ MARLEN (MULTIZONA)</t>
  </si>
  <si>
    <t>MARLEN CORNEJO JIMENEZ</t>
  </si>
  <si>
    <t>CRISOSTOMO ARENAS MARIA DE LOURDES</t>
  </si>
  <si>
    <t>MARIA DE LOURDES CRISOSTOMO ARENAS</t>
  </si>
  <si>
    <t>CRUZ GARCIA KELLY</t>
  </si>
  <si>
    <t>RH</t>
  </si>
  <si>
    <t>KELLY CRUZ GARCIA</t>
  </si>
  <si>
    <t>CRUZ RODRIGUEZ MARINA CRISTHEL</t>
  </si>
  <si>
    <t>MARINA CRISTHEL CRUZ RODRIGUEZ</t>
  </si>
  <si>
    <t>DE LA VEGA ALCALA BIANCA FRANCISCA</t>
  </si>
  <si>
    <t>VEGA ALCALA BIANCA FRANCISCA DE LA</t>
  </si>
  <si>
    <t>DE LOS SANTOS ALARCON GIOVANNI ALEXANDER</t>
  </si>
  <si>
    <t>SANTOS ALARCON GIOVANNI ALEXANDER DE LOS</t>
  </si>
  <si>
    <t>DIAZ GARCIA MARIA NARELI</t>
  </si>
  <si>
    <t>MARIA NARELI DIAZ GARCIA</t>
  </si>
  <si>
    <t>DOMINGUEZ CORTES ERICK ALAN</t>
  </si>
  <si>
    <t>ERICK ALAN DOMINGUEZ CORTES</t>
  </si>
  <si>
    <t>DOMINGUEZ LOPEZ IRACEMA</t>
  </si>
  <si>
    <t>IRACEMA DOMINGUEZ LOPEZ</t>
  </si>
  <si>
    <t>DUARTE RODRIGUEZ GINA ARLETTE</t>
  </si>
  <si>
    <t>DIRECTIVO</t>
  </si>
  <si>
    <t>GINA ARLETTE DUARTE RODRIGUEZ</t>
  </si>
  <si>
    <t>ESPINOSA MENDOZA NESTOR AXEL</t>
  </si>
  <si>
    <t>NESTOR AXEL ESPINOSA MENDOZA</t>
  </si>
  <si>
    <t>FERNANDEZ PEREZ CLEIVER JOSE</t>
  </si>
  <si>
    <t>CLEIVER JOSE FERNANDEZ PEREZ</t>
  </si>
  <si>
    <t>FERRUSCA MARTINEZ ELVIRA SARAHI</t>
  </si>
  <si>
    <t>ELVIRA SARAHI FERRUSCA MARTINEZ</t>
  </si>
  <si>
    <t>FRANCO AGUILAR MARIA FERNANDA</t>
  </si>
  <si>
    <t>MARIA FERNANDA FRANCO AGUILAR</t>
  </si>
  <si>
    <t>GALLARDO PADILLA EBER</t>
  </si>
  <si>
    <t>EBER GALLARDO PADILLA</t>
  </si>
  <si>
    <t>GARCIA CORTES BELLMAR ALONSO</t>
  </si>
  <si>
    <t>BELLMAR ALONSO GARCIA CORTES</t>
  </si>
  <si>
    <t>GARCIA GARCIA SADUI SHERLYN</t>
  </si>
  <si>
    <t>SADUI SHERLYN GARCIA GARCIA</t>
  </si>
  <si>
    <t>GARCIA MAR JOSE</t>
  </si>
  <si>
    <t>JOSE GARCIA MAR</t>
  </si>
  <si>
    <t>GARCIA VELAZQUEZ FIDEL</t>
  </si>
  <si>
    <t>FIDEL GARCIA VELAZQUEZ</t>
  </si>
  <si>
    <t>GOMEZ GUZMAN JOSE GUADALUPE</t>
  </si>
  <si>
    <t>JOSE GUADALUPE GOMEZ GUZMAN</t>
  </si>
  <si>
    <t>GONZALEZ BOTELLO ERIKA SARAI</t>
  </si>
  <si>
    <t>ERIKA SARAI GONZALEZ BOTELLO</t>
  </si>
  <si>
    <t>GONZALEZ FERNANDEZ AWDREY NAOMY</t>
  </si>
  <si>
    <t>AWDREY NAOMY GONZALEZ FERNANDEZ</t>
  </si>
  <si>
    <t>GONZALEZ GOMEZ SHANI MADAY</t>
  </si>
  <si>
    <t>SHANI MADAY GONZALEZ GOMEZ</t>
  </si>
  <si>
    <t>GONZALEZ GONZALEZ GERARDO IMMANUEL</t>
  </si>
  <si>
    <t>GERARDO IMMANUEL GONZALEZ GONZALEZ</t>
  </si>
  <si>
    <t>GONZALEZ JIMENEZ MARIA YAITI</t>
  </si>
  <si>
    <t>MARIA YAITI GONZALEZ JIMENEZ</t>
  </si>
  <si>
    <t>GUTIERREZ RIOS FERNANDO</t>
  </si>
  <si>
    <t>FERNANDO GUTIERREZ RIOS</t>
  </si>
  <si>
    <t>GUZMAN SILVA XIMENA</t>
  </si>
  <si>
    <t>XIMENA GUZMAN SILVA</t>
  </si>
  <si>
    <t>HERNANDEZ AGUILAR CIRO ALBERTO</t>
  </si>
  <si>
    <t>CIRO ALBERTO HERNANDEZ AGUILAR</t>
  </si>
  <si>
    <t>HERRERA GARCIA MARIA FERNANDA</t>
  </si>
  <si>
    <t>MARIA FERNANDA HERRERA GARCIA</t>
  </si>
  <si>
    <t>HIDALGO JIMENEZ IRIS SELENE</t>
  </si>
  <si>
    <t>IRIS SELENE HIDALGO JIMENEZ</t>
  </si>
  <si>
    <t>HIDALGO RODRIGUEZ JESUS EULALIO</t>
  </si>
  <si>
    <t>JESUS EULALIO HIDALGO RODRIGUEZ</t>
  </si>
  <si>
    <t>JIMENEZ LUCIO LUISA ALONDRA</t>
  </si>
  <si>
    <t>LUISA ALONDRA JIMENEZ LUCIO</t>
  </si>
  <si>
    <t>JUAREZ CAZAREZ ISAIAS MIGUEL</t>
  </si>
  <si>
    <t>CHOFER</t>
  </si>
  <si>
    <t>ISAIAS MIGUEL JUAREZ CAZAREZ</t>
  </si>
  <si>
    <t>JUAREZ QUEVEDO VICTOR HUGO</t>
  </si>
  <si>
    <t>VICTOR HUGO JUAREZ QUEVEDO</t>
  </si>
  <si>
    <t>LARA MARTINEZ BRENDA ALESSIA</t>
  </si>
  <si>
    <t>BRENDA ALESSIA LARA MARTINEZ</t>
  </si>
  <si>
    <t>LEDEZMA LONGORIA DANIKA (MULTIZONA)</t>
  </si>
  <si>
    <t>DANIKA LEDEZMA LONGORIA</t>
  </si>
  <si>
    <t>LOPEZ LOPEZ LUIS DIEGO</t>
  </si>
  <si>
    <t>LUIS DIEGO LOPEZ LOPEZ</t>
  </si>
  <si>
    <t>LOPEZ MALDONADO AMAIRANI</t>
  </si>
  <si>
    <t>AMAIRANI LOPEZ MALDONADO</t>
  </si>
  <si>
    <t>LOPEZ MENDEZ IRAIDE SUSANA</t>
  </si>
  <si>
    <t>IRAIDE SUSANA LOPEZ MENDEZ</t>
  </si>
  <si>
    <t>LOPEZ MORALES EMMANUEL ALEJANDRO</t>
  </si>
  <si>
    <t>EMMANUEL ALEJANDRO LOPEZ MORALES</t>
  </si>
  <si>
    <t>LOPEZ PONCE CARMEN CECILIA</t>
  </si>
  <si>
    <t>CARMEN CECILIA LOPEZ PONCE</t>
  </si>
  <si>
    <t>LOZA CRUZ SERGIO IVAN</t>
  </si>
  <si>
    <t>SERGIO IVAN LOZA CRUZ</t>
  </si>
  <si>
    <t>LOZANO GONZALEZ MARIA GUADALUPE</t>
  </si>
  <si>
    <t>MARIA GUADALUPE LOZANO GONZALEZ</t>
  </si>
  <si>
    <t>MACIAS BERNACHE ESMERALDA GALILEA</t>
  </si>
  <si>
    <t>ESMERALDA GALILEA MACIAS BERNACHE</t>
  </si>
  <si>
    <t>MALAGON MORALES DIEGO JOSUE</t>
  </si>
  <si>
    <t>DIEGO JOSUE MALAGON MORALES</t>
  </si>
  <si>
    <t>MALAGON MORALES JUAN PABLO</t>
  </si>
  <si>
    <t>FINANZAS</t>
  </si>
  <si>
    <t>JUAN PABLO MALAGON MORALES</t>
  </si>
  <si>
    <t>MARQUEZ MENDOZA GABRIELA</t>
  </si>
  <si>
    <t>GABRIELA MARQUEZ MENDOZA</t>
  </si>
  <si>
    <t>MARTINEZ HERRERA MARIA MAGDALENA</t>
  </si>
  <si>
    <t>BRAND BUILDING (ENFERMERÍA)</t>
  </si>
  <si>
    <t>MARIA MAGDALENA MARTINEZ HERRERA</t>
  </si>
  <si>
    <t>MARTINEZ RANGEL AMERICA GUADALUPE</t>
  </si>
  <si>
    <t>AMERICA GUADALUPE MARTINEZ RANGEL</t>
  </si>
  <si>
    <t>MARTINEZ SANCHEZ LUIS EDUARDO</t>
  </si>
  <si>
    <t>LUIS EDUARDO MARTINEZ SANCHEZ</t>
  </si>
  <si>
    <t>MARTINEZ TORRES SAMUEL</t>
  </si>
  <si>
    <t>SAMUEL MARTINEZ TORRES</t>
  </si>
  <si>
    <t>MATUS GARCIA REPPER JUAN LUIS</t>
  </si>
  <si>
    <t>REPPER JUAN LUIS MATUS GARCIA</t>
  </si>
  <si>
    <t>MEDINA PORTILLO OMAR YAEL</t>
  </si>
  <si>
    <t>OMAR YAEL MEDINA PORTILLO</t>
  </si>
  <si>
    <t>MENDIZABAL VAZQUEZ SERGIO</t>
  </si>
  <si>
    <t>SERGIO MENDIZABAL VAZQUEZ</t>
  </si>
  <si>
    <t>MENDOZA ALARCON NUR</t>
  </si>
  <si>
    <t>NUR MENDOZA ALARCON</t>
  </si>
  <si>
    <t>MENDOZA RIVERA MELISA</t>
  </si>
  <si>
    <t>MELISA MENDOZA RIVERA</t>
  </si>
  <si>
    <t>MIRELES ORNELAS JORGE</t>
  </si>
  <si>
    <t>JORGE MIRELES ORNELAS</t>
  </si>
  <si>
    <t>MONTES MENDEZ FRANCIA</t>
  </si>
  <si>
    <t>FRANCIA MONTES MENDEZ</t>
  </si>
  <si>
    <t>MORALES ROMERO ALEJANDRO</t>
  </si>
  <si>
    <t>ALEJANDRO MORALES ROMERO</t>
  </si>
  <si>
    <t>MORALES VAZQUEZ RICARDO</t>
  </si>
  <si>
    <t>RICARDO MORALES VAZQUEZ</t>
  </si>
  <si>
    <t>MORENO CAMPOS ARMANDO</t>
  </si>
  <si>
    <t>ARMANDO MORENO CAMPOS</t>
  </si>
  <si>
    <t>MORENO CATARINO VICTOR URIEL</t>
  </si>
  <si>
    <t>VICTOR URIEL MORENO CATARINO</t>
  </si>
  <si>
    <t>MORFIN RODRIGUEZ MARIO FRANCISCO</t>
  </si>
  <si>
    <t>MARIO FRANCISCO MORFIN RODRIGUEZ</t>
  </si>
  <si>
    <t>MUI DAZA DAVID ALEJANDRO</t>
  </si>
  <si>
    <t>DAVID ALEJANDRO MUI DAZA</t>
  </si>
  <si>
    <t>MURILLO PINEDA AURELIO</t>
  </si>
  <si>
    <t>AURELIO MURILLO PINEDA</t>
  </si>
  <si>
    <t>MURO JIMENEZ GERARDO AUGUSTO</t>
  </si>
  <si>
    <t>GERARDO AUGUSTO MURO JIMENEZ</t>
  </si>
  <si>
    <t>ANDRES ROCHA GARCIA</t>
  </si>
  <si>
    <t>NAVARRO ROMERO ARTURO</t>
  </si>
  <si>
    <t>ARTURO NAVARRO ROMERO</t>
  </si>
  <si>
    <t>RUBEN GARCIA  TELLEZ</t>
  </si>
  <si>
    <t>MARCO ANTONIO CANDELA  ARELLANO</t>
  </si>
  <si>
    <t>JORGE ALEJANDRO SOLANO CALDERON</t>
  </si>
  <si>
    <t>JOEL ESAU RODRIGUEZ AGUILERA</t>
  </si>
  <si>
    <t>OBREGON JIMENEZ JORGE LUIS</t>
  </si>
  <si>
    <t>JORGE LUIS OBREGON JIMENEZ</t>
  </si>
  <si>
    <t>OCAMPO GUTIERREZ MAGDIEL ISRAEL</t>
  </si>
  <si>
    <t>MAGDIEL ISRAEL OCAMPO GUTIERREZ</t>
  </si>
  <si>
    <t>OCHOA BARRIENTOS KHIABETT IXCEL</t>
  </si>
  <si>
    <t>KHIABETT IXCEL OCHOA BARRIENTOS</t>
  </si>
  <si>
    <t>OLVERA PARDO JESUS MANUEL</t>
  </si>
  <si>
    <t>JESUS MANUEL OLVERA PARDO</t>
  </si>
  <si>
    <t>ORTIZ CAMACHO BRENDA MONTSERRATH</t>
  </si>
  <si>
    <t>BRENDA MONTSERRATH ORTIZ CAMACHO</t>
  </si>
  <si>
    <t>ORTIZ MILLA KAREN ITZEL</t>
  </si>
  <si>
    <t>KAREN ITZEL ORTIZ MILLA</t>
  </si>
  <si>
    <t>ORTIZ PEÑA IVAN JOEL</t>
  </si>
  <si>
    <t>IVAN JOEL ORTIZ PEÑA</t>
  </si>
  <si>
    <t>PALETA CALDERON GERARDO DANIEL</t>
  </si>
  <si>
    <t>GERARDO DANIEL PALETA CALDERON</t>
  </si>
  <si>
    <t>PATLAN MENDOZA JANILU</t>
  </si>
  <si>
    <t>JANILU PATLAN MENDOZA</t>
  </si>
  <si>
    <t>PENICHE MUÑOZ ROMAN RAMON</t>
  </si>
  <si>
    <t>ROMAN RAMON PENICHE MUÑOZ</t>
  </si>
  <si>
    <t>PEREZ LOPEZ LUIS GUSTAVO</t>
  </si>
  <si>
    <t>LUIS GUSTAVO PEREZ LOPEZ</t>
  </si>
  <si>
    <t>PEREZ NOLASCO FLOR YASMIN</t>
  </si>
  <si>
    <t>FLOR YASMIN PEREZ NOLASCO</t>
  </si>
  <si>
    <t>PEREZ VASQUEZ BRICIA GUADALUPE</t>
  </si>
  <si>
    <t>BRICIA GUADALUPE PEREZ VASQUEZ</t>
  </si>
  <si>
    <t>PEÑA RANGEL YAMILET NAOMI</t>
  </si>
  <si>
    <t>YAMILET NAOMI PEÑA RANGEL</t>
  </si>
  <si>
    <t>RAMIREZ GONZALEZ NAYELI DEL CARMEN</t>
  </si>
  <si>
    <t>NAYELI DEL CARMEN RAMIREZ GONZALEZ</t>
  </si>
  <si>
    <t>RANGEL SANCHEZ OMAR ANGEL</t>
  </si>
  <si>
    <t>OMAR ANGEL RANGEL SANCHEZ</t>
  </si>
  <si>
    <t>RESENDIZ LAGUNA VIOLETA GUADALUPE</t>
  </si>
  <si>
    <t>VIOLETA GUADALUPE RESENDIZ LAGUNA</t>
  </si>
  <si>
    <t>RETANA OLVERA ARTURO</t>
  </si>
  <si>
    <t>ARTURO RETANA OLVERA</t>
  </si>
  <si>
    <t>GONZALEZ HERNANDEZ MAGRO DIANA</t>
  </si>
  <si>
    <t>REYES GALEANA DANNA FABIOLA</t>
  </si>
  <si>
    <t>DANNA FABIOLA REYES GALEANA</t>
  </si>
  <si>
    <t>REYES OLGUIN MARIA FERNANDA</t>
  </si>
  <si>
    <t>MARIA FERNANDA REYES OLGUIN</t>
  </si>
  <si>
    <t>RIOS CHAVARO LUZ ELIZABETH</t>
  </si>
  <si>
    <t>LUZ ELIZABETH RIOS CHAVARO</t>
  </si>
  <si>
    <t>RIVAS NIETO EDGAR NICOLAS</t>
  </si>
  <si>
    <t>EDGAR NICOLAS RIVAS NIETO</t>
  </si>
  <si>
    <t>RIVERA CERON MOISES</t>
  </si>
  <si>
    <t>MOISES RIVERA CERON</t>
  </si>
  <si>
    <t>RIVERA PINEDA LUIS ANGEL</t>
  </si>
  <si>
    <t>LUIS ANGEL RIVERA PINEDA</t>
  </si>
  <si>
    <t>ROBLES ROSALES ERNESTO DANIEL</t>
  </si>
  <si>
    <t>ERNESTO DANIEL ROBLES ROSALES</t>
  </si>
  <si>
    <t>RODRIGUEZ CARRASCO ALEXIS ALAN</t>
  </si>
  <si>
    <t>ALEXIS ALAN RODRIGUEZ CARRASCO</t>
  </si>
  <si>
    <t>RODRIGUEZ DOMINGUEZ MONSERRAT</t>
  </si>
  <si>
    <t>MONSERRAT RODRIGUEZ DOMINGUEZ</t>
  </si>
  <si>
    <t>RODRIGUEZ DURAN ROSA YOLANDA</t>
  </si>
  <si>
    <t>ROSA YOLANDA RODRIGUEZ DURAN</t>
  </si>
  <si>
    <t>RODRIGUEZ OLVERA EDUARDO</t>
  </si>
  <si>
    <t>EDUARDO RODRIGUEZ OLVERA</t>
  </si>
  <si>
    <t>ROJAS GERARDO LUIS ENRIQUE</t>
  </si>
  <si>
    <t>LUIS ENRIQUE ROJAS GERARDO</t>
  </si>
  <si>
    <t>ROJAS VIGIL ELSA</t>
  </si>
  <si>
    <t>ELSA ROJAS VIGIL</t>
  </si>
  <si>
    <t>ROMERO OLMOS CARLOS MANUEL</t>
  </si>
  <si>
    <t>CARLOS MANUEL ROMERO OLMOS</t>
  </si>
  <si>
    <t>ROMERO RIZO LUIS ENRIQUE</t>
  </si>
  <si>
    <t>LUIS ENRIQUE ROMERO RIZO</t>
  </si>
  <si>
    <t>ROMERO SANCHEZ JUAN MIGUEL</t>
  </si>
  <si>
    <t>JUAN MIGUEL ROMERO SANCHEZ</t>
  </si>
  <si>
    <t>RUBIO TORRES VALERIA</t>
  </si>
  <si>
    <t>VALERIA RUBIO TORRES</t>
  </si>
  <si>
    <t>RUMBO PELAEZ FRANCISCO GABRIEL</t>
  </si>
  <si>
    <t>FRANCISCO GABRIEL RUMBO PELAEZ</t>
  </si>
  <si>
    <t>SALCIDO SOTO CINTHYA FERNANDA</t>
  </si>
  <si>
    <t>CINTHYA FERNANDA SALCIDO SOTO</t>
  </si>
  <si>
    <t>SALDAÑA TAMARIZ YOLANDA GUADALUPE</t>
  </si>
  <si>
    <t>YOLANDA GUADALUPE SALDAÑA TAMARIZ</t>
  </si>
  <si>
    <t>SANCHEZ ALEJANDRO MARIA DEL CARMEN</t>
  </si>
  <si>
    <t>MARIA DEL CARMEN SANCHEZ ALEJANDRO</t>
  </si>
  <si>
    <t>SANCHEZ GOMEZ LUIS ENRIQUE</t>
  </si>
  <si>
    <t>LUIS ENRIQUE SANCHEZ GOMEZ</t>
  </si>
  <si>
    <t>SANCHEZ PALLARES ERNESTO</t>
  </si>
  <si>
    <t>ERNESTO SANCHEZ PALLARES</t>
  </si>
  <si>
    <t>SANCHEZ PALLARES ERNESTO </t>
  </si>
  <si>
    <t>SERNA REYES MARIA FERNANDA</t>
  </si>
  <si>
    <t>MARIA FERNANDA SERNA REYES</t>
  </si>
  <si>
    <t>TEPEC TECORRAL JUAN CARLOS</t>
  </si>
  <si>
    <t>JUAN CARLOS TEPEC TECORRAL</t>
  </si>
  <si>
    <t>TRISTAN PORRAS BRENDA LILIANA</t>
  </si>
  <si>
    <t>BRENDA LILIANA TRISTAN PORRAS</t>
  </si>
  <si>
    <t>VACA RODRIGUEZ JESÚS ANTONIO</t>
  </si>
  <si>
    <t>JESÚS ANTONIO VACA RODRIGUEZ</t>
  </si>
  <si>
    <t>VALENZUELA CORRAL MIGUEL ABRAHAM</t>
  </si>
  <si>
    <t>MIGUEL ABRAHAM VALENZUELA CORRAL</t>
  </si>
  <si>
    <t>VALENZUELA PINEDA SURI ZADAY</t>
  </si>
  <si>
    <t>SURI ZADAY VALENZUELA PINEDA</t>
  </si>
  <si>
    <t>VASQUEZ JIMENEZ LUIS JOAQUIN</t>
  </si>
  <si>
    <t>LUIS JOAQUIN VASQUEZ JIMENEZ</t>
  </si>
  <si>
    <t>VAZQUEZ MALDONADO ANA KARLA</t>
  </si>
  <si>
    <t>ANA KARLA VAZQUEZ MALDONADO</t>
  </si>
  <si>
    <t>VIDAL CAMBERO EDGARDO RAMIRO</t>
  </si>
  <si>
    <t>EDGARDO RAMIRO VIDAL CAMBERO</t>
  </si>
  <si>
    <t>VILLEDA OLVERA GIOVANA LIZETH</t>
  </si>
  <si>
    <t>GIOVANA LIZETH VILLEDA OLVERA</t>
  </si>
  <si>
    <t>VILLEGAS BOLAÑOS MARIANA GUADALUPE</t>
  </si>
  <si>
    <t>MARIANA GUADALUPE VILLEGAS BOLAÑOS</t>
  </si>
  <si>
    <t>YAÑEZ HERNANDEZ ANGELICA YANETH</t>
  </si>
  <si>
    <t>ANGELICA YANETH YAÑEZ HERNANDEZ</t>
  </si>
  <si>
    <t>ZAVALA LOPEZ VICTOR MANUEL</t>
  </si>
  <si>
    <t>VICTOR MANUEL ZAVALA LOPEZ</t>
  </si>
  <si>
    <t>ZAVALA MUNGUIA NICKO HIAFED</t>
  </si>
  <si>
    <t>NICKO HIAFED ZAVALA MUNGUIA</t>
  </si>
  <si>
    <t>Viaticos y gastos de viaje</t>
  </si>
  <si>
    <t>Arturo Retana</t>
  </si>
  <si>
    <t>__EXCLUIR__</t>
  </si>
  <si>
    <t>REVERSAS INGRESOS</t>
  </si>
  <si>
    <t>31/Ene/2026</t>
  </si>
  <si>
    <t>Diario</t>
  </si>
  <si>
    <t>Diseño digital</t>
  </si>
  <si>
    <t>DISEÑO</t>
  </si>
  <si>
    <t>Agua</t>
  </si>
  <si>
    <t>MAGALI DESIREL RIOS NAVARROVIANEY MADERO CUADRAS</t>
  </si>
  <si>
    <t>01/Ene/2026</t>
  </si>
  <si>
    <t>Amortizacion acumulada de Software</t>
  </si>
  <si>
    <t>AMORTIZACION</t>
  </si>
  <si>
    <t>MONDAY</t>
  </si>
  <si>
    <t>NETSUITE</t>
  </si>
  <si>
    <t>Arrendamiento a pers fisicas residtes nal</t>
  </si>
  <si>
    <t>ANGEL OROSCO ANGELES</t>
  </si>
  <si>
    <t>Arrendamiento a pers físicas residtes nal</t>
  </si>
  <si>
    <t>Arrendamiento a pers morales residtes nal</t>
  </si>
  <si>
    <t>DELL LEASING MEXICO</t>
  </si>
  <si>
    <t>EXI TECNOLOGIAS DE LA INFORMACION</t>
  </si>
  <si>
    <t>POR CLASIFICAR</t>
  </si>
  <si>
    <t>OTROS</t>
  </si>
  <si>
    <t>FLEET CAR COMPANY MX</t>
  </si>
  <si>
    <t>PS GRAPH</t>
  </si>
  <si>
    <t>LOC BOX</t>
  </si>
  <si>
    <t>Casetas y estacionamientos</t>
  </si>
  <si>
    <t>RESCUE 24 ASISTENCIA VIAL INTELIGENTE</t>
  </si>
  <si>
    <t>Viáticos uber/taxi</t>
  </si>
  <si>
    <t>Arrendamiento a personas fisicas resid nal</t>
  </si>
  <si>
    <t>FELIPE DE JESUS ORGANISTA ZAVALA</t>
  </si>
  <si>
    <t>GUILLERMO ALBERTO MENDEZ ROMERO</t>
  </si>
  <si>
    <t>ARRENDAMIENTO OFICINAS MONTERREY</t>
  </si>
  <si>
    <t>DISPERSIONES 2026</t>
  </si>
  <si>
    <t>Luz Rios</t>
  </si>
  <si>
    <t>EDGAR ALONSO AGUILAR NEGRETE</t>
  </si>
  <si>
    <t>Cuotas y suscripciones</t>
  </si>
  <si>
    <t>SUR</t>
  </si>
  <si>
    <t>REGISTROS</t>
  </si>
  <si>
    <t>DIPA</t>
  </si>
  <si>
    <t>Arrendamiento Automotriz</t>
  </si>
  <si>
    <t>VOLKSWAGEN</t>
  </si>
  <si>
    <t>Asistencia Legal</t>
  </si>
  <si>
    <t>GRUMINER</t>
  </si>
  <si>
    <t>Mantenimiento y conservación</t>
  </si>
  <si>
    <t>SERVICIOS MEDIDUS</t>
  </si>
  <si>
    <t>Capacitaciones</t>
  </si>
  <si>
    <t>SAMUEL HERRERA RAMIREZ</t>
  </si>
  <si>
    <t>Servicios administrativos</t>
  </si>
  <si>
    <t>SELH CONSULTORIA</t>
  </si>
  <si>
    <t>SASIT CORPORATION</t>
  </si>
  <si>
    <t>ADMINISTRACION N23</t>
  </si>
  <si>
    <t>Combustibles y lubricantes</t>
  </si>
  <si>
    <t>COMBUSTIBLES</t>
  </si>
  <si>
    <t>Comisiones bancarias</t>
  </si>
  <si>
    <t>EFECTIVALE</t>
  </si>
  <si>
    <t>Comisiones Efectivale</t>
  </si>
  <si>
    <t>BBVA MEXICO</t>
  </si>
  <si>
    <t>07/Ene/2026</t>
  </si>
  <si>
    <t>Egresos</t>
  </si>
  <si>
    <t>Comisiones Bancarias</t>
  </si>
  <si>
    <t>COMISIONES BANCARIAS BBVA USD</t>
  </si>
  <si>
    <t>23/Ene/2026</t>
  </si>
  <si>
    <t>PAGO TC CLARA</t>
  </si>
  <si>
    <t>AFIRME</t>
  </si>
  <si>
    <t>30/Ene/2026</t>
  </si>
  <si>
    <t>COMISIONES BANCARIAS INBURSA</t>
  </si>
  <si>
    <t>COMISIONES BANCARIAS SCOTIABANK</t>
  </si>
  <si>
    <t>Cuotas al IMSS</t>
  </si>
  <si>
    <t>PROVISION IMSS ENERO 2026</t>
  </si>
  <si>
    <t>RODRIGO FERNANDO ROLDAN MORALES</t>
  </si>
  <si>
    <t>CUOTAS Y SUSCRIPCIONES</t>
  </si>
  <si>
    <t>27/Ene/2026</t>
  </si>
  <si>
    <t>Seguros y fianzas</t>
  </si>
  <si>
    <t>IMR SOFTWARE</t>
  </si>
  <si>
    <t>ONLINE CARRER CENTER MEXICO</t>
  </si>
  <si>
    <t>GOOGLE MX</t>
  </si>
  <si>
    <t>Honorarios a personas fis residentes nal</t>
  </si>
  <si>
    <t>JESUS ALEJANDRO GALLARZA ORTEGA</t>
  </si>
  <si>
    <t>Depr de autom, autob, camiones, tractoc</t>
  </si>
  <si>
    <t>DEPRECIACIONES</t>
  </si>
  <si>
    <t>Depreciacion de equipo de computo</t>
  </si>
  <si>
    <t>Depreciación de equipo de cómputo</t>
  </si>
  <si>
    <t>Depreciacion de mobiliario y eq de ofic</t>
  </si>
  <si>
    <t>Depreciación de mobiliario y eq de ofic</t>
  </si>
  <si>
    <t>Depreciacion de otros activos fijos</t>
  </si>
  <si>
    <t>Depreciación de otros activos fijos</t>
  </si>
  <si>
    <t>Depreciación de instalación</t>
  </si>
  <si>
    <t>Dictamenes</t>
  </si>
  <si>
    <t xml:space="preserve"> DISEÑO EDIFICACION Y ASESORIA CIVIL</t>
  </si>
  <si>
    <t>DISTRIBUIDORA PENINSULUX</t>
  </si>
  <si>
    <t>Registros Gubernamentales</t>
  </si>
  <si>
    <t>GOBIERNO DEL ESTADO DE MEXICO</t>
  </si>
  <si>
    <t>INOX, DISEÑO ARQUITECTONICO</t>
  </si>
  <si>
    <t>JOSE LUIS JACINTO DE LA TORRE</t>
  </si>
  <si>
    <t>LUIS JAIME PARTIDA HERRERA</t>
  </si>
  <si>
    <t>MANUEL ARTURO DIAZ CARDIEL</t>
  </si>
  <si>
    <t>MARCELA PADRON BARRERA</t>
  </si>
  <si>
    <t>MERCEDES ROSIQUE RIVERA</t>
  </si>
  <si>
    <t>ROBERTO DANIEL GUERRA PALOS</t>
  </si>
  <si>
    <t>VERTICE CONSULTORIA EN PROTECCION CIVIL</t>
  </si>
  <si>
    <t>LUIS RAMON FOSADO AGUIRRE</t>
  </si>
  <si>
    <t>Gestoría</t>
  </si>
  <si>
    <t>OMAR BENJAMIN HERNANDEZ AGUILAR</t>
  </si>
  <si>
    <t>Insumos para cursos</t>
  </si>
  <si>
    <t>INSUMOS MEDICOS</t>
  </si>
  <si>
    <t>Gastos no deducibles</t>
  </si>
  <si>
    <t xml:space="preserve"> ND</t>
  </si>
  <si>
    <t>OTROS INGRESOS / GASTOS</t>
  </si>
  <si>
    <t>13/Ene/2026</t>
  </si>
  <si>
    <t>GASTOS NO DEDUCIBLES</t>
  </si>
  <si>
    <t>14/Ene/2026</t>
  </si>
  <si>
    <t>GUILLERMO FRANCISCO ARREOLA OLIVEROS</t>
  </si>
  <si>
    <t>VICTOR HUGO MANRIQUEZ MONTES</t>
  </si>
  <si>
    <t>CAMSA SOLUCIONES FISCALES</t>
  </si>
  <si>
    <t xml:space="preserve"> BRENDA MORAN MARQUEZ</t>
  </si>
  <si>
    <t>Insumos para control de incendios</t>
  </si>
  <si>
    <t>SEGURIDAD TECNICA MAT</t>
  </si>
  <si>
    <t>Uniformes</t>
  </si>
  <si>
    <t>MARIA SONIA RODRIGUEZ GONZALEZ</t>
  </si>
  <si>
    <t>Limpieza</t>
  </si>
  <si>
    <t>DAVID ULISES MIGUEL SANCHEZ OLIVARES</t>
  </si>
  <si>
    <t>Mantenimiento y conservacion</t>
  </si>
  <si>
    <t>LUIS ALBERTO GONZALEZ GALINDO</t>
  </si>
  <si>
    <t>MANTENIMIENTO</t>
  </si>
  <si>
    <t>SIN CLASIFICAR</t>
  </si>
  <si>
    <t>Papelería y artículos de oficina</t>
  </si>
  <si>
    <t>"U-EXPERT OPERACIONES"</t>
  </si>
  <si>
    <t>CAR ONE GONZALITOS</t>
  </si>
  <si>
    <t>CASA MARCUS</t>
  </si>
  <si>
    <t>Mensajería</t>
  </si>
  <si>
    <t>DHL EXPRESS MEXICO</t>
  </si>
  <si>
    <t>DISEÑO EDIFICACION Y ASESORIA CIVIL</t>
  </si>
  <si>
    <t>Depreciación de maquinaria y equipo</t>
  </si>
  <si>
    <t>Otros gastos generales</t>
  </si>
  <si>
    <t>PAGO DE INTERESES 88059964-089590332</t>
  </si>
  <si>
    <t>OTROS EGRESOS FINAN</t>
  </si>
  <si>
    <t>05/Ene/2026</t>
  </si>
  <si>
    <t>Intereses a cargo bancario nacional</t>
  </si>
  <si>
    <t>CORPORATIVO AQUA QUERETARO</t>
  </si>
  <si>
    <t>ACTIVE LEASING</t>
  </si>
  <si>
    <t>ARRENDADORA HMS</t>
  </si>
  <si>
    <t>BEPENSA LEASING</t>
  </si>
  <si>
    <t>NOVABOX</t>
  </si>
  <si>
    <t>Teléfono, internet</t>
  </si>
  <si>
    <t>PAGO INTERESES XEPELIN</t>
  </si>
  <si>
    <t xml:space="preserve"> OTROS Facturación / GASTOS</t>
  </si>
  <si>
    <t>INVOICE</t>
  </si>
  <si>
    <t>16/Ene/2026</t>
  </si>
  <si>
    <t>22/Ene/2026</t>
  </si>
  <si>
    <t>BBVAUSD</t>
  </si>
  <si>
    <t>BBVAUSD ARIBA</t>
  </si>
  <si>
    <t>29/Ene/2026</t>
  </si>
  <si>
    <t>VOLKSWAGEN LEASING</t>
  </si>
  <si>
    <t>ND</t>
  </si>
  <si>
    <t>INTERESES 9651320420</t>
  </si>
  <si>
    <t>Otros impuestos y derechos</t>
  </si>
  <si>
    <t>MUNICIPIO DE LEON</t>
  </si>
  <si>
    <t>Efraín Valencia</t>
  </si>
  <si>
    <t>Papeleria y articulos de oficina</t>
  </si>
  <si>
    <t>PAPELERIA</t>
  </si>
  <si>
    <t>ZAPOPAN ESCOLAR</t>
  </si>
  <si>
    <t>WILCON INGENIERIA Y DIBUJO</t>
  </si>
  <si>
    <t>ABASTECEDORA DE OFICINAS</t>
  </si>
  <si>
    <t>Perdida cambiaria</t>
  </si>
  <si>
    <t>VALUACION CAMBIARIA</t>
  </si>
  <si>
    <t>Pérdida cambiaria</t>
  </si>
  <si>
    <t>Propaganda y publicidad</t>
  </si>
  <si>
    <t>CREATIVOS POR NATURALEZA</t>
  </si>
  <si>
    <t>INSTITUTO ESTATAL DE PROTECCION CIVIL DE SINALOA</t>
  </si>
  <si>
    <t>COMPRAS</t>
  </si>
  <si>
    <t>Miguel Juarez</t>
  </si>
  <si>
    <t>Iraide Lopez</t>
  </si>
  <si>
    <t>Alan Dominguez</t>
  </si>
  <si>
    <t>EMYCA</t>
  </si>
  <si>
    <t>REGISTROS GUBERNAMENTALES</t>
  </si>
  <si>
    <t>SEGUROS BANORTE</t>
  </si>
  <si>
    <t>02/Ene/2026</t>
  </si>
  <si>
    <t>SEGUROS Y FIANZAS</t>
  </si>
  <si>
    <t>Telefono, internet</t>
  </si>
  <si>
    <t>LANTOINTERNET</t>
  </si>
  <si>
    <t>RADIOMOVIL DIPSA</t>
  </si>
  <si>
    <t>TELEFONOS DE MEXICO</t>
  </si>
  <si>
    <t>TOTAL BOX</t>
  </si>
  <si>
    <t>TOTAL PLAY</t>
  </si>
  <si>
    <t>MAGALI DESIREL RIOS NAVARRO</t>
  </si>
  <si>
    <t>E-NGENIUM INFRAESTRUCTURA</t>
  </si>
  <si>
    <t>Transportación terrestre</t>
  </si>
  <si>
    <t>UNIFORMES</t>
  </si>
  <si>
    <t>Fletes y acarreos</t>
  </si>
  <si>
    <t>VENTAS</t>
  </si>
  <si>
    <t>Sofia Berrueta</t>
  </si>
  <si>
    <t>Tarjeta clara black</t>
  </si>
  <si>
    <t>Nicko Zavala</t>
  </si>
  <si>
    <t>ALBERTO SANCHEZ BENAVIDES</t>
  </si>
  <si>
    <t>COMPRA ORDEN DE PAGO SPEI 020125 =REFERENCIA CTA/CLABE: 002180650607646915, BXI SPEI BCO:002 BENEF:UBR PAGOS MEXICO SA DE CV (DATO NO VERIFICADO POR ESTA INSTITUCIÓN), Pago factura FFY 4293285 CVE RASTREO: 7875APR2202501023678059828 RFC: No capturado IVA: 000000000000.00 BANAMEX HORA LIQ: 10:51:50</t>
  </si>
  <si>
    <t>$102,507.13</t>
  </si>
  <si>
    <t>UBER</t>
  </si>
  <si>
    <t>COMISION ORDEN DE PAGO SPEI REFERENCIA: 020125</t>
  </si>
  <si>
    <t>$5.00</t>
  </si>
  <si>
    <t>COMISIONES BANCARIAS</t>
  </si>
  <si>
    <t>I.V.A. ORDEN DE PAGO SPEI REFERENCIA: 020125</t>
  </si>
  <si>
    <t>$0.80</t>
  </si>
  <si>
    <t>COMPRA ORDEN DE PAGO SPEI 020125 =REFERENCIA CTA/CLABE: 021320040177324969, BXI SPEI BCO:021 BENEF:ZAPOPAN ESCOLAR SA DE CV (DATO NO VERIFICADO POR ESTA INSTITUCIÓN), Pago factura ZES000225777 CVE RASTREO: 7875APR2202501023679087530 RFC: No capturado IVA: 000000000000.00 HSBC HORA LIQ: 15:42:26</t>
  </si>
  <si>
    <t>$1,693.38</t>
  </si>
  <si>
    <t>0229984CARGO DOMICILIACION CGO DOMICILIACION:VW Leasing LEYENDA: VOLKSWAGEN LEASING REF SERV EMISOR:0060229984 CVE DE RASTREO:02107200021000820250102219127 REF:0229984 RFC VLE060918B86 IVA: 0.00</t>
  </si>
  <si>
    <t>$10,360.74</t>
  </si>
  <si>
    <t>LEASING VEHICULOS</t>
  </si>
  <si>
    <t>10360.74</t>
  </si>
  <si>
    <t>TRASPASO A CUENTA DE TERCEROS 0003012025 IVA:00000000.00 , A LA CUENTA: 0259644345 Pago factura QCOME5361 AL R.F.C. LAN120809LR8</t>
  </si>
  <si>
    <t>TELEFONO E INTERNET</t>
  </si>
  <si>
    <t>COMPRA ORDEN DE PAGO SPEI 030125 =REFERENCIA CTA/CLABE: 021680040571712668, BXI SPEI BCO:021 BENEF:ANGEL OROSCO ANGELES (DATO NO VERIFICADO POR ESTA INSTITUCIÓN), Pago facturas 6324 y 6325 CVE RASTREO: 7875APR2202501033682619257 RFC: No capturado IVA: 000000000000.00 HSBC HORA LIQ: 17:22:27</t>
  </si>
  <si>
    <t>43376.18</t>
  </si>
  <si>
    <t>IMPRESIONES QUERETARO</t>
  </si>
  <si>
    <t>COMISION ORDEN DE PAGO SPEI REFERENCIA: 030125</t>
  </si>
  <si>
    <t>I.V.A. ORDEN DE PAGO SPEI REFERENCIA: 0030125</t>
  </si>
  <si>
    <t>0.8</t>
  </si>
  <si>
    <t>COMPRA ORDEN DE PAGO SPEI 030125 =REFERENCIA CTA/CLABE: 002580904396504698, BXI SPEI BCO:002 BENEF:BEATRIZ IRENE MEDELLIN ROSALE (DATO NO VERIFICADO POR ESTA INSTITUCIÓN), Pago de facturas FB6 B9F y 77D CVE RASTREO: 7875APR1202501033682637247 RFC: No capturado IVA: 000000000000.00 BANAMEX HORA LIQ: 17:26:47</t>
  </si>
  <si>
    <t>13055.8</t>
  </si>
  <si>
    <t>EQUIPAMIENTO Y RECARGAS</t>
  </si>
  <si>
    <t>I.V.A. ORDEN DE PAGO SPEI REFERENCIA: 030125</t>
  </si>
  <si>
    <t>COMPRA ORDEN DE PAGO SPEI 030125 =REFERENCIA CTA/CLABE: 014180655079131643, BXI SPEI BCO:014 BENEF:Exi Tecnologias de la Informa (DATO NO VERIFICADO POR ESTA INSTITUCIÓN), Pago factura 6227 CVE RASTREO: 7875APR2202501033682654281 RFC: ETI1401309C4 IVA: 000000000000.00 SANTANDER HORA LIQ: 17:31:02</t>
  </si>
  <si>
    <t>17330.4</t>
  </si>
  <si>
    <t>IMPRESIONES MONTERREY</t>
  </si>
  <si>
    <t>Vigilancia y seguridad</t>
  </si>
  <si>
    <t>COMPRA ORDEN DE PAGO SPEI 030125 =REFERENCIA CTA/CLABE: 036680500192474726, BXI SPEI BCO:036 BENEF:ITA SOLUCIONES INTELIGENTES S (DATO NO VERIFICADO POR ESTA INSTITUCIÓN), Pago factura A36862 CVE RASTREO: 7875APR2202501033682669462 RFC: No capturado IVA: 000000000000.00 INBURSA HORA LIQ: 17:34:56</t>
  </si>
  <si>
    <t>482.75</t>
  </si>
  <si>
    <t>MONITOREO ITA</t>
  </si>
  <si>
    <t>TRASPASO A CUENTA DE TERCEROS 0003012025 IVA:00000000.00 , A LA CUENTA: 1095347243 Pago factura Z07814 AL R.F.C. GSH191022B67</t>
  </si>
  <si>
    <t>2924.39</t>
  </si>
  <si>
    <t>COMPRA ORDEN DE PAGO SPEI 030125 =REFERENCIA CTA/CLABE: 646180401000017358, BXI SPEI BCO:646 BENEF:EFECTIVALE FINTECH (DATO NO VERIFICADO POR ESTA INSTITUCIÓN), 0168731 CVE RASTREO: 7875APR2202501033682707978 RFC: No capturado IVA: 000000000000.00 STP HORA LIQ: 17:45:13</t>
  </si>
  <si>
    <t>176706.64</t>
  </si>
  <si>
    <t>VIATICOS</t>
  </si>
  <si>
    <t>COMPRA ORDEN DE PAGO SPEI 030125 =REFERENCIA CTA/CLABE: 021180042182424610, BXI SPEI BCO:021 BENEF:EFECTIVALE S DE RL DE CV (DATO NO VERIFICADO POR ESTA INSTITUCIÓN), C0180251001COMBTAR00 CVE RASTREO: 7875APR2202501033682724845 RFC: No capturado IVA: 000000000000.00 HSBC HORA LIQ: 17:49:51</t>
  </si>
  <si>
    <t>10215.34</t>
  </si>
  <si>
    <t>COMPRA ORDEN DE PAGO SPEI 030125 =REFERENCIA CTA/CLABE: 012180001191796583, BXI SPEI BCO:012 BENEF:CONSORCIO EMPRENDEDOR LA FINCA (DATO NO VERIFICADO POR ESTA INSTITUCIÓN), Pago factura CVE RASTREO: 7875APR1202501033682754690 RFC: CEF180301697 IVA: 000000000000.00 BBVA MEXICO HORA LIQ: 18:04:53</t>
  </si>
  <si>
    <t>49926.65</t>
  </si>
  <si>
    <t>NOMINA</t>
  </si>
  <si>
    <t>COMPRA ORDEN DE PAGO SPEI 030125 =REFERENCIA CTA/CLABE: 012180001197280747, BXI SPEI BCO:012 BENEF:SERV INDUSTRIALES ENDENSA (DATO NO VERIFICADO POR ESTA INSTITUCIÓN), Pago factura CVE RASTREO: 7875APR2202501033682795035 RFC: SIE210526EWA IVA: 000000000000.00 BBVA MEXICO HORA LIQ: 18:15:41</t>
  </si>
  <si>
    <t>13890.77</t>
  </si>
  <si>
    <t>COMPRA ORDEN DE PAGO SPEI 060125 =REFERENCIA CTA/CLABE: 014180655087659052, BXI SPEI BCO:014 BENEF:GROWTHSTUDIO (DATO NO VERIFICADO POR ESTA INSTITUCIÓN), Pago factura CVE RASTREO: 7875APR2202501063689609208 RFC: No capturado IVA: 000000000000.00 SANTANDER HORA LIQ: 17:36:47</t>
  </si>
  <si>
    <t>92995.95</t>
  </si>
  <si>
    <t>COMISION ORDEN DE PAGO SPEI REFERENCIA: 060125</t>
  </si>
  <si>
    <t>I.V.A. ORDEN DE PAGO SPEI REFERENCIA: 060125</t>
  </si>
  <si>
    <t>TRASPASO A CUENTA DE TERCEROS 0006012025 IVA:00000000.00 , A LA CUENTA: 1284201680 Pago factura AL R.F.C. PBS230518SU1</t>
  </si>
  <si>
    <t>280088.64</t>
  </si>
  <si>
    <t>COMPRA ORDEN DE PAGO SPEI 060125 =REFERENCIA CTA/CLABE: 012180001223109022, BXI SPEI BCO:012 BENEF:BRYTALAR CONSULTORES EN ING (DATO NO VERIFICADO POR ESTA INSTITUCIÓN), Pago factura CVE RASTREO: 7875APR2202501063689623949 RFC: BCI231002GC2 IVA: 000000000000.00 BBVA MEXICO HORA LIQ: 17:41:41</t>
  </si>
  <si>
    <t>67354.32</t>
  </si>
  <si>
    <t>COMPRA ORDEN DE PAGO SPEI 060125 =REFERENCIA CTA/CLABE: 012180001191796583, BXI SPEI BCO:012 BENEF:CONSORCIO EMPRENDEDOR LA FINCA (DATO NO VERIFICADO POR ESTA INSTITUCIÓN), Pago factura CVE RASTREO: 7875APR2202501063689652025 RFC: CEF180301697 IVA: 000000000000.00 BBVA MEXICO HORA LIQ: 17:51:45</t>
  </si>
  <si>
    <t>283238.82</t>
  </si>
  <si>
    <t>COMPRA ORDEN DE PAGO SPEI 060125 =REFERENCIA CTA/CLABE: 012180001223109022, BXI SPEI BCO:012 BENEF:BRYTALAR CONSULTORES EN ING (DATO NO VERIFICADO POR ESTA INSTITUCIÓN), Pago factura CVE RASTREO: 7875APR1202501063689657807 RFC: BCI231002GC2 IVA: 000000000000.00 BBVA MEXICO HORA LIQ: 17:53:56</t>
  </si>
  <si>
    <t>70031.5</t>
  </si>
  <si>
    <t>PAGO DE CAPITAL 088059964</t>
  </si>
  <si>
    <t>138888.89</t>
  </si>
  <si>
    <t>Prestamo Bancario</t>
  </si>
  <si>
    <t>INTERESES EXENTO TASA088059964</t>
  </si>
  <si>
    <t>31753.47</t>
  </si>
  <si>
    <t>Intereses Credito Fijo</t>
  </si>
  <si>
    <t>INTERESES EXENTO TASA089590332</t>
  </si>
  <si>
    <t>40314.36</t>
  </si>
  <si>
    <t>Intereses Credito Revolvente</t>
  </si>
  <si>
    <t>0060125CARGO DOMICILIACION CGO DOMICILIACION:ARRENDADORA HMS LEYENDA: COBRO RENTA ENERO 2025 1463 REF SERV EMISOR:COBRO RENTA ENERO 2025 1463 CVE DE RASTREO:078692025-01-0600000020000128 REF:0060125 RFC AHM130307L99 IVA: 0.00</t>
  </si>
  <si>
    <t>COMPRA ORDEN DE PAGO SPEI 070125 =REFERENCIA CTA/CLABE: 021694064055836799, BXI SPEI BCO:021 BENEF:HUGO LIZANDRO CAN PUC (DATO NO VERIFICADO POR ESTA INSTITUCIÓN), Pago factura 2ADDDFBF CVE RASTREO: 7875APR1202501073691664175 RFC: CAPH860516PG2 IVA: 000000000000.00 HSBC HORA LIQ: 16:26:40</t>
  </si>
  <si>
    <t>1668.33</t>
  </si>
  <si>
    <t>DICTAMENES</t>
  </si>
  <si>
    <t>COMISION ORDEN DE PAGO SPEI REFERENCIA: 070125</t>
  </si>
  <si>
    <t>I.V.A. ORDEN DE PAGO SPEI REFERENCIA: 070125</t>
  </si>
  <si>
    <t>COMPRA ORDEN DE PAGO SPEI 070125 =REFERENCIA CTA/CLABE: 133180000081680980, BXI SPEI BCO:133 BENEF:FID 381 (DATO NO VERIFICADO POR ESTA INSTITUCIÓN), Pago enero CVE RASTREO: 7875APR1202501073691776489 RFC: No capturado IVA: 000000000000.00 ACTINVER HORA LIQ: 17:06:02</t>
  </si>
  <si>
    <t>LEASING EQUIPO</t>
  </si>
  <si>
    <t>COMPRA ORDEN DE PAGO SPEI 070125 =REFERENCIA CTA/CLABE: 133180000081680980, BXI SPEI BCO:133 BENEF:FID 381 (DATO NO VERIFICADO POR ESTA INSTITUCIÓN), Pago enero CVE RASTREO: 7875APR1202501073691783833 RFC: No capturado IVA: 000000000000.00 ACTINVER HORA LIQ: 17:08:50</t>
  </si>
  <si>
    <t>22659.5</t>
  </si>
  <si>
    <t>COMPRA ORDEN DE PAGO SPEI 070125 =REFERENCIA CTA/CLABE: 133180000081680980, BXI SPEI BCO:133 BENEF:FID 381 (DATO NO VERIFICADO POR ESTA INSTITUCIÓN), Pago enero CVE RASTREO: 7875APR1202501073691789034 RFC: No capturado IVA: 000000000000.00 ACTINVER HORA LIQ: 17:10:47</t>
  </si>
  <si>
    <t>I.V.A. ORDEN DE PAGO SPEI REFERENCIA: 0070125</t>
  </si>
  <si>
    <t>COMPRA ORDEN DE PAGO SPEI 070125 =REFERENCIA CTA/CLABE: 021580040452912755, BXI SPEI BCO:021 BENEF:GUILLERMO ALBERTO MENDEZ ROME (DATO NO VERIFICADO POR ESTA INSTITUCIÓN), Pago factura 763 CVE RASTREO: 7875APR2202501073691794696 RFC: No capturado IVA: 000000000000.00 HSBC HORA LIQ: 17:12:54</t>
  </si>
  <si>
    <t>RENTA OFICINA</t>
  </si>
  <si>
    <t>CARGO POR PAGO CONCENTRACION TELEFONOS DE ME 44225351153 AL RFC TME840315KT6 RAS 78755007059038001310 FAC 001310</t>
  </si>
  <si>
    <t>TELMEX</t>
  </si>
  <si>
    <t>CARGO POR PAGO CONCENTRACION TELEFONOS DE ME 33165651984 AL RFC TME840315KT6 RAS 78755007085932001310 FAC 001310</t>
  </si>
  <si>
    <t>COMPRA ORDEN DE PAGO SPEI 070125 =REFERENCIA CTA/CLABE: 012691001178367916, BXI SPEI BCO:012 BENEF:MOBILEC SATELITAL SA DE CV (DATO NO VERIFICADO POR ESTA INSTITUCIÓN), Pago OV 628517 01 2025 CVE RASTREO: 7875APR2202501073691808306 RFC: No capturado IVA: 000000000000.00 BBVA MEXICO HORA LIQ: 17:17:52</t>
  </si>
  <si>
    <t>GPS</t>
  </si>
  <si>
    <t>COMPRA ORDEN DE PAGO SPEI 070125 =REFERENCIA CTA/CLABE: 012180004432867893, BXI SPEI BCO:012 BENEF:DHL express mexico sa de cv (DATO NO VERIFICADO POR ESTA INSTITUCIÓN), 9804519685 CVE RASTREO: 7875APR1202501073691816016 RFC: No capturado IVA: 000000000000.00 BBVA MEXICO HORA LIQ: 17:20:46</t>
  </si>
  <si>
    <t>4776.98</t>
  </si>
  <si>
    <t>MENSAJERIA</t>
  </si>
  <si>
    <t>COMPRA ORDEN DE PAGO SPEI 080125 =REFERENCIA CTA/CLABE: 021320040177324969, BXI SPEI BCO:021 BENEF:ZAPOPAN ESCOLAR SA DE CV (DATO NO VERIFICADO POR ESTA INSTITUCIÓN), Pago Cot 2185 CVE RASTREO: 7875APR2202501083692902589 RFC: No capturado IVA: 000000000000.00 HSBC HORA LIQ: 10:51:41</t>
  </si>
  <si>
    <t>61.52</t>
  </si>
  <si>
    <t>COMISION ORDEN DE PAGO SPEI REFERENCIA: 080125</t>
  </si>
  <si>
    <t>I.V.A. ORDEN DE PAGO SPEI REFERENCIA: 080125</t>
  </si>
  <si>
    <t>COMPRA ORDEN DE PAGO SPEI 080125 =REFERENCIA CTA/CLABE: 124180002349050078, BXI SPEI BCO:124 BENEF:DELL LEASING MEXICO (DATO NO VERIFICADO POR ESTA INSTITUCIÓN), Pago 719359 719360 719361 y 719362 CVE RASTREO: 7875APR1202501083693232059 RFC: DLM131002M75 IVA: 000000000000.00 CITI MEXICO HORA LIQ: 12:57:45</t>
  </si>
  <si>
    <t>27115.7</t>
  </si>
  <si>
    <t>LEASING COMPUTO</t>
  </si>
  <si>
    <t>COMPRA ORDEN DE PAGO SPEI 080125 =REFERENCIA CTA/CLABE: 012180001191796583, BXI SPEI BCO:012 BENEF:CONSORCIO EMPRENDEDOR LA FINCA (DATO NO VERIFICADO POR ESTA INSTITUCIÓN), Pago factura CVE RASTREO: 7875APR2202501083693437139 RFC: CEF180301697 IVA: 000000000000.00 BBVA MEXICO HORA LIQ: 14:11:14</t>
  </si>
  <si>
    <t>TRASPASO A CUENTA DE TERCEROS 0008012025 IVA:00000000.00 , A LA CUENTA: 1284201680 Pago factura AL R.F.C. PBS230518SU1</t>
  </si>
  <si>
    <t>277233.83</t>
  </si>
  <si>
    <t>COMPRA ORDEN DE PAGO SPEI 090125 =REFERENCIA CTA/CLABE: 012022015847435420, BXI SPEI BCO:012 BENEF:ALBA CRISTHIAN RODRIGUEZ BUEL (DATO NO VERIFICADO POR ESTA INSTITUCIÓN), Pago factura 440 CVE RASTREO: 7875APR1202501093694977841 RFC: No capturado IVA: 000000000000.00 BBVA MEXICO HORA LIQ: 10:15:45</t>
  </si>
  <si>
    <t>GESTORIA</t>
  </si>
  <si>
    <t>COMISION ORDEN DE PAGO SPEI REFERENCIA: 090125</t>
  </si>
  <si>
    <t>I.V.A. ORDEN DE PAGO SPEI REFERENCIA: 090125</t>
  </si>
  <si>
    <t>TRASPASO A CUENTA DE TERCEROS 0009012025 IVA:00000000.00 , A LA CUENTA: 1227275781 PD UPS APODACA NL SEM02 AL R.F.C. CUMS810521CG2</t>
  </si>
  <si>
    <t>2714.25</t>
  </si>
  <si>
    <t>PASES DE CAJA (FONDOS CLIENTES)</t>
  </si>
  <si>
    <t>COMPRA ORDEN DE PAGO SPEI 090125 =REFERENCIA CTA/CLABE: 012180001191796583, BXI SPEI BCO:012 BENEF:CONSORCIO EMPRENDEDOR LA FINCA (DATO NO VERIFICADO POR ESTA INSTITUCIÓN), Pago factura CVE RASTREO: 7875APR1202501093695401128 RFC: CEF180301697 IVA: 000000000000.00 BBVA MEXICO HORA LIQ: 12:51:56</t>
  </si>
  <si>
    <t>126527.93</t>
  </si>
  <si>
    <t>COMPRA ORDEN DE PAGO SPEI 090125 =REFERENCIA CTA/CLABE: 012180001197280747, BXI SPEI BCO:012 BENEF:SERV INDUSTRIALES ENDENSA (DATO NO VERIFICADO POR ESTA INSTITUCIÓN), Pago factura CVE RASTREO: 7875APR2202501093695409350 RFC: SIE210526EWA IVA: 000000000000.00 BBVA MEXICO HORA LIQ: 12:54:41</t>
  </si>
  <si>
    <t>69034.58</t>
  </si>
  <si>
    <t>COMPRA ORDEN DE PAGO SPEI 090125 =REFERENCIA CTA/CLABE: 030470900013178030, BXI SPEI BCO:030 BENEF:JUVENAL LEAL HERNANDEZ (DATO NO VERIFICADO POR ESTA INSTITUCIÓN), Dict electrico pepsico cedis 712 769 y n CVE RASTREO: 7875APR2202501093695579909 RFC: No capturado IVA: 000000000000.00 BAJIO HORA LIQ: 13:48:39</t>
  </si>
  <si>
    <t>12488.62</t>
  </si>
  <si>
    <t>COMPRA ORDEN DE PAGO SPEI 090125 =REFERENCIA CTA/CLABE: 030470900013178030, BXI SPEI BCO:030 BENEF:JUVENAL LEAL HERNANDEZ (DATO NO VERIFICADO POR ESTA INSTITUCIÓN), VERIFICACION ELECTRICA PEPSICO PATZCUARO CVE RASTREO: 7875APR2202501093695588426 RFC: No capturado IVA: 000000000000.00 BAJIO HORA LIQ: 13:51:45</t>
  </si>
  <si>
    <t>13346.62</t>
  </si>
  <si>
    <t>TRASPASO A CUENTA DE TERCEROS 0009012025 IVA:00000000.00 , A LA CUENTA: 1111810160 Reinscripcion 8vo cuatrimestre AL R.F.C. UIC121124DH1</t>
  </si>
  <si>
    <t>CAPACITACION AL PERSONAL</t>
  </si>
  <si>
    <t>TRASPASO A CUENTA DE TERCEROS 0009012025 IVA:00000000.00 , A LA CUENTA: 1111810160 Colegiatura 8vo cuatrimestre enero 25 AL R.F.C. UIC121124DH1</t>
  </si>
  <si>
    <t>COMPRA ORDEN DE PAGO SPEI 090125 =REFERENCIA CTA/CLABE: 014680655094186953, BXI SPEI BCO:014 BENEF:CORPORATIVO RIVERNEZ (DATO NO VERIFICADO POR ESTA INSTITUCIÓN), Pago factura CRIV117 CVE RASTREO: 7875APR2202501093695621108 RFC: CRI22062995A IVA: 000000000000.00 SANTANDER HORA LIQ: 14:02:11</t>
  </si>
  <si>
    <t>COMPRA ORDEN DE PAGO SPEI 090125 =REFERENCIA CTA/CLABE: 012680027965369565, BXI SPEI BCO:012 BENEF:FRANCISCO BERRUETA GONZALEZ (DATO NO VERIFICADO POR ESTA INSTITUCIÓN), Registro Cd Lerdo Dgo sem02 CVE RASTREO: 7875APR2202501093695637591 RFC: No capturado IVA: 000000000000.00 BBVA MEXICO HORA LIQ: 14:07:43</t>
  </si>
  <si>
    <t>REGISTROS PC (protección civil)</t>
  </si>
  <si>
    <t>COMPRA ORDEN DE PAGO SPEI 090125 =REFERENCIA CTA/CLABE: 058597000025830419, BXI SPEI BCO:058 BENEF:SILVIA GUADALUPE RAMIREZ GUER (DATO NO VERIFICADO POR ESTA INSTITUCIÓN), Pago factura 877D5774 CVE RASTREO: 7875APR2202501093696009556 RFC: RAGS820903IP0 IVA: 000000000000.00 BANREGIO HORA LIQ: 16:08:56</t>
  </si>
  <si>
    <t>1239.81</t>
  </si>
  <si>
    <t>GASTOS OFICINA</t>
  </si>
  <si>
    <t>I.V.A. ORDEN DE PAGO SPEI REFERENCIA: 0090125</t>
  </si>
  <si>
    <t>COMPRA ORDEN DE PAGO SPEI 090125 =REFERENCIA CTA/CLABE: 012680015139118428, BXI SPEI BCO:012 BENEF:JORGE ALBERTO AVALOS WALDO (DATO NO VERIFICADO POR ESTA INSTITUCIÓN), Pago factura 3519 CVE RASTREO: 7875APR2202501093696107101 RFC: No capturado IVA: 000000000000.00 BBVA MEXICO HORA LIQ: 16:41:17</t>
  </si>
  <si>
    <t>COMPRA ORDEN DE PAGO SPEI 090125 =REFERENCIA CTA/CLABE: 012680015139118428, BXI SPEI BCO:012 BENEF:JORGE ALBERTO AVALOS WALDO (DATO NO VERIFICADO POR ESTA INSTITUCIÓN), SERV DE RECARGA A EXTINTOR DE 6 0 KG PQS CVE RASTREO: 7875APR2202501093696126793 RFC: No capturado IVA: 000000000000.00 BBVA MEXICO HORA LIQ: 16:46:57</t>
  </si>
  <si>
    <t>COMPRA ORDEN DE PAGO SPEI 090125 =REFERENCIA CTA/CLABE: 012180004432867893, BXI SPEI BCO:012 BENEF:DHL express mexico sa de cv (DATO NO VERIFICADO POR ESTA INSTITUCIÓN), 9804519685 CVE RASTREO: 7875APR1202501093696139697 RFC: No capturado IVA: 000000000000.00 BBVA MEXICO HORA LIQ: 16:51:13</t>
  </si>
  <si>
    <t>COMPRA ORDEN DE PAGO SPEI 090125 =REFERENCIA CTA/CLABE: 058597000025830419, BXI SPEI BCO:058 BENEF:SILVIA GUADALUPE RAMIREZ GUER (DATO NO VERIFICADO POR ESTA INSTITUCIÓN), Pago factura 4FBAAD60 CVE RASTREO: 7875APR1202501093696150270 RFC: RAGS820903IP0 IVA: 000000000000.00 BANREGIO HORA LIQ: 16:54:52</t>
  </si>
  <si>
    <t>1438.79</t>
  </si>
  <si>
    <t>COMPRA ORDEN DE PAGO SPEI 100125 =REFERENCIA CTA/CLABE: 012180001223109022, BXI SPEI BCO:012 BENEF:BRYTALAR CONSULTORES EN ING (DATO NO VERIFICADO POR ESTA INSTITUCIÓN), Pago factura CVE RASTREO: 7875APR1202501103697423749 RFC: BCI231002GC2 IVA: 000000000000.00 BBVA MEXICO HORA LIQ: 09:05:42</t>
  </si>
  <si>
    <t>5322.38</t>
  </si>
  <si>
    <t>COMISION ORDEN DE PAGO SPEI REFERENCIA: 100125</t>
  </si>
  <si>
    <t>I.V.A. ORDEN DE PAGO SPEI REFERENCIA: 100125</t>
  </si>
  <si>
    <t>COMPRA ORDEN DE PAGO SPEI 100125 =REFERENCIA CTA/CLABE: 012052001102183598, BXI SPEI BCO:012 BENEF:UNIDAD DE N NIBER (DATO NO VERIFICADO POR ESTA INSTITUCIÓN), Pago factura CVE RASTREO: 7875APR1202501103697444691 RFC: No capturado IVA: 000000000000.00 BBVA MEXICO HORA LIQ: 09:13:43</t>
  </si>
  <si>
    <t>8704.34</t>
  </si>
  <si>
    <t>COMPRA ORDEN DE PAGO SPEI 100125 =REFERENCIA CTA/CLABE: 646180401000017358, BXI SPEI BCO:646 BENEF:EFECTIVALE FINTECH (DATO NO VERIFICADO POR ESTA INSTITUCIÓN), 0169377 CVE RASTREO: 7875APR1202501103699142548 RFC: No capturado IVA: 000000000000.00 STP HORA LIQ: 16:16:10</t>
  </si>
  <si>
    <t>156912.84</t>
  </si>
  <si>
    <t>COMPRA ORDEN DE PAGO SPEI 100125 =REFERENCIA CTA/CLABE: 021180042182424610, BXI SPEI BCO:021 BENEF:EFECTIVALE S DE RL DE CV (DATO NO VERIFICADO POR ESTA INSTITUCIÓN), C0180251001COMBTAR00 CVE RASTREO: 7875APR1202501103699173048 RFC: No capturado IVA: 000000000000.00 HSBC HORA LIQ: 16:22:44</t>
  </si>
  <si>
    <t>8951.59</t>
  </si>
  <si>
    <t>COMPRA ORDEN DE PAGO SPEI 100125 =REFERENCIA CTA/CLABE: 012680004752412198, BXI SPEI BCO:012 BENEF:ROBERTO VILLALOBOS CANEPA (DATO NO VERIFICADO POR ESTA INSTITUCIÓN), BOTIQUIN MOCHILA PRIMEROS AUXILIOS MED CVE RASTREO: 7875APR1202501103699278023 RFC: No capturado IVA: 000000000000.00 BBVA MEXICO HORA LIQ: 16:47:02</t>
  </si>
  <si>
    <t>TRASPASO A CUENTA DE TERCEROS 0010012025 IVA:00000000.00 , A LA CUENTA: 0659586559 DICTAMEN ESTRUCTURAL FARMACIA BENAVIDES GRANJERO AL R.F.C. DICM700312A16</t>
  </si>
  <si>
    <t>COMPRA ORDEN DE PAGO SPEI 100125 =REFERENCIA CTA/CLABE: 058060828725500185, BXI SPEI BCO:058 BENEF:MARIA ELIZABETH GONZALEZ GARC (DATO NO VERIFICADO POR ESTA INSTITUCIÓN), Recarga de Ext Marsh Torreon Caohuila CVE RASTREO: 7875APR2202501103699318405 RFC: GOGE970902EIA IVA: 000000000000.00 BANREGIO HORA LIQ: 16:56:11</t>
  </si>
  <si>
    <t>1705.2</t>
  </si>
  <si>
    <t>COMPRA ORDEN DE PAGO SPEI 130125 =REFERENCIA CTA/CLABE: 012180001228039414, BXI SPEI BCO:012 BENEF:MEDICA DE OAXACA SA DE CV (DATO NO VERIFICADO POR ESTA INSTITUCIÓN), Pago factura CVE RASTREO: 7875APR2202501133704576705 RFC: MOA030716677 IVA: 000000000000.00 BBVA MEXICO HORA LIQ: 08:55:38</t>
  </si>
  <si>
    <t>6276.72</t>
  </si>
  <si>
    <t>COMISION ORDEN DE PAGO SPEI REFERENCIA: 130125</t>
  </si>
  <si>
    <t>I.V.A. ORDEN DE PAGO SPEI REFERENCIA: 0130125</t>
  </si>
  <si>
    <t>TRASPASO A CUENTA DE TERCEROS 0013012025 IVA:00000000.00 , A LA CUENTA: 1284201680 Pago factura AL R.F.C. PBS230518SU1</t>
  </si>
  <si>
    <t>3663.62</t>
  </si>
  <si>
    <t>COMPRA ORDEN DE PAGO SPEI 130125 =REFERENCIA CTA/CLABE: 030680900036902675, BXI SPEI BCO:030 BENEF:LOCK BOX (DATO NO VERIFICADO POR ESTA INSTITUCIÓN), 00010724476915 CVE RASTREO: 7875APR2202501133704811417 RFC: LBO22030465A IVA: 000000000000.00 BAJIO HORA LIQ: 10:28:05</t>
  </si>
  <si>
    <t>I.V.A. ORDEN DE PAGO SPEI REFERENCIA: 130125</t>
  </si>
  <si>
    <t>COMPRA ORDEN DE PAGO SPEI 130125 =REFERENCIA CTA/CLABE: 002680902661053899, BXI SPEI BCO:002 BENEF:Edgar Alonso Aguilar Negrete (DATO NO VERIFICADO POR ESTA INSTITUCIÓN), Pago FV IS 1210 CVE RASTREO: 7875APR2202501133704831621 RFC: No capturado IVA: 000000000000.00 BANAMEX HORA LIQ: 10:34:54</t>
  </si>
  <si>
    <t>851.65</t>
  </si>
  <si>
    <t>SISTEMAS RENTA CONMUTADOR</t>
  </si>
  <si>
    <t>COMPRA ORDEN DE PAGO SPEI 130125 =REFERENCIA CTA/CLABE: 002680902661053899, BXI SPEI BCO:002 BENEF:Edgar Alonso Aguilar Negrete (DATO NO VERIFICADO POR ESTA INSTITUCIÓN), Pago FV IS 1228 CVE RASTREO: 7875APR1202501133704851219 RFC: No capturado IVA: 000000000000.00 BANAMEX HORA LIQ: 10:41:54</t>
  </si>
  <si>
    <t>1386.37</t>
  </si>
  <si>
    <t>COMPRA ORDEN DE PAGO SPEI 130125 =REFERENCIA CTA/CLABE: 002680902661053899, BXI SPEI BCO:002 BENEF:Edgar Alonso Aguilar Negrete (DATO NO VERIFICADO POR ESTA INSTITUCIÓN), Accesorios electronicosquemadores extern CVE RASTREO: 7875APR1202501133704864094 RFC: No capturado IVA: 000000000000.00 BANAMEX HORA LIQ: 10:46:10</t>
  </si>
  <si>
    <t>596.7</t>
  </si>
  <si>
    <t>SISTEMAS MEMORIAS USB</t>
  </si>
  <si>
    <t>COMPRA ORDEN DE PAGO SPEI 130125 =REFERENCIA CTA/CLABE: 646501401000017351, BXI SPEI BCO:646 BENEF:EFECTIVALE FINTECH (DATO NO VERIFICADO POR ESTA INSTITUCIÓN), 0169479 CVE RASTREO: 7875APR2202501133704995586 RFC: No capturado IVA: 000000000000.00 STP HORA LIQ: 11:29:53</t>
  </si>
  <si>
    <t>807.36</t>
  </si>
  <si>
    <t>COMISIONES EFECTIVALE</t>
  </si>
  <si>
    <t>COMPRA ORDEN DE PAGO SPEI 130125 =REFERENCIA CTA/CLABE: 014180655087659052, BXI SPEI BCO:014 BENEF:GROWTHSTUDIO (DATO NO VERIFICADO POR ESTA INSTITUCIÓN), Pago factura CVE RASTREO: 7875APR1202501133705679233 RFC: No capturado IVA: 000000000000.00 SANTANDER HORA LIQ: 15:07:42</t>
  </si>
  <si>
    <t>COMISION ORDEN DE PAGO SPEI REFERENCIA: 0130125</t>
  </si>
  <si>
    <t>TRASPASO A CUENTA DE TERCEROS 0013012025 IVA:00000000.00 , A LA CUENTA: 0538018409 Pago cot 123868 AL R.F.C. AVA730426HT0</t>
  </si>
  <si>
    <t>MANTENIMIENTO VEHICULOS</t>
  </si>
  <si>
    <t>TRASPASO A CUENTA DE TERCEROS 0013012025 IVA:00000000.00 , A LA CUENTA: 0691382407 ORDEN DE SERV 404 AL R.F.C. WOC110727E32</t>
  </si>
  <si>
    <t>3362983CARGO DOMICILIACION CGO DOMICILIACION:FONDO DE LAS NACIONES UNIDAS LEYENDA: DONATIVOS UNICEF REF SERV EMISOR:00087446050000175815 CVE DE RASTREO:202501130700018702504429362984 REF:3362983 RFC FNU540520JX8 IVA: 0.00</t>
  </si>
  <si>
    <t>DONATIVOS</t>
  </si>
  <si>
    <t>COMPRA ORDEN DE PAGO SPEI 140125 =REFERENCIA CTA/CLABE: 014580655069894228, BXI SPEI BCO:014 BENEF:ABASTECEDORA DE OFICINAS (DATO NO VERIFICADO POR ESTA INSTITUCIÓN), Pago COT 2922289 CVE RASTREO: 7875APR2202501143708179189 RFC: No capturado IVA: 000000000000.00 SANTANDER HORA LIQ: 13:16:46</t>
  </si>
  <si>
    <t>7380.99</t>
  </si>
  <si>
    <t>COMISION ORDEN DE PAGO SPEI REFERENCIA: 140125</t>
  </si>
  <si>
    <t>I.V.A. ORDEN DE PAGO SPEI REFERENCIA: 140125</t>
  </si>
  <si>
    <t>COMPRA ORDEN DE PAGO SPEI 4659825 =REFERENCIA CTA/CLABE: 014580655069894228, BXI SPEI BCO:014 BENEF:ABASTECEDORA DE OFICINAS (DATO NO VERIFICADO POR ESTA INSTITUCIÓN), 4659825 CVE RASTREO: 7875APR1202501143708206977 RFC: No capturado IVA: 000000000000.00 SANTANDER HORA LIQ: 13:24:46</t>
  </si>
  <si>
    <t>COMISION ORDEN DE PAGO SPEI REFERENCIA: 4659825</t>
  </si>
  <si>
    <t>I.V.A. ORDEN DE PAGO SPEI REFERENCIA: 4659825</t>
  </si>
  <si>
    <t>PAGO DE LDC-IMSS ALTA: Z1KMF3QY4C6K179SZ5971000Y5Q6001F6C8000U9DB0000000X689 ID PAGO: Z3423762106202412339299 TOTAL: 0000000005393221 RASTREO: 000041926</t>
  </si>
  <si>
    <t>53932.21</t>
  </si>
  <si>
    <t>COMPRA ORDEN DE PAGO SPEI 150125 =REFERENCIA CTA/CLABE: 030680900003677328, BXI SPEI BCO:030 BENEF:CAMSA SOLUCIONES FISCALES SC (DATO NO VERIFICADO POR ESTA INSTITUCIÓN), Pago ISN diciembre CVE RASTREO: 7875APR1202501153710867881 RFC: No capturado IVA: 000000000000.00 BAJIO HORA LIQ: 10:42:57</t>
  </si>
  <si>
    <t>SERVICIOS CONTABLES</t>
  </si>
  <si>
    <t>COMISION ORDEN DE PAGO SPEI REFERENCIA: 150125</t>
  </si>
  <si>
    <t>I.V.A. ORDEN DE PAGO SPEI REFERENCIA: 150125</t>
  </si>
  <si>
    <t>COMPRA ORDEN DE PAGO SPEI 150125 =REFERENCIA CTA/CLABE: 012180004432867893, BXI SPEI BCO:012 BENEF:DHL express mexico sa de cv (DATO NO VERIFICADO POR ESTA INSTITUCIÓN), 9804519685 CVE RASTREO: 7875APR1202501153710887754 RFC: No capturado IVA: 000000000000.00 BBVA MEXICO HORA LIQ: 10:47:41</t>
  </si>
  <si>
    <t>3724.49</t>
  </si>
  <si>
    <t>COMPRA ORDEN DE PAGO SPEI 150125 =REFERENCIA CTA/CLABE: 012180001228039414, BXI SPEI BCO:012 BENEF:MEDICA DE OAXACA SA DE CV (DATO NO VERIFICADO POR ESTA INSTITUCIÓN), Pago factura CVE RASTREO: 7875APR2202501153711057660 RFC: MOA030716677 IVA: 000000000000.00 BBVA MEXICO HORA LIQ: 11:26:04</t>
  </si>
  <si>
    <t>1050.83</t>
  </si>
  <si>
    <t>COMPRA ORDEN DE PAGO SPEI 160125 =REFERENCIA CTA/CLABE: 012180001197280747, BXI SPEI BCO:012 BENEF:SERV INDUSTRIALES ENDENSA (DATO NO VERIFICADO POR ESTA INSTITUCIÓN), Pago factura CVE RASTREO: 7875APR1202501163714458595 RFC: SIE210526EWA IVA: 000000000000.00 BBVA MEXICO HORA LIQ: 09:13:41</t>
  </si>
  <si>
    <t>94878.57</t>
  </si>
  <si>
    <t>COMISION ORDEN DE PAGO SPEI REFERENCIA: 160125</t>
  </si>
  <si>
    <t>I.V.A. ORDEN DE PAGO SPEI REFERENCIA: 0160125</t>
  </si>
  <si>
    <t>COMPRA ORDEN DE PAGO SPEI 160125 =REFERENCIA CTA/CLABE: 012180001191796583, BXI SPEI BCO:012 BENEF:CONSORCIO EMPRENDEDOR LA FINCA (DATO NO VERIFICADO POR ESTA INSTITUCIÓN), Pago factura CVE RASTREO: 7875APR2202501163714512937 RFC: CEF180301697 IVA: 000000000000.00 BBVA MEXICO HORA LIQ: 09:30:57</t>
  </si>
  <si>
    <t>27903.08</t>
  </si>
  <si>
    <t>I.V.A. ORDEN DE PAGO SPEI REFERENCIA: 160125</t>
  </si>
  <si>
    <t>TRASPASO A CUENTA DE TERCEROS 0016012025 IVA:00000000.00 , A LA CUENTA: 1170088573 Registro anual AL R.F.C. IEP130125MQ9</t>
  </si>
  <si>
    <t>13576.8</t>
  </si>
  <si>
    <t>REGISTROS PC</t>
  </si>
  <si>
    <t>COMPRA ORDEN DE PAGO SPEI 160125 =REFERENCIA CTA/CLABE: 012680001206401904, BXI SPEI BCO:012 BENEF:MTA ABOGADOS (DATO NO VERIFICADO POR ESTA INSTITUCIÓN), Pago factura A292 CVE RASTREO: 7875APR1202501163715168677 RFC: MAB230619DX8 IVA: 000000000000.00 BBVA MEXICO HORA LIQ: 12:35:44</t>
  </si>
  <si>
    <t>27561.6</t>
  </si>
  <si>
    <t>ASISTENCIA LEGAL</t>
  </si>
  <si>
    <t>CARGO POR PAGO CONCENTRACION TELCEL (RADIO M 0000000000000000000000000000606342828420 AL RFC RDI841003QJ4 RAS 53395016906015037478 FAC 037478</t>
  </si>
  <si>
    <t>36572.1</t>
  </si>
  <si>
    <t>COMPRA ORDEN DE PAGO SPEI 160125 =REFERENCIA CTA/CLABE: 021680040571712668, BXI SPEI BCO:021 BENEF:ANGEL OROSCO ANGELES (DATO NO VERIFICADO POR ESTA INSTITUCIÓN), Pago factura A6327 y A6328 CVE RASTREO: 7875APR2202501163715212729 RFC: No capturado IVA: 000000000000.00 HSBC HORA LIQ: 12:46:56</t>
  </si>
  <si>
    <t>40330.18</t>
  </si>
  <si>
    <t>COMPRA ORDEN DE PAGO SPEI 160125 =REFERENCIA CTA/CLABE: 012052001102183598, BXI SPEI BCO:012 BENEF:UNIDAD DE N NIBER (DATO NO VERIFICADO POR ESTA INSTITUCIÓN), Pago factura CVE RASTREO: 7875APR2202501163715823134 RFC: No capturado IVA: 000000000000.00 BBVA MEXICO HORA LIQ: 15:30:39</t>
  </si>
  <si>
    <t>1697.06</t>
  </si>
  <si>
    <t>TRASPASO A CUENTA DE TERCEROS 0017012025 IVA:00000000.00 , A LA CUENTA: 1284201680 Pago factura AL R.F.C. PBS230518SU1</t>
  </si>
  <si>
    <t>2786.86</t>
  </si>
  <si>
    <t>COMPRA ORDEN DE PAGO SPEI 170125 =REFERENCIA CTA/CLABE: 012180001228039414, BXI SPEI BCO:012 BENEF:MEDICA DE OAXACA SA DE CV (DATO NO VERIFICADO POR ESTA INSTITUCIÓN), Pago factura CVE RASTREO: 7875APR2202501173718034143 RFC: MOA030716677 IVA: 000000000000.00 BBVA MEXICO HORA LIQ: 10:51:46</t>
  </si>
  <si>
    <t>531.38</t>
  </si>
  <si>
    <t>NOMINA ENFERMERIA</t>
  </si>
  <si>
    <t>COMISION ORDEN DE PAGO SPEI REFERENCIA: 170125</t>
  </si>
  <si>
    <t>I.V.A. ORDEN DE PAGO SPEI REFERENCIA: 170125</t>
  </si>
  <si>
    <t>COMPRA ORDEN DE PAGO SPEI 170125 =REFERENCIA CTA/CLABE: 012180001228039414, BXI SPEI BCO:012 BENEF:MEDICA DE OAXACA SA DE CV (DATO NO VERIFICADO POR ESTA INSTITUCIÓN), Pago factura CVE RASTREO: 7875APR1202501173718053915 RFC: MOA030716677 IVA: 000000000000.00 BBVA MEXICO HORA LIQ: 10:56:58</t>
  </si>
  <si>
    <t>2351.77</t>
  </si>
  <si>
    <t>COMPRA ORDEN DE PAGO SPEI 170125 =REFERENCIA CTA/CLABE: 012180001191796583, BXI SPEI BCO:012 BENEF:CONSORCIO EMPRENDEDOR LA FINCA (DATO NO VERIFICADO POR ESTA INSTITUCIÓN), Pago factura CVE RASTREO: 7875APR1202501173718597203 RFC: CEF180301697 IVA: 000000000000.00 BBVA MEXICO HORA LIQ: 13:05:03</t>
  </si>
  <si>
    <t>22992.33</t>
  </si>
  <si>
    <t>CARGO POR PAGO CONCENTRACION GOBIERNO EDO.DE 0000000000000000000093001486129944822284 AL RFC GEM720601TW9 RAS 53395017163424042124 FAC 042124</t>
  </si>
  <si>
    <t>CARGO POR COMISION CEP</t>
  </si>
  <si>
    <t>CARGO POR IVA CEP</t>
  </si>
  <si>
    <t>0.56</t>
  </si>
  <si>
    <t>COMPRA ORDEN DE PAGO SPEI 170125 =REFERENCIA CTA/CLABE: 646180401000017358, BXI SPEI BCO:646 BENEF:EFECTIVALE FINTECH (DATO NO VERIFICADO POR ESTA INSTITUCIÓN), 0170046 CVE RASTREO: 7875APR1202501173719651190 RFC: No capturado IVA: 000000000000.00 STP HORA LIQ: 16:54:51</t>
  </si>
  <si>
    <t>COMPRA ORDEN DE PAGO SPEI 170125 =REFERENCIA CTA/CLABE: 021180042182424610, BXI SPEI BCO:021 BENEF:EFECTIVALE S DE RL DE CV (DATO NO VERIFICADO POR ESTA INSTITUCIÓN), C0180251001COMBTAR00 CVE RASTREO: 7875APR1202501173719671183 RFC: No capturado IVA: 000000000000.00 HSBC HORA LIQ: 16:59:02</t>
  </si>
  <si>
    <t>15796.92</t>
  </si>
  <si>
    <t>COMPRA ORDEN DE PAGO SPEI 170125 =REFERENCIA CTA/CLABE: 012180001223109022, BXI SPEI BCO:012 BENEF:BRYTALAR CONSULTORES EN ING (DATO NO VERIFICADO POR ESTA INSTITUCIÓN), Pago factura CVE RASTREO: 7875APR1202501173719705947 RFC: BCI231002GC2 IVA: 000000000000.00 BBVA MEXICO HORA LIQ: 17:05:53</t>
  </si>
  <si>
    <t>COMPRA ORDEN DE PAGO SPEI 170125 =REFERENCIA CTA/CLABE: 012244028447964386, BXI SPEI BCO:012 BENEF:JESUS ALEJANDRO GALLARZA ORTE (DATO NO VERIFICADO POR ESTA INSTITUCIÓN), Pago factura 2CAB422F CVE RASTREO: 7875APR1202501173719747147 RFC: No capturado IVA: 000000000000.00 BBVA MEXICO HORA LIQ: 17:15:14</t>
  </si>
  <si>
    <t>39086.65</t>
  </si>
  <si>
    <t>DESARROLLO SOFTWARE ERP</t>
  </si>
  <si>
    <t>PAGO REFERENCIADO 588793801725 Impuesto Deposito Referenciado</t>
  </si>
  <si>
    <t>IMPUESTOS SAT</t>
  </si>
  <si>
    <t>PAGO REFERENCIADO 588801601725 Impuesto Deposito Referenciado</t>
  </si>
  <si>
    <t>COMPRA ORDEN DE PAGO SPEI 200125 =REFERENCIA CTA/CLABE: 058164670168700117, BXI SPEI BCO:058 BENEF:VERONICA MARIN MARTINEZ (DATO NO VERIFICADO POR ESTA INSTITUCIÓN), Pago factura 2355 CVE RASTREO: 7875APR1202501203726216636 RFC: MAMV721227JH4 IVA: 000000000000.00 BANREGIO HORA LIQ: 14:44:10</t>
  </si>
  <si>
    <t>30116.68</t>
  </si>
  <si>
    <t>CAPACITACION</t>
  </si>
  <si>
    <t>COMISION ORDEN DE PAGO SPEI REFERENCIA: 200125</t>
  </si>
  <si>
    <t>I.V.A. ORDEN DE PAGO SPEI REFERENCIA: 200125</t>
  </si>
  <si>
    <t>COMPRA ORDEN DE PAGO SPEI 210125 =REFERENCIA CTA/CLABE: 021180550300079601, BXI SPEI BCO:021 BENEF:GOBIERNO DEL ESTADO DE MEXICO (DATO NO VERIFICADO POR ESTA INSTITUCIÓN), 203000000030082953963236220 CVE RASTREO: 7875APR1202501213728039508 RFC: GEM850101BJ3 IVA: 000000000000.00 HSBC HORA LIQ: 11:37:00</t>
  </si>
  <si>
    <t>COMISION ORDEN DE PAGO SPEI REFERENCIA: 210125</t>
  </si>
  <si>
    <t>I.V.A. ORDEN DE PAGO SPEI REFERENCIA: 210125</t>
  </si>
  <si>
    <t>COMPRA ORDEN DE PAGO SPEI 210125 =REFERENCIA CTA/CLABE: 021180550300079601, BXI SPEI BCO:021 BENEF:GOBIERNO DEL ESTADO DE MEXICO (DATO NO VERIFICADO POR ESTA INSTITUCIÓN), 203000000030082584363236221 CVE RASTREO: 7875APR2202501213728051759 RFC: GEM850101BJ3 IVA: 000000000000.00 HSBC HORA LIQ: 11:41:38</t>
  </si>
  <si>
    <t>COMPRA ORDEN DE PAGO SPEI 210125 =REFERENCIA CTA/CLABE: 002822701158124575, BXI SPEI BCO:002 BENEF:JACOBO OSORIO GOMEZ (DATO NO VERIFICADO POR ESTA INSTITUCIÓN), Pago factura A1918 CVE RASTREO: 7875APR2202501213728065096 RFC: OOGJ810622ES7 IVA: 000000000000.00 BANAMEX HORA LIQ: 11:46:44</t>
  </si>
  <si>
    <t>COMPRA ORDEN DE PAGO SPEI 210125 =REFERENCIA CTA/CLABE: 062580001081366424, BXI SPEI BCO:062 BENEF:ECOTMED EVALUACIONES (DATO NO VERIFICADO POR ESTA INSTITUCIÓN), Pago factura 1732 CVE RASTREO: 7875APR2202501213728078610 RFC: EEV1705223X7 IVA: 000000000000.00 AFIRME HORA LIQ: 11:51:57</t>
  </si>
  <si>
    <t>COMPRA ORDEN DE PAGO SPEI 210125 =REFERENCIA CTA/CLABE: 127180901335972792, BXI SPEI BCO:127 BENEF:TOTAL PLAY TELECOMUNICACIONE (DATO NO VERIFICADO POR ESTA INSTITUCIÓN), 09000001335972799 CVE RASTREO: 7875APR1202501213728090919 RFC: No capturado IVA: 000000000000.00 AZTECA HORA LIQ: 11:56:39</t>
  </si>
  <si>
    <t>COMPRA ORDEN DE PAGO SPEI 210125 =REFERENCIA CTA/CLABE: 036680500192474726, BXI SPEI BCO:036 BENEF:ITA SOLUCIONES INTELIGENTES S (DATO NO VERIFICADO POR ESTA INSTITUCIÓN), Pago factura A37053 CVE RASTREO: 7875APR1202501213728103083 RFC: No capturado IVA: 000000000000.00 INBURSA HORA LIQ: 12:01:12</t>
  </si>
  <si>
    <t>504.47</t>
  </si>
  <si>
    <t>Estimulo al personal</t>
  </si>
  <si>
    <t>COMPRA ORDEN DE PAGO SPEI 210125 =REFERENCIA CTA/CLABE: 012180001195999166, BXI SPEI BCO:012 BENEF:DEALSTAR (DATO NO VERIFICADO POR ESTA INSTITUCIÓN), Pago factura 1757 CVE RASTREO: 7875APR2202501213728111943 RFC: No capturado IVA: 000000000000.00 BBVA MEXICO HORA LIQ: 12:04:37</t>
  </si>
  <si>
    <t>19580.8</t>
  </si>
  <si>
    <t>CUPONSTAR</t>
  </si>
  <si>
    <t>COMPRA ORDEN DE PAGO SPEI 210125 =REFERENCIA CTA/CLABE: 012180001197280747, BXI SPEI BCO:012 BENEF:SERV INDUSTRIALES ENDENSA (DATO NO VERIFICADO POR ESTA INSTITUCIÓN), Pago factura CVE RASTREO: 7875APR1202501213728294060 RFC: SIE210526EWA IVA: 000000000000.00 BBVA MEXICO HORA LIQ: 13:10:39</t>
  </si>
  <si>
    <t>10102.38</t>
  </si>
  <si>
    <t>COMPRA ORDEN DE PAGO SPEI 210125 =REFERENCIA CTA/CLABE: 002680902661053899, BXI SPEI BCO:002 BENEF:Edgar Alonso Aguilar Negrete (DATO NO VERIFICADO POR ESTA INSTITUCIÓN), Pago factura DE41B2CF CVE RASTREO: 7875APR1202501213728542292 RFC: No capturado IVA: 000000000000.00 BANAMEX HORA LIQ: 14:40:07</t>
  </si>
  <si>
    <t>1249.13</t>
  </si>
  <si>
    <t>I.V.A. ORDEN DE PAGO SPEI REFERENCIA: 0210125</t>
  </si>
  <si>
    <t>COMPRA ORDEN DE PAGO SPEI 210125 =REFERENCIA CTA/CLABE: 030680900036606162, BXI SPEI BCO:030 BENEF:Anahí Monserrat rieto Gomez (DATO NO VERIFICADO POR ESTA INSTITUCIÓN), Pago factura C26C9006 CVE RASTREO: 7875APR2202501213728552843 RFC: PIGA010718BJ2 IVA: 000000000000.00 BAJIO HORA LIQ: 14:44:07</t>
  </si>
  <si>
    <t>COMPRA ORDEN DE PAGO SPEI 210125 =REFERENCIA CTA/CLABE: 014610566869436887, BXI SPEI BCO:014 BENEF:HUGO CABALLERO CABALLERO (DATO NO VERIFICADO POR ESTA INSTITUCIÓN), Pago factura DICTAMEN ESTRUCTURAL MARTI CVE RASTREO: 7875APR1202501213728565576 RFC: No capturado IVA: 000000000000.00 SANTANDER HORA LIQ: 14:48:57</t>
  </si>
  <si>
    <t>TRASPASO A CUENTA DE TERCEROS 0021012025 IVA:00000000.00 , A LA CUENTA: 0259644345 Pago QCOME5593 AL R.F.C. LAN120809LR8</t>
  </si>
  <si>
    <t>TRASPASO A CUENTA DE TERCEROS 0021012025 IVA:00000000.00 , A LA CUENTA: 0823566839 Pago Parcial prestamo AL R.F.C. GUGD830219UEA</t>
  </si>
  <si>
    <t>Prestamos Otorgados PAGO A GUERRA</t>
  </si>
  <si>
    <t>COMPRA ORDEN DE PAGO SPEI 210125 =REFERENCIA CTA/CLABE: 012180001197280747, BXI SPEI BCO:012 BENEF:SERV INDUSTRIALES ENDENSA (DATO NO VERIFICADO POR ESTA INSTITUCIÓN), Pago factura CVE RASTREO: 7875APR1202501213728795206 RFC: SIE210526EWA IVA: 000000000000.00 BBVA MEXICO HORA LIQ: 16:15:14</t>
  </si>
  <si>
    <t>25255.94</t>
  </si>
  <si>
    <t>TRASPASO A CUENTA DE TERCEROS 0021012025 IVA:00000000.00 , A LA CUENTA: 1053740992 Reembolso viaticos AL R.F.C. YAHA880404422</t>
  </si>
  <si>
    <t>7051.61</t>
  </si>
  <si>
    <t>COMPRA ORDEN DE PAGO SPEI 220125 =REFERENCIA CTA/CLABE: 012680015610028383, BXI SPEI BCO:012 BENEF:FRANCIA MONTES MENDEZ (DATO NO VERIFICADO POR ESTA INSTITUCIÓN), PD UPS PS FG899 001 NUEVO LEON SEM04 CVE RASTREO: 7875APR1202501223729845711 RFC: No capturado IVA: 000000000000.00 BBVA MEXICO HORA LIQ: 09:04:58</t>
  </si>
  <si>
    <t>COMISION ORDEN DE PAGO SPEI REFERENCIA: 220125</t>
  </si>
  <si>
    <t>I.V.A. ORDEN DE PAGO SPEI REFERENCIA: 0220125</t>
  </si>
  <si>
    <t>COMPRA ORDEN DE PAGO SPEI 220125 =REFERENCIA CTA/CLABE: 012680027965369565, BXI SPEI BCO:012 BENEF:FRANCISCO BERRUETA GONZALEZ (DATO NO VERIFICADO POR ESTA INSTITUCIÓN), Registro Tamaulipas sem04 Sr Berrueta CVE RASTREO: 7875APR1202501223729899311 RFC: No capturado IVA: 000000000000.00 BBVA MEXICO HORA LIQ: 09:34:38</t>
  </si>
  <si>
    <t>I.V.A. ORDEN DE PAGO SPEI REFERENCIA: 220125</t>
  </si>
  <si>
    <t>COMPRA ORDEN DE PAGO SPEI 220125 =REFERENCIA CTA/CLABE: 012052001102183598, BXI SPEI BCO:012 BENEF:UNIDAD DE N NIBER (DATO NO VERIFICADO POR ESTA INSTITUCIÓN), Pago factura CVE RASTREO: 7875APR1202501223730474148 RFC: No capturado IVA: 000000000000.00 BBVA MEXICO HORA LIQ: 13:29:40</t>
  </si>
  <si>
    <t>9407.14</t>
  </si>
  <si>
    <t>TRASPASO A CUENTA DE TERCEROS 0022012025 IVA:00000000.00 , A LA CUENTA: 0464769060 Registro Nayarit sem 04 Sr Berrueta AL R.F.C. BEGF511121D70</t>
  </si>
  <si>
    <t>COMPRA ORDEN DE PAGO SPEI 220125 =REFERENCIA CTA/CLABE: 012680027965369565, BXI SPEI BCO:012 BENEF:FRANCISCO BERRUETA GONZALEZ (DATO NO VERIFICADO POR ESTA INSTITUCIÓN), Registro Nayarit sem 04 CVE RASTREO: 7875APR2202501223730502862 RFC: No capturado IVA: 000000000000.00 BBVA MEXICO HORA LIQ: 13:39:43</t>
  </si>
  <si>
    <t>COMPRA ORDEN DE PAGO SPEI 220125 =REFERENCIA CTA/CLABE: 012914002012350367, BXI SPEI BCO:012 BENEF:CYBERPUERTA SA DE CV (DATO NO VERIFICADO POR ESTA INSTITUCIÓN), 8826961867 CVE RASTREO: 7875APR2202501223730522858 RFC: No capturado IVA: 000000000000.00 BBVA MEXICO HORA LIQ: 13:46:48</t>
  </si>
  <si>
    <t>MANTENIMIENTO OFICINAS</t>
  </si>
  <si>
    <t>TRASPASO A CUENTA DE TERCEROS 0022012025 IVA:00000000.00 , A LA CUENTA: 0630241240 Pago factura 6565 AL R.F.C. EIN091008U81</t>
  </si>
  <si>
    <t>16012.81</t>
  </si>
  <si>
    <t>SERVER NUBE ENGENIUM</t>
  </si>
  <si>
    <t>TRASPASO A CUENTA DE TERCEROS 0022012025 IVA:00000000.00 , A LA CUENTA: 0630241240 Pago factura 6606 AL R.F.C. EIN091008U81</t>
  </si>
  <si>
    <t>TRASPASO A CUENTA DE TERCEROS 0022012025 IVA:00000000.00 , A LA CUENTA: 0823566839 Pago AL R.F.C. GUGD830219UEA</t>
  </si>
  <si>
    <t>Prestamos Otorgados</t>
  </si>
  <si>
    <t>COMPRA ORDEN DE PAGO SPEI 220125 =REFERENCIA CTA/CLABE: 012180015583598657, BXI SPEI BCO:012 BENEF:JOSE DE JESUS RAMIREZ GONZALE (DATO NO VERIFICADO POR ESTA INSTITUCIÓN), Reembolso de viaticos CVE RASTREO: 7875APR1202501223731104686 RFC: RAGJ8902258X5 IVA: 000000000000.00 BBVA MEXICO HORA LIQ: 17:18:00</t>
  </si>
  <si>
    <t>206.1</t>
  </si>
  <si>
    <t>COMPRA ORDEN DE PAGO SPEI 230125 =REFERENCIA CTA/CLABE: 012180001191796583, BXI SPEI BCO:012 BENEF:CONSORCIO EMPRENDEDOR LA FINCA (DATO NO VERIFICADO POR ESTA INSTITUCIÓN), Pago factura CVE RASTREO: 7875APR1202501233732351563 RFC: CEF180301697 IVA: 000000000000.00 BBVA MEXICO HORA LIQ: 11:11:57</t>
  </si>
  <si>
    <t>47910.32</t>
  </si>
  <si>
    <t>COMISION ORDEN DE PAGO SPEI REFERENCIA: 230125</t>
  </si>
  <si>
    <t>I.V.A. ORDEN DE PAGO SPEI REFERENCIA: 230125</t>
  </si>
  <si>
    <t>COMPRA ORDEN DE PAGO SPEI 230125 =REFERENCIA CTA/CLABE: 036180500616242934, BXI SPEI BCO:036 BENEF:OLIVER NICOLAS MARTINEZ REYES (DATO NO VERIFICADO POR ESTA INSTITUCIÓN), Pago factura A35 CVE RASTREO: 7875APR1202501233733390980 RFC: No capturado IVA: 000000000000.00 INBURSA HORA LIQ: 16:50:47</t>
  </si>
  <si>
    <t>91061.16</t>
  </si>
  <si>
    <t>COMPRA ORDEN DE PAGO SPEI 230125 =REFERENCIA CTA/CLABE: 012180001223109022, BXI SPEI BCO:012 BENEF:BRYTALAR CONSULTORES EN ING (DATO NO VERIFICADO POR ESTA INSTITUCIÓN), Pago factura CVE RASTREO: 7875APR2202501233733410056 RFC: BCI231002GC2 IVA: 000000000000.00 BBVA MEXICO HORA LIQ: 16:57:02</t>
  </si>
  <si>
    <t>COMPRA ORDEN DE PAGO SPEI 230125 =REFERENCIA CTA/CLABE: 137905103554186057, BXI SPEI BCO:137 BENEF:BRENDA ELIZABETH REYES ROMERO (DATO NO VERIFICADO POR ESTA INSTITUCIÓN), Pago factura 76747F39 CVE RASTREO: 7875APR2202501233733469796 RFC: RERB840328H79 IVA: 000000000000.00 BANCOPPEL HORA LIQ: 17:15:37</t>
  </si>
  <si>
    <t>13999.93</t>
  </si>
  <si>
    <t>COMPRA ORDEN DE PAGO SPEI 240125 =REFERENCIA CTA/CLABE: 036882500708832301, BXI SPEI BCO:036 BENEF:LABORATORIO AMBIENTAL DIPA SA (DATO NO VERIFICADO POR ESTA INSTITUCIÓN), Pago parcial prestamo CVE RASTREO: 7875APR2202501243734982396 RFC: LAD1907113G9 IVA: 000000000000.00 INBURSA HORA LIQ: 10:28:40</t>
  </si>
  <si>
    <t>COMISION ORDEN DE PAGO SPEI REFERENCIA: 240125</t>
  </si>
  <si>
    <t>I.V.A. ORDEN DE PAGO SPEI REFERENCIA: 240125</t>
  </si>
  <si>
    <t>COMPRA ORDEN DE PAGO SPEI 240125 =REFERENCIA CTA/CLABE: 137320102464928897, BXI SPEI BCO:137 BENEF:LUIS JAIME PARTIDA HERRERA (DATO NO VERIFICADO POR ESTA INSTITUCIÓN), Pago factura 148 CVE RASTREO: 7875APR2202501243735005403 RFC: No capturado IVA: 000000000000.00 BANCOPPEL HORA LIQ: 10:35:54</t>
  </si>
  <si>
    <t>COMPRA ORDEN DE PAGO SPEI 240125 =REFERENCIA CTA/CLABE: 002180700471692223, BXI SPEI BCO:002 BENEF:ISAAC SALINAS HINOJOSA (DATO NO VERIFICADO POR ESTA INSTITUCIÓN), Pago factura 2129 CVE RASTREO: 7875APR1202501243735024300 RFC: No capturado IVA: 000000000000.00 BANAMEX HORA LIQ: 10:41:47</t>
  </si>
  <si>
    <t>6500.78</t>
  </si>
  <si>
    <t>COMPRA ORDEN DE PAGO SPEI 240125 =REFERENCIA CTA/CLABE: 030028900001899472, BXI SPEI BCO:030 BENEF:INSPECCIONA CONSULTORES SA DE (DATO NO VERIFICADO POR ESTA INSTITUCIÓN), Pago factura 2215 CVE RASTREO: 7875APR1202501243735037456 RFC: ICO101216C56 IVA: 000000000000.00 BAJIO HORA LIQ: 10:45:45</t>
  </si>
  <si>
    <t>COMPRA ORDEN DE PAGO SPEI 240125 =REFERENCIA CTA/CLABE: 030680900003677328, BXI SPEI BCO:030 BENEF:CAMSA SOLUCIONES FISCALES SC (DATO NO VERIFICADO POR ESTA INSTITUCIÓN), Pago factura 1437 CVE RASTREO: 7875APR2202501243735050810 RFC: No capturado IVA: 000000000000.00 BAJIO HORA LIQ: 10:49:45</t>
  </si>
  <si>
    <t>COMPRA ORDEN DE PAGO SPEI 240125 =REFERENCIA CTA/CLABE: 014470655105556572, BXI SPEI BCO:014 BENEF:GRUMINER (DATO NO VERIFICADO POR ESTA INSTITUCIÓN), Pago factura 69 CVE RASTREO: 7875APR1202501243735064530 RFC: GRU2405284W5 IVA: 000000000000.00 SANTANDER HORA LIQ: 10:53:46</t>
  </si>
  <si>
    <t>COMPRA ORDEN DE PAGO SPEI 240125 =REFERENCIA CTA/CLABE: 002680003800840665, BXI SPEI BCO:002 BENEF:WILCON INGENIERIA Y DIBUJO SA (DATO NO VERIFICADO POR ESTA INSTITUCIÓN), Pago factura 18065 CVE RASTREO: 7875APR1202501243735101585 RFC: No capturado IVA: 000000000000.00 BANAMEX HORA LIQ: 11:03:43</t>
  </si>
  <si>
    <t>16313.66</t>
  </si>
  <si>
    <t>COMPRA ORDEN DE PAGO SPEI 240125 =REFERENCIA CTA/CLABE: 012180004432867893, BXI SPEI BCO:012 BENEF:DHL express mexico sa de cv (DATO NO VERIFICADO POR ESTA INSTITUCIÓN), 9804519685 CVE RASTREO: 7875APR2202501243735359798 RFC: No capturado IVA: 000000000000.00 BBVA MEXICO HORA LIQ: 12:11:09</t>
  </si>
  <si>
    <t>5134.44</t>
  </si>
  <si>
    <t>COMPRA ORDEN DE PAGO SPEI 240125 =REFERENCIA CTA/CLABE: 646180401000017358, BXI SPEI BCO:646 BENEF:EFECTIVALE FINTECH (DATO NO VERIFICADO POR ESTA INSTITUCIÓN), 0170733 CVE RASTREO: 7875APR1202501243735715191 RFC: No capturado IVA: 000000000000.00 STP HORA LIQ: 13:33:59</t>
  </si>
  <si>
    <t>113063.6</t>
  </si>
  <si>
    <t>COMPRA ORDEN DE PAGO SPEI 240125 =REFERENCIA CTA/CLABE: 021180042182424610, BXI SPEI BCO:021 BENEF:EFECTIVALE S DE RL DE CV (DATO NO VERIFICADO POR ESTA INSTITUCIÓN), C0180251001COMBTAR00 CVE RASTREO: 7875APR2202501243735727923 RFC: No capturado IVA: 000000000000.00 HSBC HORA LIQ: 13:36:44</t>
  </si>
  <si>
    <t>15270.36</t>
  </si>
  <si>
    <t>COMPRA ORDEN DE PAGO SPEI 240125 =REFERENCIA CTA/CLABE: 124180650607646916, BXI SPEI BCO:124 BENEF:UBR PAGOS MEXICO SA DE CV IFP (DATO NO VERIFICADO POR ESTA INSTITUCIÓN), 245958 CVE RASTREO: 7875APR2202501243735738674 RFC: FAC150514TM8 IVA: 000000000000.00 CITI MEXICO HORA LIQ: 13:39:13</t>
  </si>
  <si>
    <t>102507.13</t>
  </si>
  <si>
    <t>COMPRA ORDEN DE PAGO SPEI 240125 =REFERENCIA CTA/CLABE: 002680701382948523, BXI SPEI BCO:002 BENEF:Francisco Javier Berrueta G (DATO NO VERIFICADO POR ESTA INSTITUCIÓN), Gastos CVE RASTREO: 7875APR1202501243735789472 RFC: BEGF770305UV6 IVA: 000000000000.00 BANAMEX HORA LIQ: 13:51:06</t>
  </si>
  <si>
    <t>55464.68</t>
  </si>
  <si>
    <t>GASTOS SOCIOS</t>
  </si>
  <si>
    <t>I.V.A. ORDEN DE PAGO SPEI REFERENCIA: 0240125</t>
  </si>
  <si>
    <t>TRASPASO A CUENTA DE TERCEROS 0024012025 IVA:00000000.00 , A LA CUENTA: 0464771090 Gastos AL R.F.C. GOHD820316G98</t>
  </si>
  <si>
    <t>38157.49</t>
  </si>
  <si>
    <t>TRASPASO A CUENTA DE TERCEROS 0024012025 IVA:00000000.00 , A LA CUENTA: 0168583760 PD Scotiabank Salvador Guzman sem 04 AL R.F.C. GUGS7403243W5</t>
  </si>
  <si>
    <t>PASES DE CAJA (FONDOS CLIENTES) 90% PAGOS ND</t>
  </si>
  <si>
    <t>TRASPASO A CUENTA DE TERCEROS 0027012025 IVA:00000000.00 , A LA CUENTA: 1027324375 PD Scotiabank Puebla AL R.F.C. BEMP8601238R4</t>
  </si>
  <si>
    <t>TRASPASO A CUENTA DE TERCEROS 0027012025 IVA:00000000.00 , A LA CUENTA: 1027324375 PD Scotiabank Puebla Suc Anzures _ Pilar Bernal AL R.F.C. BEMP8601238R4</t>
  </si>
  <si>
    <t>COMPRA ORDEN DE PAGO SPEI 270125 =REFERENCIA CTA/CLABE: 137814101137136708, BXI SPEI BCO:137 BENEF:Sergio Alberto Baltazar Rodri (DATO NO VERIFICADO POR ESTA INSTITUCIÓN), Pd Fabe Apodaca Suc Paseo San Miguel y L CVE RASTREO: 7875APR1202501273742318759 RFC: No capturado IVA: 000000000000.00 BANCOPPEL HORA LIQ: 12:15:43</t>
  </si>
  <si>
    <t>COMISION ORDEN DE PAGO SPEI REFERENCIA: 270125</t>
  </si>
  <si>
    <t>I.V.A. ORDEN DE PAGO SPEI REFERENCIA: 270125</t>
  </si>
  <si>
    <t>COMPRA ORDEN DE PAGO SPEI 270125 =REFERENCIA CTA/CLABE: 012691015853938876, BXI SPEI BCO:012 BENEF:Fernando González Martínez (DATO NO VERIFICADO POR ESTA INSTITUCIÓN), Planos CVE RASTREO: 7875APR1202501273742481164 RFC: No capturado IVA: 000000000000.00 BBVA MEXICO HORA LIQ: 12:51:47</t>
  </si>
  <si>
    <t>123.5</t>
  </si>
  <si>
    <t>COMPRA ORDEN DE PAGO SPEI 270125 =REFERENCIA CTA/CLABE: 021180550300053151, BXI SPEI BCO:021 BENEF:Chubb Seguros México SA (DATO NO VERIFICADO POR ESTA INSTITUCIÓN), IA25A000222D009 CVE RASTREO: 7875APR2202501273742916420 RFC: ASE901221SM4 IVA: 000000000000.00 HSBC HORA LIQ: 15:09:40</t>
  </si>
  <si>
    <t>12436.65</t>
  </si>
  <si>
    <t>SEGUROS AUTOMOVILES</t>
  </si>
  <si>
    <t>I.V.A. ORDEN DE PAGO SPEI REFERENCIA: 0270125</t>
  </si>
  <si>
    <t>COMPRA ORDEN DE PAGO SPEI 270125 =REFERENCIA CTA/CLABE: 012180001197280747, BXI SPEI BCO:012 BENEF:SERV INDUSTRIALES ENDENSA (DATO NO VERIFICADO POR ESTA INSTITUCIÓN), Pago factura CVE RASTREO: 7875APR2202501273742936263 RFC: SIE210526EWA IVA: 000000000000.00 BBVA MEXICO HORA LIQ: 15:16:44</t>
  </si>
  <si>
    <t>16542.64</t>
  </si>
  <si>
    <t>COMPRA ORDEN DE PAGO SPEI 280125 =REFERENCIA CTA/CLABE: 012052001102183598, BXI SPEI BCO:012 BENEF:UNIDAD DE N NIBER (DATO NO VERIFICADO POR ESTA INSTITUCIÓN), Pago factura CVE RASTREO: 7875APR1202501283744470297 RFC: No capturado IVA: 000000000000.00 BBVA MEXICO HORA LIQ: 09:29:40</t>
  </si>
  <si>
    <t>60766.32</t>
  </si>
  <si>
    <t>COMISION ORDEN DE PAGO SPEI REFERENCIA: 280125</t>
  </si>
  <si>
    <t>I.V.A. ORDEN DE PAGO SPEI REFERENCIA: 280125</t>
  </si>
  <si>
    <t>CARGO POR PAGO CONCENTRACION GOBIERNO EDO.DE 0000000000000000000093001486146244946285 AL RFC GEM720601TW9 RAS 53395028018976042124 FAC 042124</t>
  </si>
  <si>
    <t>CARGO POR PAGO CONCENTRACION GOBIERNO EDO.DE 0000000000000000000093001486144044946225 AL RFC GEM720601TW9 RAS 53395028019935042124 FAC 042124</t>
  </si>
  <si>
    <t>CARGO POR PAGO CONCENTRACION GOBIERNO EDO.DE 0000000000000000000093001486104244943233 AL RFC GEM720601TW9 RAS 53395028021015042124 FAC 042124</t>
  </si>
  <si>
    <t>COMPRA ORDEN DE PAGO SPEI 290125 =REFERENCIA CTA/CLABE: 002680003800840665, BXI SPEI BCO:002 BENEF:WILCON INGENIERIA Y DIBUJO SA (DATO NO VERIFICADO POR ESTA INSTITUCIÓN), Pago factura 18921 CVE RASTREO: 7875APR2202501293747236798 RFC: No capturado IVA: 000000000000.00 BANAMEX HORA LIQ: 09:40:38</t>
  </si>
  <si>
    <t>10685.58</t>
  </si>
  <si>
    <t>COMISION ORDEN DE PAGO SPEI REFERENCIA: 290125</t>
  </si>
  <si>
    <t>I.V.A. ORDEN DE PAGO SPEI REFERENCIA: 290125</t>
  </si>
  <si>
    <t>COMPRA ORDEN DE PAGO SPEI 290125 =REFERENCIA CTA/CLABE: 002680003800840665, BXI SPEI BCO:002 BENEF:WILCON INGENIERIA Y DIBUJO SA (DATO NO VERIFICADO POR ESTA INSTITUCIÓN), Pago factura 19674 y 19679 CVE RASTREO: 7875APR1202501293747247892 RFC: No capturado IVA: 000000000000.00 BANAMEX HORA LIQ: 09:45:06</t>
  </si>
  <si>
    <t>COMPRA ORDEN DE PAGO SPEI 290125 =REFERENCIA CTA/CLABE: 012180001732125131, BXI SPEI BCO:012 BENEF:Curso de primeros auxilios (DATO NO VERIFICADO POR ESTA INSTITUCIÓN), Pago factura 1841 CVE RASTREO: 7875APR1202501293747264989 RFC: No capturado IVA: 000000000000.00 BBVA MEXICO HORA LIQ: 09:51:45</t>
  </si>
  <si>
    <t>CARGO POR PAGO CONCENTRACION TELEFONOS DE ME 33165651984 AL RFC TME840315KT6 RAS 78755029048466001310 FAC 001310</t>
  </si>
  <si>
    <t>CARGO POR PAGO CONCENTRACION SKY 0000000000000000000000000000501291682992 AL RFC CNO960830IT7 RAS 53395029213997004392 FAC 004392</t>
  </si>
  <si>
    <t>SKY</t>
  </si>
  <si>
    <t>COMPRA ORDEN DE PAGO SPEI 290125 =REFERENCIA CTA/CLABE: 044680256044596315, BXI SPEI BCO:044 BENEF:VICTOR URIEL MORENO CATARINO (DATO NO VERIFICADO POR ESTA INSTITUCIÓN), Pd Marsh Qro sem05 CVE RASTREO: 7875APR1202501293748360258 RFC: No capturado IVA: 000000000000.00 SCOTIABANK HORA LIQ: 15:29:48</t>
  </si>
  <si>
    <t>COMPRA ORDEN DE PAGO SPEI 300125 =REFERENCIA CTA/CLABE: 012180001191796583, BXI SPEI BCO:012 BENEF:CONSORCIO EMPRENDEDOR LA FINCA (DATO NO VERIFICADO POR ESTA INSTITUCIÓN), Pago factura CVE RASTREO: 7875APR2202501303750217580 RFC: CEF180301697 IVA: 000000000000.00 BBVA MEXICO HORA LIQ: 10:11:45</t>
  </si>
  <si>
    <t>128546.06</t>
  </si>
  <si>
    <t>COMISION ORDEN DE PAGO SPEI REFERENCIA: 300125</t>
  </si>
  <si>
    <t>I.V.A. ORDEN DE PAGO SPEI REFERENCIA: 300125</t>
  </si>
  <si>
    <t>COMPRA ORDEN DE PAGO SPEI 300125 =REFERENCIA CTA/CLABE: 012180001197280747, BXI SPEI BCO:012 BENEF:SERV INDUSTRIALES ENDENSA (DATO NO VERIFICADO POR ESTA INSTITUCIÓN), Pago factura CVE RASTREO: 7875APR1202501303750238258 RFC: SIE210526EWA IVA: 000000000000.00 BBVA MEXICO HORA LIQ: 10:17:56</t>
  </si>
  <si>
    <t>38181.86</t>
  </si>
  <si>
    <t>COMISION ORDEN DE PAGO SPEI REFERENCIA: 0300125</t>
  </si>
  <si>
    <t>I.V.A. ORDEN DE PAGO SPEI REFERENCIA: 0300125</t>
  </si>
  <si>
    <t>COMPRA ORDEN DE PAGO SPEI 300125 =REFERENCIA CTA/CLABE: 012680001110033992, BXI SPEI BCO:012 BENEF:SOLUCIONES ADMINISTRATIVAS TE (DATO NO VERIFICADO POR ESTA INSTITUCIÓN), Pago factura CR1394 CVE RASTREO: 7875APR2202501303750702135 RFC: No capturado IVA: 000000000000.00 BBVA MEXICO HORA LIQ: 12:16:01</t>
  </si>
  <si>
    <t>SISTEMAS LICENCIAS COMPACK CONTABLE</t>
  </si>
  <si>
    <t>COMPRA ORDEN DE PAGO SPEI 300125 =REFERENCIA CTA/CLABE: 002680902661053899, BXI SPEI BCO:002 BENEF:Edgar Alonso Aguilar Negrete (DATO NO VERIFICADO POR ESTA INSTITUCIÓN), Pago factura FV IS 1258 CVE RASTREO: 7875APR2202501303750729611 RFC: No capturado IVA: 000000000000.00 BANAMEX HORA LIQ: 12:21:49</t>
  </si>
  <si>
    <t>SISTEMAS SOPORTE TECNICO</t>
  </si>
  <si>
    <t>COMPRA ORDEN DE PAGO SPEI 300125 =REFERENCIA CTA/CLABE: 012244028447964386, BXI SPEI BCO:012 BENEF:JESUS ALEJANDRO GALLARZA ORTE (DATO NO VERIFICADO POR ESTA INSTITUCIÓN), Pago factura BD8D316F CVE RASTREO: 7875APR1202501303750756038 RFC: No capturado IVA: 000000000000.00 BBVA MEXICO HORA LIQ: 12:26:53</t>
  </si>
  <si>
    <t>SISTEMAS RENTA ERP</t>
  </si>
  <si>
    <t>COMPRA ORDEN DE PAGO SPEI 300125 =REFERENCIA CTA/CLABE: 012180004432867893, BXI SPEI BCO:012 BENEF:DHL express mexico sa de cv (DATO NO VERIFICADO POR ESTA INSTITUCIÓN), 9804519685 CVE RASTREO: 7875APR1202501303750769535 RFC: No capturado IVA: 000000000000.00 BBVA MEXICO HORA LIQ: 12:29:51</t>
  </si>
  <si>
    <t>10276.71</t>
  </si>
  <si>
    <t>COMPRA ORDEN DE PAGO SPEI 300125 =REFERENCIA CTA/CLABE: 014680555043853162, BXI SPEI BCO:014 BENEF:MARIA DE LA LUZ RESENDIZ RINC (DATO NO VERIFICADO POR ESTA INSTITUCIÓN), Pago factura 1573 y 1581 CVE RASTREO: 7875APR2202501303750797800 RFC: No capturado IVA: 000000000000.00 SANTANDER HORA LIQ: 12:36:43</t>
  </si>
  <si>
    <t>4523.99</t>
  </si>
  <si>
    <t>COMPRA ORDEN DE PAGO SPEI 300125 =REFERENCIA CTA/CLABE: 002680429800298969, BXI SPEI BCO:002 BENEF:PAOLA DURAN MARTINEZ (DATO NO VERIFICADO POR ESTA INSTITUCIÓN), Pago factura 234 CVE RASTREO: 7875APR2202501303750822051 RFC: DUMP790608HS9 IVA: 000000000000.00 BANAMEX HORA LIQ: 12:42:41</t>
  </si>
  <si>
    <t>34867.94</t>
  </si>
  <si>
    <t>PAGO DE CREDITO EN LINEA 89590332,PAGO A CAPITAL MODALIDAD: VIGENTE EN MONEDA: M.N. SALDO:-ACTUAL- -2500000VENCIDO- 0 89590332 PAGO A CAPITAL REF 0000000000 SECUENCIA 1232</t>
  </si>
  <si>
    <t>Credito Revolvente</t>
  </si>
  <si>
    <t>COMPRA ORDEN DE PAGO SPEI 300125 =REFERENCIA CTA/CLABE: 638180000122569203, BXI SPEI BCO:638 BENEF:Ana Cecilia Pérez Guerrero (DATO NO VERIFICADO POR ESTA INSTITUCIÓN), PD Scotiabank Reynosa Tamps sem05 CVE RASTREO: 7875APR1202501303751600998 RFC: No capturado IVA: 000000000000.00 AKALA HORA LIQ: 15:36:47</t>
  </si>
  <si>
    <t>COMPRA ORDEN DE PAGO SPEI 300125 =REFERENCIA CTA/CLABE: 012180001223109022, BXI SPEI BCO:012 BENEF:BRYTALAR CONSULTORES EN ING (DATO NO VERIFICADO POR ESTA INSTITUCIÓN), Pago factura CVE RASTREO: 7875APR1202501303751627947 RFC: BCI231002GC2 IVA: 000000000000.00 BBVA MEXICO HORA LIQ: 15:43:09</t>
  </si>
  <si>
    <t>5329.96</t>
  </si>
  <si>
    <t>VI00000200004575412400000000000000000429 CARGO COBRANZA DOMICILIADA LEYENDA:VI00000200004575412400000000000001001PES REF:0VI0000457541200009504009400000726934052 SEGUROS BANORTE SA DE CV GRUPO FINANCIER RFC: SBG 971124PL2 IVA: 0000000000000.00</t>
  </si>
  <si>
    <t>3232.25</t>
  </si>
  <si>
    <t>SEGUROS (OTROS) Y FIANZAS</t>
  </si>
  <si>
    <t>COMPRA ORDEN DE PAGO SPEI 310125 =REFERENCIA CTA/CLABE: 124180650607646916, BXI SPEI BCO:124 BENEF:UBR PAGOS MEXICO SA DE CV IFP (DATO NO VERIFICADO POR ESTA INSTITUCIÓN), FFY 4486631 CVE RASTREO: 7875APR2202501313754545929 RFC: FAC150514TM8 IVA: 000000000000.00 CITI MEXICO HORA LIQ: 10:33:53</t>
  </si>
  <si>
    <t>145343.19</t>
  </si>
  <si>
    <t>COMISION ORDEN DE PAGO SPEI REFERENCIA: 310125</t>
  </si>
  <si>
    <t>I.V.A. ORDEN DE PAGO SPEI REFERENCIA: 310125</t>
  </si>
  <si>
    <t>COMPRA ORDEN DE PAGO SPEI 310125 =REFERENCIA CTA/CLABE: 012680015165657759, BXI SPEI BCO:012 BENEF:ANA GABRIELA CARPINTERO VELAS (DATO NO VERIFICADO POR ESTA INSTITUCIÓN), Pago parcial factura CCA41A2D CVE RASTREO: 7875APR2202501313754682360 RFC: CAVA890308KW8 IVA: 000000000000.00 BBVA MEXICO HORA LIQ: 11:01:04</t>
  </si>
  <si>
    <t>COMPRA ORDEN DE PAGO SPEI 310125 =REFERENCIA CTA/CLABE: 036882500708901193, BXI SPEI BCO:036 BENEF:PS GRAPH INBURSA (DATO NO VERIFICADO POR ESTA INSTITUCIÓN), Renta enero CVE RASTREO: 7875APR2202501313755578054 RFC: PGR190605GM7 IVA: 000000000000.00 INBURSA HORA LIQ: 13:31:08</t>
  </si>
  <si>
    <t>HEADCOUNT</t>
  </si>
  <si>
    <t>COMPRA ORDEN DE PAGO SPEI 310125 =REFERENCIA CTA/CLABE: 646180401000017358, BXI SPEI BCO:646 BENEF:EFECTIVALE FINTECH (DATO NO VERIFICADO POR ESTA INSTITUCIÓN), 0171472 CVE RASTREO: 7875APR1202501313755610584 RFC: No capturado IVA: 000000000000.00 STP HORA LIQ: 13:35:50</t>
  </si>
  <si>
    <t>98841.12</t>
  </si>
  <si>
    <t>COMPRA ORDEN DE PAGO SPEI 310125 =REFERENCIA CTA/CLABE: 021180042182424610, BXI SPEI BCO:021 BENEF:EFECTIVALE S DE RL DE CV (DATO NO VERIFICADO POR ESTA INSTITUCIÓN), C0180251001COMBTAR00 CVE RASTREO: 7875APR1202501313755633839 RFC: No capturado IVA: 000000000000.00 HSBC HORA LIQ: 13:39:51</t>
  </si>
  <si>
    <t>19482.87</t>
  </si>
  <si>
    <t>COMPRA ORDEN DE PAGO SPEI 310125 =REFERENCIA CTA/CLABE: 012180001228039414, BXI SPEI BCO:012 BENEF:MEDICA DE OAXACA SA DE CV (DATO NO VERIFICADO POR ESTA INSTITUCIÓN), Pago factura CVE RASTREO: 7875APR2202501313755896680 RFC: MOA030716677 IVA: 000000000000.00 BBVA MEXICO HORA LIQ: 14:20:46</t>
  </si>
  <si>
    <t>15295.68</t>
  </si>
  <si>
    <t>COMPRA ORDEN DE PAGO SPEI 310125 =REFERENCIA CTA/CLABE: 012180001228039414, BXI SPEI BCO:012 BENEF:MEDICA DE OAXACA SA DE CV (DATO NO VERIFICADO POR ESTA INSTITUCIÓN), Pago factura CVE RASTREO: 7875APR2202501313755923689 RFC: MOA030716677 IVA: 000000000000.00 BBVA MEXICO HORA LIQ: 14:25:11</t>
  </si>
  <si>
    <t>6158.95</t>
  </si>
  <si>
    <t>COMPRA ORDEN DE PAGO SPEI 310125 =REFERENCIA CTA/CLABE: 002680900000640674, BXI SPEI BCO:002 BENEF:Ernesto Velazquez Jimenez (DATO NO VERIFICADO POR ESTA INSTITUCIÓN), Pago factura folio 37 CVE RASTREO: 7875APR1202501313755959078 RFC: No capturado IVA: 000000000000.00 BANAMEX HORA LIQ: 14:31:04</t>
  </si>
  <si>
    <t>24459.58</t>
  </si>
  <si>
    <t>PAGO DE CREDITO EN LINEA 89590332,PAGO A CAPITAL MODALIDAD: VIGENTE EN MONEDA: M.N. SALDO:-ACTUAL- -750000VENCIDO- 0 89590332 PAGO A CAPITAL REF 0000000000 SECUENCIA 1428</t>
  </si>
  <si>
    <t>COMPRA ORDEN DE PAGO SPEI 310125 =REFERENCIA CTA/CLABE: 012180001106959470, BXI SPEI BCO:012 BENEF:GRUPO GUELEX Y ASOCIADOS (DATO NO VERIFICADO POR ESTA INSTITUCIÓN), Pago factura 480 CVE RASTREO: 7875APR1202501313756074539 RFC: No capturado IVA: 000000000000.00 BBVA MEXICO HORA LIQ: 14:49:11</t>
  </si>
  <si>
    <t>TRASPASO A CUENTA DE TERCEROS 0031012025 IVA:00000000.00 , A LA CUENTA: 0471247155 Factura 7F4A00C2 2364EF01 y 5424B6E6 AL R.F.C. CAHG591118C85</t>
  </si>
  <si>
    <t>45402.49</t>
  </si>
  <si>
    <t>COMPRA ORDEN DE PAGO SPEI 310125 =REFERENCIA CTA/CLABE: 012680001110033992, BXI SPEI BCO:012 BENEF:SOLUCIONES ADMINISTRATIVAS TE (DATO NO VERIFICADO POR ESTA INSTITUCIÓN), Pago factura CR1380 CVE RASTREO: 7875APR2202501313756113041 RFC: No capturado IVA: 000000000000.00 BBVA MEXICO HORA LIQ: 14:55:47</t>
  </si>
  <si>
    <t>COMPRA ORDEN DE PAGO SPEI 310125 =REFERENCIA CTA/CLABE: 012346015083363964, BXI SPEI BCO:012 BENEF:WENCESLAO GERARDO MARTINEZ LO (DATO NO VERIFICADO POR ESTA INSTITUCIÓN), Pago factura 738 CVE RASTREO: 7875APR2202501313756156761 RFC: No capturado IVA: 000000000000.00 BBVA MEXICO HORA LIQ: 15:03:03</t>
  </si>
  <si>
    <t>56364.4</t>
  </si>
  <si>
    <t>COMPRA ORDEN DE PAGO SPEI 310125 =REFERENCIA CTA/CLABE: 014680655102010542, BXI SPEI BCO:014 BENEF:DISTRIBUIDORA NEGRETE QRO (DATO NO VERIFICADO POR ESTA INSTITUCIÓN), Pago factura 71 85 y 86 CVE RASTREO: 7875APR1202501313756185319 RFC: DNQ2310184Q8 IVA: 000000000000.00 SANTANDER HORA LIQ: 15:08:02</t>
  </si>
  <si>
    <t>SISTEMAS</t>
  </si>
  <si>
    <t>COMPRA ORDEN DE PAGO SPEI 310125 =REFERENCIA CTA/CLABE: 014680605465966024, BXI SPEI BCO:014 BENEF:ALBERTO SANCHEZ BENAVIDES (DATO NO VERIFICADO POR ESTA INSTITUCIÓN), Pago factura C967 CVE RASTREO: 7875APR1202501313756204702 RFC: SABA860105MQ6 IVA: 000000000000.00 SANTANDER HORA LIQ: 15:11:09</t>
  </si>
  <si>
    <t>COMPRA ORDEN DE PAGO SPEI 310125 =REFERENCIA CTA/CLABE: 012180001195999166, BXI SPEI BCO:012 BENEF:DEALSTAR (DATO NO VERIFICADO POR ESTA INSTITUCIÓN), Pago factura 1832 y 2007 CVE RASTREO: 7875APR1202501313756234385 RFC: No capturado IVA: 000000000000.00 BBVA MEXICO HORA LIQ: 15:15:53</t>
  </si>
  <si>
    <t>39161.6</t>
  </si>
  <si>
    <t>COMPRA ORDEN DE PAGO SPEI 310125 =REFERENCIA CTA/CLABE: 014180655079131643, BXI SPEI BCO:014 BENEF:Exi Tecnologias de la Informa (DATO NO VERIFICADO POR ESTA INSTITUCIÓN), Pago factura 6243 CVE RASTREO: 7875APR2202501313756259333 RFC: ETI1401309C4 IVA: 000000000000.00 SANTANDER HORA LIQ: 15:19:51</t>
  </si>
  <si>
    <t>TRASPASO A CUENTA DE TERCEROS 0031012025 IVA:00000000.00 , A LA CUENTA: 1033732560 Pago factura 4297 AL R.F.C. CNA180831IN3</t>
  </si>
  <si>
    <t>PUBLICIDAD (ADWORDS PS)</t>
  </si>
  <si>
    <t>COMPRA ORDEN DE PAGO SPEI 310125 =REFERENCIA CTA/CLABE: 012560004837500430, BXI SPEI BCO:012 BENEF:JUAN CARLOS LOMELI MACEDO (DATO NO VERIFICADO POR ESTA INSTITUCIÓN), Pago factura 1 CVE RASTREO: 7875APR2202501313756289427 RFC: No capturado IVA: 000000000000.00 BBVA MEXICO HORA LIQ: 15:25:02</t>
  </si>
  <si>
    <t>COMPRA ORDEN DE PAGO SPEI 310125 =REFERENCIA CTA/CLABE: 014610566869436887, BXI SPEI BCO:014 BENEF:HUGO CABALLERO CABALLERO (DATO NO VERIFICADO POR ESTA INSTITUCIÓN), Pago factura 112 CVE RASTREO: 7875APR2202501313756304957 RFC: No capturado IVA: 000000000000.00 SANTANDER HORA LIQ: 15:27:44</t>
  </si>
  <si>
    <t>COMPRA ORDEN DE PAGO SPEI 310125 =REFERENCIA CTA/CLABE: 638180000158504863, BXI SPEI BCO:638 BENEF:Iris Selene Hidalgo Jiménez (DATO NO VERIFICADO POR ESTA INSTITUCIÓN), Reembolso mtto CVE RASTREO: 7875APR2202501313757088908 RFC: No capturado IVA: 000000000000.00 AKALA HORA LIQ: 17:29:54</t>
  </si>
  <si>
    <t>Reembolso a cliente</t>
  </si>
  <si>
    <t>I.V.A. ORDEN DE PAGO SPEI REFERENCIA: 0310125</t>
  </si>
  <si>
    <t>03 SEL PAGO DE SERVICIOS</t>
  </si>
  <si>
    <t>REGISTROS GOBIERNO DE EDO DE QRO</t>
  </si>
  <si>
    <t>TENENCIA CARROS PS</t>
  </si>
  <si>
    <t>COBRO DE COMISION</t>
  </si>
  <si>
    <t>IVA POR COMISIONES</t>
  </si>
  <si>
    <t>99.2</t>
  </si>
  <si>
    <t>TRASPASO NOMINA INBURED</t>
  </si>
  <si>
    <t>54453.65</t>
  </si>
  <si>
    <t>53476.31</t>
  </si>
  <si>
    <t>COMISION POR MOVIMIENTOS INBURED</t>
  </si>
  <si>
    <t>IVA COMISION POR MOVIMIENTOS INBURED</t>
  </si>
  <si>
    <t>COMISION MANEJO DE CUENTA</t>
  </si>
  <si>
    <t>171.55</t>
  </si>
  <si>
    <t>IVA COMISION MANEJO DE CUENTA</t>
  </si>
  <si>
    <t>27.45</t>
  </si>
  <si>
    <t>PAGO INTERESES CR 000309974626</t>
  </si>
  <si>
    <t>11434.3</t>
  </si>
  <si>
    <t>NOTAS</t>
  </si>
  <si>
    <t>$20,721.48</t>
  </si>
  <si>
    <t>$17,400.00</t>
  </si>
  <si>
    <t>$43,376.18</t>
  </si>
  <si>
    <t>$13,055.80</t>
  </si>
  <si>
    <t>$17,330.40</t>
  </si>
  <si>
    <t>$482.75</t>
  </si>
  <si>
    <t>$2,924.39</t>
  </si>
  <si>
    <t>$176,706.64</t>
  </si>
  <si>
    <t>$10,215.34</t>
  </si>
  <si>
    <t>$49,926.65</t>
  </si>
  <si>
    <t>$13,890.77</t>
  </si>
  <si>
    <t>$92,995.95</t>
  </si>
  <si>
    <t>$280,088.64</t>
  </si>
  <si>
    <t>$67,354.32</t>
  </si>
  <si>
    <t>$283,238.82</t>
  </si>
  <si>
    <t>$70,031.50</t>
  </si>
  <si>
    <t>$138,888.89</t>
  </si>
  <si>
    <t>$31,753.47</t>
  </si>
  <si>
    <t>$40,314.36</t>
  </si>
  <si>
    <t>$10,324.00</t>
  </si>
  <si>
    <t>$1,668.33</t>
  </si>
  <si>
    <t>$82,486.11</t>
  </si>
  <si>
    <t>$45,319.00</t>
  </si>
  <si>
    <t>$35,318.00</t>
  </si>
  <si>
    <t>$15,000.00</t>
  </si>
  <si>
    <t>$914.00</t>
  </si>
  <si>
    <t>$549.00</t>
  </si>
  <si>
    <t>$3,027.60</t>
  </si>
  <si>
    <t>$4,776.98</t>
  </si>
  <si>
    <t>$61.52</t>
  </si>
  <si>
    <t>$27,115.70</t>
  </si>
  <si>
    <t>$7,786.50</t>
  </si>
  <si>
    <t>$277,233.83</t>
  </si>
  <si>
    <t>$34,160.00</t>
  </si>
  <si>
    <t>$2,714.25</t>
  </si>
  <si>
    <t>$126,527.93</t>
  </si>
  <si>
    <t>$69,034.58</t>
  </si>
  <si>
    <t>$12,488.62</t>
  </si>
  <si>
    <t>$13,346.62</t>
  </si>
  <si>
    <t>$5,336.00</t>
  </si>
  <si>
    <t>$5,760.00</t>
  </si>
  <si>
    <t>$2,714.40</t>
  </si>
  <si>
    <t>$4,342.80</t>
  </si>
  <si>
    <t>$1,239.81</t>
  </si>
  <si>
    <t>$2,459.20</t>
  </si>
  <si>
    <t>$6,113.20</t>
  </si>
  <si>
    <t>$3,128.10</t>
  </si>
  <si>
    <t>$1,438.79</t>
  </si>
  <si>
    <t>$5,322.38</t>
  </si>
  <si>
    <t>$8,704.34</t>
  </si>
  <si>
    <t>$156,912.84</t>
  </si>
  <si>
    <t>$8,951.59</t>
  </si>
  <si>
    <t>$780.00</t>
  </si>
  <si>
    <t>$4,633.50</t>
  </si>
  <si>
    <t>$1,705.20</t>
  </si>
  <si>
    <t>$6,276.72</t>
  </si>
  <si>
    <t>$3,663.62</t>
  </si>
  <si>
    <t>$4,776.30</t>
  </si>
  <si>
    <t>$851.65</t>
  </si>
  <si>
    <t>$1,386.37</t>
  </si>
  <si>
    <t>$596.70</t>
  </si>
  <si>
    <t>$807.36</t>
  </si>
  <si>
    <t>$9,486.70</t>
  </si>
  <si>
    <t>$4,985.90</t>
  </si>
  <si>
    <t>$5,240.00</t>
  </si>
  <si>
    <t>$383.00</t>
  </si>
  <si>
    <t>$7,380.99</t>
  </si>
  <si>
    <t>$53,932.21</t>
  </si>
  <si>
    <t>$5,413.00</t>
  </si>
  <si>
    <t>$3,724.49</t>
  </si>
  <si>
    <t>$1,050.83</t>
  </si>
  <si>
    <t>$94,878.57</t>
  </si>
  <si>
    <t>$27,903.08</t>
  </si>
  <si>
    <t>$13,576.80</t>
  </si>
  <si>
    <t>$27,561.60</t>
  </si>
  <si>
    <t>$36,572.10</t>
  </si>
  <si>
    <t>$40,330.18</t>
  </si>
  <si>
    <t>$1,697.06</t>
  </si>
  <si>
    <t>$5,569.02</t>
  </si>
  <si>
    <t>$2,786.86</t>
  </si>
  <si>
    <t>$531.38</t>
  </si>
  <si>
    <t>OTROS FACTURACIÓN / GASTOS</t>
  </si>
  <si>
    <t>$2,351.77</t>
  </si>
  <si>
    <t>$22,992.33</t>
  </si>
  <si>
    <t>$9,663.00</t>
  </si>
  <si>
    <t>$3.50</t>
  </si>
  <si>
    <t>$0.56</t>
  </si>
  <si>
    <t>$153,480.00</t>
  </si>
  <si>
    <t>$15,796.92</t>
  </si>
  <si>
    <t>$39,086.65</t>
  </si>
  <si>
    <t>$94,287.00</t>
  </si>
  <si>
    <t>$28,867.00</t>
  </si>
  <si>
    <t>$30,116.68</t>
  </si>
  <si>
    <t>$1,403.00</t>
  </si>
  <si>
    <t>$8,910.00</t>
  </si>
  <si>
    <t>$4,263.00</t>
  </si>
  <si>
    <t>$899.00</t>
  </si>
  <si>
    <t>$504.47</t>
  </si>
  <si>
    <t>$19,580.80</t>
  </si>
  <si>
    <t>$10,102.38</t>
  </si>
  <si>
    <t>$1,249.13</t>
  </si>
  <si>
    <t>$1,972.00</t>
  </si>
  <si>
    <t>$8,580.00</t>
  </si>
  <si>
    <t>$648,000.00</t>
  </si>
  <si>
    <t>$25,255.94</t>
  </si>
  <si>
    <t>$7,051.61</t>
  </si>
  <si>
    <t>$8,685.60</t>
  </si>
  <si>
    <t>$5,429.00</t>
  </si>
  <si>
    <t>$9,407.14</t>
  </si>
  <si>
    <t>$9,177.00</t>
  </si>
  <si>
    <t>$11,797.00</t>
  </si>
  <si>
    <t>$16,012.81</t>
  </si>
  <si>
    <t>$66,352.00</t>
  </si>
  <si>
    <t>$120,000.00</t>
  </si>
  <si>
    <t>$206.10</t>
  </si>
  <si>
    <t>$47,910.32</t>
  </si>
  <si>
    <t>$91,061.16</t>
  </si>
  <si>
    <t>$13,999.93</t>
  </si>
  <si>
    <t>$30,000.00</t>
  </si>
  <si>
    <t>$6,500.78</t>
  </si>
  <si>
    <t>$8,352.00</t>
  </si>
  <si>
    <t>$21,256.00</t>
  </si>
  <si>
    <t>$37,120.00</t>
  </si>
  <si>
    <t>$16,313.66</t>
  </si>
  <si>
    <t>$5,134.44</t>
  </si>
  <si>
    <t>$113,063.60</t>
  </si>
  <si>
    <t>$15,270.36</t>
  </si>
  <si>
    <t>$55,464.68</t>
  </si>
  <si>
    <t>$38,157.49</t>
  </si>
  <si>
    <t>$10,573.00</t>
  </si>
  <si>
    <t>$732.00</t>
  </si>
  <si>
    <t>$696.00</t>
  </si>
  <si>
    <t>$5,428.50</t>
  </si>
  <si>
    <t>$123.50</t>
  </si>
  <si>
    <t>$12,436.65</t>
  </si>
  <si>
    <t>$16,542.64</t>
  </si>
  <si>
    <t>$60,766.32</t>
  </si>
  <si>
    <t>$543.00</t>
  </si>
  <si>
    <t>$7,491.00</t>
  </si>
  <si>
    <t>$10,685.58</t>
  </si>
  <si>
    <t>$8,973.07</t>
  </si>
  <si>
    <t>$32,828.00</t>
  </si>
  <si>
    <t>$2,796.00</t>
  </si>
  <si>
    <t>$277.00</t>
  </si>
  <si>
    <t>$128,546.06</t>
  </si>
  <si>
    <t>$38,181.86</t>
  </si>
  <si>
    <t>$19,000.00</t>
  </si>
  <si>
    <t>$10,276.71</t>
  </si>
  <si>
    <t>$4,523.99</t>
  </si>
  <si>
    <t>$34,867.94</t>
  </si>
  <si>
    <t>$2,500,000.00</t>
  </si>
  <si>
    <t>$5,212.00</t>
  </si>
  <si>
    <t>$5,329.96</t>
  </si>
  <si>
    <t>$3,232.25</t>
  </si>
  <si>
    <t>$145,343.19</t>
  </si>
  <si>
    <t>$14,850.00</t>
  </si>
  <si>
    <t>$87,000.00</t>
  </si>
  <si>
    <t>$98,841.12</t>
  </si>
  <si>
    <t>$19,482.87</t>
  </si>
  <si>
    <t>$15,295.68</t>
  </si>
  <si>
    <t>$6,158.95</t>
  </si>
  <si>
    <t>$24,459.58</t>
  </si>
  <si>
    <t>$750,000.00</t>
  </si>
  <si>
    <t>$12,760.00</t>
  </si>
  <si>
    <t>$45,402.49</t>
  </si>
  <si>
    <t>$1,624.00</t>
  </si>
  <si>
    <t>$56,364.40</t>
  </si>
  <si>
    <t>$9,324.08</t>
  </si>
  <si>
    <t>$2,763.12</t>
  </si>
  <si>
    <t>$39,161.60</t>
  </si>
  <si>
    <t>$13,804.00</t>
  </si>
  <si>
    <t>$31,900.00</t>
  </si>
  <si>
    <t>$22,950.00</t>
  </si>
  <si>
    <t>$3,420.00</t>
  </si>
  <si>
    <t>CORNEJO JIMENEZ MARLEN</t>
  </si>
  <si>
    <t>Está asignada a 3 zonas, se realizó una división de su monto de nómina en cada mes</t>
  </si>
  <si>
    <t>No tiene nómina interna en abril</t>
  </si>
  <si>
    <t>No tiene zona designada, se asignó de acuerdo a la zona de nómina de los archivos de nom externa</t>
  </si>
  <si>
    <t>EN EL ARCHIVO DE MARIO ESTÁ COMO NORTE Y EN EL BUDGET COMO NOROESTE</t>
  </si>
  <si>
    <t>Las depreciaciones de equipo de cómputo y mob de oficina se dividen por headcount, la de automoviles se manda a ops</t>
  </si>
  <si>
    <t>Se hizo reconteo de headcount para división de egresos a partir de depreciaciones</t>
  </si>
  <si>
    <t>PREGUNTAR POR CONCEPTO devolucion en febrero</t>
  </si>
  <si>
    <t>4 MESES EN CONCLUIRSE</t>
  </si>
  <si>
    <t>SE agregó LAE como dirección</t>
  </si>
  <si>
    <t>EMPIEZA egresos bajos y sbe</t>
  </si>
  <si>
    <t>preguntar de PAGO DE INTERESES 88059964-089590332 de 7mil sobre si es comision o intereses</t>
  </si>
  <si>
    <t>12 millones de inver</t>
  </si>
  <si>
    <t>preguntar de loc box</t>
  </si>
  <si>
    <t>(se mandó 50% a técnico y 50% a LAE)</t>
  </si>
  <si>
    <t>250 mil de renta mensual por construir</t>
  </si>
  <si>
    <t>PENDIENTE UNIFORMES, VER QUIEN LOS USA</t>
  </si>
  <si>
    <t>costo financiero: 1% para factoraje hasta 2% capital mint</t>
  </si>
  <si>
    <t>SE ELIMINÓ BBVA855 POR -0,17</t>
  </si>
  <si>
    <t>minimizar gasto inecesario de pagar rentas por no hacer nada</t>
  </si>
  <si>
    <t>Arquitectura  - Jorge Gonzalez Hernandez Magri
MacBook Pro 14" MDE14E/A Chip M5
CPU10 GPU10 16GB 1TB Negro Espacial</t>
  </si>
  <si>
    <t>REVISAR EL EGRESSO DE SISTEMAS EMPRESARIALES DABO, ES DE 1981 Y EL GASTO FUE DE 45 K</t>
  </si>
  <si>
    <t>minimizar riesgo de subidas de precios y servicios</t>
  </si>
  <si>
    <t>KORNER SALES, VIATICOS TIENEN 719 Y EN CAMSA HAY 619,83</t>
  </si>
  <si>
    <t>menor costo financiero</t>
  </si>
  <si>
    <t>preguntar de  BANCO MONEX S.A. INSTITUCION DE BANCA MULTIPLE, MONEX GRUPO FINANCIERO fideicomiso</t>
  </si>
  <si>
    <t>una vez empezando no se para</t>
  </si>
  <si>
    <t>Revisar Belanea Mexico recarga de Arturo Ret, es posible que ya esté en dispersiones si el gasto se hizo con clara</t>
  </si>
  <si>
    <t>componente mas grande: mano de obra</t>
  </si>
  <si>
    <t>safety net: ya no autorizo mas pagos cuando llego a 1.5 mill</t>
  </si>
  <si>
    <t>Referencia</t>
  </si>
  <si>
    <t>Cargos</t>
  </si>
  <si>
    <t>Abonos</t>
  </si>
  <si>
    <t>Saldo</t>
  </si>
  <si>
    <t xml:space="preserve"> NOMINA QUINCENAL ENERO 2026</t>
  </si>
  <si>
    <t>IMSS</t>
  </si>
  <si>
    <t xml:space="preserve"> IMPUESTO SOBRE NOMINA</t>
  </si>
  <si>
    <t>ISN</t>
  </si>
  <si>
    <t>Impuesto estatal sobre nóminas</t>
  </si>
  <si>
    <t xml:space="preserve"> UNIDAD DE NEGOCIO NIBER</t>
  </si>
  <si>
    <t>F-5904</t>
  </si>
  <si>
    <t>F-5900</t>
  </si>
  <si>
    <t>F-5903</t>
  </si>
  <si>
    <t>F-5907</t>
  </si>
  <si>
    <t>F-5901</t>
  </si>
  <si>
    <t>F-5908</t>
  </si>
  <si>
    <t xml:space="preserve"> BRYTALAR CONSULTORES EN INGENIERIA Y OBRAS</t>
  </si>
  <si>
    <t>F-766</t>
  </si>
  <si>
    <t>F-770</t>
  </si>
  <si>
    <t>F-771</t>
  </si>
  <si>
    <t>F-778</t>
  </si>
  <si>
    <t>F-774</t>
  </si>
  <si>
    <t>F-767</t>
  </si>
  <si>
    <t xml:space="preserve"> CAMSA SOLUCIONES FISCALES</t>
  </si>
  <si>
    <t>F-2198</t>
  </si>
  <si>
    <t xml:space="preserve"> CONSORCIO EMPRENDEDOR LA FINCA </t>
  </si>
  <si>
    <t>F-6151</t>
  </si>
  <si>
    <t>F-6135</t>
  </si>
  <si>
    <t>F-6154</t>
  </si>
  <si>
    <t>F-6143</t>
  </si>
  <si>
    <t>F-6163</t>
  </si>
  <si>
    <t>F-6171</t>
  </si>
  <si>
    <t>F-6137</t>
  </si>
  <si>
    <t>F-6152</t>
  </si>
  <si>
    <t>F-6145</t>
  </si>
  <si>
    <t>F-6164</t>
  </si>
  <si>
    <t xml:space="preserve"> CORPORATIVO AQUA QUERETARO</t>
  </si>
  <si>
    <t>F-1211</t>
  </si>
  <si>
    <t xml:space="preserve"> CREATIVOS POR NATURALEZA</t>
  </si>
  <si>
    <t>F-5041</t>
  </si>
  <si>
    <t xml:space="preserve"> EZIEZA SERVICIOS GENERALES</t>
  </si>
  <si>
    <t>F-5702</t>
  </si>
  <si>
    <t>F-5699</t>
  </si>
  <si>
    <t>F-5703</t>
  </si>
  <si>
    <t xml:space="preserve"> MEDICA DE OAXACA</t>
  </si>
  <si>
    <t>F-5835</t>
  </si>
  <si>
    <t>F-5838</t>
  </si>
  <si>
    <t xml:space="preserve"> PIT BOX SYSTEMS</t>
  </si>
  <si>
    <t>F-374</t>
  </si>
  <si>
    <t>F-373</t>
  </si>
  <si>
    <t>F-372</t>
  </si>
  <si>
    <t>F-371</t>
  </si>
  <si>
    <t>F-375</t>
  </si>
  <si>
    <t xml:space="preserve"> RODRIGO FERNANDO ROLDAN MORALES</t>
  </si>
  <si>
    <t>F-</t>
  </si>
  <si>
    <t xml:space="preserve"> SAMUEL HERRERA RAMIREZ</t>
  </si>
  <si>
    <t xml:space="preserve"> SERVICIOS INDUSTRIALES ENDENSA</t>
  </si>
  <si>
    <t>F-792</t>
  </si>
  <si>
    <t>F-797</t>
  </si>
  <si>
    <t>F-795</t>
  </si>
  <si>
    <t xml:space="preserve"> ANGEL OROSCO ANGELES </t>
  </si>
  <si>
    <t>F-7092</t>
  </si>
  <si>
    <t xml:space="preserve"> ACTIVE LEASING</t>
  </si>
  <si>
    <t>F-97820</t>
  </si>
  <si>
    <t>F-7038</t>
  </si>
  <si>
    <t>F-7039</t>
  </si>
  <si>
    <t xml:space="preserve"> ARRENDADORA HMS</t>
  </si>
  <si>
    <t>F-8480</t>
  </si>
  <si>
    <t xml:space="preserve"> BEPENSA LEASING </t>
  </si>
  <si>
    <t>F-60486</t>
  </si>
  <si>
    <t xml:space="preserve"> DELL LEASING MEXICO </t>
  </si>
  <si>
    <t>F-8968</t>
  </si>
  <si>
    <t>F-8966</t>
  </si>
  <si>
    <t>F-8967</t>
  </si>
  <si>
    <t>F-8964</t>
  </si>
  <si>
    <t>F-8965</t>
  </si>
  <si>
    <t>F-8970</t>
  </si>
  <si>
    <t>F-8969</t>
  </si>
  <si>
    <t xml:space="preserve"> EXI TECNOLOGIAS DE LA INFORMACION </t>
  </si>
  <si>
    <t>F-6965</t>
  </si>
  <si>
    <t xml:space="preserve"> FELIPE DE JESUS ORGANISTA ZAVALA </t>
  </si>
  <si>
    <t>F-27</t>
  </si>
  <si>
    <t xml:space="preserve"> FLEET CAR COMPANY MX</t>
  </si>
  <si>
    <t>F-33898</t>
  </si>
  <si>
    <t>F-27505</t>
  </si>
  <si>
    <t>F-11491</t>
  </si>
  <si>
    <t xml:space="preserve"> GUILLERMO ALBERTO MENDEZ ROMERO </t>
  </si>
  <si>
    <t xml:space="preserve"> PS GRAPH</t>
  </si>
  <si>
    <t>F-39</t>
  </si>
  <si>
    <t>F-42</t>
  </si>
  <si>
    <t>F-43</t>
  </si>
  <si>
    <t xml:space="preserve"> VOLKSWAGEN </t>
  </si>
  <si>
    <t>F-5187</t>
  </si>
  <si>
    <t xml:space="preserve"> COMBUSTIBLES </t>
  </si>
  <si>
    <t>F-VARIOS</t>
  </si>
  <si>
    <t xml:space="preserve"> CONSUMOS</t>
  </si>
  <si>
    <t>Consumos</t>
  </si>
  <si>
    <t xml:space="preserve"> CASETAS</t>
  </si>
  <si>
    <t xml:space="preserve"> LOC BOX</t>
  </si>
  <si>
    <t>F-3126</t>
  </si>
  <si>
    <t xml:space="preserve"> TRANSPORTACION TERRESTRE </t>
  </si>
  <si>
    <t xml:space="preserve"> HOTEL </t>
  </si>
  <si>
    <t>Hotel</t>
  </si>
  <si>
    <t xml:space="preserve"> BOLETOS DE AVION </t>
  </si>
  <si>
    <t>Boletos de Avión</t>
  </si>
  <si>
    <t xml:space="preserve"> UBER </t>
  </si>
  <si>
    <t xml:space="preserve"> FACTURIFY</t>
  </si>
  <si>
    <t>F-4759270</t>
  </si>
  <si>
    <t xml:space="preserve"> RESCUE 24 ASISTENCIA VIAL INTELIGENTE</t>
  </si>
  <si>
    <t>F-1156</t>
  </si>
  <si>
    <t>F-1155</t>
  </si>
  <si>
    <t xml:space="preserve"> LANTOINTERNET</t>
  </si>
  <si>
    <t>F-4711</t>
  </si>
  <si>
    <t xml:space="preserve"> NOVABOX</t>
  </si>
  <si>
    <t>F-3828</t>
  </si>
  <si>
    <t xml:space="preserve"> RADIOMOVIL DIPSA</t>
  </si>
  <si>
    <t>F-9350</t>
  </si>
  <si>
    <t xml:space="preserve"> TELEFONOS DE MEXICO</t>
  </si>
  <si>
    <t xml:space="preserve"> TOTAL BOX</t>
  </si>
  <si>
    <t xml:space="preserve"> TOTAL PLAY </t>
  </si>
  <si>
    <t xml:space="preserve"> MAGALI DESIREL RIOS NAVARRO</t>
  </si>
  <si>
    <t>F-377</t>
  </si>
  <si>
    <t>F-376</t>
  </si>
  <si>
    <t xml:space="preserve"> VIANEY MADERO CUADRAS</t>
  </si>
  <si>
    <t xml:space="preserve"> DAVID ULISES MIGUEL SANCHEZ OLIVARES</t>
  </si>
  <si>
    <t>F-429</t>
  </si>
  <si>
    <t xml:space="preserve"> LUIS ALBERTO GONZALEZ GALINDO</t>
  </si>
  <si>
    <t>F-3629</t>
  </si>
  <si>
    <t xml:space="preserve"> PAPELERIA </t>
  </si>
  <si>
    <t xml:space="preserve">F-VARIOS </t>
  </si>
  <si>
    <t xml:space="preserve"> ZAPOPAN ESCOLAR</t>
  </si>
  <si>
    <t>F-72</t>
  </si>
  <si>
    <t xml:space="preserve"> WILCON INGENIERIA Y DIBUJO</t>
  </si>
  <si>
    <t>F-31991</t>
  </si>
  <si>
    <t xml:space="preserve"> ABASTECEDORA DE OFICINAS</t>
  </si>
  <si>
    <t>F-49CB</t>
  </si>
  <si>
    <t xml:space="preserve"> MANTENIMIENTO </t>
  </si>
  <si>
    <t xml:space="preserve"> "U-EXPERT OPERACIONES"</t>
  </si>
  <si>
    <t>F-7</t>
  </si>
  <si>
    <t xml:space="preserve"> CAR ONE GONZALITOS</t>
  </si>
  <si>
    <t>F-50460</t>
  </si>
  <si>
    <t>F-51190</t>
  </si>
  <si>
    <t xml:space="preserve"> CASA MARCUS</t>
  </si>
  <si>
    <t>F-802959</t>
  </si>
  <si>
    <t xml:space="preserve"> GRUMINER</t>
  </si>
  <si>
    <t>F-430</t>
  </si>
  <si>
    <t xml:space="preserve"> SEGUROS BANORTE </t>
  </si>
  <si>
    <t xml:space="preserve"> SEGUROS Y FIANZAS </t>
  </si>
  <si>
    <t xml:space="preserve"> CUOTAS Y SUSCRIPCIONES </t>
  </si>
  <si>
    <t xml:space="preserve"> EDGAR ALONSO AGUILAR NEGRETE</t>
  </si>
  <si>
    <t>F-1615</t>
  </si>
  <si>
    <t>F-1632</t>
  </si>
  <si>
    <t>F-1620</t>
  </si>
  <si>
    <t xml:space="preserve"> IMR SOFTWARE</t>
  </si>
  <si>
    <t>F-4614</t>
  </si>
  <si>
    <t>F-2586</t>
  </si>
  <si>
    <t xml:space="preserve"> ONLINE CARRER CENTER MEXICO </t>
  </si>
  <si>
    <t>F-3101</t>
  </si>
  <si>
    <t xml:space="preserve"> GOOGLE MX</t>
  </si>
  <si>
    <t>F-2523</t>
  </si>
  <si>
    <t>F-2524</t>
  </si>
  <si>
    <t>F-5241</t>
  </si>
  <si>
    <t>F-7673</t>
  </si>
  <si>
    <t xml:space="preserve"> JESUS ALEJANDRO GALLARZA ORTEGA</t>
  </si>
  <si>
    <t xml:space="preserve"> PAGO INTERESES XEPELIN</t>
  </si>
  <si>
    <t xml:space="preserve"> INVOICE</t>
  </si>
  <si>
    <t>BBVA793</t>
  </si>
  <si>
    <t xml:space="preserve">BBVAUSD </t>
  </si>
  <si>
    <t xml:space="preserve"> INVOICE </t>
  </si>
  <si>
    <t xml:space="preserve"> MARIA SONIA RODRIGUEZ GONZALEZ</t>
  </si>
  <si>
    <t>F-3115</t>
  </si>
  <si>
    <t xml:space="preserve"> UNIFORMES </t>
  </si>
  <si>
    <t xml:space="preserve"> ALBERTO SANCHEZ BENAVIDES</t>
  </si>
  <si>
    <t>F-1909</t>
  </si>
  <si>
    <t>F-1940</t>
  </si>
  <si>
    <t xml:space="preserve"> SEGURIDAD TECNICA MAT</t>
  </si>
  <si>
    <t>F-123377</t>
  </si>
  <si>
    <t>F-123906</t>
  </si>
  <si>
    <t xml:space="preserve"> MARIA SONIA RODRIGUEZ GONZALEZ </t>
  </si>
  <si>
    <t>48733-48839</t>
  </si>
  <si>
    <t xml:space="preserve"> INTERESES 9651320420</t>
  </si>
  <si>
    <t>BBVA749</t>
  </si>
  <si>
    <t xml:space="preserve"> VOLKSWAGEN LEASING </t>
  </si>
  <si>
    <t>BBVA797</t>
  </si>
  <si>
    <t>BBVAUSD ND</t>
  </si>
  <si>
    <t xml:space="preserve"> DHL EXPRESS MEXICO</t>
  </si>
  <si>
    <t>F-4083</t>
  </si>
  <si>
    <t>F-5245</t>
  </si>
  <si>
    <t>F-8506</t>
  </si>
  <si>
    <t>F-44791</t>
  </si>
  <si>
    <t>F-2880</t>
  </si>
  <si>
    <t>F-2600</t>
  </si>
  <si>
    <t xml:space="preserve"> DISTRIBUIDORA PENINSULUX</t>
  </si>
  <si>
    <t>F-1</t>
  </si>
  <si>
    <t xml:space="preserve"> GOBIERNO DEL ESTADO DE MEXICO</t>
  </si>
  <si>
    <t xml:space="preserve"> GUILLERMO FRANCISCO ARREOLA OLIVEROS</t>
  </si>
  <si>
    <t xml:space="preserve"> INOX, DISEÑO ARQUITECTONICO</t>
  </si>
  <si>
    <t>F-242</t>
  </si>
  <si>
    <t>F-243</t>
  </si>
  <si>
    <t xml:space="preserve"> INSTITUTO ESTATAL DE PROTECCION CIVIL DE SINALOA</t>
  </si>
  <si>
    <t>F-8226</t>
  </si>
  <si>
    <t>F-8372</t>
  </si>
  <si>
    <t xml:space="preserve"> JOSE LUIS JACINTO DE LA TORRE</t>
  </si>
  <si>
    <t>F-173</t>
  </si>
  <si>
    <t>F-172</t>
  </si>
  <si>
    <t>F-170</t>
  </si>
  <si>
    <t xml:space="preserve"> LUIS JAIME PARTIDA HERRERA</t>
  </si>
  <si>
    <t>F-179</t>
  </si>
  <si>
    <t xml:space="preserve"> MANUEL ARTURO DIAZ CARDIEL</t>
  </si>
  <si>
    <t>F-60</t>
  </si>
  <si>
    <t xml:space="preserve"> MARCELA PADRON BARRERA</t>
  </si>
  <si>
    <t xml:space="preserve"> MERCEDES ROSIQUE RIVERA</t>
  </si>
  <si>
    <t>F-3426</t>
  </si>
  <si>
    <t>F-3427</t>
  </si>
  <si>
    <t>F-3432</t>
  </si>
  <si>
    <t xml:space="preserve"> MUNICIPIO DE LEON</t>
  </si>
  <si>
    <t>F-8692</t>
  </si>
  <si>
    <t>F-8693</t>
  </si>
  <si>
    <t xml:space="preserve"> ROBERTO DANIEL GUERRA PALOS</t>
  </si>
  <si>
    <t xml:space="preserve"> VERTICE CONSULTORIA EN PROTECCION CIVIL</t>
  </si>
  <si>
    <t>F-765</t>
  </si>
  <si>
    <t>F-768</t>
  </si>
  <si>
    <t xml:space="preserve"> LUIS RAMON FOSADO AGUIRRE</t>
  </si>
  <si>
    <t xml:space="preserve"> OMAR BENJAMIN HERNANDEZ AGUILAR </t>
  </si>
  <si>
    <t xml:space="preserve"> VICTOR HUGO MANRIQUEZ MONTES</t>
  </si>
  <si>
    <t>F-82</t>
  </si>
  <si>
    <t xml:space="preserve"> INSUMOS MEDICOS </t>
  </si>
  <si>
    <t>F-125246</t>
  </si>
  <si>
    <t xml:space="preserve"> SELH CONSULTORIA</t>
  </si>
  <si>
    <t>F-3236</t>
  </si>
  <si>
    <t xml:space="preserve"> SASIT CORPORATION</t>
  </si>
  <si>
    <t>F-4581</t>
  </si>
  <si>
    <t xml:space="preserve"> ADMINISTRACION N23</t>
  </si>
  <si>
    <t xml:space="preserve"> SERVICIOS MEDIDUS</t>
  </si>
  <si>
    <t>F-0937</t>
  </si>
  <si>
    <t xml:space="preserve"> E-NGENIUM INFRAESTRUCTURA</t>
  </si>
  <si>
    <t>F-5422</t>
  </si>
  <si>
    <t>F-5513</t>
  </si>
  <si>
    <t xml:space="preserve"> GROWTHSTUDIO</t>
  </si>
  <si>
    <t>F-2265</t>
  </si>
  <si>
    <t>F-2262</t>
  </si>
  <si>
    <t>F-2286</t>
  </si>
  <si>
    <t>F-2278</t>
  </si>
  <si>
    <t>F-2263</t>
  </si>
  <si>
    <t>F-2287</t>
  </si>
  <si>
    <t xml:space="preserve"> REGISTROS GUBERNAMENTALES</t>
  </si>
  <si>
    <t xml:space="preserve"> REGISTROS </t>
  </si>
  <si>
    <t xml:space="preserve"> DEPRECIACIONES</t>
  </si>
  <si>
    <t xml:space="preserve"> AMORTIZACION</t>
  </si>
  <si>
    <t>Amortización acumulada de Software</t>
  </si>
  <si>
    <t xml:space="preserve">VALUACION CAMBIARIA </t>
  </si>
  <si>
    <t xml:space="preserve"> PAGO DE INTERESES 88059964-089590332</t>
  </si>
  <si>
    <t xml:space="preserve"> BBVA MEXICO </t>
  </si>
  <si>
    <t>BBVA751</t>
  </si>
  <si>
    <t xml:space="preserve">COMISIONES BANCARIAS </t>
  </si>
  <si>
    <t xml:space="preserve"> PAGO TC CLARA</t>
  </si>
  <si>
    <t xml:space="preserve">COMISIONES BANCARIAS SCOTIABANK </t>
  </si>
  <si>
    <t>COMISIONES BANCARIAS SCORTIA</t>
  </si>
  <si>
    <t xml:space="preserve"> EFECTIVALE</t>
  </si>
  <si>
    <t>F-3188581</t>
  </si>
  <si>
    <t>F-3196634</t>
  </si>
  <si>
    <t>F-3173500</t>
  </si>
  <si>
    <t>F-3181065</t>
  </si>
  <si>
    <t xml:space="preserve"> EFECTIFINTECH</t>
  </si>
  <si>
    <t>F-54797</t>
  </si>
  <si>
    <t>F-56083</t>
  </si>
  <si>
    <t>F-55444</t>
  </si>
  <si>
    <t>F-54158</t>
  </si>
  <si>
    <t>Columna 19</t>
  </si>
  <si>
    <t>Columna 20</t>
  </si>
  <si>
    <t>Columna 21</t>
  </si>
  <si>
    <t>Columna 22</t>
  </si>
  <si>
    <t>Columna 23</t>
  </si>
  <si>
    <t>Columna 24</t>
  </si>
  <si>
    <t>Columna 25</t>
  </si>
  <si>
    <t>01/Feb/2026</t>
  </si>
  <si>
    <t>Equipo médico</t>
  </si>
  <si>
    <t xml:space="preserve"> ALL PHARMA</t>
  </si>
  <si>
    <t xml:space="preserve"> ANGEL OROSCO ANGELES</t>
  </si>
  <si>
    <t xml:space="preserve"> ARMANDO HERRERA VELAZQUEZ</t>
  </si>
  <si>
    <t xml:space="preserve"> ARTURO RAMSES CONTRERAS TORRES</t>
  </si>
  <si>
    <t xml:space="preserve"> AUTOMOVILES PRO SNOP </t>
  </si>
  <si>
    <t>27/Feb/2026</t>
  </si>
  <si>
    <t xml:space="preserve"> BANCO MONEX S.A. INSTITUCION DE BANCA MULTIPLE, MONEX GRUPO FINANCIERO</t>
  </si>
  <si>
    <t xml:space="preserve"> BEATRIZ IRENE MEDELLIN ROSALES</t>
  </si>
  <si>
    <t xml:space="preserve"> BELANEA MEXICO </t>
  </si>
  <si>
    <t xml:space="preserve"> BOXES &amp; MORE MJ24</t>
  </si>
  <si>
    <t xml:space="preserve"> BRENDA ELIZABETH REYES ROMERO</t>
  </si>
  <si>
    <t xml:space="preserve"> CAPITALMINT ADM</t>
  </si>
  <si>
    <t xml:space="preserve">GESTION DE EVENTOS </t>
  </si>
  <si>
    <t xml:space="preserve"> COMBUSTIBLE </t>
  </si>
  <si>
    <t xml:space="preserve"> COMISIONES BANCARIAS BBVA</t>
  </si>
  <si>
    <t>06/Feb/2026</t>
  </si>
  <si>
    <t xml:space="preserve"> COMISIONES BANCARIAS USD</t>
  </si>
  <si>
    <t>24/Feb/2026</t>
  </si>
  <si>
    <t xml:space="preserve"> CONSORCIO EMPRENDEDOR LA FINCA</t>
  </si>
  <si>
    <t xml:space="preserve"> CONSUMO </t>
  </si>
  <si>
    <t xml:space="preserve"> CUOTAS </t>
  </si>
  <si>
    <t xml:space="preserve"> DEALSTAR</t>
  </si>
  <si>
    <t>Depreciacion de maquinaria y equipo</t>
  </si>
  <si>
    <t>Devolución</t>
  </si>
  <si>
    <t xml:space="preserve"> DEVOLUCION </t>
  </si>
  <si>
    <t>09/Feb/2026</t>
  </si>
  <si>
    <t xml:space="preserve"> DHL EXPRESS MEXICO </t>
  </si>
  <si>
    <t xml:space="preserve"> DIONNE SHAMIRA SOTO CORRALES</t>
  </si>
  <si>
    <t xml:space="preserve"> DISTRIBUIDORA NEGRETE QRO</t>
  </si>
  <si>
    <t xml:space="preserve"> DISTRIBUIDORA NEGRETE QRO </t>
  </si>
  <si>
    <t xml:space="preserve"> EMANUEL CASTILLO VILLELA</t>
  </si>
  <si>
    <t xml:space="preserve"> ENTORNO SOLUCIONES AMBIENTALES INTEGRALES</t>
  </si>
  <si>
    <t xml:space="preserve"> ERNESTO VELAZQUEZ JIMENEZ</t>
  </si>
  <si>
    <t xml:space="preserve"> EXI TECNOLOGIAS DE LA INFORMACION</t>
  </si>
  <si>
    <t xml:space="preserve"> EXITUS CAPITAL </t>
  </si>
  <si>
    <t xml:space="preserve"> FELIPE DE JESUS ORGANISTA </t>
  </si>
  <si>
    <t>Cursos</t>
  </si>
  <si>
    <t xml:space="preserve"> GIPROSSA</t>
  </si>
  <si>
    <t>Devolución a cliente</t>
  </si>
  <si>
    <t xml:space="preserve"> GLOBAL SAFETY DE MEXICO</t>
  </si>
  <si>
    <t xml:space="preserve"> GRUPO COMERCIAL CHICH</t>
  </si>
  <si>
    <t xml:space="preserve"> GUILLERMO ALBERTO MENDEZ ROMERO</t>
  </si>
  <si>
    <t xml:space="preserve"> HUGO CABALLERO CABALLERO</t>
  </si>
  <si>
    <t xml:space="preserve"> IMAGEN RADIO COMERCIAL</t>
  </si>
  <si>
    <t xml:space="preserve"> INOVICE</t>
  </si>
  <si>
    <t>28/Feb/2026</t>
  </si>
  <si>
    <t xml:space="preserve"> INSUMOS PARA CURSOS </t>
  </si>
  <si>
    <t>03/Feb/2026</t>
  </si>
  <si>
    <t xml:space="preserve"> JAVIER GUDIÑO CHAIRE</t>
  </si>
  <si>
    <t xml:space="preserve"> JESUS MONDRAGON HERNANDEZ</t>
  </si>
  <si>
    <t>solicitado por jefe Paco</t>
  </si>
  <si>
    <t xml:space="preserve"> JORGE GUTIERREZ ZAMORA BARREDA</t>
  </si>
  <si>
    <t xml:space="preserve"> KORNER SALES</t>
  </si>
  <si>
    <t xml:space="preserve"> LICTUS SCIENTIFIC</t>
  </si>
  <si>
    <t xml:space="preserve"> LOCK BOX</t>
  </si>
  <si>
    <t xml:space="preserve"> LUIS CARRILLO HERNANDEZ</t>
  </si>
  <si>
    <t xml:space="preserve"> LUIS MANUEL MIRANDA BRISEÑO</t>
  </si>
  <si>
    <t xml:space="preserve"> MANTENIMIENTO</t>
  </si>
  <si>
    <t xml:space="preserve"> MARISELA ROSALES ESTRADA</t>
  </si>
  <si>
    <t xml:space="preserve"> MARYBEL SIFUENTES GUZMAN</t>
  </si>
  <si>
    <t xml:space="preserve"> MENSAJERIA</t>
  </si>
  <si>
    <t xml:space="preserve"> MIGUEL ANGEL MEDINA RAMIREZ</t>
  </si>
  <si>
    <t xml:space="preserve"> MIGUEL ANGEL MEDINA RAMIREZ </t>
  </si>
  <si>
    <t xml:space="preserve"> MOBILEC SATELITAL</t>
  </si>
  <si>
    <t>10/Feb/2026</t>
  </si>
  <si>
    <t>14/Feb/2026</t>
  </si>
  <si>
    <t>18/Feb/2026</t>
  </si>
  <si>
    <t>05/Feb/2026</t>
  </si>
  <si>
    <t xml:space="preserve"> PAGO INTERESES XEPELIN F-101767</t>
  </si>
  <si>
    <t>23/Feb/2026</t>
  </si>
  <si>
    <t>25/Feb/2026</t>
  </si>
  <si>
    <t xml:space="preserve"> PAOLA JAZMIN SALAZAR MARTINEZ</t>
  </si>
  <si>
    <t>Cuotas sindicales</t>
  </si>
  <si>
    <t xml:space="preserve"> PROPAGANDA Y PUBLICIDAD</t>
  </si>
  <si>
    <t xml:space="preserve"> PROVEEDORA DE RINES Y LLANTAS MONTERREY</t>
  </si>
  <si>
    <t xml:space="preserve"> PROVISION NOMINA 3 QUINCENAL FEBRERO 2026</t>
  </si>
  <si>
    <t>16/Feb/2026</t>
  </si>
  <si>
    <t xml:space="preserve"> SASIT CORPORATION </t>
  </si>
  <si>
    <t xml:space="preserve"> SERGIO ISRAEL AGUILAR MENDEZ</t>
  </si>
  <si>
    <t xml:space="preserve"> SISTEMAS EMPRESARIALES DABO </t>
  </si>
  <si>
    <t xml:space="preserve"> SOLUCIONES ADMINISTRATIVAS </t>
  </si>
  <si>
    <t xml:space="preserve"> TECHNOSOLUTIONS QUERETARO </t>
  </si>
  <si>
    <t xml:space="preserve"> TRASPASO BBVA MX A BBVA USD</t>
  </si>
  <si>
    <t xml:space="preserve"> UBER</t>
  </si>
  <si>
    <t xml:space="preserve"> VOLKSWAGEN LEASING</t>
  </si>
  <si>
    <t xml:space="preserve"> VS VERIFICACIONES ELECTRICAS</t>
  </si>
  <si>
    <t>26/Feb/2026</t>
  </si>
  <si>
    <t>PROVISION IMSS FEBRERO 2026</t>
  </si>
  <si>
    <t>Aportaciones al infonavit</t>
  </si>
  <si>
    <t>Aportaciones al SAR</t>
  </si>
  <si>
    <t>01/Mar/2026</t>
  </si>
  <si>
    <t>06/Mar/2026</t>
  </si>
  <si>
    <t>ANA LUCIA PEREZ MENDOZA</t>
  </si>
  <si>
    <t xml:space="preserve"> ARMANDO RIVERA LOPEZ</t>
  </si>
  <si>
    <t xml:space="preserve"> ARTICULOS DE ELECTRINICOS </t>
  </si>
  <si>
    <t xml:space="preserve"> AUTOMOVILES ESCANDINAVOS DEL CENTRO</t>
  </si>
  <si>
    <t xml:space="preserve"> BEPENSA LEASING</t>
  </si>
  <si>
    <t xml:space="preserve"> CAPACITACIONES </t>
  </si>
  <si>
    <t xml:space="preserve"> CARLOS GONZALEZ FLORES</t>
  </si>
  <si>
    <t xml:space="preserve"> CARLOS OBRYAN RAMIREZ GARZA</t>
  </si>
  <si>
    <t xml:space="preserve"> CESAR JAVIER RODRIGUEZ MONTIEL</t>
  </si>
  <si>
    <t xml:space="preserve"> COMBUSTIBLE</t>
  </si>
  <si>
    <t xml:space="preserve"> COMISIONES BANCARIAS BANORTE </t>
  </si>
  <si>
    <t>05/Mar/2026</t>
  </si>
  <si>
    <t xml:space="preserve"> CONSULTORES EN EVALUACION DE NORMAS MEXICANAS</t>
  </si>
  <si>
    <t xml:space="preserve"> CORPORATIVO RIVERNEZ</t>
  </si>
  <si>
    <t xml:space="preserve"> CURSO DE PRIMEROS AUXILIOS</t>
  </si>
  <si>
    <t>13/Mar/2026</t>
  </si>
  <si>
    <t xml:space="preserve"> DANIEL GONZALO ACOSTA AGUIRRE</t>
  </si>
  <si>
    <t xml:space="preserve"> DELL LEASING MEXICO</t>
  </si>
  <si>
    <t xml:space="preserve"> DHL EXPRESSS</t>
  </si>
  <si>
    <t>MULTICATEGORIA</t>
  </si>
  <si>
    <t xml:space="preserve"> EFECTIVALE </t>
  </si>
  <si>
    <t>31/Mar/2026</t>
  </si>
  <si>
    <t xml:space="preserve"> FELIPE DE JESUS ORGANISTA ZAVALA</t>
  </si>
  <si>
    <t xml:space="preserve"> FUEGO XTINTO</t>
  </si>
  <si>
    <t xml:space="preserve"> HECTOR MANUEL AGUILAR RODRIGUEZ</t>
  </si>
  <si>
    <t xml:space="preserve"> HUMBERTO UEHARA GUERRERO</t>
  </si>
  <si>
    <t xml:space="preserve"> IMPUESTOS 2020-2021</t>
  </si>
  <si>
    <t xml:space="preserve"> INTERESES BANCARIOS</t>
  </si>
  <si>
    <t xml:space="preserve"> INTERESES BANCARIOS BBVA</t>
  </si>
  <si>
    <t>02/Mar/2026</t>
  </si>
  <si>
    <t xml:space="preserve"> IRIS SELENE HIDALGO JIMENEZ</t>
  </si>
  <si>
    <t xml:space="preserve"> JUAN CARLOS LOMELI MACEDO</t>
  </si>
  <si>
    <t xml:space="preserve"> MA. ISABEL SEGUNDO RODRIGUEZ</t>
  </si>
  <si>
    <t xml:space="preserve"> MANUEL ALEJANDRO ACEVEDO BOGGERO</t>
  </si>
  <si>
    <t xml:space="preserve"> MARIA JOSE ESPINOSA DE LOS MONTEROS GONZALEZ</t>
  </si>
  <si>
    <t>12/Mar/2026</t>
  </si>
  <si>
    <t xml:space="preserve"> NO DEDUCIBLE </t>
  </si>
  <si>
    <t>10/Mar/2026</t>
  </si>
  <si>
    <t>20/Mar/2026</t>
  </si>
  <si>
    <t>30/Mar/2026</t>
  </si>
  <si>
    <t xml:space="preserve"> NO DEDUCIBLES </t>
  </si>
  <si>
    <t>23/Mar/2026</t>
  </si>
  <si>
    <t xml:space="preserve"> OLGA CECILIA GONZALEZ CANIZALEZ</t>
  </si>
  <si>
    <t xml:space="preserve"> PERLA ROCIO DAVILA MONSIVAIS</t>
  </si>
  <si>
    <t xml:space="preserve"> RIGOBERTO AGUIRRE HERNANDEZ</t>
  </si>
  <si>
    <t xml:space="preserve"> RODRIGO FERNANDO ROLDAN </t>
  </si>
  <si>
    <t>27/Mar/2026</t>
  </si>
  <si>
    <t xml:space="preserve"> SOLUCIONES PARA NEGOCIOS ETICOS,COMPETITIVOS Y SUSTENTABLES</t>
  </si>
  <si>
    <t xml:space="preserve"> TOTAL PLAY TELECOMUNICACIONES</t>
  </si>
  <si>
    <t xml:space="preserve"> TRASPORTACION TERRESTRE </t>
  </si>
  <si>
    <t xml:space="preserve"> VAQCSA AUTOMOVILES QUERETANOS</t>
  </si>
  <si>
    <t>04/Mar/2026</t>
  </si>
  <si>
    <t>BBVA1141</t>
  </si>
  <si>
    <t>BBVAUSD26</t>
  </si>
  <si>
    <t>26/Mar/2026</t>
  </si>
  <si>
    <t>BBVAUSD28</t>
  </si>
  <si>
    <t>28/Mar/2026</t>
  </si>
  <si>
    <t>BBVAUSD29</t>
  </si>
  <si>
    <t>BBVAUSD31</t>
  </si>
  <si>
    <t>COMISIONES BANCARIAS AFIRME</t>
  </si>
  <si>
    <t>PROVISION DE NOMINA MARZO 2026</t>
  </si>
  <si>
    <t>1 de Enero del 2026 al 15 de Enero del 2026 Fecha de Pago : 15 de Enero del 2026</t>
  </si>
  <si>
    <t>16 de Enero del 2026 al 31 de Enero del 2026 Fecha de Pago : 31 de Enero del 2026</t>
  </si>
  <si>
    <t>Empleado</t>
  </si>
  <si>
    <t>Sueldo neto</t>
  </si>
  <si>
    <t>Area</t>
  </si>
  <si>
    <t>Otros</t>
  </si>
  <si>
    <t>Aperaciones</t>
  </si>
  <si>
    <t>Otros - LAE</t>
  </si>
  <si>
    <t>Direccion</t>
  </si>
  <si>
    <t xml:space="preserve">ALEJANDRO MORALES ROMERO </t>
  </si>
  <si>
    <t>Tecnico</t>
  </si>
  <si>
    <t>GINA  ARLETTE DUARTE RODRIGUEZ</t>
  </si>
  <si>
    <t>Admon</t>
  </si>
  <si>
    <t>Operaciones</t>
  </si>
  <si>
    <t>1 de Febrero del 2026 al 15 de Febrero del 2026 Fecha de Pago : 13 de febrero del 2026</t>
  </si>
  <si>
    <t>16 de Febrero del 2026 al 28 de Febrero del 2026 Fecha de Pago : 27 de Febrero del 2026</t>
  </si>
  <si>
    <t>-EDGARDO RAMIRO VIDAL CAMBERO</t>
  </si>
  <si>
    <t xml:space="preserve">-GERMAIN ACEVEDO LOPEZ </t>
  </si>
  <si>
    <t>-ALBA AMARIANA ARVIZU</t>
  </si>
  <si>
    <t>-NESTOR AXEL ESPINOSA MENDOZA</t>
  </si>
  <si>
    <t>-MARIANA GUADALUPE VILLEGAS BOLAÑO</t>
  </si>
  <si>
    <t>-IRIS SELENE HIDALGO JIMENEZ</t>
  </si>
  <si>
    <t>-EBER GALLARDO PADILLA</t>
  </si>
  <si>
    <t xml:space="preserve">-OMAR ANGEL RANGEL  SANCHEZ </t>
  </si>
  <si>
    <t xml:space="preserve"> 1 de Marzo del 2026 al 15 de Marzo del 2026 Fecha de Pago : 13 de Marzo del 2026</t>
  </si>
  <si>
    <t>CINTHYA FERNANDA SALCIDO  SOTO</t>
  </si>
  <si>
    <t xml:space="preserve"> JOSE GUADALUPE GOMEZ GUZMAN </t>
  </si>
  <si>
    <t>FIDEL GARCIA  VELAZQUEZ</t>
  </si>
  <si>
    <t xml:space="preserve">LUIS JOAQUIN VASQUEZ JIMENEZ </t>
  </si>
  <si>
    <t>JUAN LUIS  MATUS GARCIA REPPER</t>
  </si>
  <si>
    <t>IRAIDE SUSANA  LOPEZ MENDEZ</t>
  </si>
  <si>
    <t xml:space="preserve">XIMENA GUZMAN SILVA </t>
  </si>
  <si>
    <t xml:space="preserve">EDGAR NICOLAS RIVAS  NIETO </t>
  </si>
  <si>
    <t>GIOVANA LIZETH  VILLEDA OLVERA</t>
  </si>
  <si>
    <t xml:space="preserve">SADUI SHERLYN GARCIA GARCIA </t>
  </si>
  <si>
    <t xml:space="preserve">MAGDIEL ISRAEL OCAMPO GUTIERREZ </t>
  </si>
  <si>
    <t>JESUS ANTONIO VACA RODRIGUEZ</t>
  </si>
  <si>
    <t xml:space="preserve"> BRENDA ALESSIA LARA MARTINEZ </t>
  </si>
  <si>
    <t xml:space="preserve">DAVID ALEJANDRO MUI DAZA </t>
  </si>
  <si>
    <t>1 de Abril del 2026 al 15 de Abril del 2026 Fecha de Pago : 16 de Abril del 2026</t>
  </si>
  <si>
    <t>16 de Abril del 2026 al 30 de Abril del 2026 Fecha de Pago : 30 de Abril del 2026</t>
  </si>
  <si>
    <t>PEPSICO SE</t>
  </si>
  <si>
    <t>PEPSICO OCC</t>
  </si>
  <si>
    <t>PEPSICO NAC.</t>
  </si>
  <si>
    <t>PEPSICO NO</t>
  </si>
  <si>
    <t>LEDEZMA LONGORIA DANIKA</t>
  </si>
  <si>
    <t>CORPORATIVO</t>
  </si>
  <si>
    <t>SI</t>
  </si>
  <si>
    <t>NOMBRE COMPLETO</t>
  </si>
  <si>
    <t>DEPARTAMENTO</t>
  </si>
  <si>
    <t>TOTAL A DEPOSITAR +INFONAVIT + FONACOT [P1 Prev Social]</t>
  </si>
  <si>
    <t>TOTAL A DEPOSITAR +INFONAVIT + FONACOT [P2 Prev Social]</t>
  </si>
  <si>
    <t>IMSS PATRONAL [P1 Prev Social]</t>
  </si>
  <si>
    <t>IMSS PATRONAL [P2 Prev Social]</t>
  </si>
  <si>
    <t>ISN [P1 Prev Social]</t>
  </si>
  <si>
    <t>ISN [P2 Prev Social]</t>
  </si>
  <si>
    <t>COMISION [P1 Prev Social]</t>
  </si>
  <si>
    <t>COMISION [P2 Prev Social]</t>
  </si>
  <si>
    <t>SUBTOTAL [P1 Prev Social]</t>
  </si>
  <si>
    <t>SUBTOTAL [P2 Prev Social]</t>
  </si>
  <si>
    <t>IVA [P1 Prev Social]</t>
  </si>
  <si>
    <t>IVA [P2 Prev Social]</t>
  </si>
  <si>
    <t>FACTURA [P1 Prev Social]</t>
  </si>
  <si>
    <t>FACTURA [P2 Prev Social]</t>
  </si>
  <si>
    <t>TOTAL A DEPOSITAR +INFONAVIT + FONACOT</t>
  </si>
  <si>
    <t>IMSS PATRONAL</t>
  </si>
  <si>
    <t>COMISION</t>
  </si>
  <si>
    <t>SUBTOTAL</t>
  </si>
  <si>
    <t>IVA</t>
  </si>
  <si>
    <t>FACTURA</t>
  </si>
  <si>
    <t>TOTAL ABRIL 2026 SUB</t>
  </si>
  <si>
    <t>Jalisco</t>
  </si>
  <si>
    <t>PIT BOX SYSTEMS SA DE CV</t>
  </si>
  <si>
    <t xml:space="preserve"> FACILITADOR</t>
  </si>
  <si>
    <t>FACILITADOR NV3</t>
  </si>
  <si>
    <t>Querétaro</t>
  </si>
  <si>
    <t>CONSORCIO EMPRENDEDOR LA FINCA SA DE CV</t>
  </si>
  <si>
    <t>Registros</t>
  </si>
  <si>
    <t>AUXILIAR ADMINISTRATIVO</t>
  </si>
  <si>
    <t>EZIEZA SERVICIOS GENERALES SA DE CV</t>
  </si>
  <si>
    <t xml:space="preserve">ADMINISTRADORA DE CUENTAS </t>
  </si>
  <si>
    <t>Logística</t>
  </si>
  <si>
    <t>Diseño</t>
  </si>
  <si>
    <t>UNIDAD DE NEGOCIO NIBER SA DE CV</t>
  </si>
  <si>
    <t>Planeación y logística</t>
  </si>
  <si>
    <t>Administración de Cuentas</t>
  </si>
  <si>
    <t>Protección Civil</t>
  </si>
  <si>
    <t>Facilitadores</t>
  </si>
  <si>
    <t>Comercial</t>
  </si>
  <si>
    <t>Ventas</t>
  </si>
  <si>
    <t>DISEÑADOR SR</t>
  </si>
  <si>
    <t>GROWTHSTUDIO SA DE CV</t>
  </si>
  <si>
    <t>Producción</t>
  </si>
  <si>
    <t>FACILITADOR</t>
  </si>
  <si>
    <t>Chihuahua</t>
  </si>
  <si>
    <t>Tamaulipas</t>
  </si>
  <si>
    <t>CDMX</t>
  </si>
  <si>
    <t>SINDICATO</t>
  </si>
  <si>
    <t>Recursos Humanos</t>
  </si>
  <si>
    <t>BRYTALAR CONSULTORES EN INGENIERIA Y OBRAS SA DE CV</t>
  </si>
  <si>
    <t>BOTELLO MORALES CECILIA</t>
  </si>
  <si>
    <t>TEAM LEADER</t>
  </si>
  <si>
    <t>ARTISTA VISUAL 3D</t>
  </si>
  <si>
    <t>ADMINISTRADOR DE CUENTA JR</t>
  </si>
  <si>
    <t>CANDELA ARELLANO MARCO ANTONIO</t>
  </si>
  <si>
    <t xml:space="preserve">FACILITADOR </t>
  </si>
  <si>
    <t>CERVATES AGUILAR JENNIFER MICHELLE</t>
  </si>
  <si>
    <t>ADMIN DE CTA NTE</t>
  </si>
  <si>
    <t>Reclutamiento y selección</t>
  </si>
  <si>
    <t>Compras</t>
  </si>
  <si>
    <t>ADMINISTRACION DE VENTAS JR</t>
  </si>
  <si>
    <t>TALENTO DE PRODUCCION</t>
  </si>
  <si>
    <t>GARCIA MOJICA ANA ISABEL</t>
  </si>
  <si>
    <t>CONTADOR JR</t>
  </si>
  <si>
    <t>GARCIA TELLEZ RUBEN</t>
  </si>
  <si>
    <t>ASESOR DE SEGURIDAD NIVEL 2</t>
  </si>
  <si>
    <t>GONZALEZ HERNANDEZ MAGRO DANIELA</t>
  </si>
  <si>
    <t>GERENTE DE CUENTAS CLABES</t>
  </si>
  <si>
    <t>PRODUCCIÓN SASS</t>
  </si>
  <si>
    <t>SERVICIOS INDUSTRIALES ENDENSA SA DE CV</t>
  </si>
  <si>
    <t>SASS</t>
  </si>
  <si>
    <t>Nuevo Leon</t>
  </si>
  <si>
    <t>PRACTICANTE FACILITADOR</t>
  </si>
  <si>
    <t>Innovacion</t>
  </si>
  <si>
    <t>Desarrollo Organizacional</t>
  </si>
  <si>
    <t>Contabilidad</t>
  </si>
  <si>
    <t>Auxiliar de almacén</t>
  </si>
  <si>
    <t>CXP</t>
  </si>
  <si>
    <t>RH Zona</t>
  </si>
  <si>
    <t>Generalista de Recursos Humanos</t>
  </si>
  <si>
    <t>PRACTICANTE DE DISEÑO JR</t>
  </si>
  <si>
    <t>MENDOZA GARDUÑO LUIS ROBERTO CARLOS</t>
  </si>
  <si>
    <t>DIRECTOR COMERNCIAL</t>
  </si>
  <si>
    <t>Practicante de producción</t>
  </si>
  <si>
    <t>MIRELES ORTEGA ALMA DELFINA</t>
  </si>
  <si>
    <t>ING AMBIENTAL</t>
  </si>
  <si>
    <t>FACILITADOR NIVEL 3</t>
  </si>
  <si>
    <t>PRACTICANTE DE FACILITADOR</t>
  </si>
  <si>
    <t>PRACTICANTE INGENIERIA AMBIENTAL</t>
  </si>
  <si>
    <t>PRACTICANTE PRODUCCION</t>
  </si>
  <si>
    <t>AUXILIAR DE CALIDAD</t>
  </si>
  <si>
    <t>Mérida</t>
  </si>
  <si>
    <t>Gerente de contabilidad</t>
  </si>
  <si>
    <t>Mantenimiento</t>
  </si>
  <si>
    <t>Auxiliar contable</t>
  </si>
  <si>
    <t>ROCHA GARCIA ANDRES</t>
  </si>
  <si>
    <t>RODRIGUEZ AGUILERA JOEL ESAU</t>
  </si>
  <si>
    <t xml:space="preserve">S&amp;OP </t>
  </si>
  <si>
    <t>CXC</t>
  </si>
  <si>
    <t>FACILITADOR N3</t>
  </si>
  <si>
    <t>BCN</t>
  </si>
  <si>
    <t>Administración de personal</t>
  </si>
  <si>
    <t>SAN JUAN OCHOA LEOBARDO</t>
  </si>
  <si>
    <t xml:space="preserve">INSPECTOR ELECTRICO </t>
  </si>
  <si>
    <t>Auxiliar de Inspector Eléctrico</t>
  </si>
  <si>
    <t>SOLANO CALDERON JORGE ALEJANDRO</t>
  </si>
  <si>
    <t>PRACTICANTE DE OPERACIONES</t>
  </si>
  <si>
    <t>UGALDE PEÑALOZA LAURA LEONOR</t>
  </si>
  <si>
    <t>DIRECTORA RH</t>
  </si>
  <si>
    <t>VACA RODRIGUEZ JESUS ANTONIO</t>
  </si>
  <si>
    <t>MEDICA DE OAXACA SA DE CV</t>
  </si>
  <si>
    <t>AUXILIAR ADMINISTRATIVO DE OPERACIONES</t>
  </si>
  <si>
    <t>Suma total</t>
  </si>
  <si>
    <t>VIANEY MADERO CUADRAS</t>
  </si>
  <si>
    <t>BRENDA MORAN MARQUEZ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</si>
</sst>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$]#,##0.00"/>
    <numFmt numFmtId="165" formatCode="&quot;$&quot;#,##0.00"/>
    <numFmt numFmtId="166" formatCode="dd/mmm/yyyy"/>
    <numFmt numFmtId="167" formatCode="mmm\ d"/>
    <numFmt numFmtId="168" formatCode="\$#,##0.00"/>
    <numFmt numFmtId="169" formatCode="&quot;$&quot;#,##0.00;[Red]\-&quot;$&quot;#,##0.00"/>
    <numFmt numFmtId="170" formatCode="yyyy.m"/>
    <numFmt numFmtId="171" formatCode="yyyy.mm"/>
    <numFmt numFmtId="172" formatCode="d.m"/>
  </numFmts>
  <fonts count="15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sz val="11.0"/>
      <color rgb="FF434343"/>
      <name val="Roboto"/>
    </font>
    <font>
      <b/>
      <sz val="8.0"/>
      <color rgb="FFFFFFFF"/>
      <name val="Sora"/>
    </font>
    <font>
      <sz val="11.0"/>
      <color rgb="FF1F1F1F"/>
      <name val="Google Sans Text"/>
    </font>
    <font>
      <sz val="11.0"/>
      <color theme="1"/>
      <name val="Calibri"/>
    </font>
    <font>
      <sz val="11.0"/>
      <color rgb="FF434343"/>
      <name val="Calibri"/>
    </font>
    <font>
      <b/>
      <sz val="11.0"/>
      <color theme="1"/>
      <name val="Calibri"/>
    </font>
    <font>
      <sz val="11.0"/>
      <color rgb="FF434343"/>
      <name val="Arial"/>
    </font>
    <font>
      <b/>
      <color theme="1"/>
      <name val="Arial"/>
    </font>
    <font>
      <color rgb="FF000000"/>
      <name val="Calibri"/>
    </font>
    <font>
      <sz val="8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2C3E50"/>
        <bgColor rgb="FF2C3E50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</fills>
  <borders count="18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9900FF"/>
      </left>
      <right style="thin">
        <color rgb="FF9900FF"/>
      </right>
      <top style="thin">
        <color rgb="FF9900FF"/>
      </top>
      <bottom style="thin">
        <color rgb="FF9900FF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9900FF"/>
      </left>
      <right style="thin">
        <color rgb="FF9900FF"/>
      </right>
      <top style="thin">
        <color rgb="FF9900F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</borders>
  <cellStyleXfs count="1">
    <xf borderId="0" fillId="0" fontId="0" numFmtId="0" applyAlignment="1" applyFont="1"/>
  </cellStyleXfs>
  <cellXfs count="2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2" fillId="4" fontId="3" numFmtId="0" xfId="0" applyAlignment="1" applyBorder="1" applyFont="1">
      <alignment horizontal="right" shrinkToFit="0" vertical="center" wrapText="0"/>
    </xf>
    <xf borderId="1" fillId="3" fontId="3" numFmtId="0" xfId="0" applyAlignment="1" applyBorder="1" applyFont="1">
      <alignment horizontal="right" shrinkToFit="0" vertical="center" wrapText="0"/>
    </xf>
    <xf borderId="0" fillId="5" fontId="1" numFmtId="0" xfId="0" applyAlignment="1" applyFill="1" applyFont="1">
      <alignment shrinkToFit="0" vertical="center" wrapText="0"/>
    </xf>
    <xf borderId="0" fillId="6" fontId="4" numFmtId="0" xfId="0" applyAlignment="1" applyFill="1" applyFont="1">
      <alignment readingOrder="0" shrinkToFit="0" vertical="center" wrapText="0"/>
    </xf>
    <xf borderId="1" fillId="3" fontId="3" numFmtId="0" xfId="0" applyAlignment="1" applyBorder="1" applyFont="1">
      <alignment horizontal="right" shrinkToFit="0" vertical="center" wrapText="0"/>
    </xf>
    <xf borderId="0" fillId="0" fontId="5" numFmtId="49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4" fontId="3" numFmtId="0" xfId="0" applyAlignment="1" applyFont="1">
      <alignment horizontal="right" readingOrder="0" shrinkToFit="0" vertical="center" wrapText="0"/>
    </xf>
    <xf borderId="0" fillId="4" fontId="3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vertical="bottom"/>
    </xf>
    <xf borderId="3" fillId="4" fontId="6" numFmtId="0" xfId="0" applyAlignment="1" applyBorder="1" applyFont="1">
      <alignment readingOrder="0"/>
    </xf>
    <xf borderId="0" fillId="4" fontId="6" numFmtId="0" xfId="0" applyFont="1"/>
    <xf borderId="0" fillId="0" fontId="6" numFmtId="0" xfId="0" applyAlignment="1" applyFont="1">
      <alignment horizontal="right" vertical="bottom"/>
    </xf>
    <xf borderId="0" fillId="3" fontId="6" numFmtId="0" xfId="0" applyFont="1"/>
    <xf borderId="4" fillId="3" fontId="6" numFmtId="0" xfId="0" applyBorder="1" applyFont="1"/>
    <xf borderId="0" fillId="4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4" fillId="4" fontId="6" numFmtId="0" xfId="0" applyBorder="1" applyFont="1"/>
    <xf borderId="0" fillId="0" fontId="1" numFmtId="0" xfId="0" applyFont="1"/>
    <xf borderId="3" fillId="3" fontId="6" numFmtId="0" xfId="0" applyBorder="1" applyFont="1"/>
    <xf borderId="3" fillId="4" fontId="6" numFmtId="0" xfId="0" applyBorder="1" applyFont="1"/>
    <xf borderId="3" fillId="3" fontId="6" numFmtId="0" xfId="0" applyAlignment="1" applyBorder="1" applyFont="1">
      <alignment readingOrder="0"/>
    </xf>
    <xf borderId="4" fillId="3" fontId="6" numFmtId="0" xfId="0" applyAlignment="1" applyBorder="1" applyFont="1">
      <alignment readingOrder="0"/>
    </xf>
    <xf borderId="5" fillId="4" fontId="7" numFmtId="0" xfId="0" applyAlignment="1" applyBorder="1" applyFont="1">
      <alignment readingOrder="0" shrinkToFit="0" vertical="bottom" wrapText="0"/>
    </xf>
    <xf borderId="2" fillId="4" fontId="7" numFmtId="0" xfId="0" applyAlignment="1" applyBorder="1" applyFont="1">
      <alignment readingOrder="0" shrinkToFit="0" vertical="bottom" wrapText="0"/>
    </xf>
    <xf borderId="2" fillId="4" fontId="6" numFmtId="167" xfId="0" applyBorder="1" applyFont="1" applyNumberFormat="1"/>
    <xf borderId="2" fillId="4" fontId="6" numFmtId="0" xfId="0" applyBorder="1" applyFont="1"/>
    <xf borderId="2" fillId="4" fontId="6" numFmtId="0" xfId="0" applyAlignment="1" applyBorder="1" applyFont="1">
      <alignment vertical="bottom"/>
    </xf>
    <xf borderId="2" fillId="4" fontId="7" numFmtId="168" xfId="0" applyAlignment="1" applyBorder="1" applyFont="1" applyNumberFormat="1">
      <alignment readingOrder="0" shrinkToFit="0" vertical="bottom" wrapText="0"/>
    </xf>
    <xf borderId="2" fillId="4" fontId="3" numFmtId="166" xfId="0" applyAlignment="1" applyBorder="1" applyFont="1" applyNumberFormat="1">
      <alignment horizontal="right" readingOrder="0" shrinkToFit="0" wrapText="0"/>
    </xf>
    <xf borderId="4" fillId="4" fontId="7" numFmtId="169" xfId="0" applyAlignment="1" applyBorder="1" applyFont="1" applyNumberFormat="1">
      <alignment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readingOrder="0" shrinkToFit="0" wrapText="0"/>
    </xf>
    <xf borderId="2" fillId="3" fontId="7" numFmtId="0" xfId="0" applyAlignment="1" applyBorder="1" applyFont="1">
      <alignment readingOrder="0" shrinkToFit="0" vertical="bottom" wrapText="0"/>
    </xf>
    <xf borderId="1" fillId="3" fontId="6" numFmtId="0" xfId="0" applyAlignment="1" applyBorder="1" applyFont="1">
      <alignment vertical="bottom"/>
    </xf>
    <xf borderId="1" fillId="3" fontId="7" numFmtId="168" xfId="0" applyAlignment="1" applyBorder="1" applyFont="1" applyNumberFormat="1">
      <alignment readingOrder="0" shrinkToFit="0" vertical="bottom" wrapText="0"/>
    </xf>
    <xf borderId="1" fillId="3" fontId="3" numFmtId="166" xfId="0" applyAlignment="1" applyBorder="1" applyFont="1" applyNumberFormat="1">
      <alignment horizontal="right" readingOrder="0" shrinkToFit="0" wrapText="0"/>
    </xf>
    <xf borderId="3" fillId="3" fontId="7" numFmtId="169" xfId="0" applyAlignment="1" applyBorder="1" applyFont="1" applyNumberFormat="1">
      <alignment readingOrder="0" shrinkToFit="0" vertical="bottom" wrapText="0"/>
    </xf>
    <xf borderId="2" fillId="4" fontId="3" numFmtId="0" xfId="0" applyAlignment="1" applyBorder="1" applyFont="1">
      <alignment readingOrder="0" shrinkToFit="0" wrapText="0"/>
    </xf>
    <xf borderId="2" fillId="3" fontId="3" numFmtId="0" xfId="0" applyAlignment="1" applyBorder="1" applyFont="1">
      <alignment readingOrder="0" shrinkToFit="0" wrapText="0"/>
    </xf>
    <xf borderId="2" fillId="4" fontId="7" numFmtId="168" xfId="0" applyAlignment="1" applyBorder="1" applyFont="1" applyNumberFormat="1">
      <alignment horizontal="right" readingOrder="0" shrinkToFit="0" vertical="bottom" wrapText="0"/>
    </xf>
    <xf borderId="5" fillId="3" fontId="7" numFmtId="0" xfId="0" applyAlignment="1" applyBorder="1" applyFont="1">
      <alignment readingOrder="0" shrinkToFit="0" vertical="bottom" wrapText="0"/>
    </xf>
    <xf borderId="2" fillId="3" fontId="7" numFmtId="0" xfId="0" applyAlignment="1" applyBorder="1" applyFont="1">
      <alignment horizontal="right" readingOrder="0" shrinkToFit="0" vertical="bottom" wrapText="0"/>
    </xf>
    <xf borderId="1" fillId="3" fontId="6" numFmtId="166" xfId="0" applyBorder="1" applyFont="1" applyNumberFormat="1"/>
    <xf borderId="3" fillId="3" fontId="6" numFmtId="169" xfId="0" applyAlignment="1" applyBorder="1" applyFont="1" applyNumberFormat="1">
      <alignment vertical="bottom"/>
    </xf>
    <xf borderId="6" fillId="4" fontId="7" numFmtId="0" xfId="0" applyAlignment="1" applyBorder="1" applyFont="1">
      <alignment readingOrder="0" shrinkToFit="0" vertical="bottom" wrapText="0"/>
    </xf>
    <xf borderId="1" fillId="4" fontId="7" numFmtId="0" xfId="0" applyAlignment="1" applyBorder="1" applyFont="1">
      <alignment readingOrder="0" shrinkToFit="0" vertical="bottom" wrapText="0"/>
    </xf>
    <xf borderId="2" fillId="4" fontId="6" numFmtId="0" xfId="0" applyAlignment="1" applyBorder="1" applyFont="1">
      <alignment vertical="bottom"/>
    </xf>
    <xf borderId="1" fillId="4" fontId="6" numFmtId="0" xfId="0" applyAlignment="1" applyBorder="1" applyFont="1">
      <alignment vertical="bottom"/>
    </xf>
    <xf borderId="1" fillId="4" fontId="7" numFmtId="0" xfId="0" applyAlignment="1" applyBorder="1" applyFont="1">
      <alignment horizontal="right" readingOrder="0" shrinkToFit="0" vertical="bottom" wrapText="0"/>
    </xf>
    <xf borderId="1" fillId="4" fontId="3" numFmtId="166" xfId="0" applyAlignment="1" applyBorder="1" applyFont="1" applyNumberFormat="1">
      <alignment horizontal="right" readingOrder="0" shrinkToFit="0" wrapText="0"/>
    </xf>
    <xf borderId="3" fillId="4" fontId="7" numFmtId="169" xfId="0" applyAlignment="1" applyBorder="1" applyFont="1" applyNumberFormat="1">
      <alignment readingOrder="0" shrinkToFit="0" vertical="bottom" wrapText="0"/>
    </xf>
    <xf borderId="1" fillId="3" fontId="6" numFmtId="167" xfId="0" applyBorder="1" applyFont="1" applyNumberFormat="1"/>
    <xf borderId="2" fillId="3" fontId="6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2" fillId="3" fontId="3" numFmtId="166" xfId="0" applyAlignment="1" applyBorder="1" applyFont="1" applyNumberFormat="1">
      <alignment horizontal="right" readingOrder="0" shrinkToFit="0" wrapText="0"/>
    </xf>
    <xf borderId="4" fillId="3" fontId="7" numFmtId="169" xfId="0" applyAlignment="1" applyBorder="1" applyFont="1" applyNumberFormat="1">
      <alignment readingOrder="0" shrinkToFit="0" vertical="bottom" wrapText="0"/>
    </xf>
    <xf borderId="5" fillId="3" fontId="6" numFmtId="0" xfId="0" applyAlignment="1" applyBorder="1" applyFont="1">
      <alignment vertical="bottom"/>
    </xf>
    <xf borderId="4" fillId="3" fontId="6" numFmtId="169" xfId="0" applyAlignment="1" applyBorder="1" applyFont="1" applyNumberFormat="1">
      <alignment vertical="bottom"/>
    </xf>
    <xf borderId="7" fillId="3" fontId="7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horizontal="right" readingOrder="0" shrinkToFit="0" vertical="bottom" wrapText="0"/>
    </xf>
    <xf borderId="2" fillId="4" fontId="7" numFmtId="0" xfId="0" applyAlignment="1" applyBorder="1" applyFont="1">
      <alignment horizontal="right" readingOrder="0" shrinkToFit="0" vertical="bottom" wrapText="0"/>
    </xf>
    <xf borderId="2" fillId="4" fontId="6" numFmtId="166" xfId="0" applyBorder="1" applyFont="1" applyNumberFormat="1"/>
    <xf borderId="4" fillId="4" fontId="6" numFmtId="169" xfId="0" applyAlignment="1" applyBorder="1" applyFont="1" applyNumberFormat="1">
      <alignment vertical="bottom"/>
    </xf>
    <xf borderId="1" fillId="4" fontId="7" numFmtId="170" xfId="0" applyAlignment="1" applyBorder="1" applyFont="1" applyNumberFormat="1">
      <alignment horizontal="right" readingOrder="0" shrinkToFit="0" vertical="bottom" wrapText="0"/>
    </xf>
    <xf borderId="2" fillId="3" fontId="7" numFmtId="0" xfId="0" applyAlignment="1" applyBorder="1" applyFont="1">
      <alignment horizontal="right" readingOrder="0" shrinkToFit="0" vertical="bottom" wrapText="0"/>
    </xf>
    <xf borderId="2" fillId="3" fontId="7" numFmtId="170" xfId="0" applyAlignment="1" applyBorder="1" applyFont="1" applyNumberFormat="1">
      <alignment horizontal="right" readingOrder="0" shrinkToFit="0" vertical="bottom" wrapText="0"/>
    </xf>
    <xf borderId="6" fillId="4" fontId="6" numFmtId="0" xfId="0" applyAlignment="1" applyBorder="1" applyFont="1">
      <alignment vertical="bottom"/>
    </xf>
    <xf borderId="1" fillId="4" fontId="7" numFmtId="0" xfId="0" applyAlignment="1" applyBorder="1" applyFont="1">
      <alignment horizontal="right" readingOrder="0" shrinkToFit="0" vertical="bottom" wrapText="0"/>
    </xf>
    <xf borderId="2" fillId="3" fontId="7" numFmtId="171" xfId="0" applyAlignment="1" applyBorder="1" applyFont="1" applyNumberFormat="1">
      <alignment horizontal="right" readingOrder="0" shrinkToFit="0" vertical="bottom" wrapText="0"/>
    </xf>
    <xf borderId="1" fillId="4" fontId="7" numFmtId="171" xfId="0" applyAlignment="1" applyBorder="1" applyFont="1" applyNumberFormat="1">
      <alignment horizontal="right" readingOrder="0" shrinkToFit="0" vertical="bottom" wrapText="0"/>
    </xf>
    <xf borderId="2" fillId="3" fontId="7" numFmtId="172" xfId="0" applyAlignment="1" applyBorder="1" applyFont="1" applyNumberFormat="1">
      <alignment horizontal="right" readingOrder="0" shrinkToFit="0" vertical="bottom" wrapText="0"/>
    </xf>
    <xf borderId="2" fillId="4" fontId="7" numFmtId="0" xfId="0" applyAlignment="1" applyBorder="1" applyFont="1">
      <alignment horizontal="right" readingOrder="0" shrinkToFit="0" vertical="bottom" wrapText="0"/>
    </xf>
    <xf borderId="5" fillId="3" fontId="3" numFmtId="0" xfId="0" applyAlignment="1" applyBorder="1" applyFont="1">
      <alignment readingOrder="0" shrinkToFit="0" wrapText="0"/>
    </xf>
    <xf borderId="1" fillId="4" fontId="3" numFmtId="0" xfId="0" applyAlignment="1" applyBorder="1" applyFont="1">
      <alignment readingOrder="0" shrinkToFit="0" wrapText="0"/>
    </xf>
    <xf borderId="1" fillId="4" fontId="7" numFmtId="172" xfId="0" applyAlignment="1" applyBorder="1" applyFont="1" applyNumberFormat="1">
      <alignment horizontal="right" readingOrder="0" shrinkToFit="0" vertical="bottom" wrapText="0"/>
    </xf>
    <xf borderId="4" fillId="3" fontId="3" numFmtId="0" xfId="0" applyAlignment="1" applyBorder="1" applyFont="1">
      <alignment readingOrder="0" shrinkToFit="0" wrapText="0"/>
    </xf>
    <xf borderId="8" fillId="4" fontId="7" numFmtId="0" xfId="0" applyAlignment="1" applyBorder="1" applyFont="1">
      <alignment readingOrder="0" shrinkToFit="0" vertical="bottom" wrapText="0"/>
    </xf>
    <xf borderId="7" fillId="4" fontId="7" numFmtId="0" xfId="0" applyAlignment="1" applyBorder="1" applyFont="1">
      <alignment readingOrder="0" shrinkToFit="0" vertical="bottom" wrapText="0"/>
    </xf>
    <xf borderId="8" fillId="3" fontId="7" numFmtId="0" xfId="0" applyAlignment="1" applyBorder="1" applyFont="1">
      <alignment readingOrder="0" shrinkToFit="0" vertical="bottom" wrapText="0"/>
    </xf>
    <xf borderId="3" fillId="4" fontId="6" numFmtId="169" xfId="0" applyAlignment="1" applyBorder="1" applyFont="1" applyNumberFormat="1">
      <alignment vertical="bottom"/>
    </xf>
    <xf borderId="9" fillId="4" fontId="7" numFmtId="0" xfId="0" applyAlignment="1" applyBorder="1" applyFont="1">
      <alignment readingOrder="0" shrinkToFit="0" vertical="bottom" wrapText="0"/>
    </xf>
    <xf borderId="9" fillId="3" fontId="7" numFmtId="0" xfId="0" applyAlignment="1" applyBorder="1" applyFont="1">
      <alignment readingOrder="0" shrinkToFit="0" vertical="bottom" wrapText="0"/>
    </xf>
    <xf borderId="10" fillId="3" fontId="7" numFmtId="0" xfId="0" applyAlignment="1" applyBorder="1" applyFont="1">
      <alignment readingOrder="0" shrinkToFit="0" vertical="bottom" wrapText="0"/>
    </xf>
    <xf borderId="9" fillId="4" fontId="6" numFmtId="0" xfId="0" applyAlignment="1" applyBorder="1" applyFont="1">
      <alignment vertical="bottom"/>
    </xf>
    <xf borderId="1" fillId="4" fontId="6" numFmtId="0" xfId="0" applyAlignment="1" applyBorder="1" applyFont="1">
      <alignment vertical="bottom"/>
    </xf>
    <xf borderId="1" fillId="4" fontId="6" numFmtId="166" xfId="0" applyBorder="1" applyFont="1" applyNumberFormat="1"/>
    <xf borderId="11" fillId="3" fontId="6" numFmtId="0" xfId="0" applyAlignment="1" applyBorder="1" applyFont="1">
      <alignment vertical="bottom"/>
    </xf>
    <xf borderId="12" fillId="3" fontId="6" numFmtId="0" xfId="0" applyAlignment="1" applyBorder="1" applyFont="1">
      <alignment vertical="bottom"/>
    </xf>
    <xf borderId="13" fillId="3" fontId="6" numFmtId="167" xfId="0" applyBorder="1" applyFont="1" applyNumberFormat="1"/>
    <xf borderId="14" fillId="3" fontId="6" numFmtId="0" xfId="0" applyAlignment="1" applyBorder="1" applyFont="1">
      <alignment vertical="bottom"/>
    </xf>
    <xf borderId="14" fillId="3" fontId="6" numFmtId="0" xfId="0" applyAlignment="1" applyBorder="1" applyFont="1">
      <alignment vertical="bottom"/>
    </xf>
    <xf borderId="14" fillId="3" fontId="6" numFmtId="166" xfId="0" applyBorder="1" applyFont="1" applyNumberFormat="1"/>
    <xf borderId="15" fillId="3" fontId="6" numFmtId="169" xfId="0" applyAlignment="1" applyBorder="1" applyFont="1" applyNumberFormat="1">
      <alignment vertical="bottom"/>
    </xf>
    <xf borderId="0" fillId="4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0" fontId="6" numFmtId="0" xfId="0" applyAlignment="1" applyFont="1">
      <alignment horizontal="left" readingOrder="0" shrinkToFit="0" vertical="bottom" wrapText="0"/>
    </xf>
    <xf borderId="0" fillId="0" fontId="6" numFmtId="168" xfId="0" applyAlignment="1" applyFont="1" applyNumberFormat="1">
      <alignment horizontal="left" readingOrder="0" shrinkToFit="0" vertical="bottom" wrapText="0"/>
    </xf>
    <xf borderId="0" fillId="0" fontId="6" numFmtId="168" xfId="0" applyAlignment="1" applyFont="1" applyNumberFormat="1">
      <alignment vertical="bottom"/>
    </xf>
    <xf borderId="0" fillId="0" fontId="8" numFmtId="168" xfId="0" applyAlignment="1" applyFont="1" applyNumberForma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6" numFmtId="167" xfId="0" applyAlignment="1" applyFont="1" applyNumberFormat="1">
      <alignment horizontal="right" readingOrder="0" shrinkToFit="0" vertical="bottom" wrapText="0"/>
    </xf>
    <xf borderId="0" fillId="0" fontId="6" numFmtId="168" xfId="0" applyAlignment="1" applyFont="1" applyNumberFormat="1">
      <alignment readingOrder="0" shrinkToFit="0" vertical="bottom" wrapText="0"/>
    </xf>
    <xf borderId="0" fillId="0" fontId="6" numFmtId="169" xfId="0" applyAlignment="1" applyFont="1" applyNumberFormat="1">
      <alignment readingOrder="0" shrinkToFit="0" vertical="bottom" wrapText="0"/>
    </xf>
    <xf borderId="0" fillId="0" fontId="6" numFmtId="0" xfId="0" applyAlignment="1" applyFont="1">
      <alignment horizontal="right" readingOrder="0" vertical="bottom"/>
    </xf>
    <xf borderId="0" fillId="0" fontId="6" numFmtId="168" xfId="0" applyAlignment="1" applyFont="1" applyNumberFormat="1">
      <alignment horizontal="right" readingOrder="0" vertical="bottom"/>
    </xf>
    <xf borderId="0" fillId="0" fontId="6" numFmtId="0" xfId="0" applyAlignment="1" applyFont="1">
      <alignment shrinkToFit="0" vertical="bottom" wrapText="0"/>
    </xf>
    <xf borderId="0" fillId="0" fontId="6" numFmtId="169" xfId="0" applyAlignment="1" applyFont="1" applyNumberFormat="1">
      <alignment shrinkToFit="0" vertical="bottom" wrapText="0"/>
    </xf>
    <xf borderId="0" fillId="7" fontId="6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6" fontId="4" numFmtId="0" xfId="0" applyAlignment="1" applyFont="1">
      <alignment readingOrder="0" vertical="bottom"/>
    </xf>
    <xf borderId="0" fillId="0" fontId="1" numFmtId="0" xfId="0" applyAlignment="1" applyFont="1">
      <alignment shrinkToFit="0" vertical="center" wrapText="0"/>
    </xf>
    <xf borderId="0" fillId="7" fontId="6" numFmtId="0" xfId="0" applyAlignment="1" applyFont="1">
      <alignment horizontal="left" readingOrder="0" shrinkToFit="0" vertical="bottom" wrapText="0"/>
    </xf>
    <xf borderId="0" fillId="7" fontId="6" numFmtId="0" xfId="0" applyAlignment="1" applyFont="1">
      <alignment shrinkToFit="0" vertical="bottom" wrapText="0"/>
    </xf>
    <xf borderId="0" fillId="0" fontId="6" numFmtId="4" xfId="0" applyAlignment="1" applyFont="1" applyNumberFormat="1">
      <alignment horizontal="right" shrinkToFit="0" vertical="bottom" wrapText="0"/>
    </xf>
    <xf borderId="0" fillId="0" fontId="6" numFmtId="167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169" xfId="0" applyAlignment="1" applyFont="1" applyNumberForma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8" fontId="6" numFmtId="0" xfId="0" applyAlignment="1" applyFill="1" applyFont="1">
      <alignment shrinkToFit="0" vertical="bottom" wrapText="0"/>
    </xf>
    <xf borderId="0" fillId="0" fontId="6" numFmtId="168" xfId="0" applyAlignment="1" applyFont="1" applyNumberFormat="1">
      <alignment horizontal="right" shrinkToFit="0" vertical="bottom" wrapText="0"/>
    </xf>
    <xf borderId="0" fillId="9" fontId="6" numFmtId="0" xfId="0" applyAlignment="1" applyFill="1" applyFont="1">
      <alignment shrinkToFit="0" vertical="bottom" wrapText="0"/>
    </xf>
    <xf borderId="0" fillId="0" fontId="6" numFmtId="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5" numFmtId="49" xfId="0" applyAlignment="1" applyFont="1" applyNumberForma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6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right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6" numFmtId="49" xfId="0" applyAlignment="1" applyFont="1" applyNumberFormat="1">
      <alignment shrinkToFit="0" vertical="bottom" wrapText="0"/>
    </xf>
    <xf borderId="3" fillId="4" fontId="6" numFmtId="0" xfId="0" applyAlignment="1" applyBorder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4" fontId="6" numFmtId="0" xfId="0" applyAlignment="1" applyFont="1">
      <alignment shrinkToFit="0" vertical="center" wrapText="0"/>
    </xf>
    <xf borderId="2" fillId="4" fontId="3" numFmtId="0" xfId="0" applyAlignment="1" applyBorder="1" applyFont="1">
      <alignment shrinkToFit="0" vertical="center" wrapText="0"/>
    </xf>
    <xf borderId="0" fillId="4" fontId="6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3" fontId="3" numFmtId="49" xfId="0" applyAlignment="1" applyBorder="1" applyFont="1" applyNumberForma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17" fillId="10" fontId="9" numFmtId="0" xfId="0" applyAlignment="1" applyBorder="1" applyFill="1" applyFont="1">
      <alignment shrinkToFit="0" vertical="bottom" wrapText="0"/>
    </xf>
    <xf borderId="2" fillId="4" fontId="3" numFmtId="49" xfId="0" applyAlignment="1" applyBorder="1" applyFont="1" applyNumberFormat="1">
      <alignment shrinkToFit="0" vertical="center" wrapText="0"/>
    </xf>
    <xf borderId="4" fillId="3" fontId="6" numFmtId="0" xfId="0" applyAlignment="1" applyBorder="1" applyFont="1">
      <alignment readingOrder="0" shrinkToFit="0" vertical="center" wrapText="0"/>
    </xf>
    <xf borderId="4" fillId="4" fontId="6" numFmtId="0" xfId="0" applyAlignment="1" applyBorder="1" applyFon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bottom" wrapText="0"/>
    </xf>
    <xf borderId="3" fillId="3" fontId="6" numFmtId="0" xfId="0" applyAlignment="1" applyBorder="1" applyFont="1">
      <alignment readingOrder="0" shrinkToFit="0" vertical="center" wrapText="0"/>
    </xf>
    <xf borderId="3" fillId="3" fontId="6" numFmtId="0" xfId="0" applyAlignment="1" applyBorder="1" applyFont="1">
      <alignment shrinkToFit="0" vertical="center" wrapText="0"/>
    </xf>
    <xf borderId="4" fillId="4" fontId="6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shrinkToFit="0" vertical="center" wrapText="0"/>
    </xf>
    <xf borderId="5" fillId="4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0" fillId="0" fontId="2" numFmtId="0" xfId="0" applyAlignment="1" applyFont="1">
      <alignment horizontal="right" readingOrder="0" shrinkToFit="0" vertical="bottom" wrapText="0"/>
    </xf>
    <xf borderId="2" fillId="4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0" fillId="10" fontId="2" numFmtId="0" xfId="0" applyAlignment="1" applyFont="1">
      <alignment shrinkToFit="0" vertical="bottom" wrapText="0"/>
    </xf>
    <xf borderId="5" fillId="4" fontId="3" numFmtId="0" xfId="0" applyAlignment="1" applyBorder="1" applyFont="1">
      <alignment shrinkToFit="0" vertical="center" wrapText="0"/>
    </xf>
    <xf borderId="0" fillId="4" fontId="6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6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16" fillId="0" fontId="2" numFmtId="164" xfId="0" applyAlignment="1" applyBorder="1" applyFont="1" applyNumberFormat="1">
      <alignment horizontal="right" vertical="bottom"/>
    </xf>
    <xf borderId="16" fillId="7" fontId="2" numFmtId="0" xfId="0" applyAlignment="1" applyBorder="1" applyFont="1">
      <alignment vertical="bottom"/>
    </xf>
    <xf borderId="16" fillId="0" fontId="10" numFmtId="164" xfId="0" applyAlignment="1" applyBorder="1" applyFont="1" applyNumberFormat="1">
      <alignment horizontal="right" vertical="bottom"/>
    </xf>
    <xf borderId="0" fillId="0" fontId="10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16" fillId="0" fontId="2" numFmtId="0" xfId="0" applyAlignment="1" applyBorder="1" applyFont="1">
      <alignment readingOrder="0" vertical="bottom"/>
    </xf>
    <xf borderId="0" fillId="0" fontId="1" numFmtId="164" xfId="0" applyFont="1" applyNumberFormat="1"/>
    <xf borderId="0" fillId="11" fontId="1" numFmtId="164" xfId="0" applyFill="1" applyFont="1" applyNumberFormat="1"/>
    <xf borderId="16" fillId="12" fontId="2" numFmtId="0" xfId="0" applyAlignment="1" applyBorder="1" applyFill="1" applyFont="1">
      <alignment vertical="bottom"/>
    </xf>
    <xf borderId="16" fillId="11" fontId="2" numFmtId="0" xfId="0" applyAlignment="1" applyBorder="1" applyFont="1">
      <alignment vertical="bottom"/>
    </xf>
    <xf borderId="2" fillId="4" fontId="3" numFmtId="0" xfId="0" applyAlignment="1" applyBorder="1" applyFont="1">
      <alignment shrinkToFit="0" wrapText="0"/>
    </xf>
    <xf borderId="0" fillId="4" fontId="3" numFmtId="0" xfId="0" applyAlignment="1" applyFont="1">
      <alignment readingOrder="0" shrinkToFit="0" wrapText="0"/>
    </xf>
    <xf borderId="1" fillId="3" fontId="3" numFmtId="0" xfId="0" applyAlignment="1" applyBorder="1" applyFont="1">
      <alignment shrinkToFit="0" wrapText="0"/>
    </xf>
    <xf borderId="16" fillId="11" fontId="8" numFmtId="0" xfId="0" applyAlignment="1" applyBorder="1" applyFont="1">
      <alignment horizontal="center" vertical="top"/>
    </xf>
    <xf borderId="0" fillId="11" fontId="6" numFmtId="0" xfId="0" applyAlignment="1" applyFont="1">
      <alignment horizontal="right" vertical="bottom"/>
    </xf>
    <xf borderId="0" fillId="0" fontId="11" numFmtId="0" xfId="0" applyAlignment="1" applyFont="1">
      <alignment horizontal="center" readingOrder="0" vertical="top"/>
    </xf>
    <xf borderId="0" fillId="0" fontId="11" numFmtId="0" xfId="0" applyFont="1"/>
    <xf borderId="0" fillId="0" fontId="11" numFmtId="0" xfId="0" applyFont="1"/>
    <xf borderId="0" fillId="0" fontId="11" numFmtId="164" xfId="0" applyFont="1" applyNumberFormat="1"/>
    <xf borderId="0" fillId="0" fontId="11" numFmtId="0" xfId="0" applyAlignment="1" applyFont="1">
      <alignment readingOrder="0"/>
    </xf>
    <xf borderId="0" fillId="11" fontId="11" numFmtId="164" xfId="0" applyFont="1" applyNumberFormat="1"/>
    <xf borderId="0" fillId="0" fontId="11" numFmtId="0" xfId="0" applyAlignment="1" applyFont="1">
      <alignment vertical="bottom"/>
    </xf>
    <xf borderId="0" fillId="6" fontId="12" numFmtId="0" xfId="0" applyAlignment="1" applyFont="1">
      <alignment readingOrder="0"/>
    </xf>
    <xf borderId="0" fillId="7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164" xfId="0" applyAlignment="1" applyFont="1" applyNumberFormat="1">
      <alignment readingOrder="0"/>
    </xf>
    <xf borderId="0" fillId="3" fontId="13" numFmtId="0" xfId="0" applyAlignment="1" applyFont="1">
      <alignment shrinkToFit="0" wrapText="0"/>
    </xf>
    <xf borderId="0" fillId="3" fontId="13" numFmtId="0" xfId="0" applyAlignment="1" applyFont="1">
      <alignment readingOrder="0" shrinkToFit="0" wrapText="0"/>
    </xf>
    <xf borderId="0" fillId="3" fontId="13" numFmtId="0" xfId="0" applyFont="1"/>
    <xf borderId="0" fillId="0" fontId="13" numFmtId="0" xfId="0" applyAlignment="1" applyFont="1">
      <alignment vertical="bottom"/>
    </xf>
    <xf borderId="0" fillId="0" fontId="14" numFmtId="0" xfId="0" applyAlignment="1" applyFont="1">
      <alignment horizontal="left" shrinkToFit="0" vertical="center" wrapText="1"/>
    </xf>
    <xf borderId="0" fillId="0" fontId="12" numFmtId="0" xfId="0" applyAlignment="1" applyFont="1">
      <alignment readingOrder="0"/>
    </xf>
    <xf borderId="0" fillId="0" fontId="14" numFmtId="165" xfId="0" applyAlignment="1" applyFont="1" applyNumberFormat="1">
      <alignment horizontal="center" readingOrder="0" shrinkToFit="0" vertical="center" wrapText="0"/>
    </xf>
    <xf borderId="0" fillId="3" fontId="11" numFmtId="0" xfId="0" applyAlignment="1" applyFont="1">
      <alignment shrinkToFit="0" wrapText="0"/>
    </xf>
    <xf borderId="0" fillId="3" fontId="11" numFmtId="0" xfId="0" applyAlignment="1" applyFont="1">
      <alignment shrinkToFit="0" wrapText="0"/>
    </xf>
    <xf borderId="0" fillId="3" fontId="11" numFmtId="0" xfId="0" applyAlignment="1" applyFont="1">
      <alignment horizontal="right" shrinkToFit="0" wrapText="0"/>
    </xf>
    <xf borderId="0" fillId="0" fontId="11" numFmtId="166" xfId="0" applyAlignment="1" applyFont="1" applyNumberFormat="1">
      <alignment readingOrder="0"/>
    </xf>
    <xf borderId="0" fillId="2" fontId="11" numFmtId="0" xfId="0" applyAlignment="1" applyFont="1">
      <alignment readingOrder="0"/>
    </xf>
    <xf borderId="0" fillId="6" fontId="12" numFmtId="0" xfId="0" applyAlignment="1" applyFont="1">
      <alignment readingOrder="0" shrinkToFit="0" wrapText="0"/>
    </xf>
    <xf borderId="0" fillId="0" fontId="11" numFmtId="0" xfId="0" applyAlignment="1" applyFont="1">
      <alignment horizontal="right" readingOrder="0" vertical="bottom"/>
    </xf>
    <xf borderId="0" fillId="13" fontId="11" numFmtId="0" xfId="0" applyFill="1" applyFont="1"/>
    <xf borderId="0" fillId="13" fontId="11" numFmtId="0" xfId="0" applyFont="1"/>
    <xf borderId="0" fillId="13" fontId="1" numFmtId="0" xfId="0" applyFont="1"/>
    <xf borderId="0" fillId="4" fontId="11" numFmtId="0" xfId="0" applyAlignment="1" applyFont="1">
      <alignment readingOrder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shrinkToFit="0" wrapText="0"/>
    </xf>
    <xf borderId="0" fillId="4" fontId="11" numFmtId="0" xfId="0" applyFont="1"/>
    <xf borderId="0" fillId="4" fontId="11" numFmtId="164" xfId="0" applyAlignment="1" applyFont="1" applyNumberFormat="1">
      <alignment horizontal="right" shrinkToFit="0" vertical="bottom" wrapText="0"/>
    </xf>
    <xf borderId="0" fillId="3" fontId="11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3" fontId="11" numFmtId="164" xfId="0" applyAlignment="1" applyFont="1" applyNumberFormat="1">
      <alignment horizontal="right" shrinkToFit="0" wrapText="0"/>
    </xf>
    <xf borderId="0" fillId="0" fontId="1" numFmtId="0" xfId="0" applyAlignment="1" applyFont="1">
      <alignment readingOrder="0"/>
    </xf>
    <xf borderId="0" fillId="4" fontId="11" numFmtId="0" xfId="0" applyFont="1"/>
    <xf borderId="0" fillId="4" fontId="11" numFmtId="4" xfId="0" applyAlignment="1" applyFont="1" applyNumberFormat="1">
      <alignment horizontal="right" shrinkToFit="0" wrapText="0"/>
    </xf>
    <xf borderId="0" fillId="3" fontId="11" numFmtId="0" xfId="0" applyFont="1"/>
    <xf borderId="0" fillId="3" fontId="11" numFmtId="0" xfId="0" applyFont="1"/>
    <xf borderId="0" fillId="3" fontId="11" numFmtId="164" xfId="0" applyAlignment="1" applyFont="1" applyNumberFormat="1">
      <alignment horizontal="right" shrinkToFit="0" vertical="bottom" wrapText="0"/>
    </xf>
    <xf borderId="0" fillId="3" fontId="11" numFmtId="4" xfId="0" applyAlignment="1" applyFont="1" applyNumberFormat="1">
      <alignment horizontal="right" shrinkToFit="0" wrapText="0"/>
    </xf>
    <xf borderId="0" fillId="4" fontId="13" numFmtId="0" xfId="0" applyAlignment="1" applyFont="1">
      <alignment horizontal="right" readingOrder="0" shrinkToFit="0" vertical="bottom" wrapText="0"/>
    </xf>
    <xf borderId="0" fillId="3" fontId="13" numFmtId="0" xfId="0" applyAlignment="1" applyFont="1">
      <alignment horizontal="right" readingOrder="0" shrinkToFit="0" vertical="bottom" wrapText="0"/>
    </xf>
    <xf borderId="0" fillId="4" fontId="13" numFmtId="0" xfId="0" applyAlignment="1" applyFont="1">
      <alignment shrinkToFit="0" wrapText="0"/>
    </xf>
    <xf borderId="0" fillId="4" fontId="13" numFmtId="0" xfId="0" applyAlignment="1" applyFont="1">
      <alignment shrinkToFit="0" wrapText="0"/>
    </xf>
    <xf borderId="0" fillId="4" fontId="11" numFmtId="164" xfId="0" applyAlignment="1" applyFont="1" applyNumberFormat="1">
      <alignment shrinkToFit="0" vertical="bottom" wrapText="0"/>
    </xf>
    <xf borderId="0" fillId="0" fontId="11" numFmtId="0" xfId="0" applyAlignment="1" applyFont="1">
      <alignment shrinkToFit="0" vertical="center" wrapText="0"/>
    </xf>
    <xf borderId="0" fillId="4" fontId="11" numFmtId="0" xfId="0" applyAlignment="1" applyFont="1">
      <alignment horizontal="right" shrinkToFit="0" wrapText="0"/>
    </xf>
    <xf borderId="0" fillId="0" fontId="11" numFmtId="0" xfId="0" applyAlignment="1" applyFont="1">
      <alignment readingOrder="0"/>
    </xf>
    <xf borderId="0" fillId="6" fontId="12" numFmtId="0" xfId="0" applyAlignment="1" applyFont="1">
      <alignment shrinkToFit="0" wrapText="0"/>
    </xf>
    <xf borderId="0" fillId="0" fontId="11" numFmtId="0" xfId="0" applyFont="1"/>
    <xf borderId="0" fillId="0" fontId="11" numFmtId="0" xfId="0" applyFont="1"/>
    <xf borderId="0" fillId="3" fontId="11" numFmtId="0" xfId="0" applyAlignment="1" applyFont="1">
      <alignment shrinkToFit="0" wrapText="0"/>
    </xf>
    <xf borderId="0" fillId="4" fontId="11" numFmtId="0" xfId="0" applyFont="1"/>
    <xf borderId="0" fillId="4" fontId="11" numFmtId="0" xfId="0" applyAlignment="1" applyFont="1">
      <alignment shrinkToFit="0" wrapText="0"/>
    </xf>
    <xf borderId="0" fillId="4" fontId="11" numFmtId="0" xfId="0" applyAlignment="1" applyFont="1">
      <alignment shrinkToFit="0" wrapText="0"/>
    </xf>
    <xf borderId="0" fillId="4" fontId="11" numFmtId="0" xfId="0" applyFont="1"/>
    <xf borderId="0" fillId="4" fontId="11" numFmtId="164" xfId="0" applyAlignment="1" applyFont="1" applyNumberFormat="1">
      <alignment horizontal="right" shrinkToFit="0" vertical="bottom" wrapText="0"/>
    </xf>
    <xf borderId="0" fillId="3" fontId="11" numFmtId="0" xfId="0" applyFont="1"/>
    <xf borderId="0" fillId="3" fontId="11" numFmtId="0" xfId="0" applyAlignment="1" applyFont="1">
      <alignment shrinkToFit="0" wrapText="0"/>
    </xf>
    <xf borderId="0" fillId="3" fontId="11" numFmtId="0" xfId="0" applyFont="1"/>
    <xf borderId="0" fillId="3" fontId="11" numFmtId="4" xfId="0" applyAlignment="1" applyFont="1" applyNumberFormat="1">
      <alignment horizontal="right" shrinkToFit="0" wrapText="0"/>
    </xf>
    <xf borderId="0" fillId="4" fontId="11" numFmtId="4" xfId="0" applyAlignment="1" applyFont="1" applyNumberFormat="1">
      <alignment horizontal="right" shrinkToFit="0" wrapText="0"/>
    </xf>
    <xf borderId="0" fillId="4" fontId="11" numFmtId="0" xfId="0" applyAlignment="1" applyFont="1">
      <alignment horizontal="right" shrinkToFit="0" wrapText="0"/>
    </xf>
    <xf borderId="0" fillId="3" fontId="11" numFmtId="164" xfId="0" applyAlignment="1" applyFont="1" applyNumberFormat="1">
      <alignment shrinkToFit="0" vertical="bottom" wrapText="0"/>
    </xf>
    <xf borderId="0" fillId="6" fontId="12" numFmtId="0" xfId="0" applyAlignment="1" applyFont="1">
      <alignment shrinkToFit="0" wrapText="0"/>
    </xf>
    <xf borderId="0" fillId="3" fontId="11" numFmtId="0" xfId="0" applyAlignment="1" applyFont="1">
      <alignment horizontal="right" shrinkToFit="0" wrapText="0"/>
    </xf>
    <xf borderId="0" fillId="4" fontId="11" numFmtId="0" xfId="0" applyAlignment="1" applyFont="1">
      <alignment shrinkToFit="0" vertical="bottom" wrapText="0"/>
    </xf>
    <xf borderId="0" fillId="4" fontId="11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5" fontId="11" numFmtId="164" xfId="0" applyAlignment="1" applyFont="1" applyNumberFormat="1">
      <alignment horizontal="right" shrinkToFit="0" wrapText="0"/>
    </xf>
    <xf borderId="0" fillId="3" fontId="11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  <tableStyle count="2" pivot="0" name="Sheet1-style 3">
      <tableStyleElement dxfId="2" type="firstRowStripe"/>
      <tableStyleElement dxfId="3" type="secondRowStripe"/>
    </tableStyle>
    <tableStyle count="4" pivot="0" name="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NOTAS-style">
      <tableStyleElement dxfId="3" type="firstRowStripe"/>
      <tableStyleElement dxfId="2" type="secondRowStripe"/>
    </tableStyle>
    <tableStyle count="4" pivot="0" name="DF_LIMPIO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F_LIMPIO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aldo otros egre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aldo sueldos y sal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espaldo sueldos y salarios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838" displayName="Tabla_1" name="Tabla_1" id="1">
  <autoFilter ref="$A$1:$R$838"/>
  <tableColumns count="18">
    <tableColumn name="CATEGORIA_NETSUITE" id="1"/>
    <tableColumn name="Concepto" id="2"/>
    <tableColumn name="IS" id="3"/>
    <tableColumn name="ÁREA" id="4"/>
    <tableColumn name="ZONA PPTO" id="5"/>
    <tableColumn name="EMPLEADO" id="6"/>
    <tableColumn name="MONTO" id="7"/>
    <tableColumn name="PERIODO" id="8"/>
    <tableColumn name="AREA" id="9"/>
    <tableColumn name="ZONA" id="10"/>
    <tableColumn name="PCT_POND" id="11"/>
    <tableColumn name="Fecha" id="12"/>
    <tableColumn name="Tipo" id="13"/>
    <tableColumn name="Número" id="14"/>
    <tableColumn name="Clasf Efs" id="15"/>
    <tableColumn name="ID SGN" id="16"/>
    <tableColumn name="PUESTO" id="17"/>
    <tableColumn name="PAGADORA" id="1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839:O1075" displayName="Table_1" name="Table_1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077:O1372" displayName="Table_2" name="Table_2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1:I496" displayName="Tabla_6" name="Tabla_6" id="4">
  <autoFilter ref="$A$1:$I$496"/>
  <tableColumns count="9">
    <tableColumn name="CATEGORIA_NETSUITE" id="1"/>
    <tableColumn name="Concepto" id="2"/>
    <tableColumn name="IS" id="3"/>
    <tableColumn name="ÁREA" id="4"/>
    <tableColumn name="ZONA PPTO" id="5"/>
    <tableColumn name="EMPLEADO" id="6"/>
    <tableColumn name="MONTO" id="7"/>
    <tableColumn name="PERIODO" id="8"/>
    <tableColumn name="NOTAS" id="9"/>
  </tableColumns>
  <tableStyleInfo name="2025-style" showColumnStripes="0" showFirstColumn="1" showLastColumn="1" showRowStripes="1"/>
</table>
</file>

<file path=xl/tables/table5.xml><?xml version="1.0" encoding="utf-8"?>
<table xmlns="http://schemas.openxmlformats.org/spreadsheetml/2006/main" headerRowCount="0" ref="A21:C26" displayName="Table_3" name="Table_3" id="5">
  <tableColumns count="3">
    <tableColumn name="Column1" id="1"/>
    <tableColumn name="Column2" id="2"/>
    <tableColumn name="Column3" id="3"/>
  </tableColumns>
  <tableStyleInfo name="NOTAS-style" showColumnStripes="0" showFirstColumn="1" showLastColumn="1" showRowStripes="1"/>
</table>
</file>

<file path=xl/tables/table6.xml><?xml version="1.0" encoding="utf-8"?>
<table xmlns="http://schemas.openxmlformats.org/spreadsheetml/2006/main" ref="A1:Y1043" displayName="Tabla_4" name="Tabla_4" id="6">
  <autoFilter ref="$A$1:$Y$1043"/>
  <tableColumns count="25">
    <tableColumn name="CATEGORIA_NETSUITE" id="1"/>
    <tableColumn name="Concepto" id="2"/>
    <tableColumn name="IS" id="3"/>
    <tableColumn name="ÁREA" id="4"/>
    <tableColumn name="ZONA PPTO" id="5"/>
    <tableColumn name="EMPLEADO" id="6"/>
    <tableColumn name="MONTO" id="7"/>
    <tableColumn name="PERIODO" id="8"/>
    <tableColumn name="AREA" id="9"/>
    <tableColumn name="ZONA" id="10"/>
    <tableColumn name="PCT_POND" id="11"/>
    <tableColumn name="Fecha" id="12"/>
    <tableColumn name="Tipo" id="13"/>
    <tableColumn name="Número" id="14"/>
    <tableColumn name="Clasf Efs" id="15"/>
    <tableColumn name="ID SGN" id="16"/>
    <tableColumn name="PUESTO" id="17"/>
    <tableColumn name="PAGADORA" id="18"/>
    <tableColumn name="Columna 19" id="19"/>
    <tableColumn name="Columna 20" id="20"/>
    <tableColumn name="Columna 21" id="21"/>
    <tableColumn name="Columna 22" id="22"/>
    <tableColumn name="Columna 23" id="23"/>
    <tableColumn name="Columna 24" id="24"/>
    <tableColumn name="Columna 25" id="25"/>
  </tableColumns>
  <tableStyleInfo name="DF_LIMPIO2-style" showColumnStripes="0" showFirstColumn="1" showLastColumn="1" showRowStripes="1"/>
</table>
</file>

<file path=xl/tables/table7.xml><?xml version="1.0" encoding="utf-8"?>
<table xmlns="http://schemas.openxmlformats.org/spreadsheetml/2006/main" ref="A1:Y1029" displayName="Tabla_5" name="Tabla_5" id="7">
  <autoFilter ref="$A$1:$Y$1029"/>
  <tableColumns count="25">
    <tableColumn name="CATEGORIA_NETSUITE" id="1"/>
    <tableColumn name="Concepto" id="2"/>
    <tableColumn name="IS" id="3"/>
    <tableColumn name="ÁREA" id="4"/>
    <tableColumn name="ZONA PPTO" id="5"/>
    <tableColumn name="EMPLEADO" id="6"/>
    <tableColumn name="MONTO" id="7"/>
    <tableColumn name="PERIODO" id="8"/>
    <tableColumn name="AREA" id="9"/>
    <tableColumn name="ZONA" id="10"/>
    <tableColumn name="PCT_POND" id="11"/>
    <tableColumn name="Fecha" id="12"/>
    <tableColumn name="Tipo" id="13"/>
    <tableColumn name="Número" id="14"/>
    <tableColumn name="Clasf Efs" id="15"/>
    <tableColumn name="ID SGN" id="16"/>
    <tableColumn name="PUESTO" id="17"/>
    <tableColumn name="PAGADORA" id="18"/>
    <tableColumn name="Columna 19" id="19"/>
    <tableColumn name="Columna 20" id="20"/>
    <tableColumn name="Columna 21" id="21"/>
    <tableColumn name="Columna 22" id="22"/>
    <tableColumn name="Columna 23" id="23"/>
    <tableColumn name="Columna 24" id="24"/>
    <tableColumn name="Columna 25" id="25"/>
  </tableColumns>
  <tableStyleInfo name="DF_LIMPIO3-style" showColumnStripes="0" showFirstColumn="1" showLastColumn="1" showRowStripes="1"/>
</table>
</file>

<file path=xl/tables/table8.xml><?xml version="1.0" encoding="utf-8"?>
<table xmlns="http://schemas.openxmlformats.org/spreadsheetml/2006/main" ref="A1:S196" displayName="Tabla_2" name="Tabla_2" id="8">
  <tableColumns count="19">
    <tableColumn name="CATEGORIA_NETSUITE" id="1"/>
    <tableColumn name="Concepto" id="2"/>
    <tableColumn name="IS" id="3"/>
    <tableColumn name="ÁREA" id="4"/>
    <tableColumn name="ZONA PPTO" id="5"/>
    <tableColumn name="EMPLEADO" id="6"/>
    <tableColumn name="MONTO" id="7"/>
    <tableColumn name="PERIODO" id="8"/>
    <tableColumn name="AREA" id="9"/>
    <tableColumn name="ZONA" id="10"/>
    <tableColumn name="PCT_POND" id="11"/>
    <tableColumn name="Cargos" id="12"/>
    <tableColumn name="Fecha" id="13"/>
    <tableColumn name="Tipo" id="14"/>
    <tableColumn name="Número" id="15"/>
    <tableColumn name="Clasf Efs" id="16"/>
    <tableColumn name="ID SGN" id="17"/>
    <tableColumn name="PUESTO" id="18"/>
    <tableColumn name="PAGADORA" id="19"/>
  </tableColumns>
  <tableStyleInfo name="respaldo otros egresos-style" showColumnStripes="0" showFirstColumn="1" showLastColumn="1" showRowStripes="1"/>
</table>
</file>

<file path=xl/tables/table9.xml><?xml version="1.0" encoding="utf-8"?>
<table xmlns="http://schemas.openxmlformats.org/spreadsheetml/2006/main" ref="A1:S476" displayName="Tabla_3" name="Tabla_3" id="9">
  <autoFilter ref="$A$1:$S$476"/>
  <tableColumns count="19">
    <tableColumn name="CATEGORIA_NETSUITE" id="1"/>
    <tableColumn name="Concepto" id="2"/>
    <tableColumn name="IS" id="3"/>
    <tableColumn name="ÁREA" id="4"/>
    <tableColumn name="ZONA PPTO" id="5"/>
    <tableColumn name="EMPLEADO" id="6"/>
    <tableColumn name="MONTO" id="7"/>
    <tableColumn name="PERIODO" id="8"/>
    <tableColumn name="AREA" id="9"/>
    <tableColumn name="ZONA" id="10"/>
    <tableColumn name="PCT_POND" id="11"/>
    <tableColumn name="Cargos" id="12"/>
    <tableColumn name="Fecha" id="13"/>
    <tableColumn name="Tipo" id="14"/>
    <tableColumn name="Número" id="15"/>
    <tableColumn name="Clasf Efs" id="16"/>
    <tableColumn name="ID SGN" id="17"/>
    <tableColumn name="PUESTO" id="18"/>
    <tableColumn name="PAGADORA" id="19"/>
  </tableColumns>
  <tableStyleInfo name="respaldo sueldos y salarios-style" showColumnStripes="0" showFirstColumn="1" showLastColumn="1" showRowStripes="1"/>
</table>
</file>

<file path=xl/tables/table10.xml><?xml version="1.0" encoding="utf-8"?>
<table xmlns="http://schemas.openxmlformats.org/spreadsheetml/2006/main" headerRowCount="0" ref="B508:C555" displayName="Table_4" name="Table_4" id="10">
  <tableColumns count="2">
    <tableColumn name="Column1" id="1"/>
    <tableColumn name="Column2" id="2"/>
  </tableColumns>
  <tableStyleInfo name="respaldo sueldos y salari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57"/>
    <col customWidth="1" min="2" max="2" width="60.14"/>
    <col customWidth="1" min="3" max="3" width="43.14"/>
    <col customWidth="1" min="4" max="4" width="19.14"/>
    <col customWidth="1" min="5" max="5" width="36.86"/>
    <col customWidth="1" min="6" max="6" width="18.29"/>
    <col customWidth="1" min="7" max="7" width="14.71"/>
    <col customWidth="1" min="8" max="8" width="14.86"/>
    <col customWidth="1" min="11" max="11" width="16.71"/>
    <col customWidth="1" min="15" max="15" width="14.57"/>
    <col customWidth="1" min="18" max="18" width="17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12269.305252</v>
      </c>
      <c r="H2" s="2" t="s">
        <v>24</v>
      </c>
    </row>
    <row r="3" ht="22.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3">
        <v>12620.029999999999</v>
      </c>
      <c r="H3" s="2" t="s">
        <v>25</v>
      </c>
    </row>
    <row r="4" ht="22.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3">
        <v>10861.391037000001</v>
      </c>
      <c r="H4" s="2" t="s">
        <v>26</v>
      </c>
    </row>
    <row r="5" ht="22.5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3">
        <v>10842.303</v>
      </c>
      <c r="H5" s="4" t="s">
        <v>27</v>
      </c>
    </row>
    <row r="6" ht="22.5" customHeight="1">
      <c r="A6" s="2" t="s">
        <v>18</v>
      </c>
      <c r="B6" s="2" t="s">
        <v>28</v>
      </c>
      <c r="C6" s="2" t="s">
        <v>20</v>
      </c>
      <c r="D6" s="2" t="s">
        <v>21</v>
      </c>
      <c r="E6" s="2" t="s">
        <v>22</v>
      </c>
      <c r="F6" s="2" t="s">
        <v>29</v>
      </c>
      <c r="G6" s="2">
        <v>24075.34956</v>
      </c>
      <c r="H6" s="2" t="s">
        <v>25</v>
      </c>
    </row>
    <row r="7" ht="22.5" customHeight="1">
      <c r="A7" s="2" t="s">
        <v>18</v>
      </c>
      <c r="B7" s="2" t="s">
        <v>28</v>
      </c>
      <c r="C7" s="2" t="s">
        <v>20</v>
      </c>
      <c r="D7" s="2" t="s">
        <v>21</v>
      </c>
      <c r="E7" s="2" t="s">
        <v>22</v>
      </c>
      <c r="F7" s="2" t="s">
        <v>29</v>
      </c>
      <c r="G7" s="2">
        <v>14312.5067</v>
      </c>
      <c r="H7" s="2" t="s">
        <v>26</v>
      </c>
    </row>
    <row r="8" ht="22.5" customHeight="1">
      <c r="A8" s="2" t="s">
        <v>18</v>
      </c>
      <c r="B8" s="2" t="s">
        <v>30</v>
      </c>
      <c r="C8" s="2" t="s">
        <v>31</v>
      </c>
      <c r="D8" s="2" t="s">
        <v>32</v>
      </c>
      <c r="F8" s="2" t="s">
        <v>33</v>
      </c>
      <c r="G8" s="2">
        <v>14378.847582</v>
      </c>
      <c r="H8" s="2" t="s">
        <v>24</v>
      </c>
    </row>
    <row r="9" ht="22.5" customHeight="1">
      <c r="A9" s="2" t="s">
        <v>18</v>
      </c>
      <c r="B9" s="2" t="s">
        <v>30</v>
      </c>
      <c r="C9" s="2" t="s">
        <v>31</v>
      </c>
      <c r="D9" s="2" t="s">
        <v>32</v>
      </c>
      <c r="F9" s="2" t="s">
        <v>33</v>
      </c>
      <c r="G9" s="2">
        <v>15993.282958</v>
      </c>
      <c r="H9" s="2" t="s">
        <v>25</v>
      </c>
    </row>
    <row r="10" ht="22.5" customHeight="1">
      <c r="A10" s="2" t="s">
        <v>18</v>
      </c>
      <c r="B10" s="2" t="s">
        <v>30</v>
      </c>
      <c r="C10" s="2" t="s">
        <v>31</v>
      </c>
      <c r="D10" s="2" t="s">
        <v>32</v>
      </c>
      <c r="F10" s="2" t="s">
        <v>33</v>
      </c>
      <c r="G10" s="2">
        <v>15770.15378</v>
      </c>
      <c r="H10" s="2" t="s">
        <v>26</v>
      </c>
    </row>
    <row r="11" ht="22.5" customHeight="1">
      <c r="A11" s="2" t="s">
        <v>18</v>
      </c>
      <c r="B11" s="2" t="s">
        <v>34</v>
      </c>
      <c r="C11" s="2" t="s">
        <v>20</v>
      </c>
      <c r="D11" s="2" t="s">
        <v>21</v>
      </c>
      <c r="E11" s="4" t="s">
        <v>35</v>
      </c>
      <c r="F11" s="2" t="s">
        <v>36</v>
      </c>
      <c r="G11" s="2">
        <v>13779.069051</v>
      </c>
      <c r="H11" s="2" t="s">
        <v>25</v>
      </c>
    </row>
    <row r="12" ht="22.5" customHeight="1">
      <c r="A12" s="2" t="s">
        <v>18</v>
      </c>
      <c r="B12" s="2" t="s">
        <v>34</v>
      </c>
      <c r="C12" s="2" t="s">
        <v>20</v>
      </c>
      <c r="D12" s="2" t="s">
        <v>21</v>
      </c>
      <c r="E12" s="4" t="s">
        <v>35</v>
      </c>
      <c r="F12" s="2" t="s">
        <v>36</v>
      </c>
      <c r="G12" s="2">
        <v>13493.097092</v>
      </c>
      <c r="H12" s="2" t="s">
        <v>26</v>
      </c>
    </row>
    <row r="13" ht="22.5" customHeight="1">
      <c r="A13" s="2" t="s">
        <v>18</v>
      </c>
      <c r="B13" s="2" t="s">
        <v>34</v>
      </c>
      <c r="C13" s="2" t="s">
        <v>20</v>
      </c>
      <c r="D13" s="2" t="s">
        <v>21</v>
      </c>
      <c r="E13" s="4" t="s">
        <v>35</v>
      </c>
      <c r="F13" s="2" t="s">
        <v>36</v>
      </c>
      <c r="G13" s="2">
        <v>13751.39405</v>
      </c>
      <c r="H13" s="2" t="s">
        <v>24</v>
      </c>
    </row>
    <row r="14" ht="22.5" customHeight="1">
      <c r="A14" s="2" t="s">
        <v>18</v>
      </c>
      <c r="B14" s="2" t="s">
        <v>37</v>
      </c>
      <c r="C14" s="2" t="s">
        <v>31</v>
      </c>
      <c r="D14" s="2" t="s">
        <v>38</v>
      </c>
      <c r="F14" s="2" t="s">
        <v>39</v>
      </c>
      <c r="G14" s="2">
        <v>19234.552952</v>
      </c>
      <c r="H14" s="2" t="s">
        <v>24</v>
      </c>
    </row>
    <row r="15" ht="22.5" customHeight="1">
      <c r="A15" s="2" t="s">
        <v>18</v>
      </c>
      <c r="B15" s="2" t="s">
        <v>37</v>
      </c>
      <c r="C15" s="2" t="s">
        <v>31</v>
      </c>
      <c r="D15" s="2" t="s">
        <v>38</v>
      </c>
      <c r="F15" s="2" t="s">
        <v>39</v>
      </c>
      <c r="G15" s="2">
        <v>23356.67895</v>
      </c>
      <c r="H15" s="2" t="s">
        <v>25</v>
      </c>
    </row>
    <row r="16" ht="22.5" customHeight="1">
      <c r="A16" s="2" t="s">
        <v>18</v>
      </c>
      <c r="B16" s="2" t="s">
        <v>37</v>
      </c>
      <c r="C16" s="2" t="s">
        <v>31</v>
      </c>
      <c r="D16" s="2" t="s">
        <v>38</v>
      </c>
      <c r="F16" s="2" t="s">
        <v>39</v>
      </c>
      <c r="G16" s="2">
        <v>18896.20395</v>
      </c>
      <c r="H16" s="2" t="s">
        <v>26</v>
      </c>
    </row>
    <row r="17" ht="22.5" customHeight="1">
      <c r="A17" s="2" t="s">
        <v>18</v>
      </c>
      <c r="B17" s="2" t="s">
        <v>40</v>
      </c>
      <c r="C17" s="2" t="s">
        <v>20</v>
      </c>
      <c r="D17" s="2" t="s">
        <v>21</v>
      </c>
      <c r="E17" s="2" t="s">
        <v>41</v>
      </c>
      <c r="F17" s="2" t="s">
        <v>42</v>
      </c>
      <c r="G17" s="2">
        <v>11487.986067</v>
      </c>
      <c r="H17" s="2" t="s">
        <v>25</v>
      </c>
    </row>
    <row r="18" ht="22.5" customHeight="1">
      <c r="A18" s="2" t="s">
        <v>18</v>
      </c>
      <c r="B18" s="2" t="s">
        <v>40</v>
      </c>
      <c r="C18" s="2" t="s">
        <v>20</v>
      </c>
      <c r="D18" s="2" t="s">
        <v>21</v>
      </c>
      <c r="E18" s="2" t="s">
        <v>41</v>
      </c>
      <c r="F18" s="2" t="s">
        <v>42</v>
      </c>
      <c r="G18" s="2">
        <v>17785.736044</v>
      </c>
      <c r="H18" s="2" t="s">
        <v>26</v>
      </c>
    </row>
    <row r="19" ht="22.5" customHeight="1">
      <c r="A19" s="2" t="s">
        <v>18</v>
      </c>
      <c r="B19" s="2" t="s">
        <v>40</v>
      </c>
      <c r="C19" s="2" t="s">
        <v>20</v>
      </c>
      <c r="D19" s="2" t="s">
        <v>21</v>
      </c>
      <c r="E19" s="2" t="s">
        <v>41</v>
      </c>
      <c r="F19" s="2" t="s">
        <v>42</v>
      </c>
      <c r="G19" s="2">
        <v>18125.363418</v>
      </c>
      <c r="H19" s="2" t="s">
        <v>24</v>
      </c>
    </row>
    <row r="20" ht="22.5" customHeight="1">
      <c r="A20" s="2" t="s">
        <v>18</v>
      </c>
      <c r="B20" s="2" t="s">
        <v>43</v>
      </c>
      <c r="C20" s="2" t="s">
        <v>20</v>
      </c>
      <c r="D20" s="2" t="s">
        <v>21</v>
      </c>
      <c r="E20" s="2" t="s">
        <v>44</v>
      </c>
      <c r="F20" s="2" t="s">
        <v>45</v>
      </c>
      <c r="G20" s="2">
        <v>19431.20395</v>
      </c>
      <c r="H20" s="2" t="s">
        <v>26</v>
      </c>
    </row>
    <row r="21" ht="22.5" customHeight="1">
      <c r="A21" s="2" t="s">
        <v>18</v>
      </c>
      <c r="B21" s="2" t="s">
        <v>43</v>
      </c>
      <c r="C21" s="2" t="s">
        <v>20</v>
      </c>
      <c r="D21" s="2" t="s">
        <v>21</v>
      </c>
      <c r="E21" s="2" t="s">
        <v>44</v>
      </c>
      <c r="F21" s="2" t="s">
        <v>45</v>
      </c>
      <c r="G21" s="2">
        <v>19779.552952</v>
      </c>
      <c r="H21" s="2" t="s">
        <v>24</v>
      </c>
    </row>
    <row r="22" ht="22.5" customHeight="1">
      <c r="A22" s="2" t="s">
        <v>18</v>
      </c>
      <c r="B22" s="2" t="s">
        <v>43</v>
      </c>
      <c r="C22" s="2" t="s">
        <v>20</v>
      </c>
      <c r="D22" s="2" t="s">
        <v>21</v>
      </c>
      <c r="E22" s="2" t="s">
        <v>44</v>
      </c>
      <c r="F22" s="2" t="s">
        <v>45</v>
      </c>
      <c r="G22" s="3">
        <v>15802.44</v>
      </c>
      <c r="H22" s="2" t="s">
        <v>25</v>
      </c>
    </row>
    <row r="23" ht="22.5" customHeight="1">
      <c r="A23" s="2" t="s">
        <v>18</v>
      </c>
      <c r="B23" s="2" t="s">
        <v>43</v>
      </c>
      <c r="C23" s="2" t="s">
        <v>20</v>
      </c>
      <c r="D23" s="2" t="s">
        <v>21</v>
      </c>
      <c r="E23" s="2" t="s">
        <v>44</v>
      </c>
      <c r="F23" s="2" t="s">
        <v>45</v>
      </c>
      <c r="G23" s="3">
        <v>10060.439999999999</v>
      </c>
      <c r="H23" s="4" t="s">
        <v>27</v>
      </c>
    </row>
    <row r="24" ht="22.5" customHeight="1">
      <c r="A24" s="2" t="s">
        <v>18</v>
      </c>
      <c r="B24" s="2" t="s">
        <v>46</v>
      </c>
      <c r="C24" s="2" t="s">
        <v>31</v>
      </c>
      <c r="D24" s="2" t="s">
        <v>47</v>
      </c>
      <c r="F24" s="2" t="s">
        <v>48</v>
      </c>
      <c r="G24" s="2">
        <v>18848.225941</v>
      </c>
      <c r="H24" s="2" t="s">
        <v>26</v>
      </c>
    </row>
    <row r="25" ht="22.5" customHeight="1">
      <c r="A25" s="2" t="s">
        <v>18</v>
      </c>
      <c r="B25" s="2" t="s">
        <v>46</v>
      </c>
      <c r="C25" s="2" t="s">
        <v>31</v>
      </c>
      <c r="D25" s="2" t="s">
        <v>47</v>
      </c>
      <c r="F25" s="2" t="s">
        <v>48</v>
      </c>
      <c r="G25" s="2">
        <v>19080.558312</v>
      </c>
      <c r="H25" s="2" t="s">
        <v>25</v>
      </c>
    </row>
    <row r="26" ht="22.5" customHeight="1">
      <c r="A26" s="2" t="s">
        <v>18</v>
      </c>
      <c r="B26" s="2" t="s">
        <v>46</v>
      </c>
      <c r="C26" s="2" t="s">
        <v>31</v>
      </c>
      <c r="D26" s="2" t="s">
        <v>47</v>
      </c>
      <c r="F26" s="2" t="s">
        <v>48</v>
      </c>
      <c r="G26" s="2">
        <v>19207.062778</v>
      </c>
      <c r="H26" s="2" t="s">
        <v>24</v>
      </c>
    </row>
    <row r="27" ht="22.5" customHeight="1">
      <c r="A27" s="2" t="s">
        <v>18</v>
      </c>
      <c r="B27" s="2" t="s">
        <v>49</v>
      </c>
      <c r="C27" s="2" t="s">
        <v>31</v>
      </c>
      <c r="D27" s="2" t="s">
        <v>38</v>
      </c>
      <c r="F27" s="2" t="s">
        <v>50</v>
      </c>
      <c r="G27" s="2">
        <v>20193.28296</v>
      </c>
      <c r="H27" s="2" t="s">
        <v>25</v>
      </c>
    </row>
    <row r="28" ht="22.5" customHeight="1">
      <c r="A28" s="2" t="s">
        <v>18</v>
      </c>
      <c r="B28" s="2" t="s">
        <v>49</v>
      </c>
      <c r="C28" s="2" t="s">
        <v>31</v>
      </c>
      <c r="D28" s="2" t="s">
        <v>38</v>
      </c>
      <c r="F28" s="2" t="s">
        <v>50</v>
      </c>
      <c r="G28" s="2">
        <v>20050.153784</v>
      </c>
      <c r="H28" s="2" t="s">
        <v>26</v>
      </c>
    </row>
    <row r="29" ht="22.5" customHeight="1">
      <c r="A29" s="2" t="s">
        <v>18</v>
      </c>
      <c r="B29" s="2" t="s">
        <v>49</v>
      </c>
      <c r="C29" s="2" t="s">
        <v>31</v>
      </c>
      <c r="D29" s="2" t="s">
        <v>38</v>
      </c>
      <c r="F29" s="2" t="s">
        <v>50</v>
      </c>
      <c r="G29" s="2">
        <v>20427.17472</v>
      </c>
      <c r="H29" s="2" t="s">
        <v>24</v>
      </c>
    </row>
    <row r="30" ht="22.5" customHeight="1">
      <c r="A30" s="2" t="s">
        <v>18</v>
      </c>
      <c r="B30" s="2" t="s">
        <v>51</v>
      </c>
      <c r="C30" s="2" t="s">
        <v>20</v>
      </c>
      <c r="D30" s="2" t="s">
        <v>21</v>
      </c>
      <c r="E30" s="2" t="s">
        <v>35</v>
      </c>
      <c r="F30" s="2" t="s">
        <v>52</v>
      </c>
      <c r="G30" s="2">
        <v>8107.360929</v>
      </c>
      <c r="H30" s="2" t="s">
        <v>26</v>
      </c>
    </row>
    <row r="31" ht="22.5" customHeight="1">
      <c r="A31" s="2" t="s">
        <v>18</v>
      </c>
      <c r="B31" s="2" t="s">
        <v>51</v>
      </c>
      <c r="C31" s="2" t="s">
        <v>20</v>
      </c>
      <c r="D31" s="2" t="s">
        <v>21</v>
      </c>
      <c r="E31" s="2" t="s">
        <v>35</v>
      </c>
      <c r="F31" s="2" t="s">
        <v>52</v>
      </c>
      <c r="G31" s="3">
        <v>20303.010580000002</v>
      </c>
      <c r="H31" s="2" t="s">
        <v>25</v>
      </c>
    </row>
    <row r="32" ht="22.5" customHeight="1">
      <c r="A32" s="2" t="s">
        <v>18</v>
      </c>
      <c r="B32" s="2" t="s">
        <v>51</v>
      </c>
      <c r="C32" s="2" t="s">
        <v>20</v>
      </c>
      <c r="D32" s="2" t="s">
        <v>21</v>
      </c>
      <c r="E32" s="2" t="s">
        <v>35</v>
      </c>
      <c r="F32" s="2" t="s">
        <v>52</v>
      </c>
      <c r="G32" s="3">
        <v>18427.440000000002</v>
      </c>
      <c r="H32" s="4" t="s">
        <v>27</v>
      </c>
    </row>
    <row r="33" ht="22.5" customHeight="1">
      <c r="A33" s="2" t="s">
        <v>18</v>
      </c>
      <c r="B33" s="2" t="s">
        <v>53</v>
      </c>
      <c r="C33" s="2" t="s">
        <v>20</v>
      </c>
      <c r="D33" s="2" t="s">
        <v>54</v>
      </c>
      <c r="F33" s="2" t="s">
        <v>55</v>
      </c>
      <c r="G33" s="2">
        <v>13202.829051</v>
      </c>
      <c r="H33" s="2" t="s">
        <v>25</v>
      </c>
    </row>
    <row r="34" ht="22.5" customHeight="1">
      <c r="A34" s="2" t="s">
        <v>18</v>
      </c>
      <c r="B34" s="2" t="s">
        <v>53</v>
      </c>
      <c r="C34" s="2" t="s">
        <v>20</v>
      </c>
      <c r="D34" s="2" t="s">
        <v>54</v>
      </c>
      <c r="F34" s="2" t="s">
        <v>55</v>
      </c>
      <c r="G34" s="2">
        <v>10059.743257</v>
      </c>
      <c r="H34" s="2" t="s">
        <v>26</v>
      </c>
    </row>
    <row r="35" ht="22.5" customHeight="1">
      <c r="A35" s="2" t="s">
        <v>18</v>
      </c>
      <c r="B35" s="2" t="s">
        <v>53</v>
      </c>
      <c r="C35" s="2" t="s">
        <v>20</v>
      </c>
      <c r="D35" s="2" t="s">
        <v>54</v>
      </c>
      <c r="F35" s="2" t="s">
        <v>55</v>
      </c>
      <c r="G35" s="2">
        <v>7350.0</v>
      </c>
      <c r="H35" s="2" t="s">
        <v>24</v>
      </c>
    </row>
    <row r="36" ht="22.5" customHeight="1">
      <c r="A36" s="2" t="s">
        <v>18</v>
      </c>
      <c r="B36" s="2" t="s">
        <v>56</v>
      </c>
      <c r="C36" s="2" t="s">
        <v>20</v>
      </c>
      <c r="D36" s="2" t="s">
        <v>21</v>
      </c>
      <c r="E36" s="4" t="s">
        <v>22</v>
      </c>
      <c r="F36" s="2" t="s">
        <v>57</v>
      </c>
      <c r="G36" s="3">
        <v>15770.03</v>
      </c>
      <c r="H36" s="2" t="s">
        <v>25</v>
      </c>
    </row>
    <row r="37" ht="22.5" customHeight="1">
      <c r="A37" s="2" t="s">
        <v>18</v>
      </c>
      <c r="B37" s="2" t="s">
        <v>56</v>
      </c>
      <c r="C37" s="2" t="s">
        <v>20</v>
      </c>
      <c r="D37" s="2" t="s">
        <v>21</v>
      </c>
      <c r="E37" s="4" t="s">
        <v>22</v>
      </c>
      <c r="F37" s="2" t="s">
        <v>57</v>
      </c>
      <c r="G37" s="3">
        <v>14071.391037000001</v>
      </c>
      <c r="H37" s="2" t="s">
        <v>26</v>
      </c>
    </row>
    <row r="38" ht="22.5" customHeight="1">
      <c r="A38" s="2" t="s">
        <v>18</v>
      </c>
      <c r="B38" s="2" t="s">
        <v>56</v>
      </c>
      <c r="C38" s="2" t="s">
        <v>20</v>
      </c>
      <c r="D38" s="2" t="s">
        <v>21</v>
      </c>
      <c r="E38" s="4" t="s">
        <v>22</v>
      </c>
      <c r="F38" s="2" t="s">
        <v>57</v>
      </c>
      <c r="G38" s="2">
        <v>3209.170779</v>
      </c>
      <c r="H38" s="2" t="s">
        <v>24</v>
      </c>
    </row>
    <row r="39" ht="22.5" customHeight="1">
      <c r="A39" s="2" t="s">
        <v>18</v>
      </c>
      <c r="B39" s="2" t="s">
        <v>56</v>
      </c>
      <c r="C39" s="2" t="s">
        <v>20</v>
      </c>
      <c r="D39" s="2" t="s">
        <v>21</v>
      </c>
      <c r="E39" s="4" t="s">
        <v>22</v>
      </c>
      <c r="F39" s="2" t="s">
        <v>57</v>
      </c>
      <c r="G39" s="3">
        <v>15277.44</v>
      </c>
      <c r="H39" s="4" t="s">
        <v>27</v>
      </c>
    </row>
    <row r="40" ht="22.5" customHeight="1">
      <c r="A40" s="2" t="s">
        <v>18</v>
      </c>
      <c r="B40" s="2" t="s">
        <v>58</v>
      </c>
      <c r="C40" s="2" t="s">
        <v>20</v>
      </c>
      <c r="D40" s="2" t="s">
        <v>21</v>
      </c>
      <c r="E40" s="2" t="s">
        <v>41</v>
      </c>
      <c r="F40" s="2" t="s">
        <v>59</v>
      </c>
      <c r="G40" s="2">
        <v>17823.580152</v>
      </c>
      <c r="H40" s="2" t="s">
        <v>26</v>
      </c>
    </row>
    <row r="41" ht="22.5" customHeight="1">
      <c r="A41" s="2" t="s">
        <v>18</v>
      </c>
      <c r="B41" s="2" t="s">
        <v>58</v>
      </c>
      <c r="C41" s="2" t="s">
        <v>20</v>
      </c>
      <c r="D41" s="2" t="s">
        <v>21</v>
      </c>
      <c r="E41" s="2" t="s">
        <v>41</v>
      </c>
      <c r="F41" s="2" t="s">
        <v>59</v>
      </c>
      <c r="G41" s="2">
        <v>18141.678181</v>
      </c>
      <c r="H41" s="2" t="s">
        <v>24</v>
      </c>
    </row>
    <row r="42" ht="22.5" customHeight="1">
      <c r="A42" s="2" t="s">
        <v>18</v>
      </c>
      <c r="B42" s="2" t="s">
        <v>58</v>
      </c>
      <c r="C42" s="2" t="s">
        <v>20</v>
      </c>
      <c r="D42" s="2" t="s">
        <v>21</v>
      </c>
      <c r="E42" s="2" t="s">
        <v>41</v>
      </c>
      <c r="F42" s="2" t="s">
        <v>59</v>
      </c>
      <c r="G42" s="3">
        <v>10866.0195</v>
      </c>
      <c r="H42" s="2" t="s">
        <v>25</v>
      </c>
    </row>
    <row r="43" ht="22.5" customHeight="1">
      <c r="A43" s="2" t="s">
        <v>18</v>
      </c>
      <c r="B43" s="2" t="s">
        <v>58</v>
      </c>
      <c r="C43" s="2" t="s">
        <v>20</v>
      </c>
      <c r="D43" s="2" t="s">
        <v>21</v>
      </c>
      <c r="E43" s="2" t="s">
        <v>41</v>
      </c>
      <c r="F43" s="2" t="s">
        <v>59</v>
      </c>
      <c r="G43" s="3">
        <v>7247.5095</v>
      </c>
      <c r="H43" s="4" t="s">
        <v>27</v>
      </c>
    </row>
    <row r="44" ht="22.5" customHeight="1">
      <c r="A44" s="2" t="s">
        <v>18</v>
      </c>
      <c r="B44" s="2" t="s">
        <v>60</v>
      </c>
      <c r="C44" s="2" t="s">
        <v>20</v>
      </c>
      <c r="D44" s="2" t="s">
        <v>21</v>
      </c>
      <c r="E44" s="2" t="s">
        <v>61</v>
      </c>
      <c r="F44" s="2" t="s">
        <v>62</v>
      </c>
      <c r="G44" s="2">
        <v>16006.678947</v>
      </c>
      <c r="H44" s="2" t="s">
        <v>25</v>
      </c>
    </row>
    <row r="45" ht="22.5" customHeight="1">
      <c r="A45" s="2" t="s">
        <v>18</v>
      </c>
      <c r="B45" s="2" t="s">
        <v>60</v>
      </c>
      <c r="C45" s="2" t="s">
        <v>20</v>
      </c>
      <c r="D45" s="2" t="s">
        <v>21</v>
      </c>
      <c r="E45" s="2" t="s">
        <v>61</v>
      </c>
      <c r="F45" s="2" t="s">
        <v>62</v>
      </c>
      <c r="G45" s="2">
        <v>15686.20395</v>
      </c>
      <c r="H45" s="2" t="s">
        <v>26</v>
      </c>
    </row>
    <row r="46" ht="22.5" customHeight="1">
      <c r="A46" s="2" t="s">
        <v>18</v>
      </c>
      <c r="B46" s="2" t="s">
        <v>60</v>
      </c>
      <c r="C46" s="2" t="s">
        <v>20</v>
      </c>
      <c r="D46" s="2" t="s">
        <v>21</v>
      </c>
      <c r="E46" s="2" t="s">
        <v>61</v>
      </c>
      <c r="F46" s="2" t="s">
        <v>62</v>
      </c>
      <c r="G46" s="2">
        <v>15964.552952</v>
      </c>
      <c r="H46" s="2" t="s">
        <v>24</v>
      </c>
    </row>
    <row r="47" ht="22.5" customHeight="1">
      <c r="A47" s="2" t="s">
        <v>18</v>
      </c>
      <c r="B47" s="2" t="s">
        <v>63</v>
      </c>
      <c r="C47" s="2" t="s">
        <v>20</v>
      </c>
      <c r="D47" s="2" t="s">
        <v>21</v>
      </c>
      <c r="E47" s="2" t="s">
        <v>22</v>
      </c>
      <c r="F47" s="2" t="s">
        <v>64</v>
      </c>
      <c r="G47" s="2">
        <v>14885.846693</v>
      </c>
      <c r="H47" s="2" t="s">
        <v>24</v>
      </c>
    </row>
    <row r="48" ht="22.5" customHeight="1">
      <c r="A48" s="2" t="s">
        <v>18</v>
      </c>
      <c r="B48" s="2" t="s">
        <v>63</v>
      </c>
      <c r="C48" s="2" t="s">
        <v>20</v>
      </c>
      <c r="D48" s="2" t="s">
        <v>21</v>
      </c>
      <c r="E48" s="2" t="s">
        <v>22</v>
      </c>
      <c r="F48" s="2" t="s">
        <v>64</v>
      </c>
      <c r="G48" s="2">
        <v>17068.442615</v>
      </c>
      <c r="H48" s="2" t="s">
        <v>25</v>
      </c>
    </row>
    <row r="49" ht="22.5" customHeight="1">
      <c r="A49" s="2" t="s">
        <v>18</v>
      </c>
      <c r="B49" s="2" t="s">
        <v>63</v>
      </c>
      <c r="C49" s="2" t="s">
        <v>20</v>
      </c>
      <c r="D49" s="2" t="s">
        <v>21</v>
      </c>
      <c r="E49" s="2" t="s">
        <v>22</v>
      </c>
      <c r="F49" s="2" t="s">
        <v>64</v>
      </c>
      <c r="G49" s="2">
        <v>16766.51173</v>
      </c>
      <c r="H49" s="2" t="s">
        <v>26</v>
      </c>
    </row>
    <row r="50" ht="22.5" customHeight="1">
      <c r="A50" s="2" t="s">
        <v>18</v>
      </c>
      <c r="B50" s="5" t="s">
        <v>65</v>
      </c>
      <c r="C50" s="4" t="s">
        <v>66</v>
      </c>
      <c r="D50" s="4" t="s">
        <v>67</v>
      </c>
      <c r="F50" s="5" t="s">
        <v>65</v>
      </c>
      <c r="G50" s="3">
        <f t="shared" ref="G50:G53" si="1">11977.36+(131250*2)</f>
        <v>274477.36</v>
      </c>
      <c r="H50" s="2" t="s">
        <v>24</v>
      </c>
    </row>
    <row r="51" ht="22.5" customHeight="1">
      <c r="A51" s="2" t="s">
        <v>18</v>
      </c>
      <c r="B51" s="5" t="s">
        <v>65</v>
      </c>
      <c r="C51" s="4" t="s">
        <v>66</v>
      </c>
      <c r="D51" s="4" t="s">
        <v>67</v>
      </c>
      <c r="F51" s="5" t="s">
        <v>65</v>
      </c>
      <c r="G51" s="3">
        <f t="shared" si="1"/>
        <v>274477.36</v>
      </c>
      <c r="H51" s="4" t="s">
        <v>26</v>
      </c>
    </row>
    <row r="52" ht="22.5" customHeight="1">
      <c r="A52" s="2" t="s">
        <v>18</v>
      </c>
      <c r="B52" s="5" t="s">
        <v>65</v>
      </c>
      <c r="C52" s="4" t="s">
        <v>66</v>
      </c>
      <c r="D52" s="4" t="s">
        <v>67</v>
      </c>
      <c r="F52" s="5" t="s">
        <v>65</v>
      </c>
      <c r="G52" s="3">
        <f t="shared" si="1"/>
        <v>274477.36</v>
      </c>
      <c r="H52" s="4" t="s">
        <v>25</v>
      </c>
    </row>
    <row r="53" ht="22.5" customHeight="1">
      <c r="A53" s="2" t="s">
        <v>18</v>
      </c>
      <c r="B53" s="5" t="s">
        <v>65</v>
      </c>
      <c r="C53" s="4" t="s">
        <v>66</v>
      </c>
      <c r="D53" s="4" t="s">
        <v>67</v>
      </c>
      <c r="F53" s="5" t="s">
        <v>65</v>
      </c>
      <c r="G53" s="3">
        <f t="shared" si="1"/>
        <v>274477.36</v>
      </c>
      <c r="H53" s="4" t="s">
        <v>27</v>
      </c>
    </row>
    <row r="54" ht="22.5" customHeight="1">
      <c r="A54" s="2" t="s">
        <v>18</v>
      </c>
      <c r="B54" s="5" t="s">
        <v>68</v>
      </c>
      <c r="C54" s="4" t="s">
        <v>20</v>
      </c>
      <c r="D54" s="4" t="s">
        <v>21</v>
      </c>
      <c r="E54" s="4" t="s">
        <v>22</v>
      </c>
      <c r="F54" s="5" t="s">
        <v>68</v>
      </c>
      <c r="G54" s="3">
        <v>20127.76</v>
      </c>
      <c r="H54" s="2" t="s">
        <v>24</v>
      </c>
    </row>
    <row r="55" ht="22.5" customHeight="1">
      <c r="A55" s="2" t="s">
        <v>18</v>
      </c>
      <c r="B55" s="5" t="s">
        <v>69</v>
      </c>
      <c r="C55" s="4" t="s">
        <v>66</v>
      </c>
      <c r="D55" s="4" t="s">
        <v>70</v>
      </c>
      <c r="F55" s="5" t="s">
        <v>69</v>
      </c>
      <c r="G55" s="6">
        <v>12999.9</v>
      </c>
      <c r="H55" s="2" t="s">
        <v>24</v>
      </c>
    </row>
    <row r="56" ht="22.5" customHeight="1">
      <c r="A56" s="2" t="s">
        <v>18</v>
      </c>
      <c r="B56" s="5" t="s">
        <v>69</v>
      </c>
      <c r="C56" s="4" t="s">
        <v>66</v>
      </c>
      <c r="D56" s="4" t="s">
        <v>70</v>
      </c>
      <c r="F56" s="5" t="s">
        <v>69</v>
      </c>
      <c r="G56" s="3">
        <v>12999.9</v>
      </c>
      <c r="H56" s="4" t="s">
        <v>26</v>
      </c>
    </row>
    <row r="57" ht="22.5" customHeight="1">
      <c r="A57" s="2" t="s">
        <v>18</v>
      </c>
      <c r="B57" s="5" t="s">
        <v>69</v>
      </c>
      <c r="C57" s="4" t="s">
        <v>66</v>
      </c>
      <c r="D57" s="4" t="s">
        <v>70</v>
      </c>
      <c r="F57" s="5" t="s">
        <v>69</v>
      </c>
      <c r="G57" s="3">
        <v>12999.9</v>
      </c>
      <c r="H57" s="4" t="s">
        <v>25</v>
      </c>
    </row>
    <row r="58" ht="22.5" customHeight="1">
      <c r="A58" s="2" t="s">
        <v>18</v>
      </c>
      <c r="B58" s="5" t="s">
        <v>69</v>
      </c>
      <c r="C58" s="4" t="s">
        <v>66</v>
      </c>
      <c r="D58" s="4" t="s">
        <v>70</v>
      </c>
      <c r="F58" s="5" t="s">
        <v>69</v>
      </c>
      <c r="G58" s="3">
        <v>12999.9</v>
      </c>
      <c r="H58" s="4" t="s">
        <v>27</v>
      </c>
    </row>
    <row r="59" ht="22.5" customHeight="1">
      <c r="A59" s="2" t="s">
        <v>18</v>
      </c>
      <c r="B59" s="5" t="s">
        <v>71</v>
      </c>
      <c r="C59" s="4" t="s">
        <v>66</v>
      </c>
      <c r="D59" s="4" t="s">
        <v>70</v>
      </c>
      <c r="F59" s="5" t="s">
        <v>71</v>
      </c>
      <c r="G59" s="3">
        <v>12999.9</v>
      </c>
      <c r="H59" s="2" t="s">
        <v>24</v>
      </c>
    </row>
    <row r="60" ht="22.5" customHeight="1">
      <c r="A60" s="2" t="s">
        <v>18</v>
      </c>
      <c r="B60" s="5" t="s">
        <v>71</v>
      </c>
      <c r="C60" s="4" t="s">
        <v>66</v>
      </c>
      <c r="D60" s="4" t="s">
        <v>70</v>
      </c>
      <c r="F60" s="5" t="s">
        <v>71</v>
      </c>
      <c r="G60" s="3">
        <v>12999.9</v>
      </c>
      <c r="H60" s="4" t="s">
        <v>26</v>
      </c>
    </row>
    <row r="61" ht="22.5" customHeight="1">
      <c r="A61" s="2" t="s">
        <v>18</v>
      </c>
      <c r="B61" s="5" t="s">
        <v>71</v>
      </c>
      <c r="C61" s="4" t="s">
        <v>66</v>
      </c>
      <c r="D61" s="4" t="s">
        <v>70</v>
      </c>
      <c r="F61" s="5" t="s">
        <v>71</v>
      </c>
      <c r="G61" s="3">
        <v>12999.9</v>
      </c>
      <c r="H61" s="4" t="s">
        <v>25</v>
      </c>
    </row>
    <row r="62" ht="22.5" customHeight="1">
      <c r="A62" s="2" t="s">
        <v>18</v>
      </c>
      <c r="B62" s="5" t="s">
        <v>71</v>
      </c>
      <c r="C62" s="4" t="s">
        <v>66</v>
      </c>
      <c r="D62" s="4" t="s">
        <v>70</v>
      </c>
      <c r="F62" s="5" t="s">
        <v>71</v>
      </c>
      <c r="G62" s="3">
        <v>12999.9</v>
      </c>
      <c r="H62" s="4" t="s">
        <v>27</v>
      </c>
    </row>
    <row r="63" ht="22.5" customHeight="1">
      <c r="A63" s="2" t="s">
        <v>18</v>
      </c>
      <c r="B63" s="5" t="s">
        <v>72</v>
      </c>
      <c r="C63" s="4" t="s">
        <v>31</v>
      </c>
      <c r="D63" s="4" t="s">
        <v>47</v>
      </c>
      <c r="F63" s="5" t="s">
        <v>72</v>
      </c>
      <c r="G63" s="3">
        <v>16219.1</v>
      </c>
      <c r="H63" s="2" t="s">
        <v>24</v>
      </c>
    </row>
    <row r="64" ht="22.5" customHeight="1">
      <c r="A64" s="2" t="s">
        <v>18</v>
      </c>
      <c r="B64" s="5" t="s">
        <v>72</v>
      </c>
      <c r="C64" s="4" t="s">
        <v>31</v>
      </c>
      <c r="D64" s="4" t="s">
        <v>47</v>
      </c>
      <c r="F64" s="5" t="s">
        <v>72</v>
      </c>
      <c r="G64" s="3">
        <v>22000.14</v>
      </c>
      <c r="H64" s="4" t="s">
        <v>26</v>
      </c>
    </row>
    <row r="65" ht="22.5" customHeight="1">
      <c r="A65" s="2" t="s">
        <v>18</v>
      </c>
      <c r="B65" s="5" t="s">
        <v>72</v>
      </c>
      <c r="C65" s="4" t="s">
        <v>31</v>
      </c>
      <c r="D65" s="4" t="s">
        <v>47</v>
      </c>
      <c r="F65" s="5" t="s">
        <v>72</v>
      </c>
      <c r="G65" s="3">
        <v>22000.14</v>
      </c>
      <c r="H65" s="4" t="s">
        <v>25</v>
      </c>
    </row>
    <row r="66" ht="22.5" customHeight="1">
      <c r="A66" s="2" t="s">
        <v>18</v>
      </c>
      <c r="B66" s="5" t="s">
        <v>72</v>
      </c>
      <c r="C66" s="4" t="s">
        <v>31</v>
      </c>
      <c r="D66" s="4" t="s">
        <v>47</v>
      </c>
      <c r="F66" s="5" t="s">
        <v>72</v>
      </c>
      <c r="G66" s="3">
        <v>22000.14</v>
      </c>
      <c r="H66" s="4" t="s">
        <v>27</v>
      </c>
    </row>
    <row r="67" ht="22.5" customHeight="1">
      <c r="A67" s="2" t="s">
        <v>18</v>
      </c>
      <c r="B67" s="5" t="s">
        <v>73</v>
      </c>
      <c r="C67" s="4" t="s">
        <v>20</v>
      </c>
      <c r="D67" s="4" t="s">
        <v>21</v>
      </c>
      <c r="E67" s="4" t="s">
        <v>22</v>
      </c>
      <c r="F67" s="5" t="s">
        <v>73</v>
      </c>
      <c r="G67" s="3">
        <v>5192.95</v>
      </c>
      <c r="H67" s="2" t="s">
        <v>24</v>
      </c>
    </row>
    <row r="68" ht="22.5" customHeight="1">
      <c r="A68" s="2" t="s">
        <v>18</v>
      </c>
      <c r="B68" s="5" t="s">
        <v>73</v>
      </c>
      <c r="C68" s="4" t="s">
        <v>20</v>
      </c>
      <c r="D68" s="4" t="s">
        <v>21</v>
      </c>
      <c r="E68" s="4" t="s">
        <v>22</v>
      </c>
      <c r="F68" s="5" t="s">
        <v>73</v>
      </c>
      <c r="G68" s="3">
        <v>12182.49</v>
      </c>
      <c r="H68" s="4" t="s">
        <v>26</v>
      </c>
    </row>
    <row r="69" ht="22.5" customHeight="1">
      <c r="A69" s="2" t="s">
        <v>18</v>
      </c>
      <c r="B69" s="5" t="s">
        <v>73</v>
      </c>
      <c r="C69" s="4" t="s">
        <v>20</v>
      </c>
      <c r="D69" s="4" t="s">
        <v>21</v>
      </c>
      <c r="E69" s="4" t="s">
        <v>22</v>
      </c>
      <c r="F69" s="5" t="s">
        <v>73</v>
      </c>
      <c r="G69" s="3">
        <v>13977.58</v>
      </c>
      <c r="H69" s="4" t="s">
        <v>25</v>
      </c>
    </row>
    <row r="70" ht="22.5" customHeight="1">
      <c r="A70" s="2" t="s">
        <v>18</v>
      </c>
      <c r="B70" s="5" t="s">
        <v>73</v>
      </c>
      <c r="C70" s="4" t="s">
        <v>20</v>
      </c>
      <c r="D70" s="4" t="s">
        <v>21</v>
      </c>
      <c r="E70" s="4" t="s">
        <v>22</v>
      </c>
      <c r="F70" s="5" t="s">
        <v>73</v>
      </c>
      <c r="G70" s="3">
        <v>13977.58</v>
      </c>
      <c r="H70" s="4" t="s">
        <v>27</v>
      </c>
    </row>
    <row r="71" ht="22.5" customHeight="1">
      <c r="A71" s="2" t="s">
        <v>18</v>
      </c>
      <c r="B71" s="2" t="s">
        <v>74</v>
      </c>
      <c r="C71" s="2" t="s">
        <v>31</v>
      </c>
      <c r="D71" s="2" t="s">
        <v>75</v>
      </c>
      <c r="F71" s="2" t="s">
        <v>76</v>
      </c>
      <c r="G71" s="2">
        <v>30450.0</v>
      </c>
      <c r="H71" s="2" t="s">
        <v>24</v>
      </c>
    </row>
    <row r="72" ht="22.5" customHeight="1">
      <c r="A72" s="2" t="s">
        <v>18</v>
      </c>
      <c r="B72" s="2" t="s">
        <v>74</v>
      </c>
      <c r="C72" s="2" t="s">
        <v>31</v>
      </c>
      <c r="D72" s="2" t="s">
        <v>75</v>
      </c>
      <c r="F72" s="2" t="s">
        <v>76</v>
      </c>
      <c r="G72" s="2">
        <v>30450.0</v>
      </c>
      <c r="H72" s="2" t="s">
        <v>25</v>
      </c>
    </row>
    <row r="73" ht="22.5" customHeight="1">
      <c r="A73" s="2" t="s">
        <v>18</v>
      </c>
      <c r="B73" s="2" t="s">
        <v>74</v>
      </c>
      <c r="C73" s="2" t="s">
        <v>31</v>
      </c>
      <c r="D73" s="2" t="s">
        <v>75</v>
      </c>
      <c r="F73" s="2" t="s">
        <v>76</v>
      </c>
      <c r="G73" s="2">
        <v>30450.0</v>
      </c>
      <c r="H73" s="2" t="s">
        <v>26</v>
      </c>
    </row>
    <row r="74" ht="22.5" customHeight="1">
      <c r="A74" s="2" t="s">
        <v>18</v>
      </c>
      <c r="B74" s="2" t="s">
        <v>77</v>
      </c>
      <c r="C74" s="2" t="s">
        <v>31</v>
      </c>
      <c r="D74" s="2" t="s">
        <v>54</v>
      </c>
      <c r="F74" s="2" t="s">
        <v>78</v>
      </c>
      <c r="G74" s="2">
        <v>23583.237293</v>
      </c>
      <c r="H74" s="2" t="s">
        <v>25</v>
      </c>
    </row>
    <row r="75" ht="22.5" customHeight="1">
      <c r="A75" s="2" t="s">
        <v>18</v>
      </c>
      <c r="B75" s="2" t="s">
        <v>77</v>
      </c>
      <c r="C75" s="2" t="s">
        <v>31</v>
      </c>
      <c r="D75" s="2" t="s">
        <v>54</v>
      </c>
      <c r="F75" s="2" t="s">
        <v>78</v>
      </c>
      <c r="G75" s="2">
        <v>13045.633175</v>
      </c>
      <c r="H75" s="2" t="s">
        <v>26</v>
      </c>
    </row>
    <row r="76" ht="22.5" customHeight="1">
      <c r="A76" s="2" t="s">
        <v>18</v>
      </c>
      <c r="B76" s="2" t="s">
        <v>77</v>
      </c>
      <c r="C76" s="2" t="s">
        <v>31</v>
      </c>
      <c r="D76" s="2" t="s">
        <v>54</v>
      </c>
      <c r="F76" s="2" t="s">
        <v>78</v>
      </c>
      <c r="G76" s="2">
        <v>13291.944052</v>
      </c>
      <c r="H76" s="2" t="s">
        <v>24</v>
      </c>
    </row>
    <row r="77" ht="22.5" customHeight="1">
      <c r="A77" s="2" t="s">
        <v>18</v>
      </c>
      <c r="B77" s="2" t="s">
        <v>79</v>
      </c>
      <c r="C77" s="2" t="s">
        <v>20</v>
      </c>
      <c r="D77" s="2" t="s">
        <v>54</v>
      </c>
      <c r="F77" s="2" t="s">
        <v>80</v>
      </c>
      <c r="G77" s="2">
        <v>16300.94857</v>
      </c>
      <c r="H77" s="2" t="s">
        <v>26</v>
      </c>
    </row>
    <row r="78" ht="22.5" customHeight="1">
      <c r="A78" s="2" t="s">
        <v>18</v>
      </c>
      <c r="B78" s="2" t="s">
        <v>79</v>
      </c>
      <c r="C78" s="2" t="s">
        <v>20</v>
      </c>
      <c r="D78" s="2" t="s">
        <v>54</v>
      </c>
      <c r="F78" s="2" t="s">
        <v>80</v>
      </c>
      <c r="G78" s="2">
        <v>16669.545683</v>
      </c>
      <c r="H78" s="2" t="s">
        <v>24</v>
      </c>
    </row>
    <row r="79" ht="22.5" customHeight="1">
      <c r="A79" s="2" t="s">
        <v>18</v>
      </c>
      <c r="B79" s="2" t="s">
        <v>79</v>
      </c>
      <c r="C79" s="2" t="s">
        <v>20</v>
      </c>
      <c r="D79" s="2" t="s">
        <v>54</v>
      </c>
      <c r="F79" s="2" t="s">
        <v>80</v>
      </c>
      <c r="G79" s="2">
        <v>16518.122589</v>
      </c>
      <c r="H79" s="2" t="s">
        <v>25</v>
      </c>
    </row>
    <row r="80" ht="22.5" customHeight="1">
      <c r="A80" s="2" t="s">
        <v>18</v>
      </c>
      <c r="B80" s="2" t="s">
        <v>81</v>
      </c>
      <c r="C80" s="2" t="s">
        <v>31</v>
      </c>
      <c r="D80" s="2" t="s">
        <v>47</v>
      </c>
      <c r="F80" s="2" t="s">
        <v>82</v>
      </c>
      <c r="G80" s="2">
        <v>18843.097092</v>
      </c>
      <c r="H80" s="2" t="s">
        <v>26</v>
      </c>
    </row>
    <row r="81" ht="22.5" customHeight="1">
      <c r="A81" s="2" t="s">
        <v>18</v>
      </c>
      <c r="B81" s="2" t="s">
        <v>81</v>
      </c>
      <c r="C81" s="2" t="s">
        <v>31</v>
      </c>
      <c r="D81" s="2" t="s">
        <v>47</v>
      </c>
      <c r="F81" s="2" t="s">
        <v>82</v>
      </c>
      <c r="G81" s="2">
        <v>15931.39405</v>
      </c>
      <c r="H81" s="2" t="s">
        <v>24</v>
      </c>
    </row>
    <row r="82" ht="22.5" customHeight="1">
      <c r="A82" s="2" t="s">
        <v>18</v>
      </c>
      <c r="B82" s="2" t="s">
        <v>81</v>
      </c>
      <c r="C82" s="2" t="s">
        <v>31</v>
      </c>
      <c r="D82" s="2" t="s">
        <v>47</v>
      </c>
      <c r="F82" s="2" t="s">
        <v>82</v>
      </c>
      <c r="G82" s="2">
        <v>19074.754614</v>
      </c>
      <c r="H82" s="2" t="s">
        <v>25</v>
      </c>
    </row>
    <row r="83" ht="22.5" customHeight="1">
      <c r="A83" s="2" t="s">
        <v>18</v>
      </c>
      <c r="B83" s="2" t="s">
        <v>83</v>
      </c>
      <c r="C83" s="2" t="s">
        <v>31</v>
      </c>
      <c r="D83" s="2" t="s">
        <v>38</v>
      </c>
      <c r="F83" s="2" t="s">
        <v>84</v>
      </c>
      <c r="G83" s="2">
        <v>14165.15378</v>
      </c>
      <c r="H83" s="2" t="s">
        <v>26</v>
      </c>
    </row>
    <row r="84" ht="22.5" customHeight="1">
      <c r="A84" s="2" t="s">
        <v>18</v>
      </c>
      <c r="B84" s="2" t="s">
        <v>83</v>
      </c>
      <c r="C84" s="2" t="s">
        <v>31</v>
      </c>
      <c r="D84" s="2" t="s">
        <v>38</v>
      </c>
      <c r="F84" s="2" t="s">
        <v>84</v>
      </c>
      <c r="G84" s="2">
        <v>14432.174718</v>
      </c>
      <c r="H84" s="2" t="s">
        <v>24</v>
      </c>
    </row>
    <row r="85" ht="22.5" customHeight="1">
      <c r="A85" s="2" t="s">
        <v>18</v>
      </c>
      <c r="B85" s="2" t="s">
        <v>83</v>
      </c>
      <c r="C85" s="2" t="s">
        <v>31</v>
      </c>
      <c r="D85" s="2" t="s">
        <v>38</v>
      </c>
      <c r="F85" s="2" t="s">
        <v>84</v>
      </c>
      <c r="G85" s="2">
        <v>14418.282958</v>
      </c>
      <c r="H85" s="2" t="s">
        <v>25</v>
      </c>
    </row>
    <row r="86" ht="22.5" customHeight="1">
      <c r="A86" s="2" t="s">
        <v>18</v>
      </c>
      <c r="B86" s="2" t="s">
        <v>85</v>
      </c>
      <c r="C86" s="2" t="s">
        <v>20</v>
      </c>
      <c r="D86" s="2" t="s">
        <v>21</v>
      </c>
      <c r="E86" s="2" t="s">
        <v>44</v>
      </c>
      <c r="F86" s="2" t="s">
        <v>86</v>
      </c>
      <c r="G86" s="2">
        <v>15633.097092</v>
      </c>
      <c r="H86" s="2" t="s">
        <v>26</v>
      </c>
    </row>
    <row r="87" ht="22.5" customHeight="1">
      <c r="A87" s="2" t="s">
        <v>18</v>
      </c>
      <c r="B87" s="2" t="s">
        <v>85</v>
      </c>
      <c r="C87" s="2" t="s">
        <v>20</v>
      </c>
      <c r="D87" s="2" t="s">
        <v>21</v>
      </c>
      <c r="E87" s="2" t="s">
        <v>44</v>
      </c>
      <c r="F87" s="2" t="s">
        <v>86</v>
      </c>
      <c r="G87" s="2">
        <v>3181.752788</v>
      </c>
      <c r="H87" s="2" t="s">
        <v>24</v>
      </c>
    </row>
    <row r="88" ht="22.5" customHeight="1">
      <c r="A88" s="2" t="s">
        <v>18</v>
      </c>
      <c r="B88" s="2" t="s">
        <v>85</v>
      </c>
      <c r="C88" s="2" t="s">
        <v>20</v>
      </c>
      <c r="D88" s="2" t="s">
        <v>21</v>
      </c>
      <c r="E88" s="2" t="s">
        <v>44</v>
      </c>
      <c r="F88" s="2" t="s">
        <v>86</v>
      </c>
      <c r="G88" s="2">
        <v>15924.754614</v>
      </c>
      <c r="H88" s="2" t="s">
        <v>25</v>
      </c>
    </row>
    <row r="89" ht="22.5" customHeight="1">
      <c r="A89" s="2" t="s">
        <v>18</v>
      </c>
      <c r="B89" s="2" t="s">
        <v>87</v>
      </c>
      <c r="C89" s="2" t="s">
        <v>20</v>
      </c>
      <c r="D89" s="2" t="s">
        <v>21</v>
      </c>
      <c r="E89" s="2" t="s">
        <v>44</v>
      </c>
      <c r="F89" s="2" t="s">
        <v>88</v>
      </c>
      <c r="G89" s="2">
        <v>17051.678181</v>
      </c>
      <c r="H89" s="2" t="s">
        <v>24</v>
      </c>
    </row>
    <row r="90" ht="22.5" customHeight="1">
      <c r="A90" s="2" t="s">
        <v>18</v>
      </c>
      <c r="B90" s="2" t="s">
        <v>87</v>
      </c>
      <c r="C90" s="2" t="s">
        <v>20</v>
      </c>
      <c r="D90" s="2" t="s">
        <v>21</v>
      </c>
      <c r="E90" s="2" t="s">
        <v>44</v>
      </c>
      <c r="F90" s="2" t="s">
        <v>88</v>
      </c>
      <c r="G90" s="2">
        <v>8493.071037</v>
      </c>
      <c r="H90" s="2" t="s">
        <v>26</v>
      </c>
    </row>
    <row r="91" ht="22.5" customHeight="1">
      <c r="A91" s="2" t="s">
        <v>18</v>
      </c>
      <c r="B91" s="2" t="s">
        <v>89</v>
      </c>
      <c r="C91" s="2" t="s">
        <v>20</v>
      </c>
      <c r="D91" s="2" t="s">
        <v>21</v>
      </c>
      <c r="E91" s="4" t="s">
        <v>44</v>
      </c>
      <c r="F91" s="2" t="s">
        <v>90</v>
      </c>
      <c r="G91" s="2">
        <v>14652.097092</v>
      </c>
      <c r="H91" s="2" t="s">
        <v>26</v>
      </c>
    </row>
    <row r="92" ht="22.5" customHeight="1">
      <c r="A92" s="2" t="s">
        <v>18</v>
      </c>
      <c r="B92" s="2" t="s">
        <v>89</v>
      </c>
      <c r="C92" s="2" t="s">
        <v>20</v>
      </c>
      <c r="D92" s="2" t="s">
        <v>21</v>
      </c>
      <c r="E92" s="4" t="s">
        <v>44</v>
      </c>
      <c r="F92" s="2" t="s">
        <v>90</v>
      </c>
      <c r="G92" s="2">
        <v>13969.39405</v>
      </c>
      <c r="H92" s="2" t="s">
        <v>24</v>
      </c>
    </row>
    <row r="93" ht="22.5" customHeight="1">
      <c r="A93" s="2" t="s">
        <v>18</v>
      </c>
      <c r="B93" s="2" t="s">
        <v>89</v>
      </c>
      <c r="C93" s="2" t="s">
        <v>20</v>
      </c>
      <c r="D93" s="2" t="s">
        <v>21</v>
      </c>
      <c r="E93" s="4" t="s">
        <v>44</v>
      </c>
      <c r="F93" s="2" t="s">
        <v>90</v>
      </c>
      <c r="G93" s="2">
        <v>15924.754614</v>
      </c>
      <c r="H93" s="2" t="s">
        <v>25</v>
      </c>
    </row>
    <row r="94" ht="22.5" customHeight="1">
      <c r="A94" s="2" t="s">
        <v>18</v>
      </c>
      <c r="B94" s="2" t="s">
        <v>91</v>
      </c>
      <c r="C94" s="2" t="s">
        <v>66</v>
      </c>
      <c r="D94" s="2" t="s">
        <v>54</v>
      </c>
      <c r="F94" s="2" t="s">
        <v>92</v>
      </c>
      <c r="G94" s="2">
        <v>17571.832089</v>
      </c>
      <c r="H94" s="2" t="s">
        <v>25</v>
      </c>
    </row>
    <row r="95" ht="22.5" customHeight="1">
      <c r="A95" s="2" t="s">
        <v>18</v>
      </c>
      <c r="B95" s="2" t="s">
        <v>91</v>
      </c>
      <c r="C95" s="2" t="s">
        <v>66</v>
      </c>
      <c r="D95" s="2" t="s">
        <v>54</v>
      </c>
      <c r="F95" s="2" t="s">
        <v>92</v>
      </c>
      <c r="G95" s="2">
        <v>17355.964058</v>
      </c>
      <c r="H95" s="2" t="s">
        <v>26</v>
      </c>
    </row>
    <row r="96" ht="22.5" customHeight="1">
      <c r="A96" s="2" t="s">
        <v>18</v>
      </c>
      <c r="B96" s="2" t="s">
        <v>91</v>
      </c>
      <c r="C96" s="2" t="s">
        <v>66</v>
      </c>
      <c r="D96" s="2" t="s">
        <v>54</v>
      </c>
      <c r="F96" s="2" t="s">
        <v>92</v>
      </c>
      <c r="G96" s="2">
        <v>17763.364907</v>
      </c>
      <c r="H96" s="2" t="s">
        <v>24</v>
      </c>
    </row>
    <row r="97" ht="22.5" customHeight="1">
      <c r="A97" s="2" t="s">
        <v>18</v>
      </c>
      <c r="B97" s="7" t="s">
        <v>93</v>
      </c>
      <c r="C97" s="2" t="s">
        <v>20</v>
      </c>
      <c r="D97" s="2" t="s">
        <v>21</v>
      </c>
      <c r="E97" s="4" t="s">
        <v>41</v>
      </c>
      <c r="F97" s="2" t="s">
        <v>94</v>
      </c>
      <c r="G97" s="2">
        <f t="shared" ref="G97:G99" si="2">26433.84557/3</f>
        <v>8811.281857</v>
      </c>
      <c r="H97" s="2" t="s">
        <v>25</v>
      </c>
    </row>
    <row r="98" ht="22.5" customHeight="1">
      <c r="A98" s="2" t="s">
        <v>18</v>
      </c>
      <c r="B98" s="7" t="s">
        <v>93</v>
      </c>
      <c r="C98" s="2" t="s">
        <v>20</v>
      </c>
      <c r="D98" s="2" t="s">
        <v>21</v>
      </c>
      <c r="E98" s="4" t="s">
        <v>35</v>
      </c>
      <c r="F98" s="2" t="s">
        <v>94</v>
      </c>
      <c r="G98" s="2">
        <f t="shared" si="2"/>
        <v>8811.281857</v>
      </c>
      <c r="H98" s="2" t="s">
        <v>25</v>
      </c>
    </row>
    <row r="99" ht="22.5" customHeight="1">
      <c r="A99" s="2" t="s">
        <v>18</v>
      </c>
      <c r="B99" s="7" t="s">
        <v>93</v>
      </c>
      <c r="C99" s="2" t="s">
        <v>20</v>
      </c>
      <c r="D99" s="2" t="s">
        <v>21</v>
      </c>
      <c r="E99" s="4" t="s">
        <v>44</v>
      </c>
      <c r="F99" s="2" t="s">
        <v>94</v>
      </c>
      <c r="G99" s="2">
        <f t="shared" si="2"/>
        <v>8811.281857</v>
      </c>
      <c r="H99" s="2" t="s">
        <v>25</v>
      </c>
    </row>
    <row r="100" ht="22.5" customHeight="1">
      <c r="A100" s="2" t="s">
        <v>18</v>
      </c>
      <c r="B100" s="7" t="s">
        <v>93</v>
      </c>
      <c r="C100" s="2" t="s">
        <v>20</v>
      </c>
      <c r="D100" s="2" t="s">
        <v>21</v>
      </c>
      <c r="E100" s="4" t="s">
        <v>41</v>
      </c>
      <c r="F100" s="2" t="s">
        <v>94</v>
      </c>
      <c r="G100" s="2">
        <f t="shared" ref="G100:G102" si="3">18888.877198/3</f>
        <v>6296.292399</v>
      </c>
      <c r="H100" s="2" t="s">
        <v>26</v>
      </c>
    </row>
    <row r="101" ht="22.5" customHeight="1">
      <c r="A101" s="2" t="s">
        <v>18</v>
      </c>
      <c r="B101" s="7" t="s">
        <v>93</v>
      </c>
      <c r="C101" s="2" t="s">
        <v>20</v>
      </c>
      <c r="D101" s="2" t="s">
        <v>21</v>
      </c>
      <c r="E101" s="4" t="s">
        <v>35</v>
      </c>
      <c r="F101" s="2" t="s">
        <v>94</v>
      </c>
      <c r="G101" s="2">
        <f t="shared" si="3"/>
        <v>6296.292399</v>
      </c>
      <c r="H101" s="2" t="s">
        <v>26</v>
      </c>
    </row>
    <row r="102" ht="22.5" customHeight="1">
      <c r="A102" s="2" t="s">
        <v>18</v>
      </c>
      <c r="B102" s="7" t="s">
        <v>93</v>
      </c>
      <c r="C102" s="2" t="s">
        <v>20</v>
      </c>
      <c r="D102" s="2" t="s">
        <v>21</v>
      </c>
      <c r="E102" s="4" t="s">
        <v>44</v>
      </c>
      <c r="F102" s="2" t="s">
        <v>94</v>
      </c>
      <c r="G102" s="2">
        <f t="shared" si="3"/>
        <v>6296.292399</v>
      </c>
      <c r="H102" s="2" t="s">
        <v>26</v>
      </c>
    </row>
    <row r="103" ht="22.5" customHeight="1">
      <c r="A103" s="2" t="s">
        <v>18</v>
      </c>
      <c r="B103" s="7" t="s">
        <v>93</v>
      </c>
      <c r="C103" s="2" t="s">
        <v>20</v>
      </c>
      <c r="D103" s="2" t="s">
        <v>21</v>
      </c>
      <c r="E103" s="4" t="s">
        <v>41</v>
      </c>
      <c r="F103" s="2" t="s">
        <v>94</v>
      </c>
      <c r="G103" s="2">
        <f t="shared" ref="G103:G105" si="4">20299.69469/3</f>
        <v>6766.564897</v>
      </c>
      <c r="H103" s="2" t="s">
        <v>24</v>
      </c>
    </row>
    <row r="104" ht="22.5" customHeight="1">
      <c r="A104" s="2" t="s">
        <v>18</v>
      </c>
      <c r="B104" s="7" t="s">
        <v>93</v>
      </c>
      <c r="C104" s="2" t="s">
        <v>20</v>
      </c>
      <c r="D104" s="2" t="s">
        <v>21</v>
      </c>
      <c r="E104" s="4" t="s">
        <v>35</v>
      </c>
      <c r="F104" s="2" t="s">
        <v>94</v>
      </c>
      <c r="G104" s="2">
        <f t="shared" si="4"/>
        <v>6766.564897</v>
      </c>
      <c r="H104" s="2" t="s">
        <v>24</v>
      </c>
    </row>
    <row r="105" ht="22.5" customHeight="1">
      <c r="A105" s="2" t="s">
        <v>18</v>
      </c>
      <c r="B105" s="7" t="s">
        <v>93</v>
      </c>
      <c r="C105" s="2" t="s">
        <v>20</v>
      </c>
      <c r="D105" s="2" t="s">
        <v>21</v>
      </c>
      <c r="E105" s="4" t="s">
        <v>44</v>
      </c>
      <c r="F105" s="2" t="s">
        <v>94</v>
      </c>
      <c r="G105" s="2">
        <f t="shared" si="4"/>
        <v>6766.564897</v>
      </c>
      <c r="H105" s="2" t="s">
        <v>24</v>
      </c>
    </row>
    <row r="106" ht="22.5" customHeight="1">
      <c r="A106" s="2" t="s">
        <v>18</v>
      </c>
      <c r="B106" s="2" t="s">
        <v>95</v>
      </c>
      <c r="C106" s="2" t="s">
        <v>20</v>
      </c>
      <c r="D106" s="2" t="s">
        <v>21</v>
      </c>
      <c r="E106" s="4" t="s">
        <v>41</v>
      </c>
      <c r="F106" s="2" t="s">
        <v>96</v>
      </c>
      <c r="G106" s="2">
        <v>16929.069051</v>
      </c>
      <c r="H106" s="2" t="s">
        <v>25</v>
      </c>
    </row>
    <row r="107" ht="22.5" customHeight="1">
      <c r="A107" s="2" t="s">
        <v>18</v>
      </c>
      <c r="B107" s="2" t="s">
        <v>95</v>
      </c>
      <c r="C107" s="2" t="s">
        <v>20</v>
      </c>
      <c r="D107" s="2" t="s">
        <v>21</v>
      </c>
      <c r="E107" s="4" t="s">
        <v>41</v>
      </c>
      <c r="F107" s="2" t="s">
        <v>96</v>
      </c>
      <c r="G107" s="2">
        <v>4494.62529</v>
      </c>
      <c r="H107" s="2" t="s">
        <v>26</v>
      </c>
    </row>
    <row r="108" ht="22.5" customHeight="1">
      <c r="A108" s="2" t="s">
        <v>18</v>
      </c>
      <c r="B108" s="2" t="s">
        <v>97</v>
      </c>
      <c r="C108" s="2" t="s">
        <v>31</v>
      </c>
      <c r="D108" s="2" t="s">
        <v>98</v>
      </c>
      <c r="F108" s="2" t="s">
        <v>99</v>
      </c>
      <c r="G108" s="2">
        <v>19146.252292</v>
      </c>
      <c r="H108" s="2" t="s">
        <v>25</v>
      </c>
    </row>
    <row r="109" ht="22.5" customHeight="1">
      <c r="A109" s="2" t="s">
        <v>18</v>
      </c>
      <c r="B109" s="2" t="s">
        <v>97</v>
      </c>
      <c r="C109" s="2" t="s">
        <v>31</v>
      </c>
      <c r="D109" s="2" t="s">
        <v>98</v>
      </c>
      <c r="F109" s="2" t="s">
        <v>99</v>
      </c>
      <c r="G109" s="2">
        <v>15198.144052</v>
      </c>
      <c r="H109" s="2" t="s">
        <v>24</v>
      </c>
    </row>
    <row r="110" ht="22.5" customHeight="1">
      <c r="A110" s="2" t="s">
        <v>18</v>
      </c>
      <c r="B110" s="2" t="s">
        <v>97</v>
      </c>
      <c r="C110" s="2" t="s">
        <v>31</v>
      </c>
      <c r="D110" s="2" t="s">
        <v>98</v>
      </c>
      <c r="F110" s="2" t="s">
        <v>99</v>
      </c>
      <c r="G110" s="2">
        <v>17892.853175</v>
      </c>
      <c r="H110" s="2" t="s">
        <v>26</v>
      </c>
    </row>
    <row r="111" ht="22.5" customHeight="1">
      <c r="A111" s="2" t="s">
        <v>18</v>
      </c>
      <c r="B111" s="2" t="s">
        <v>100</v>
      </c>
      <c r="C111" s="2" t="s">
        <v>20</v>
      </c>
      <c r="D111" s="2" t="s">
        <v>21</v>
      </c>
      <c r="E111" s="4" t="s">
        <v>22</v>
      </c>
      <c r="F111" s="2" t="s">
        <v>101</v>
      </c>
      <c r="G111" s="2">
        <v>7350.0</v>
      </c>
      <c r="H111" s="2" t="s">
        <v>24</v>
      </c>
    </row>
    <row r="112" ht="22.5" customHeight="1">
      <c r="A112" s="2" t="s">
        <v>18</v>
      </c>
      <c r="B112" s="2" t="s">
        <v>100</v>
      </c>
      <c r="C112" s="2" t="s">
        <v>20</v>
      </c>
      <c r="D112" s="2" t="s">
        <v>21</v>
      </c>
      <c r="E112" s="4" t="s">
        <v>22</v>
      </c>
      <c r="F112" s="2" t="s">
        <v>101</v>
      </c>
      <c r="G112" s="2">
        <v>3675.0</v>
      </c>
      <c r="H112" s="2" t="s">
        <v>25</v>
      </c>
    </row>
    <row r="113" ht="22.5" customHeight="1">
      <c r="A113" s="2" t="s">
        <v>18</v>
      </c>
      <c r="B113" s="2" t="s">
        <v>100</v>
      </c>
      <c r="C113" s="2" t="s">
        <v>20</v>
      </c>
      <c r="D113" s="2" t="s">
        <v>21</v>
      </c>
      <c r="E113" s="4" t="s">
        <v>22</v>
      </c>
      <c r="F113" s="2" t="s">
        <v>101</v>
      </c>
      <c r="G113" s="2">
        <v>7350.0</v>
      </c>
      <c r="H113" s="2" t="s">
        <v>26</v>
      </c>
    </row>
    <row r="114" ht="22.5" customHeight="1">
      <c r="A114" s="2" t="s">
        <v>18</v>
      </c>
      <c r="B114" s="2" t="s">
        <v>102</v>
      </c>
      <c r="C114" s="2" t="s">
        <v>31</v>
      </c>
      <c r="D114" s="2" t="s">
        <v>47</v>
      </c>
      <c r="F114" s="2" t="s">
        <v>103</v>
      </c>
      <c r="G114" s="2">
        <v>20297.06278</v>
      </c>
      <c r="H114" s="2" t="s">
        <v>24</v>
      </c>
    </row>
    <row r="115" ht="22.5" customHeight="1">
      <c r="A115" s="2" t="s">
        <v>18</v>
      </c>
      <c r="B115" s="2" t="s">
        <v>102</v>
      </c>
      <c r="C115" s="2" t="s">
        <v>31</v>
      </c>
      <c r="D115" s="2" t="s">
        <v>47</v>
      </c>
      <c r="F115" s="2" t="s">
        <v>103</v>
      </c>
      <c r="G115" s="2">
        <v>20130.558316</v>
      </c>
      <c r="H115" s="2" t="s">
        <v>25</v>
      </c>
    </row>
    <row r="116" ht="22.5" customHeight="1">
      <c r="A116" s="2" t="s">
        <v>18</v>
      </c>
      <c r="B116" s="2" t="s">
        <v>102</v>
      </c>
      <c r="C116" s="2" t="s">
        <v>31</v>
      </c>
      <c r="D116" s="2" t="s">
        <v>47</v>
      </c>
      <c r="F116" s="2" t="s">
        <v>103</v>
      </c>
      <c r="G116" s="2">
        <v>19918.225945</v>
      </c>
      <c r="H116" s="2" t="s">
        <v>26</v>
      </c>
    </row>
    <row r="117" ht="22.5" customHeight="1">
      <c r="A117" s="2" t="s">
        <v>18</v>
      </c>
      <c r="B117" s="2" t="s">
        <v>104</v>
      </c>
      <c r="C117" s="2" t="s">
        <v>20</v>
      </c>
      <c r="D117" s="2" t="s">
        <v>21</v>
      </c>
      <c r="E117" s="2" t="s">
        <v>35</v>
      </c>
      <c r="F117" s="2" t="s">
        <v>105</v>
      </c>
      <c r="G117" s="2">
        <v>16974.754614</v>
      </c>
      <c r="H117" s="2" t="s">
        <v>25</v>
      </c>
    </row>
    <row r="118" ht="22.5" customHeight="1">
      <c r="A118" s="2" t="s">
        <v>18</v>
      </c>
      <c r="B118" s="2" t="s">
        <v>104</v>
      </c>
      <c r="C118" s="2" t="s">
        <v>20</v>
      </c>
      <c r="D118" s="2" t="s">
        <v>21</v>
      </c>
      <c r="E118" s="2" t="s">
        <v>35</v>
      </c>
      <c r="F118" s="2" t="s">
        <v>105</v>
      </c>
      <c r="G118" s="2">
        <v>13884.567962</v>
      </c>
      <c r="H118" s="2" t="s">
        <v>26</v>
      </c>
    </row>
    <row r="119" ht="22.5" customHeight="1">
      <c r="A119" s="2" t="s">
        <v>18</v>
      </c>
      <c r="B119" s="2" t="s">
        <v>106</v>
      </c>
      <c r="C119" s="2" t="s">
        <v>20</v>
      </c>
      <c r="D119" s="2" t="s">
        <v>21</v>
      </c>
      <c r="E119" s="2" t="s">
        <v>35</v>
      </c>
      <c r="F119" s="2" t="s">
        <v>107</v>
      </c>
      <c r="G119" s="2">
        <v>15635.661516</v>
      </c>
      <c r="H119" s="2" t="s">
        <v>26</v>
      </c>
    </row>
    <row r="120" ht="22.5" customHeight="1">
      <c r="A120" s="2" t="s">
        <v>18</v>
      </c>
      <c r="B120" s="2" t="s">
        <v>106</v>
      </c>
      <c r="C120" s="2" t="s">
        <v>20</v>
      </c>
      <c r="D120" s="2" t="s">
        <v>21</v>
      </c>
      <c r="E120" s="2" t="s">
        <v>35</v>
      </c>
      <c r="F120" s="2" t="s">
        <v>107</v>
      </c>
      <c r="G120" s="2">
        <v>15934.228414</v>
      </c>
      <c r="H120" s="2" t="s">
        <v>24</v>
      </c>
    </row>
    <row r="121" ht="22.5" customHeight="1">
      <c r="A121" s="2" t="s">
        <v>18</v>
      </c>
      <c r="B121" s="2" t="s">
        <v>106</v>
      </c>
      <c r="C121" s="2" t="s">
        <v>20</v>
      </c>
      <c r="D121" s="2" t="s">
        <v>21</v>
      </c>
      <c r="E121" s="2" t="s">
        <v>35</v>
      </c>
      <c r="F121" s="2" t="s">
        <v>107</v>
      </c>
      <c r="G121" s="2">
        <v>15927.656463</v>
      </c>
      <c r="H121" s="2" t="s">
        <v>25</v>
      </c>
    </row>
    <row r="122" ht="22.5" customHeight="1">
      <c r="A122" s="2" t="s">
        <v>18</v>
      </c>
      <c r="B122" s="2" t="s">
        <v>108</v>
      </c>
      <c r="C122" s="2" t="s">
        <v>31</v>
      </c>
      <c r="D122" s="2" t="s">
        <v>54</v>
      </c>
      <c r="F122" s="2" t="s">
        <v>109</v>
      </c>
      <c r="G122" s="2">
        <v>23200.97604</v>
      </c>
      <c r="H122" s="2" t="s">
        <v>26</v>
      </c>
    </row>
    <row r="123" ht="22.5" customHeight="1">
      <c r="A123" s="2" t="s">
        <v>18</v>
      </c>
      <c r="B123" s="2" t="s">
        <v>108</v>
      </c>
      <c r="C123" s="2" t="s">
        <v>31</v>
      </c>
      <c r="D123" s="2" t="s">
        <v>54</v>
      </c>
      <c r="F123" s="2" t="s">
        <v>109</v>
      </c>
      <c r="G123" s="2">
        <v>22655.84342</v>
      </c>
      <c r="H123" s="2" t="s">
        <v>24</v>
      </c>
    </row>
    <row r="124" ht="22.5" customHeight="1">
      <c r="A124" s="2" t="s">
        <v>18</v>
      </c>
      <c r="B124" s="2" t="s">
        <v>108</v>
      </c>
      <c r="C124" s="2" t="s">
        <v>31</v>
      </c>
      <c r="D124" s="2" t="s">
        <v>54</v>
      </c>
      <c r="F124" s="2" t="s">
        <v>109</v>
      </c>
      <c r="G124" s="3">
        <v>20527.440000000002</v>
      </c>
      <c r="H124" s="2" t="s">
        <v>25</v>
      </c>
    </row>
    <row r="125" ht="22.5" customHeight="1">
      <c r="A125" s="2" t="s">
        <v>18</v>
      </c>
      <c r="B125" s="2" t="s">
        <v>108</v>
      </c>
      <c r="C125" s="2" t="s">
        <v>31</v>
      </c>
      <c r="D125" s="2" t="s">
        <v>54</v>
      </c>
      <c r="F125" s="2" t="s">
        <v>109</v>
      </c>
      <c r="G125" s="3">
        <v>20527.440000000002</v>
      </c>
      <c r="H125" s="4" t="s">
        <v>27</v>
      </c>
    </row>
    <row r="126" ht="22.5" customHeight="1">
      <c r="A126" s="2" t="s">
        <v>18</v>
      </c>
      <c r="B126" s="2" t="s">
        <v>110</v>
      </c>
      <c r="C126" s="2" t="s">
        <v>20</v>
      </c>
      <c r="D126" s="2" t="s">
        <v>21</v>
      </c>
      <c r="E126" s="4" t="s">
        <v>44</v>
      </c>
      <c r="F126" s="2" t="s">
        <v>111</v>
      </c>
      <c r="G126" s="2">
        <v>10128.07104</v>
      </c>
      <c r="H126" s="2" t="s">
        <v>26</v>
      </c>
    </row>
    <row r="127" ht="22.5" customHeight="1">
      <c r="A127" s="2" t="s">
        <v>18</v>
      </c>
      <c r="B127" s="2" t="s">
        <v>110</v>
      </c>
      <c r="C127" s="2" t="s">
        <v>20</v>
      </c>
      <c r="D127" s="2" t="s">
        <v>21</v>
      </c>
      <c r="E127" s="4" t="s">
        <v>44</v>
      </c>
      <c r="F127" s="2" t="s">
        <v>111</v>
      </c>
      <c r="G127" s="2">
        <v>20321.67818</v>
      </c>
      <c r="H127" s="2" t="s">
        <v>24</v>
      </c>
    </row>
    <row r="128" ht="22.5" customHeight="1">
      <c r="A128" s="2" t="s">
        <v>18</v>
      </c>
      <c r="B128" s="2" t="s">
        <v>112</v>
      </c>
      <c r="C128" s="2" t="s">
        <v>31</v>
      </c>
      <c r="D128" s="2" t="s">
        <v>113</v>
      </c>
      <c r="F128" s="2" t="s">
        <v>114</v>
      </c>
      <c r="G128" s="3">
        <v>34524.9</v>
      </c>
      <c r="H128" s="2" t="s">
        <v>26</v>
      </c>
    </row>
    <row r="129" ht="22.5" customHeight="1">
      <c r="A129" s="2" t="s">
        <v>18</v>
      </c>
      <c r="B129" s="2" t="s">
        <v>112</v>
      </c>
      <c r="C129" s="2" t="s">
        <v>31</v>
      </c>
      <c r="D129" s="2" t="s">
        <v>113</v>
      </c>
      <c r="F129" s="2" t="s">
        <v>114</v>
      </c>
      <c r="G129" s="3">
        <v>34524.9</v>
      </c>
      <c r="H129" s="2" t="s">
        <v>25</v>
      </c>
    </row>
    <row r="130" ht="22.5" customHeight="1">
      <c r="A130" s="2" t="s">
        <v>18</v>
      </c>
      <c r="B130" s="2" t="s">
        <v>112</v>
      </c>
      <c r="C130" s="2" t="s">
        <v>31</v>
      </c>
      <c r="D130" s="2" t="s">
        <v>113</v>
      </c>
      <c r="F130" s="2" t="s">
        <v>114</v>
      </c>
      <c r="G130" s="3">
        <v>34524.9</v>
      </c>
      <c r="H130" s="2" t="s">
        <v>24</v>
      </c>
    </row>
    <row r="131" ht="22.5" customHeight="1">
      <c r="A131" s="2" t="s">
        <v>18</v>
      </c>
      <c r="B131" s="2" t="s">
        <v>112</v>
      </c>
      <c r="C131" s="2" t="s">
        <v>31</v>
      </c>
      <c r="D131" s="2" t="s">
        <v>113</v>
      </c>
      <c r="F131" s="2" t="s">
        <v>114</v>
      </c>
      <c r="G131" s="3">
        <v>34524.9</v>
      </c>
      <c r="H131" s="4" t="s">
        <v>27</v>
      </c>
    </row>
    <row r="132" ht="22.5" customHeight="1">
      <c r="A132" s="2" t="s">
        <v>18</v>
      </c>
      <c r="B132" s="2" t="s">
        <v>115</v>
      </c>
      <c r="C132" s="2" t="s">
        <v>20</v>
      </c>
      <c r="D132" s="2" t="s">
        <v>21</v>
      </c>
      <c r="E132" s="2" t="s">
        <v>22</v>
      </c>
      <c r="F132" s="2" t="s">
        <v>116</v>
      </c>
      <c r="G132" s="3">
        <v>14368.28</v>
      </c>
      <c r="H132" s="2" t="s">
        <v>25</v>
      </c>
    </row>
    <row r="133" ht="22.5" customHeight="1">
      <c r="A133" s="2" t="s">
        <v>18</v>
      </c>
      <c r="B133" s="2" t="s">
        <v>115</v>
      </c>
      <c r="C133" s="2" t="s">
        <v>20</v>
      </c>
      <c r="D133" s="2" t="s">
        <v>21</v>
      </c>
      <c r="E133" s="2" t="s">
        <v>22</v>
      </c>
      <c r="F133" s="2" t="s">
        <v>116</v>
      </c>
      <c r="G133" s="3">
        <v>13001.391037000001</v>
      </c>
      <c r="H133" s="2" t="s">
        <v>26</v>
      </c>
    </row>
    <row r="134" ht="22.5" customHeight="1">
      <c r="A134" s="2" t="s">
        <v>18</v>
      </c>
      <c r="B134" s="2" t="s">
        <v>115</v>
      </c>
      <c r="C134" s="2" t="s">
        <v>20</v>
      </c>
      <c r="D134" s="2" t="s">
        <v>21</v>
      </c>
      <c r="E134" s="2" t="s">
        <v>22</v>
      </c>
      <c r="F134" s="2" t="s">
        <v>116</v>
      </c>
      <c r="G134" s="2">
        <v>11540.051364</v>
      </c>
      <c r="H134" s="2" t="s">
        <v>24</v>
      </c>
    </row>
    <row r="135" ht="22.5" customHeight="1">
      <c r="A135" s="2" t="s">
        <v>18</v>
      </c>
      <c r="B135" s="2" t="s">
        <v>115</v>
      </c>
      <c r="C135" s="2" t="s">
        <v>20</v>
      </c>
      <c r="D135" s="2" t="s">
        <v>21</v>
      </c>
      <c r="E135" s="2" t="s">
        <v>22</v>
      </c>
      <c r="F135" s="2" t="s">
        <v>116</v>
      </c>
      <c r="G135" s="3">
        <v>13513.4925</v>
      </c>
      <c r="H135" s="4" t="s">
        <v>27</v>
      </c>
    </row>
    <row r="136" ht="22.5" customHeight="1">
      <c r="A136" s="2" t="s">
        <v>18</v>
      </c>
      <c r="B136" s="2" t="s">
        <v>117</v>
      </c>
      <c r="C136" s="2" t="s">
        <v>31</v>
      </c>
      <c r="D136" s="2" t="s">
        <v>47</v>
      </c>
      <c r="F136" s="2" t="s">
        <v>118</v>
      </c>
      <c r="G136" s="2">
        <v>16555.654738</v>
      </c>
      <c r="H136" s="2" t="s">
        <v>25</v>
      </c>
    </row>
    <row r="137" ht="22.5" customHeight="1">
      <c r="A137" s="2" t="s">
        <v>18</v>
      </c>
      <c r="B137" s="2" t="s">
        <v>117</v>
      </c>
      <c r="C137" s="2" t="s">
        <v>31</v>
      </c>
      <c r="D137" s="2" t="s">
        <v>47</v>
      </c>
      <c r="F137" s="2" t="s">
        <v>118</v>
      </c>
      <c r="G137" s="2">
        <v>17783.171619</v>
      </c>
      <c r="H137" s="2" t="s">
        <v>26</v>
      </c>
    </row>
    <row r="138" ht="22.5" customHeight="1">
      <c r="A138" s="2" t="s">
        <v>18</v>
      </c>
      <c r="B138" s="2" t="s">
        <v>117</v>
      </c>
      <c r="C138" s="2" t="s">
        <v>31</v>
      </c>
      <c r="D138" s="2" t="s">
        <v>47</v>
      </c>
      <c r="F138" s="2" t="s">
        <v>118</v>
      </c>
      <c r="G138" s="2">
        <v>18122.529054</v>
      </c>
      <c r="H138" s="2" t="s">
        <v>24</v>
      </c>
    </row>
    <row r="139" ht="22.5" customHeight="1">
      <c r="A139" s="2" t="s">
        <v>18</v>
      </c>
      <c r="B139" s="2" t="s">
        <v>119</v>
      </c>
      <c r="C139" s="2" t="s">
        <v>20</v>
      </c>
      <c r="D139" s="2" t="s">
        <v>21</v>
      </c>
      <c r="E139" s="2" t="s">
        <v>41</v>
      </c>
      <c r="F139" s="2" t="s">
        <v>120</v>
      </c>
      <c r="G139" s="2">
        <v>13205.68591</v>
      </c>
      <c r="H139" s="2" t="s">
        <v>25</v>
      </c>
    </row>
    <row r="140" ht="22.5" customHeight="1">
      <c r="A140" s="2" t="s">
        <v>18</v>
      </c>
      <c r="B140" s="2" t="s">
        <v>119</v>
      </c>
      <c r="C140" s="2" t="s">
        <v>20</v>
      </c>
      <c r="D140" s="2" t="s">
        <v>21</v>
      </c>
      <c r="E140" s="2" t="s">
        <v>41</v>
      </c>
      <c r="F140" s="2" t="s">
        <v>120</v>
      </c>
      <c r="G140" s="2">
        <v>12908.441516</v>
      </c>
      <c r="H140" s="2" t="s">
        <v>26</v>
      </c>
    </row>
    <row r="141" ht="22.5" customHeight="1">
      <c r="A141" s="2" t="s">
        <v>18</v>
      </c>
      <c r="B141" s="2" t="s">
        <v>119</v>
      </c>
      <c r="C141" s="2" t="s">
        <v>20</v>
      </c>
      <c r="D141" s="2" t="s">
        <v>21</v>
      </c>
      <c r="E141" s="2" t="s">
        <v>41</v>
      </c>
      <c r="F141" s="2" t="s">
        <v>120</v>
      </c>
      <c r="G141" s="2">
        <v>13156.028414</v>
      </c>
      <c r="H141" s="2" t="s">
        <v>24</v>
      </c>
    </row>
    <row r="142" ht="22.5" customHeight="1">
      <c r="A142" s="2" t="s">
        <v>18</v>
      </c>
      <c r="B142" s="2" t="s">
        <v>121</v>
      </c>
      <c r="C142" s="2" t="s">
        <v>31</v>
      </c>
      <c r="D142" s="2" t="s">
        <v>47</v>
      </c>
      <c r="F142" s="2" t="s">
        <v>122</v>
      </c>
      <c r="G142" s="2">
        <v>15924.754614</v>
      </c>
      <c r="H142" s="2" t="s">
        <v>25</v>
      </c>
    </row>
    <row r="143" ht="22.5" customHeight="1">
      <c r="A143" s="2" t="s">
        <v>18</v>
      </c>
      <c r="B143" s="2" t="s">
        <v>121</v>
      </c>
      <c r="C143" s="2" t="s">
        <v>31</v>
      </c>
      <c r="D143" s="2" t="s">
        <v>47</v>
      </c>
      <c r="F143" s="2" t="s">
        <v>122</v>
      </c>
      <c r="G143" s="2">
        <v>7699.68742</v>
      </c>
      <c r="H143" s="2" t="s">
        <v>26</v>
      </c>
    </row>
    <row r="144" ht="22.5" customHeight="1">
      <c r="A144" s="2" t="s">
        <v>18</v>
      </c>
      <c r="B144" s="2" t="s">
        <v>123</v>
      </c>
      <c r="C144" s="2" t="s">
        <v>20</v>
      </c>
      <c r="D144" s="2" t="s">
        <v>21</v>
      </c>
      <c r="E144" s="2" t="s">
        <v>22</v>
      </c>
      <c r="F144" s="2" t="s">
        <v>124</v>
      </c>
      <c r="G144" s="3">
        <v>18920.03</v>
      </c>
      <c r="H144" s="2" t="s">
        <v>25</v>
      </c>
    </row>
    <row r="145" ht="22.5" customHeight="1">
      <c r="A145" s="2" t="s">
        <v>18</v>
      </c>
      <c r="B145" s="2" t="s">
        <v>123</v>
      </c>
      <c r="C145" s="2" t="s">
        <v>20</v>
      </c>
      <c r="D145" s="2" t="s">
        <v>21</v>
      </c>
      <c r="E145" s="2" t="s">
        <v>22</v>
      </c>
      <c r="F145" s="2" t="s">
        <v>124</v>
      </c>
      <c r="G145" s="2">
        <v>20790.280388</v>
      </c>
      <c r="H145" s="2" t="s">
        <v>26</v>
      </c>
    </row>
    <row r="146" ht="22.5" customHeight="1">
      <c r="A146" s="2" t="s">
        <v>18</v>
      </c>
      <c r="B146" s="2" t="s">
        <v>123</v>
      </c>
      <c r="C146" s="2" t="s">
        <v>20</v>
      </c>
      <c r="D146" s="2" t="s">
        <v>21</v>
      </c>
      <c r="E146" s="2" t="s">
        <v>22</v>
      </c>
      <c r="F146" s="2" t="s">
        <v>124</v>
      </c>
      <c r="G146" s="2">
        <v>22501.67818</v>
      </c>
      <c r="H146" s="2" t="s">
        <v>24</v>
      </c>
    </row>
    <row r="147" ht="22.5" customHeight="1">
      <c r="A147" s="2" t="s">
        <v>18</v>
      </c>
      <c r="B147" s="2" t="s">
        <v>123</v>
      </c>
      <c r="C147" s="2" t="s">
        <v>20</v>
      </c>
      <c r="D147" s="2" t="s">
        <v>21</v>
      </c>
      <c r="E147" s="2" t="s">
        <v>22</v>
      </c>
      <c r="F147" s="2" t="s">
        <v>124</v>
      </c>
      <c r="G147" s="3">
        <v>18427.440000000002</v>
      </c>
      <c r="H147" s="4" t="s">
        <v>27</v>
      </c>
    </row>
    <row r="148" ht="22.5" customHeight="1">
      <c r="A148" s="2" t="s">
        <v>18</v>
      </c>
      <c r="B148" s="2" t="s">
        <v>125</v>
      </c>
      <c r="C148" s="2" t="s">
        <v>20</v>
      </c>
      <c r="D148" s="2" t="s">
        <v>21</v>
      </c>
      <c r="E148" s="4" t="s">
        <v>35</v>
      </c>
      <c r="F148" s="2" t="s">
        <v>126</v>
      </c>
      <c r="G148" s="2">
        <v>12571.67402</v>
      </c>
      <c r="H148" s="2" t="s">
        <v>24</v>
      </c>
    </row>
    <row r="149" ht="22.5" customHeight="1">
      <c r="A149" s="2" t="s">
        <v>18</v>
      </c>
      <c r="B149" s="2" t="s">
        <v>127</v>
      </c>
      <c r="C149" s="2" t="s">
        <v>20</v>
      </c>
      <c r="D149" s="2" t="s">
        <v>54</v>
      </c>
      <c r="F149" s="2" t="s">
        <v>128</v>
      </c>
      <c r="G149" s="2">
        <v>7350.0</v>
      </c>
      <c r="H149" s="2" t="s">
        <v>24</v>
      </c>
    </row>
    <row r="150" ht="22.5" customHeight="1">
      <c r="A150" s="2" t="s">
        <v>18</v>
      </c>
      <c r="B150" s="2" t="s">
        <v>127</v>
      </c>
      <c r="C150" s="2" t="s">
        <v>20</v>
      </c>
      <c r="D150" s="2" t="s">
        <v>54</v>
      </c>
      <c r="F150" s="2" t="s">
        <v>128</v>
      </c>
      <c r="G150" s="3">
        <v>6615.84</v>
      </c>
      <c r="H150" s="2" t="s">
        <v>25</v>
      </c>
    </row>
    <row r="151" ht="22.5" customHeight="1">
      <c r="A151" s="2" t="s">
        <v>18</v>
      </c>
      <c r="B151" s="2" t="s">
        <v>127</v>
      </c>
      <c r="C151" s="2" t="s">
        <v>20</v>
      </c>
      <c r="D151" s="2" t="s">
        <v>54</v>
      </c>
      <c r="F151" s="2" t="s">
        <v>128</v>
      </c>
      <c r="G151" s="2">
        <v>10059.743257</v>
      </c>
      <c r="H151" s="2" t="s">
        <v>26</v>
      </c>
    </row>
    <row r="152" ht="22.5" customHeight="1">
      <c r="A152" s="2" t="s">
        <v>18</v>
      </c>
      <c r="B152" s="2" t="s">
        <v>127</v>
      </c>
      <c r="C152" s="2" t="s">
        <v>20</v>
      </c>
      <c r="D152" s="2" t="s">
        <v>54</v>
      </c>
      <c r="F152" s="2" t="s">
        <v>128</v>
      </c>
      <c r="G152" s="3">
        <v>9451.2</v>
      </c>
      <c r="H152" s="4" t="s">
        <v>27</v>
      </c>
    </row>
    <row r="153" ht="22.5" customHeight="1">
      <c r="A153" s="2" t="s">
        <v>18</v>
      </c>
      <c r="B153" s="2" t="s">
        <v>129</v>
      </c>
      <c r="C153" s="2" t="s">
        <v>20</v>
      </c>
      <c r="D153" s="2" t="s">
        <v>54</v>
      </c>
      <c r="F153" s="2" t="s">
        <v>130</v>
      </c>
      <c r="G153" s="2">
        <v>24665.36342</v>
      </c>
      <c r="H153" s="2" t="s">
        <v>24</v>
      </c>
    </row>
    <row r="154" ht="22.5" customHeight="1">
      <c r="A154" s="2" t="s">
        <v>18</v>
      </c>
      <c r="B154" s="2" t="s">
        <v>129</v>
      </c>
      <c r="C154" s="2" t="s">
        <v>20</v>
      </c>
      <c r="D154" s="2" t="s">
        <v>54</v>
      </c>
      <c r="F154" s="2" t="s">
        <v>130</v>
      </c>
      <c r="G154" s="2">
        <v>24293.14929</v>
      </c>
      <c r="H154" s="2" t="s">
        <v>25</v>
      </c>
    </row>
    <row r="155" ht="22.5" customHeight="1">
      <c r="A155" s="2" t="s">
        <v>18</v>
      </c>
      <c r="B155" s="2" t="s">
        <v>129</v>
      </c>
      <c r="C155" s="2" t="s">
        <v>20</v>
      </c>
      <c r="D155" s="2" t="s">
        <v>54</v>
      </c>
      <c r="F155" s="2" t="s">
        <v>130</v>
      </c>
      <c r="G155" s="2">
        <v>24205.73604</v>
      </c>
      <c r="H155" s="2" t="s">
        <v>26</v>
      </c>
    </row>
    <row r="156" ht="22.5" customHeight="1">
      <c r="A156" s="2" t="s">
        <v>18</v>
      </c>
      <c r="B156" s="2" t="s">
        <v>131</v>
      </c>
      <c r="C156" s="2" t="s">
        <v>20</v>
      </c>
      <c r="D156" s="2" t="s">
        <v>21</v>
      </c>
      <c r="E156" s="2" t="s">
        <v>22</v>
      </c>
      <c r="F156" s="2" t="s">
        <v>132</v>
      </c>
      <c r="G156" s="2">
        <v>18141.678181</v>
      </c>
      <c r="H156" s="2" t="s">
        <v>24</v>
      </c>
    </row>
    <row r="157" ht="22.5" customHeight="1">
      <c r="A157" s="2" t="s">
        <v>18</v>
      </c>
      <c r="B157" s="2" t="s">
        <v>131</v>
      </c>
      <c r="C157" s="2" t="s">
        <v>20</v>
      </c>
      <c r="D157" s="2" t="s">
        <v>21</v>
      </c>
      <c r="E157" s="2" t="s">
        <v>22</v>
      </c>
      <c r="F157" s="2" t="s">
        <v>132</v>
      </c>
      <c r="G157" s="3">
        <v>14227.44</v>
      </c>
      <c r="H157" s="2" t="s">
        <v>25</v>
      </c>
    </row>
    <row r="158" ht="22.5" customHeight="1">
      <c r="A158" s="2" t="s">
        <v>18</v>
      </c>
      <c r="B158" s="2" t="s">
        <v>131</v>
      </c>
      <c r="C158" s="2" t="s">
        <v>20</v>
      </c>
      <c r="D158" s="2" t="s">
        <v>21</v>
      </c>
      <c r="E158" s="2" t="s">
        <v>22</v>
      </c>
      <c r="F158" s="2" t="s">
        <v>132</v>
      </c>
      <c r="G158" s="3">
        <v>14227.44</v>
      </c>
      <c r="H158" s="4" t="s">
        <v>27</v>
      </c>
    </row>
    <row r="159" ht="22.5" customHeight="1">
      <c r="A159" s="2" t="s">
        <v>18</v>
      </c>
      <c r="B159" s="2" t="s">
        <v>131</v>
      </c>
      <c r="C159" s="2" t="s">
        <v>20</v>
      </c>
      <c r="D159" s="2" t="s">
        <v>21</v>
      </c>
      <c r="E159" s="2" t="s">
        <v>22</v>
      </c>
      <c r="F159" s="2" t="s">
        <v>132</v>
      </c>
      <c r="G159" s="2">
        <v>17823.581037</v>
      </c>
      <c r="H159" s="2" t="s">
        <v>26</v>
      </c>
    </row>
    <row r="160" ht="22.5" customHeight="1">
      <c r="A160" s="2" t="s">
        <v>18</v>
      </c>
      <c r="B160" s="2" t="s">
        <v>133</v>
      </c>
      <c r="C160" s="2" t="s">
        <v>20</v>
      </c>
      <c r="D160" s="2" t="s">
        <v>21</v>
      </c>
      <c r="E160" s="2" t="s">
        <v>44</v>
      </c>
      <c r="F160" s="2" t="s">
        <v>134</v>
      </c>
      <c r="G160" s="2">
        <v>18141.678181</v>
      </c>
      <c r="H160" s="2" t="s">
        <v>24</v>
      </c>
    </row>
    <row r="161" ht="22.5" customHeight="1">
      <c r="A161" s="2" t="s">
        <v>18</v>
      </c>
      <c r="B161" s="2" t="s">
        <v>133</v>
      </c>
      <c r="C161" s="2" t="s">
        <v>20</v>
      </c>
      <c r="D161" s="2" t="s">
        <v>21</v>
      </c>
      <c r="E161" s="2" t="s">
        <v>44</v>
      </c>
      <c r="F161" s="2" t="s">
        <v>134</v>
      </c>
      <c r="G161" s="3">
        <v>15802.44</v>
      </c>
      <c r="H161" s="2" t="s">
        <v>25</v>
      </c>
    </row>
    <row r="162" ht="22.5" customHeight="1">
      <c r="A162" s="2" t="s">
        <v>18</v>
      </c>
      <c r="B162" s="2" t="s">
        <v>133</v>
      </c>
      <c r="C162" s="2" t="s">
        <v>20</v>
      </c>
      <c r="D162" s="2" t="s">
        <v>21</v>
      </c>
      <c r="E162" s="2" t="s">
        <v>44</v>
      </c>
      <c r="F162" s="2" t="s">
        <v>134</v>
      </c>
      <c r="G162" s="2">
        <v>19428.580152</v>
      </c>
      <c r="H162" s="2" t="s">
        <v>26</v>
      </c>
    </row>
    <row r="163" ht="22.5" customHeight="1">
      <c r="A163" s="2" t="s">
        <v>18</v>
      </c>
      <c r="B163" s="2" t="s">
        <v>133</v>
      </c>
      <c r="C163" s="2" t="s">
        <v>20</v>
      </c>
      <c r="D163" s="2" t="s">
        <v>21</v>
      </c>
      <c r="E163" s="2" t="s">
        <v>44</v>
      </c>
      <c r="F163" s="2" t="s">
        <v>134</v>
      </c>
      <c r="G163" s="3">
        <v>15802.44</v>
      </c>
      <c r="H163" s="4" t="s">
        <v>27</v>
      </c>
    </row>
    <row r="164" ht="22.5" customHeight="1">
      <c r="A164" s="2" t="s">
        <v>18</v>
      </c>
      <c r="B164" s="2" t="s">
        <v>135</v>
      </c>
      <c r="C164" s="2" t="s">
        <v>20</v>
      </c>
      <c r="D164" s="2" t="s">
        <v>54</v>
      </c>
      <c r="F164" s="2" t="s">
        <v>136</v>
      </c>
      <c r="G164" s="2">
        <v>13208.291322</v>
      </c>
      <c r="H164" s="2" t="s">
        <v>24</v>
      </c>
    </row>
    <row r="165" ht="22.5" customHeight="1">
      <c r="A165" s="2" t="s">
        <v>18</v>
      </c>
      <c r="B165" s="2" t="s">
        <v>135</v>
      </c>
      <c r="C165" s="2" t="s">
        <v>20</v>
      </c>
      <c r="D165" s="2" t="s">
        <v>54</v>
      </c>
      <c r="F165" s="2" t="s">
        <v>136</v>
      </c>
      <c r="G165" s="2">
        <v>12955.727005</v>
      </c>
      <c r="H165" s="2" t="s">
        <v>26</v>
      </c>
    </row>
    <row r="166" ht="22.5" customHeight="1">
      <c r="A166" s="2" t="s">
        <v>18</v>
      </c>
      <c r="B166" s="2" t="s">
        <v>135</v>
      </c>
      <c r="C166" s="2" t="s">
        <v>20</v>
      </c>
      <c r="D166" s="2" t="s">
        <v>54</v>
      </c>
      <c r="F166" s="2" t="s">
        <v>136</v>
      </c>
      <c r="G166" s="2">
        <v>13202.829051</v>
      </c>
      <c r="H166" s="2" t="s">
        <v>25</v>
      </c>
    </row>
    <row r="167" ht="22.5" customHeight="1">
      <c r="A167" s="2" t="s">
        <v>18</v>
      </c>
      <c r="B167" s="2" t="s">
        <v>137</v>
      </c>
      <c r="C167" s="2" t="s">
        <v>20</v>
      </c>
      <c r="D167" s="2" t="s">
        <v>21</v>
      </c>
      <c r="E167" s="4" t="s">
        <v>61</v>
      </c>
      <c r="F167" s="2" t="s">
        <v>138</v>
      </c>
      <c r="G167" s="2">
        <v>14563.097092</v>
      </c>
      <c r="H167" s="2" t="s">
        <v>26</v>
      </c>
    </row>
    <row r="168" ht="22.5" customHeight="1">
      <c r="A168" s="2" t="s">
        <v>18</v>
      </c>
      <c r="B168" s="2" t="s">
        <v>137</v>
      </c>
      <c r="C168" s="2" t="s">
        <v>20</v>
      </c>
      <c r="D168" s="2" t="s">
        <v>21</v>
      </c>
      <c r="E168" s="4" t="s">
        <v>61</v>
      </c>
      <c r="F168" s="2" t="s">
        <v>138</v>
      </c>
      <c r="G168" s="2">
        <v>14841.39405</v>
      </c>
      <c r="H168" s="2" t="s">
        <v>24</v>
      </c>
    </row>
    <row r="169" ht="22.5" customHeight="1">
      <c r="A169" s="2" t="s">
        <v>18</v>
      </c>
      <c r="B169" s="2" t="s">
        <v>137</v>
      </c>
      <c r="C169" s="2" t="s">
        <v>20</v>
      </c>
      <c r="D169" s="2" t="s">
        <v>21</v>
      </c>
      <c r="E169" s="4" t="s">
        <v>61</v>
      </c>
      <c r="F169" s="2" t="s">
        <v>138</v>
      </c>
      <c r="G169" s="2">
        <v>14874.754614</v>
      </c>
      <c r="H169" s="2" t="s">
        <v>25</v>
      </c>
    </row>
    <row r="170" ht="22.5" customHeight="1">
      <c r="A170" s="2" t="s">
        <v>18</v>
      </c>
      <c r="B170" s="2" t="s">
        <v>139</v>
      </c>
      <c r="C170" s="2" t="s">
        <v>20</v>
      </c>
      <c r="D170" s="2" t="s">
        <v>21</v>
      </c>
      <c r="E170" s="2" t="s">
        <v>22</v>
      </c>
      <c r="F170" s="2" t="s">
        <v>140</v>
      </c>
      <c r="G170" s="2">
        <v>13884.567962</v>
      </c>
      <c r="H170" s="2" t="s">
        <v>26</v>
      </c>
    </row>
    <row r="171" ht="22.5" customHeight="1">
      <c r="A171" s="2" t="s">
        <v>18</v>
      </c>
      <c r="B171" s="2" t="s">
        <v>139</v>
      </c>
      <c r="C171" s="2" t="s">
        <v>20</v>
      </c>
      <c r="D171" s="2" t="s">
        <v>21</v>
      </c>
      <c r="E171" s="2" t="s">
        <v>22</v>
      </c>
      <c r="F171" s="2" t="s">
        <v>140</v>
      </c>
      <c r="G171" s="2">
        <v>16974.754614</v>
      </c>
      <c r="H171" s="2" t="s">
        <v>25</v>
      </c>
    </row>
    <row r="172" ht="22.5" customHeight="1">
      <c r="A172" s="2" t="s">
        <v>18</v>
      </c>
      <c r="B172" s="2" t="s">
        <v>141</v>
      </c>
      <c r="C172" s="2" t="s">
        <v>20</v>
      </c>
      <c r="D172" s="2" t="s">
        <v>21</v>
      </c>
      <c r="E172" s="2" t="s">
        <v>22</v>
      </c>
      <c r="F172" s="2" t="s">
        <v>142</v>
      </c>
      <c r="G172" s="2">
        <v>21033.58015</v>
      </c>
      <c r="H172" s="2" t="s">
        <v>26</v>
      </c>
    </row>
    <row r="173" ht="22.5" customHeight="1">
      <c r="A173" s="2" t="s">
        <v>18</v>
      </c>
      <c r="B173" s="2" t="s">
        <v>141</v>
      </c>
      <c r="C173" s="2" t="s">
        <v>20</v>
      </c>
      <c r="D173" s="2" t="s">
        <v>21</v>
      </c>
      <c r="E173" s="2" t="s">
        <v>22</v>
      </c>
      <c r="F173" s="2" t="s">
        <v>142</v>
      </c>
      <c r="G173" s="2">
        <v>21411.67818</v>
      </c>
      <c r="H173" s="2" t="s">
        <v>24</v>
      </c>
    </row>
    <row r="174" ht="22.5" customHeight="1">
      <c r="A174" s="2" t="s">
        <v>18</v>
      </c>
      <c r="B174" s="2" t="s">
        <v>141</v>
      </c>
      <c r="C174" s="2" t="s">
        <v>20</v>
      </c>
      <c r="D174" s="2" t="s">
        <v>21</v>
      </c>
      <c r="E174" s="2" t="s">
        <v>22</v>
      </c>
      <c r="F174" s="2" t="s">
        <v>142</v>
      </c>
      <c r="G174" s="2">
        <v>21253.68456</v>
      </c>
      <c r="H174" s="2" t="s">
        <v>25</v>
      </c>
    </row>
    <row r="175" ht="22.5" customHeight="1">
      <c r="A175" s="2" t="s">
        <v>18</v>
      </c>
      <c r="B175" s="2" t="s">
        <v>143</v>
      </c>
      <c r="C175" s="4" t="s">
        <v>20</v>
      </c>
      <c r="D175" s="2" t="s">
        <v>21</v>
      </c>
      <c r="E175" s="2" t="s">
        <v>22</v>
      </c>
      <c r="F175" s="2" t="s">
        <v>144</v>
      </c>
      <c r="G175" s="2">
        <v>26544.05659</v>
      </c>
      <c r="H175" s="2" t="s">
        <v>25</v>
      </c>
    </row>
    <row r="176" ht="22.5" customHeight="1">
      <c r="A176" s="2" t="s">
        <v>18</v>
      </c>
      <c r="B176" s="2" t="s">
        <v>143</v>
      </c>
      <c r="C176" s="4" t="s">
        <v>20</v>
      </c>
      <c r="D176" s="2" t="s">
        <v>21</v>
      </c>
      <c r="E176" s="2" t="s">
        <v>22</v>
      </c>
      <c r="F176" s="2" t="s">
        <v>144</v>
      </c>
      <c r="G176" s="2">
        <v>25031.60342</v>
      </c>
      <c r="H176" s="2" t="s">
        <v>24</v>
      </c>
    </row>
    <row r="177" ht="22.5" customHeight="1">
      <c r="A177" s="2" t="s">
        <v>18</v>
      </c>
      <c r="B177" s="2" t="s">
        <v>143</v>
      </c>
      <c r="C177" s="4" t="s">
        <v>20</v>
      </c>
      <c r="D177" s="2" t="s">
        <v>21</v>
      </c>
      <c r="E177" s="2" t="s">
        <v>22</v>
      </c>
      <c r="F177" s="2" t="s">
        <v>144</v>
      </c>
      <c r="G177" s="2">
        <v>24558.95604</v>
      </c>
      <c r="H177" s="2" t="s">
        <v>26</v>
      </c>
    </row>
    <row r="178" ht="22.5" customHeight="1">
      <c r="A178" s="2" t="s">
        <v>18</v>
      </c>
      <c r="B178" s="2" t="s">
        <v>145</v>
      </c>
      <c r="C178" s="4" t="s">
        <v>20</v>
      </c>
      <c r="D178" s="2" t="s">
        <v>21</v>
      </c>
      <c r="E178" s="2" t="s">
        <v>35</v>
      </c>
      <c r="F178" s="2" t="s">
        <v>146</v>
      </c>
      <c r="G178" s="2">
        <v>24203.17162</v>
      </c>
      <c r="H178" s="2" t="s">
        <v>26</v>
      </c>
    </row>
    <row r="179" ht="22.5" customHeight="1">
      <c r="A179" s="2" t="s">
        <v>18</v>
      </c>
      <c r="B179" s="2" t="s">
        <v>145</v>
      </c>
      <c r="C179" s="4" t="s">
        <v>20</v>
      </c>
      <c r="D179" s="2" t="s">
        <v>21</v>
      </c>
      <c r="E179" s="2" t="s">
        <v>35</v>
      </c>
      <c r="F179" s="2" t="s">
        <v>146</v>
      </c>
      <c r="G179" s="2">
        <v>24662.52906</v>
      </c>
      <c r="H179" s="2" t="s">
        <v>24</v>
      </c>
    </row>
    <row r="180" ht="22.5" customHeight="1">
      <c r="A180" s="2" t="s">
        <v>18</v>
      </c>
      <c r="B180" s="2" t="s">
        <v>145</v>
      </c>
      <c r="C180" s="4" t="s">
        <v>20</v>
      </c>
      <c r="D180" s="2" t="s">
        <v>21</v>
      </c>
      <c r="E180" s="2" t="s">
        <v>35</v>
      </c>
      <c r="F180" s="2" t="s">
        <v>146</v>
      </c>
      <c r="G180" s="2">
        <v>24290.29243</v>
      </c>
      <c r="H180" s="2" t="s">
        <v>25</v>
      </c>
    </row>
    <row r="181" ht="22.5" customHeight="1">
      <c r="A181" s="2" t="s">
        <v>18</v>
      </c>
      <c r="B181" s="2" t="s">
        <v>147</v>
      </c>
      <c r="C181" s="2" t="s">
        <v>20</v>
      </c>
      <c r="D181" s="2" t="s">
        <v>21</v>
      </c>
      <c r="E181" s="2" t="s">
        <v>22</v>
      </c>
      <c r="F181" s="2" t="s">
        <v>148</v>
      </c>
      <c r="G181" s="2">
        <v>17823.580152</v>
      </c>
      <c r="H181" s="2" t="s">
        <v>26</v>
      </c>
    </row>
    <row r="182" ht="22.5" customHeight="1">
      <c r="A182" s="2" t="s">
        <v>18</v>
      </c>
      <c r="B182" s="2" t="s">
        <v>147</v>
      </c>
      <c r="C182" s="2" t="s">
        <v>20</v>
      </c>
      <c r="D182" s="2" t="s">
        <v>21</v>
      </c>
      <c r="E182" s="2" t="s">
        <v>22</v>
      </c>
      <c r="F182" s="2" t="s">
        <v>148</v>
      </c>
      <c r="G182" s="2">
        <v>17456.613181</v>
      </c>
      <c r="H182" s="2" t="s">
        <v>24</v>
      </c>
    </row>
    <row r="183" ht="22.5" customHeight="1">
      <c r="A183" s="2" t="s">
        <v>18</v>
      </c>
      <c r="B183" s="2" t="s">
        <v>147</v>
      </c>
      <c r="C183" s="2" t="s">
        <v>20</v>
      </c>
      <c r="D183" s="2" t="s">
        <v>21</v>
      </c>
      <c r="E183" s="2" t="s">
        <v>22</v>
      </c>
      <c r="F183" s="2" t="s">
        <v>148</v>
      </c>
      <c r="G183" s="3">
        <v>14227.44</v>
      </c>
      <c r="H183" s="4" t="s">
        <v>27</v>
      </c>
    </row>
    <row r="184" ht="22.5" customHeight="1">
      <c r="A184" s="2" t="s">
        <v>18</v>
      </c>
      <c r="B184" s="2" t="s">
        <v>147</v>
      </c>
      <c r="C184" s="2" t="s">
        <v>20</v>
      </c>
      <c r="D184" s="2" t="s">
        <v>21</v>
      </c>
      <c r="E184" s="2" t="s">
        <v>22</v>
      </c>
      <c r="F184" s="2" t="s">
        <v>148</v>
      </c>
      <c r="G184" s="3">
        <v>14227.44</v>
      </c>
      <c r="H184" s="2" t="s">
        <v>25</v>
      </c>
    </row>
    <row r="185" ht="22.5" customHeight="1">
      <c r="A185" s="2" t="s">
        <v>18</v>
      </c>
      <c r="B185" s="2" t="s">
        <v>149</v>
      </c>
      <c r="C185" s="2" t="s">
        <v>31</v>
      </c>
      <c r="D185" s="2" t="s">
        <v>47</v>
      </c>
      <c r="F185" s="2" t="s">
        <v>150</v>
      </c>
      <c r="G185" s="2">
        <v>20063.457943</v>
      </c>
      <c r="H185" s="2" t="s">
        <v>26</v>
      </c>
    </row>
    <row r="186" ht="22.5" customHeight="1">
      <c r="A186" s="2" t="s">
        <v>18</v>
      </c>
      <c r="B186" s="2" t="s">
        <v>149</v>
      </c>
      <c r="C186" s="2" t="s">
        <v>31</v>
      </c>
      <c r="D186" s="2" t="s">
        <v>47</v>
      </c>
      <c r="F186" s="2" t="s">
        <v>150</v>
      </c>
      <c r="G186" s="2">
        <v>20207.91754</v>
      </c>
      <c r="H186" s="2" t="s">
        <v>25</v>
      </c>
    </row>
    <row r="187" ht="22.5" customHeight="1">
      <c r="A187" s="2" t="s">
        <v>18</v>
      </c>
      <c r="B187" s="2" t="s">
        <v>149</v>
      </c>
      <c r="C187" s="2" t="s">
        <v>31</v>
      </c>
      <c r="D187" s="2" t="s">
        <v>47</v>
      </c>
      <c r="F187" s="2" t="s">
        <v>150</v>
      </c>
      <c r="G187" s="2">
        <v>20441.8093</v>
      </c>
      <c r="H187" s="2" t="s">
        <v>24</v>
      </c>
    </row>
    <row r="188" ht="22.5" customHeight="1">
      <c r="A188" s="2" t="s">
        <v>18</v>
      </c>
      <c r="B188" s="2" t="s">
        <v>151</v>
      </c>
      <c r="C188" s="2" t="s">
        <v>20</v>
      </c>
      <c r="D188" s="2" t="s">
        <v>21</v>
      </c>
      <c r="E188" s="4" t="s">
        <v>44</v>
      </c>
      <c r="F188" s="2" t="s">
        <v>152</v>
      </c>
      <c r="G188" s="2">
        <v>13493.097092</v>
      </c>
      <c r="H188" s="2" t="s">
        <v>26</v>
      </c>
    </row>
    <row r="189" ht="22.5" customHeight="1">
      <c r="A189" s="2" t="s">
        <v>18</v>
      </c>
      <c r="B189" s="2" t="s">
        <v>151</v>
      </c>
      <c r="C189" s="2" t="s">
        <v>20</v>
      </c>
      <c r="D189" s="2" t="s">
        <v>21</v>
      </c>
      <c r="E189" s="4" t="s">
        <v>44</v>
      </c>
      <c r="F189" s="2" t="s">
        <v>152</v>
      </c>
      <c r="G189" s="2">
        <v>13751.39405</v>
      </c>
      <c r="H189" s="2" t="s">
        <v>24</v>
      </c>
    </row>
    <row r="190" ht="22.5" customHeight="1">
      <c r="A190" s="2" t="s">
        <v>18</v>
      </c>
      <c r="B190" s="2" t="s">
        <v>151</v>
      </c>
      <c r="C190" s="2" t="s">
        <v>20</v>
      </c>
      <c r="D190" s="2" t="s">
        <v>21</v>
      </c>
      <c r="E190" s="4" t="s">
        <v>44</v>
      </c>
      <c r="F190" s="2" t="s">
        <v>152</v>
      </c>
      <c r="G190" s="2">
        <v>13779.069051</v>
      </c>
      <c r="H190" s="2" t="s">
        <v>25</v>
      </c>
    </row>
    <row r="191" ht="22.5" customHeight="1">
      <c r="A191" s="2" t="s">
        <v>18</v>
      </c>
      <c r="B191" s="2" t="s">
        <v>153</v>
      </c>
      <c r="C191" s="2" t="s">
        <v>20</v>
      </c>
      <c r="D191" s="2" t="s">
        <v>21</v>
      </c>
      <c r="E191" s="2" t="s">
        <v>22</v>
      </c>
      <c r="F191" s="2" t="s">
        <v>154</v>
      </c>
      <c r="G191" s="3">
        <v>19510.715549</v>
      </c>
      <c r="H191" s="2" t="s">
        <v>26</v>
      </c>
    </row>
    <row r="192" ht="22.5" customHeight="1">
      <c r="A192" s="2" t="s">
        <v>18</v>
      </c>
      <c r="B192" s="2" t="s">
        <v>153</v>
      </c>
      <c r="C192" s="2" t="s">
        <v>20</v>
      </c>
      <c r="D192" s="2" t="s">
        <v>21</v>
      </c>
      <c r="E192" s="2" t="s">
        <v>22</v>
      </c>
      <c r="F192" s="2" t="s">
        <v>154</v>
      </c>
      <c r="G192" s="3">
        <v>17062.58</v>
      </c>
      <c r="H192" s="2" t="s">
        <v>25</v>
      </c>
    </row>
    <row r="193" ht="22.5" customHeight="1">
      <c r="A193" s="2" t="s">
        <v>18</v>
      </c>
      <c r="B193" s="2" t="s">
        <v>153</v>
      </c>
      <c r="C193" s="2" t="s">
        <v>20</v>
      </c>
      <c r="D193" s="2" t="s">
        <v>21</v>
      </c>
      <c r="E193" s="2" t="s">
        <v>22</v>
      </c>
      <c r="F193" s="2" t="s">
        <v>154</v>
      </c>
      <c r="G193" s="2">
        <v>20989.3887</v>
      </c>
      <c r="H193" s="2" t="s">
        <v>24</v>
      </c>
    </row>
    <row r="194" ht="22.5" customHeight="1">
      <c r="A194" s="2" t="s">
        <v>18</v>
      </c>
      <c r="B194" s="2" t="s">
        <v>153</v>
      </c>
      <c r="C194" s="2" t="s">
        <v>20</v>
      </c>
      <c r="D194" s="2" t="s">
        <v>21</v>
      </c>
      <c r="E194" s="2" t="s">
        <v>22</v>
      </c>
      <c r="F194" s="2" t="s">
        <v>154</v>
      </c>
      <c r="G194" s="3">
        <v>16128.8955</v>
      </c>
      <c r="H194" s="4" t="s">
        <v>27</v>
      </c>
    </row>
    <row r="195" ht="22.5" customHeight="1">
      <c r="A195" s="2" t="s">
        <v>18</v>
      </c>
      <c r="B195" s="2" t="s">
        <v>155</v>
      </c>
      <c r="C195" s="2" t="s">
        <v>20</v>
      </c>
      <c r="D195" s="2" t="s">
        <v>21</v>
      </c>
      <c r="E195" s="4" t="s">
        <v>44</v>
      </c>
      <c r="F195" s="2" t="s">
        <v>156</v>
      </c>
      <c r="G195" s="2">
        <v>22103.58015</v>
      </c>
      <c r="H195" s="2" t="s">
        <v>26</v>
      </c>
    </row>
    <row r="196" ht="22.5" customHeight="1">
      <c r="A196" s="2" t="s">
        <v>18</v>
      </c>
      <c r="B196" s="2" t="s">
        <v>155</v>
      </c>
      <c r="C196" s="2" t="s">
        <v>20</v>
      </c>
      <c r="D196" s="2" t="s">
        <v>21</v>
      </c>
      <c r="E196" s="4" t="s">
        <v>44</v>
      </c>
      <c r="F196" s="2" t="s">
        <v>156</v>
      </c>
      <c r="G196" s="2">
        <v>8223.170779</v>
      </c>
      <c r="H196" s="2" t="s">
        <v>24</v>
      </c>
    </row>
    <row r="197" ht="22.5" customHeight="1">
      <c r="A197" s="2" t="s">
        <v>18</v>
      </c>
      <c r="B197" s="2" t="s">
        <v>157</v>
      </c>
      <c r="C197" s="2" t="s">
        <v>20</v>
      </c>
      <c r="D197" s="2" t="s">
        <v>21</v>
      </c>
      <c r="E197" s="2" t="s">
        <v>44</v>
      </c>
      <c r="F197" s="2" t="s">
        <v>158</v>
      </c>
      <c r="G197" s="2">
        <v>12956.360152</v>
      </c>
      <c r="H197" s="2" t="s">
        <v>26</v>
      </c>
    </row>
    <row r="198" ht="22.5" customHeight="1">
      <c r="A198" s="2" t="s">
        <v>18</v>
      </c>
      <c r="B198" s="2" t="s">
        <v>157</v>
      </c>
      <c r="C198" s="2" t="s">
        <v>20</v>
      </c>
      <c r="D198" s="2" t="s">
        <v>21</v>
      </c>
      <c r="E198" s="2" t="s">
        <v>44</v>
      </c>
      <c r="F198" s="2" t="s">
        <v>158</v>
      </c>
      <c r="G198" s="2">
        <v>13183.478181</v>
      </c>
      <c r="H198" s="2" t="s">
        <v>24</v>
      </c>
    </row>
    <row r="199" ht="22.5" customHeight="1">
      <c r="A199" s="2" t="s">
        <v>18</v>
      </c>
      <c r="B199" s="2" t="s">
        <v>157</v>
      </c>
      <c r="C199" s="2" t="s">
        <v>20</v>
      </c>
      <c r="D199" s="2" t="s">
        <v>21</v>
      </c>
      <c r="E199" s="2" t="s">
        <v>44</v>
      </c>
      <c r="F199" s="2" t="s">
        <v>158</v>
      </c>
      <c r="G199" s="2">
        <v>13327.44456</v>
      </c>
      <c r="H199" s="2" t="s">
        <v>25</v>
      </c>
    </row>
    <row r="200" ht="22.5" customHeight="1">
      <c r="A200" s="2" t="s">
        <v>18</v>
      </c>
      <c r="B200" s="2" t="s">
        <v>159</v>
      </c>
      <c r="C200" s="2" t="s">
        <v>66</v>
      </c>
      <c r="D200" s="2" t="s">
        <v>160</v>
      </c>
      <c r="F200" s="2" t="s">
        <v>161</v>
      </c>
      <c r="G200" s="2">
        <v>28041.74439</v>
      </c>
      <c r="H200" s="2" t="s">
        <v>24</v>
      </c>
    </row>
    <row r="201" ht="22.5" customHeight="1">
      <c r="A201" s="2" t="s">
        <v>18</v>
      </c>
      <c r="B201" s="2" t="s">
        <v>159</v>
      </c>
      <c r="C201" s="2" t="s">
        <v>66</v>
      </c>
      <c r="D201" s="2" t="s">
        <v>160</v>
      </c>
      <c r="F201" s="2" t="s">
        <v>161</v>
      </c>
      <c r="G201" s="2">
        <v>27445.13804</v>
      </c>
      <c r="H201" s="2" t="s">
        <v>25</v>
      </c>
    </row>
    <row r="202" ht="22.5" customHeight="1">
      <c r="A202" s="2" t="s">
        <v>18</v>
      </c>
      <c r="B202" s="2" t="s">
        <v>159</v>
      </c>
      <c r="C202" s="2" t="s">
        <v>66</v>
      </c>
      <c r="D202" s="2" t="s">
        <v>160</v>
      </c>
      <c r="F202" s="2" t="s">
        <v>161</v>
      </c>
      <c r="G202" s="2">
        <v>29183.312</v>
      </c>
      <c r="H202" s="2" t="s">
        <v>26</v>
      </c>
    </row>
    <row r="203" ht="22.5" customHeight="1">
      <c r="A203" s="2" t="s">
        <v>18</v>
      </c>
      <c r="B203" s="2" t="s">
        <v>162</v>
      </c>
      <c r="C203" s="2" t="s">
        <v>20</v>
      </c>
      <c r="D203" s="2" t="s">
        <v>21</v>
      </c>
      <c r="E203" s="2" t="s">
        <v>22</v>
      </c>
      <c r="F203" s="2" t="s">
        <v>163</v>
      </c>
      <c r="G203" s="2">
        <v>15614.330722</v>
      </c>
      <c r="H203" s="2" t="s">
        <v>24</v>
      </c>
    </row>
    <row r="204" ht="22.5" customHeight="1">
      <c r="A204" s="2" t="s">
        <v>18</v>
      </c>
      <c r="B204" s="2" t="s">
        <v>162</v>
      </c>
      <c r="C204" s="2" t="s">
        <v>20</v>
      </c>
      <c r="D204" s="2" t="s">
        <v>21</v>
      </c>
      <c r="E204" s="2" t="s">
        <v>22</v>
      </c>
      <c r="F204" s="2" t="s">
        <v>163</v>
      </c>
      <c r="G204" s="3">
        <v>7953.96</v>
      </c>
      <c r="H204" s="2" t="s">
        <v>25</v>
      </c>
    </row>
    <row r="205" ht="22.5" customHeight="1">
      <c r="A205" s="2" t="s">
        <v>18</v>
      </c>
      <c r="B205" s="2" t="s">
        <v>162</v>
      </c>
      <c r="C205" s="2" t="s">
        <v>20</v>
      </c>
      <c r="D205" s="2" t="s">
        <v>21</v>
      </c>
      <c r="E205" s="2" t="s">
        <v>22</v>
      </c>
      <c r="F205" s="2" t="s">
        <v>163</v>
      </c>
      <c r="G205" s="2">
        <v>15688.827749</v>
      </c>
      <c r="H205" s="2" t="s">
        <v>26</v>
      </c>
    </row>
    <row r="206" ht="22.5" customHeight="1">
      <c r="A206" s="2" t="s">
        <v>18</v>
      </c>
      <c r="B206" s="2" t="s">
        <v>162</v>
      </c>
      <c r="C206" s="2" t="s">
        <v>20</v>
      </c>
      <c r="D206" s="2" t="s">
        <v>21</v>
      </c>
      <c r="E206" s="2" t="s">
        <v>22</v>
      </c>
      <c r="F206" s="2" t="s">
        <v>163</v>
      </c>
      <c r="G206" s="3">
        <v>6300.8</v>
      </c>
      <c r="H206" s="4" t="s">
        <v>27</v>
      </c>
    </row>
    <row r="207" ht="22.5" customHeight="1">
      <c r="A207" s="2" t="s">
        <v>18</v>
      </c>
      <c r="B207" s="2" t="s">
        <v>164</v>
      </c>
      <c r="C207" s="2" t="s">
        <v>31</v>
      </c>
      <c r="D207" s="2" t="s">
        <v>54</v>
      </c>
      <c r="F207" s="2" t="s">
        <v>165</v>
      </c>
      <c r="G207" s="2">
        <v>7353.691922</v>
      </c>
      <c r="H207" s="2" t="s">
        <v>24</v>
      </c>
    </row>
    <row r="208" ht="22.5" customHeight="1">
      <c r="A208" s="2" t="s">
        <v>18</v>
      </c>
      <c r="B208" s="2" t="s">
        <v>164</v>
      </c>
      <c r="C208" s="2" t="s">
        <v>31</v>
      </c>
      <c r="D208" s="2" t="s">
        <v>54</v>
      </c>
      <c r="F208" s="2" t="s">
        <v>165</v>
      </c>
      <c r="G208" s="3">
        <v>12538.329216</v>
      </c>
      <c r="H208" s="2" t="s">
        <v>25</v>
      </c>
    </row>
    <row r="209" ht="22.5" customHeight="1">
      <c r="A209" s="2" t="s">
        <v>18</v>
      </c>
      <c r="B209" s="2" t="s">
        <v>164</v>
      </c>
      <c r="C209" s="2" t="s">
        <v>31</v>
      </c>
      <c r="D209" s="2" t="s">
        <v>54</v>
      </c>
      <c r="F209" s="2" t="s">
        <v>165</v>
      </c>
      <c r="G209" s="2">
        <v>16763.887932</v>
      </c>
      <c r="H209" s="2" t="s">
        <v>26</v>
      </c>
    </row>
    <row r="210" ht="22.5" customHeight="1">
      <c r="A210" s="2" t="s">
        <v>18</v>
      </c>
      <c r="B210" s="2" t="s">
        <v>164</v>
      </c>
      <c r="C210" s="2" t="s">
        <v>31</v>
      </c>
      <c r="D210" s="2" t="s">
        <v>54</v>
      </c>
      <c r="F210" s="2" t="s">
        <v>165</v>
      </c>
      <c r="G210" s="3">
        <v>13177.44</v>
      </c>
      <c r="H210" s="4" t="s">
        <v>27</v>
      </c>
    </row>
    <row r="211" ht="22.5" customHeight="1">
      <c r="A211" s="2" t="s">
        <v>18</v>
      </c>
      <c r="B211" s="7" t="s">
        <v>166</v>
      </c>
      <c r="C211" s="2" t="s">
        <v>20</v>
      </c>
      <c r="D211" s="2" t="s">
        <v>21</v>
      </c>
      <c r="E211" s="4" t="s">
        <v>41</v>
      </c>
      <c r="F211" s="2" t="s">
        <v>167</v>
      </c>
      <c r="G211" s="2">
        <f t="shared" ref="G211:G213" si="5">15927.656463/3</f>
        <v>5309.218821</v>
      </c>
      <c r="H211" s="2" t="s">
        <v>25</v>
      </c>
    </row>
    <row r="212" ht="22.5" customHeight="1">
      <c r="A212" s="2" t="s">
        <v>18</v>
      </c>
      <c r="B212" s="7" t="s">
        <v>166</v>
      </c>
      <c r="C212" s="2" t="s">
        <v>20</v>
      </c>
      <c r="D212" s="2" t="s">
        <v>21</v>
      </c>
      <c r="E212" s="4" t="s">
        <v>35</v>
      </c>
      <c r="F212" s="2" t="s">
        <v>167</v>
      </c>
      <c r="G212" s="2">
        <f t="shared" si="5"/>
        <v>5309.218821</v>
      </c>
      <c r="H212" s="2" t="s">
        <v>25</v>
      </c>
    </row>
    <row r="213" ht="22.5" customHeight="1">
      <c r="A213" s="2" t="s">
        <v>18</v>
      </c>
      <c r="B213" s="7" t="s">
        <v>166</v>
      </c>
      <c r="C213" s="2" t="s">
        <v>20</v>
      </c>
      <c r="D213" s="2" t="s">
        <v>21</v>
      </c>
      <c r="E213" s="4" t="s">
        <v>44</v>
      </c>
      <c r="F213" s="2" t="s">
        <v>167</v>
      </c>
      <c r="G213" s="2">
        <f t="shared" si="5"/>
        <v>5309.218821</v>
      </c>
      <c r="H213" s="2" t="s">
        <v>25</v>
      </c>
    </row>
    <row r="214" ht="22.5" customHeight="1">
      <c r="A214" s="2" t="s">
        <v>18</v>
      </c>
      <c r="B214" s="7" t="s">
        <v>166</v>
      </c>
      <c r="C214" s="2" t="s">
        <v>20</v>
      </c>
      <c r="D214" s="2" t="s">
        <v>21</v>
      </c>
      <c r="E214" s="4" t="s">
        <v>41</v>
      </c>
      <c r="F214" s="2" t="s">
        <v>167</v>
      </c>
      <c r="G214" s="2">
        <f t="shared" ref="G214:G216" si="6">15635.661516/3</f>
        <v>5211.887172</v>
      </c>
      <c r="H214" s="2" t="s">
        <v>26</v>
      </c>
    </row>
    <row r="215" ht="22.5" customHeight="1">
      <c r="A215" s="2" t="s">
        <v>18</v>
      </c>
      <c r="B215" s="7" t="s">
        <v>166</v>
      </c>
      <c r="C215" s="2" t="s">
        <v>20</v>
      </c>
      <c r="D215" s="2" t="s">
        <v>21</v>
      </c>
      <c r="E215" s="4" t="s">
        <v>35</v>
      </c>
      <c r="F215" s="2" t="s">
        <v>167</v>
      </c>
      <c r="G215" s="2">
        <f t="shared" si="6"/>
        <v>5211.887172</v>
      </c>
      <c r="H215" s="2" t="s">
        <v>26</v>
      </c>
    </row>
    <row r="216" ht="22.5" customHeight="1">
      <c r="A216" s="2" t="s">
        <v>18</v>
      </c>
      <c r="B216" s="7" t="s">
        <v>166</v>
      </c>
      <c r="C216" s="2" t="s">
        <v>20</v>
      </c>
      <c r="D216" s="2" t="s">
        <v>21</v>
      </c>
      <c r="E216" s="4" t="s">
        <v>44</v>
      </c>
      <c r="F216" s="2" t="s">
        <v>167</v>
      </c>
      <c r="G216" s="2">
        <f t="shared" si="6"/>
        <v>5211.887172</v>
      </c>
      <c r="H216" s="2" t="s">
        <v>26</v>
      </c>
    </row>
    <row r="217" ht="22.5" customHeight="1">
      <c r="A217" s="2" t="s">
        <v>18</v>
      </c>
      <c r="B217" s="7" t="s">
        <v>166</v>
      </c>
      <c r="C217" s="2" t="s">
        <v>20</v>
      </c>
      <c r="D217" s="2" t="s">
        <v>21</v>
      </c>
      <c r="E217" s="4" t="s">
        <v>41</v>
      </c>
      <c r="F217" s="2" t="s">
        <v>167</v>
      </c>
      <c r="G217" s="2">
        <f t="shared" ref="G217:G219" si="7">15934.228414/3</f>
        <v>5311.409471</v>
      </c>
      <c r="H217" s="2" t="s">
        <v>24</v>
      </c>
    </row>
    <row r="218" ht="22.5" customHeight="1">
      <c r="A218" s="2" t="s">
        <v>18</v>
      </c>
      <c r="B218" s="7" t="s">
        <v>166</v>
      </c>
      <c r="C218" s="2" t="s">
        <v>20</v>
      </c>
      <c r="D218" s="2" t="s">
        <v>21</v>
      </c>
      <c r="E218" s="4" t="s">
        <v>35</v>
      </c>
      <c r="F218" s="2" t="s">
        <v>167</v>
      </c>
      <c r="G218" s="2">
        <f t="shared" si="7"/>
        <v>5311.409471</v>
      </c>
      <c r="H218" s="2" t="s">
        <v>24</v>
      </c>
    </row>
    <row r="219" ht="22.5" customHeight="1">
      <c r="A219" s="2" t="s">
        <v>18</v>
      </c>
      <c r="B219" s="7" t="s">
        <v>166</v>
      </c>
      <c r="C219" s="2" t="s">
        <v>20</v>
      </c>
      <c r="D219" s="2" t="s">
        <v>21</v>
      </c>
      <c r="E219" s="4" t="s">
        <v>44</v>
      </c>
      <c r="F219" s="2" t="s">
        <v>167</v>
      </c>
      <c r="G219" s="2">
        <f t="shared" si="7"/>
        <v>5311.409471</v>
      </c>
      <c r="H219" s="2" t="s">
        <v>24</v>
      </c>
    </row>
    <row r="220" ht="22.5" customHeight="1">
      <c r="A220" s="2" t="s">
        <v>18</v>
      </c>
      <c r="B220" s="2" t="s">
        <v>168</v>
      </c>
      <c r="C220" s="2" t="s">
        <v>20</v>
      </c>
      <c r="D220" s="2" t="s">
        <v>21</v>
      </c>
      <c r="E220" s="2" t="s">
        <v>61</v>
      </c>
      <c r="F220" s="2" t="s">
        <v>169</v>
      </c>
      <c r="G220" s="2">
        <v>15967.427722</v>
      </c>
      <c r="H220" s="2" t="s">
        <v>24</v>
      </c>
    </row>
    <row r="221" ht="22.5" customHeight="1">
      <c r="A221" s="2" t="s">
        <v>18</v>
      </c>
      <c r="B221" s="2" t="s">
        <v>168</v>
      </c>
      <c r="C221" s="2" t="s">
        <v>20</v>
      </c>
      <c r="D221" s="2" t="s">
        <v>21</v>
      </c>
      <c r="E221" s="2" t="s">
        <v>61</v>
      </c>
      <c r="F221" s="2" t="s">
        <v>169</v>
      </c>
      <c r="G221" s="3">
        <v>12127.44</v>
      </c>
      <c r="H221" s="2" t="s">
        <v>25</v>
      </c>
    </row>
    <row r="222" ht="22.5" customHeight="1">
      <c r="A222" s="2" t="s">
        <v>18</v>
      </c>
      <c r="B222" s="2" t="s">
        <v>168</v>
      </c>
      <c r="C222" s="2" t="s">
        <v>20</v>
      </c>
      <c r="D222" s="2" t="s">
        <v>21</v>
      </c>
      <c r="E222" s="2" t="s">
        <v>61</v>
      </c>
      <c r="F222" s="2" t="s">
        <v>169</v>
      </c>
      <c r="G222" s="2">
        <v>15688.827749</v>
      </c>
      <c r="H222" s="2" t="s">
        <v>26</v>
      </c>
    </row>
    <row r="223" ht="22.5" customHeight="1">
      <c r="A223" s="2" t="s">
        <v>18</v>
      </c>
      <c r="B223" s="2" t="s">
        <v>168</v>
      </c>
      <c r="C223" s="2" t="s">
        <v>20</v>
      </c>
      <c r="D223" s="2" t="s">
        <v>21</v>
      </c>
      <c r="E223" s="2" t="s">
        <v>61</v>
      </c>
      <c r="F223" s="2" t="s">
        <v>169</v>
      </c>
      <c r="G223" s="3">
        <v>12127.44</v>
      </c>
      <c r="H223" s="4" t="s">
        <v>27</v>
      </c>
    </row>
    <row r="224" ht="22.5" customHeight="1">
      <c r="A224" s="2" t="s">
        <v>18</v>
      </c>
      <c r="B224" s="2" t="s">
        <v>170</v>
      </c>
      <c r="C224" s="2" t="s">
        <v>20</v>
      </c>
      <c r="D224" s="2" t="s">
        <v>21</v>
      </c>
      <c r="E224" s="2" t="s">
        <v>41</v>
      </c>
      <c r="F224" s="2" t="s">
        <v>171</v>
      </c>
      <c r="G224" s="2">
        <v>7350.0</v>
      </c>
      <c r="H224" s="2" t="s">
        <v>26</v>
      </c>
    </row>
    <row r="225" ht="22.5" customHeight="1">
      <c r="A225" s="2" t="s">
        <v>18</v>
      </c>
      <c r="B225" s="2" t="s">
        <v>170</v>
      </c>
      <c r="C225" s="2" t="s">
        <v>20</v>
      </c>
      <c r="D225" s="2" t="s">
        <v>21</v>
      </c>
      <c r="E225" s="2" t="s">
        <v>41</v>
      </c>
      <c r="F225" s="2" t="s">
        <v>171</v>
      </c>
      <c r="G225" s="2">
        <v>7350.0</v>
      </c>
      <c r="H225" s="2" t="s">
        <v>24</v>
      </c>
    </row>
    <row r="226" ht="22.5" customHeight="1">
      <c r="A226" s="2" t="s">
        <v>18</v>
      </c>
      <c r="B226" s="2" t="s">
        <v>170</v>
      </c>
      <c r="C226" s="2" t="s">
        <v>20</v>
      </c>
      <c r="D226" s="2" t="s">
        <v>21</v>
      </c>
      <c r="E226" s="2" t="s">
        <v>41</v>
      </c>
      <c r="F226" s="2" t="s">
        <v>171</v>
      </c>
      <c r="G226" s="2">
        <v>7350.0</v>
      </c>
      <c r="H226" s="2" t="s">
        <v>25</v>
      </c>
    </row>
    <row r="227" ht="22.5" customHeight="1">
      <c r="A227" s="2" t="s">
        <v>18</v>
      </c>
      <c r="B227" s="2" t="s">
        <v>172</v>
      </c>
      <c r="C227" s="2" t="s">
        <v>31</v>
      </c>
      <c r="D227" s="2" t="s">
        <v>54</v>
      </c>
      <c r="F227" s="2" t="s">
        <v>173</v>
      </c>
      <c r="G227" s="3">
        <v>14227.44</v>
      </c>
      <c r="H227" s="2" t="s">
        <v>25</v>
      </c>
    </row>
    <row r="228" ht="22.5" customHeight="1">
      <c r="A228" s="2" t="s">
        <v>18</v>
      </c>
      <c r="B228" s="2" t="s">
        <v>172</v>
      </c>
      <c r="C228" s="2" t="s">
        <v>31</v>
      </c>
      <c r="D228" s="2" t="s">
        <v>54</v>
      </c>
      <c r="F228" s="2" t="s">
        <v>173</v>
      </c>
      <c r="G228" s="2">
        <v>17835.913761</v>
      </c>
      <c r="H228" s="2" t="s">
        <v>26</v>
      </c>
    </row>
    <row r="229" ht="22.5" customHeight="1">
      <c r="A229" s="2" t="s">
        <v>18</v>
      </c>
      <c r="B229" s="2" t="s">
        <v>172</v>
      </c>
      <c r="C229" s="2" t="s">
        <v>31</v>
      </c>
      <c r="D229" s="2" t="s">
        <v>54</v>
      </c>
      <c r="F229" s="2" t="s">
        <v>173</v>
      </c>
      <c r="G229" s="2">
        <v>18180.823</v>
      </c>
      <c r="H229" s="2" t="s">
        <v>24</v>
      </c>
    </row>
    <row r="230" ht="22.5" customHeight="1">
      <c r="A230" s="2" t="s">
        <v>18</v>
      </c>
      <c r="B230" s="2" t="s">
        <v>172</v>
      </c>
      <c r="C230" s="2" t="s">
        <v>31</v>
      </c>
      <c r="D230" s="2" t="s">
        <v>54</v>
      </c>
      <c r="F230" s="2" t="s">
        <v>173</v>
      </c>
      <c r="G230" s="3">
        <v>14227.44</v>
      </c>
      <c r="H230" s="4" t="s">
        <v>27</v>
      </c>
    </row>
    <row r="231" ht="22.5" customHeight="1">
      <c r="A231" s="2" t="s">
        <v>18</v>
      </c>
      <c r="B231" s="2" t="s">
        <v>174</v>
      </c>
      <c r="C231" s="2" t="s">
        <v>31</v>
      </c>
      <c r="D231" s="2" t="s">
        <v>47</v>
      </c>
      <c r="F231" s="2" t="s">
        <v>175</v>
      </c>
      <c r="G231" s="2">
        <v>32765.73604</v>
      </c>
      <c r="H231" s="2" t="s">
        <v>26</v>
      </c>
    </row>
    <row r="232" ht="22.5" customHeight="1">
      <c r="A232" s="2" t="s">
        <v>18</v>
      </c>
      <c r="B232" s="2" t="s">
        <v>174</v>
      </c>
      <c r="C232" s="2" t="s">
        <v>31</v>
      </c>
      <c r="D232" s="2" t="s">
        <v>47</v>
      </c>
      <c r="F232" s="2" t="s">
        <v>175</v>
      </c>
      <c r="G232" s="2">
        <v>33385.36342</v>
      </c>
      <c r="H232" s="2" t="s">
        <v>24</v>
      </c>
    </row>
    <row r="233" ht="22.5" customHeight="1">
      <c r="A233" s="2" t="s">
        <v>18</v>
      </c>
      <c r="B233" s="2" t="s">
        <v>174</v>
      </c>
      <c r="C233" s="2" t="s">
        <v>31</v>
      </c>
      <c r="D233" s="2" t="s">
        <v>47</v>
      </c>
      <c r="F233" s="2" t="s">
        <v>175</v>
      </c>
      <c r="G233" s="2">
        <v>32739.05659</v>
      </c>
      <c r="H233" s="2" t="s">
        <v>25</v>
      </c>
    </row>
    <row r="234" ht="22.5" customHeight="1">
      <c r="A234" s="2" t="s">
        <v>18</v>
      </c>
      <c r="B234" s="2" t="s">
        <v>176</v>
      </c>
      <c r="C234" s="2" t="s">
        <v>20</v>
      </c>
      <c r="D234" s="2" t="s">
        <v>21</v>
      </c>
      <c r="E234" s="4" t="s">
        <v>41</v>
      </c>
      <c r="F234" s="2" t="s">
        <v>177</v>
      </c>
      <c r="G234" s="2">
        <v>15638.225941</v>
      </c>
      <c r="H234" s="2" t="s">
        <v>26</v>
      </c>
    </row>
    <row r="235" ht="22.5" customHeight="1">
      <c r="A235" s="2" t="s">
        <v>18</v>
      </c>
      <c r="B235" s="2" t="s">
        <v>176</v>
      </c>
      <c r="C235" s="2" t="s">
        <v>20</v>
      </c>
      <c r="D235" s="2" t="s">
        <v>21</v>
      </c>
      <c r="E235" s="4" t="s">
        <v>41</v>
      </c>
      <c r="F235" s="2" t="s">
        <v>177</v>
      </c>
      <c r="G235" s="2">
        <v>15930.558312</v>
      </c>
      <c r="H235" s="2" t="s">
        <v>25</v>
      </c>
    </row>
    <row r="236" ht="22.5" customHeight="1">
      <c r="A236" s="2" t="s">
        <v>18</v>
      </c>
      <c r="B236" s="2" t="s">
        <v>176</v>
      </c>
      <c r="C236" s="2" t="s">
        <v>20</v>
      </c>
      <c r="D236" s="2" t="s">
        <v>21</v>
      </c>
      <c r="E236" s="4" t="s">
        <v>41</v>
      </c>
      <c r="F236" s="2" t="s">
        <v>177</v>
      </c>
      <c r="G236" s="2">
        <v>15937.062778</v>
      </c>
      <c r="H236" s="2" t="s">
        <v>24</v>
      </c>
    </row>
    <row r="237" ht="22.5" customHeight="1">
      <c r="A237" s="2" t="s">
        <v>18</v>
      </c>
      <c r="B237" s="2" t="s">
        <v>178</v>
      </c>
      <c r="C237" s="2" t="s">
        <v>31</v>
      </c>
      <c r="D237" s="2" t="s">
        <v>54</v>
      </c>
      <c r="F237" s="2" t="s">
        <v>179</v>
      </c>
      <c r="G237" s="2">
        <v>12911.005941</v>
      </c>
      <c r="H237" s="2" t="s">
        <v>26</v>
      </c>
    </row>
    <row r="238" ht="22.5" customHeight="1">
      <c r="A238" s="2" t="s">
        <v>18</v>
      </c>
      <c r="B238" s="2" t="s">
        <v>178</v>
      </c>
      <c r="C238" s="2" t="s">
        <v>31</v>
      </c>
      <c r="D238" s="2" t="s">
        <v>54</v>
      </c>
      <c r="F238" s="2" t="s">
        <v>179</v>
      </c>
      <c r="G238" s="2">
        <v>13158.862778</v>
      </c>
      <c r="H238" s="2" t="s">
        <v>24</v>
      </c>
    </row>
    <row r="239" ht="22.5" customHeight="1">
      <c r="A239" s="2" t="s">
        <v>18</v>
      </c>
      <c r="B239" s="2" t="s">
        <v>178</v>
      </c>
      <c r="C239" s="2" t="s">
        <v>31</v>
      </c>
      <c r="D239" s="2" t="s">
        <v>54</v>
      </c>
      <c r="F239" s="2" t="s">
        <v>179</v>
      </c>
      <c r="G239" s="2">
        <v>13254.318312</v>
      </c>
      <c r="H239" s="2" t="s">
        <v>25</v>
      </c>
    </row>
    <row r="240" ht="22.5" customHeight="1">
      <c r="A240" s="2" t="s">
        <v>18</v>
      </c>
      <c r="B240" s="2" t="s">
        <v>180</v>
      </c>
      <c r="C240" s="2" t="s">
        <v>20</v>
      </c>
      <c r="D240" s="2" t="s">
        <v>54</v>
      </c>
      <c r="F240" s="2" t="s">
        <v>181</v>
      </c>
      <c r="G240" s="2">
        <v>15879.069051</v>
      </c>
      <c r="H240" s="2" t="s">
        <v>25</v>
      </c>
    </row>
    <row r="241" ht="22.5" customHeight="1">
      <c r="A241" s="2" t="s">
        <v>18</v>
      </c>
      <c r="B241" s="2" t="s">
        <v>180</v>
      </c>
      <c r="C241" s="2" t="s">
        <v>20</v>
      </c>
      <c r="D241" s="2" t="s">
        <v>54</v>
      </c>
      <c r="F241" s="2" t="s">
        <v>181</v>
      </c>
      <c r="G241" s="2">
        <v>15931.39405</v>
      </c>
      <c r="H241" s="2" t="s">
        <v>24</v>
      </c>
    </row>
    <row r="242" ht="22.5" customHeight="1">
      <c r="A242" s="2" t="s">
        <v>18</v>
      </c>
      <c r="B242" s="2" t="s">
        <v>180</v>
      </c>
      <c r="C242" s="2" t="s">
        <v>20</v>
      </c>
      <c r="D242" s="2" t="s">
        <v>54</v>
      </c>
      <c r="F242" s="2" t="s">
        <v>181</v>
      </c>
      <c r="G242" s="2">
        <v>15475.597092</v>
      </c>
      <c r="H242" s="2" t="s">
        <v>26</v>
      </c>
    </row>
    <row r="243" ht="22.5" customHeight="1">
      <c r="A243" s="2" t="s">
        <v>18</v>
      </c>
      <c r="B243" s="2" t="s">
        <v>182</v>
      </c>
      <c r="C243" s="2" t="s">
        <v>20</v>
      </c>
      <c r="D243" s="2" t="s">
        <v>21</v>
      </c>
      <c r="E243" s="4" t="s">
        <v>44</v>
      </c>
      <c r="F243" s="2" t="s">
        <v>183</v>
      </c>
      <c r="G243" s="2">
        <v>15961.678181</v>
      </c>
      <c r="H243" s="2" t="s">
        <v>24</v>
      </c>
    </row>
    <row r="244" ht="22.5" customHeight="1">
      <c r="A244" s="2" t="s">
        <v>18</v>
      </c>
      <c r="B244" s="2" t="s">
        <v>184</v>
      </c>
      <c r="C244" s="2" t="s">
        <v>31</v>
      </c>
      <c r="D244" s="4" t="s">
        <v>113</v>
      </c>
      <c r="F244" s="2" t="s">
        <v>185</v>
      </c>
      <c r="G244" s="3">
        <v>43974.899999999994</v>
      </c>
      <c r="H244" s="2" t="s">
        <v>24</v>
      </c>
    </row>
    <row r="245" ht="22.5" customHeight="1">
      <c r="A245" s="2" t="s">
        <v>18</v>
      </c>
      <c r="B245" s="2" t="s">
        <v>184</v>
      </c>
      <c r="C245" s="2" t="s">
        <v>31</v>
      </c>
      <c r="D245" s="4" t="s">
        <v>113</v>
      </c>
      <c r="F245" s="2" t="s">
        <v>185</v>
      </c>
      <c r="G245" s="3">
        <v>43974.899999999994</v>
      </c>
      <c r="H245" s="2" t="s">
        <v>26</v>
      </c>
    </row>
    <row r="246" ht="22.5" customHeight="1">
      <c r="A246" s="2" t="s">
        <v>18</v>
      </c>
      <c r="B246" s="2" t="s">
        <v>184</v>
      </c>
      <c r="C246" s="2" t="s">
        <v>31</v>
      </c>
      <c r="D246" s="4" t="s">
        <v>113</v>
      </c>
      <c r="F246" s="2" t="s">
        <v>185</v>
      </c>
      <c r="G246" s="3">
        <v>43974.899999999994</v>
      </c>
      <c r="H246" s="2" t="s">
        <v>25</v>
      </c>
    </row>
    <row r="247" ht="22.5" customHeight="1">
      <c r="A247" s="2" t="s">
        <v>18</v>
      </c>
      <c r="B247" s="2" t="s">
        <v>184</v>
      </c>
      <c r="C247" s="2" t="s">
        <v>31</v>
      </c>
      <c r="D247" s="4" t="s">
        <v>113</v>
      </c>
      <c r="F247" s="2" t="s">
        <v>185</v>
      </c>
      <c r="G247" s="3">
        <v>43974.899999999994</v>
      </c>
      <c r="H247" s="4" t="s">
        <v>27</v>
      </c>
    </row>
    <row r="248" ht="22.5" customHeight="1">
      <c r="A248" s="2" t="s">
        <v>18</v>
      </c>
      <c r="B248" s="2" t="s">
        <v>186</v>
      </c>
      <c r="C248" s="2" t="s">
        <v>31</v>
      </c>
      <c r="D248" s="2" t="s">
        <v>187</v>
      </c>
      <c r="E248" s="2" t="s">
        <v>22</v>
      </c>
      <c r="F248" s="2" t="s">
        <v>188</v>
      </c>
      <c r="G248" s="2">
        <v>17027.062778</v>
      </c>
      <c r="H248" s="2" t="s">
        <v>24</v>
      </c>
    </row>
    <row r="249" ht="22.5" customHeight="1">
      <c r="A249" s="2" t="s">
        <v>18</v>
      </c>
      <c r="B249" s="2" t="s">
        <v>186</v>
      </c>
      <c r="C249" s="2" t="s">
        <v>31</v>
      </c>
      <c r="D249" s="2" t="s">
        <v>187</v>
      </c>
      <c r="E249" s="2" t="s">
        <v>22</v>
      </c>
      <c r="F249" s="2" t="s">
        <v>188</v>
      </c>
      <c r="G249" s="2">
        <v>16934.78277</v>
      </c>
      <c r="H249" s="2" t="s">
        <v>25</v>
      </c>
    </row>
    <row r="250" ht="22.5" customHeight="1">
      <c r="A250" s="2" t="s">
        <v>18</v>
      </c>
      <c r="B250" s="2" t="s">
        <v>186</v>
      </c>
      <c r="C250" s="2" t="s">
        <v>31</v>
      </c>
      <c r="D250" s="2" t="s">
        <v>187</v>
      </c>
      <c r="E250" s="2" t="s">
        <v>22</v>
      </c>
      <c r="F250" s="2" t="s">
        <v>188</v>
      </c>
      <c r="G250" s="2">
        <v>17652.899441</v>
      </c>
      <c r="H250" s="2" t="s">
        <v>26</v>
      </c>
    </row>
    <row r="251" ht="22.5" customHeight="1">
      <c r="A251" s="2" t="s">
        <v>18</v>
      </c>
      <c r="B251" s="2" t="s">
        <v>189</v>
      </c>
      <c r="C251" s="2" t="s">
        <v>31</v>
      </c>
      <c r="D251" s="2" t="s">
        <v>54</v>
      </c>
      <c r="F251" s="2" t="s">
        <v>190</v>
      </c>
      <c r="G251" s="2">
        <v>20305.36342</v>
      </c>
      <c r="H251" s="2" t="s">
        <v>24</v>
      </c>
    </row>
    <row r="252" ht="22.5" customHeight="1">
      <c r="A252" s="2" t="s">
        <v>18</v>
      </c>
      <c r="B252" s="2" t="s">
        <v>189</v>
      </c>
      <c r="C252" s="2" t="s">
        <v>31</v>
      </c>
      <c r="D252" s="2" t="s">
        <v>54</v>
      </c>
      <c r="F252" s="2" t="s">
        <v>190</v>
      </c>
      <c r="G252" s="2">
        <v>20093.14929</v>
      </c>
      <c r="H252" s="2" t="s">
        <v>25</v>
      </c>
    </row>
    <row r="253" ht="22.5" customHeight="1">
      <c r="A253" s="2" t="s">
        <v>18</v>
      </c>
      <c r="B253" s="2" t="s">
        <v>189</v>
      </c>
      <c r="C253" s="2" t="s">
        <v>31</v>
      </c>
      <c r="D253" s="2" t="s">
        <v>54</v>
      </c>
      <c r="F253" s="2" t="s">
        <v>190</v>
      </c>
      <c r="G253" s="2">
        <v>19925.736044</v>
      </c>
      <c r="H253" s="2" t="s">
        <v>26</v>
      </c>
    </row>
    <row r="254" ht="22.5" customHeight="1">
      <c r="A254" s="2" t="s">
        <v>18</v>
      </c>
      <c r="B254" s="2" t="s">
        <v>191</v>
      </c>
      <c r="C254" s="2" t="s">
        <v>66</v>
      </c>
      <c r="D254" s="2" t="s">
        <v>192</v>
      </c>
      <c r="F254" s="2" t="s">
        <v>193</v>
      </c>
      <c r="G254" s="2">
        <v>16512.962652</v>
      </c>
      <c r="H254" s="2" t="s">
        <v>25</v>
      </c>
    </row>
    <row r="255" ht="22.5" customHeight="1">
      <c r="A255" s="2" t="s">
        <v>18</v>
      </c>
      <c r="B255" s="2" t="s">
        <v>191</v>
      </c>
      <c r="C255" s="2" t="s">
        <v>66</v>
      </c>
      <c r="D255" s="2" t="s">
        <v>192</v>
      </c>
      <c r="F255" s="2" t="s">
        <v>193</v>
      </c>
      <c r="G255" s="2">
        <v>16708.225941</v>
      </c>
      <c r="H255" s="2" t="s">
        <v>26</v>
      </c>
    </row>
    <row r="256" ht="22.5" customHeight="1">
      <c r="A256" s="2" t="s">
        <v>18</v>
      </c>
      <c r="B256" s="2" t="s">
        <v>191</v>
      </c>
      <c r="C256" s="2" t="s">
        <v>66</v>
      </c>
      <c r="D256" s="2" t="s">
        <v>192</v>
      </c>
      <c r="F256" s="2" t="s">
        <v>193</v>
      </c>
      <c r="G256" s="2">
        <v>17027.062778</v>
      </c>
      <c r="H256" s="2" t="s">
        <v>24</v>
      </c>
    </row>
    <row r="257" ht="22.5" customHeight="1">
      <c r="A257" s="2" t="s">
        <v>18</v>
      </c>
      <c r="B257" s="2" t="s">
        <v>194</v>
      </c>
      <c r="C257" s="2" t="s">
        <v>31</v>
      </c>
      <c r="D257" s="2" t="s">
        <v>47</v>
      </c>
      <c r="F257" s="2" t="s">
        <v>195</v>
      </c>
      <c r="G257" s="2">
        <v>18855.736044</v>
      </c>
      <c r="H257" s="2" t="s">
        <v>26</v>
      </c>
    </row>
    <row r="258" ht="22.5" customHeight="1">
      <c r="A258" s="2" t="s">
        <v>18</v>
      </c>
      <c r="B258" s="2" t="s">
        <v>194</v>
      </c>
      <c r="C258" s="2" t="s">
        <v>31</v>
      </c>
      <c r="D258" s="2" t="s">
        <v>47</v>
      </c>
      <c r="F258" s="2" t="s">
        <v>195</v>
      </c>
      <c r="G258" s="2">
        <v>19215.363418</v>
      </c>
      <c r="H258" s="2" t="s">
        <v>24</v>
      </c>
    </row>
    <row r="259" ht="22.5" customHeight="1">
      <c r="A259" s="2" t="s">
        <v>18</v>
      </c>
      <c r="B259" s="2" t="s">
        <v>194</v>
      </c>
      <c r="C259" s="2" t="s">
        <v>31</v>
      </c>
      <c r="D259" s="2" t="s">
        <v>47</v>
      </c>
      <c r="F259" s="2" t="s">
        <v>195</v>
      </c>
      <c r="G259" s="2">
        <v>18459.056587</v>
      </c>
      <c r="H259" s="2" t="s">
        <v>25</v>
      </c>
    </row>
    <row r="260" ht="22.5" customHeight="1">
      <c r="A260" s="2" t="s">
        <v>18</v>
      </c>
      <c r="B260" s="2" t="s">
        <v>196</v>
      </c>
      <c r="C260" s="2" t="s">
        <v>20</v>
      </c>
      <c r="D260" s="2" t="s">
        <v>54</v>
      </c>
      <c r="F260" s="2" t="s">
        <v>197</v>
      </c>
      <c r="G260" s="2">
        <v>40917.85954</v>
      </c>
      <c r="H260" s="2" t="s">
        <v>26</v>
      </c>
    </row>
    <row r="261" ht="22.5" customHeight="1">
      <c r="A261" s="2" t="s">
        <v>18</v>
      </c>
      <c r="B261" s="2" t="s">
        <v>196</v>
      </c>
      <c r="C261" s="2" t="s">
        <v>20</v>
      </c>
      <c r="D261" s="2" t="s">
        <v>54</v>
      </c>
      <c r="F261" s="2" t="s">
        <v>197</v>
      </c>
      <c r="G261" s="2">
        <v>41647.00913</v>
      </c>
      <c r="H261" s="2" t="s">
        <v>24</v>
      </c>
    </row>
    <row r="262" ht="22.5" customHeight="1">
      <c r="A262" s="2" t="s">
        <v>18</v>
      </c>
      <c r="B262" s="2" t="s">
        <v>196</v>
      </c>
      <c r="C262" s="2" t="s">
        <v>20</v>
      </c>
      <c r="D262" s="2" t="s">
        <v>54</v>
      </c>
      <c r="F262" s="2" t="s">
        <v>197</v>
      </c>
      <c r="G262" s="2">
        <v>40675.54158999999</v>
      </c>
      <c r="H262" s="2" t="s">
        <v>25</v>
      </c>
    </row>
    <row r="263" ht="22.5" customHeight="1">
      <c r="A263" s="2" t="s">
        <v>18</v>
      </c>
      <c r="B263" s="2" t="s">
        <v>198</v>
      </c>
      <c r="C263" s="2" t="s">
        <v>31</v>
      </c>
      <c r="D263" s="2" t="s">
        <v>98</v>
      </c>
      <c r="F263" s="2" t="s">
        <v>199</v>
      </c>
      <c r="G263" s="2">
        <v>19340.144052</v>
      </c>
      <c r="H263" s="2" t="s">
        <v>24</v>
      </c>
    </row>
    <row r="264" ht="22.5" customHeight="1">
      <c r="A264" s="2" t="s">
        <v>18</v>
      </c>
      <c r="B264" s="2" t="s">
        <v>198</v>
      </c>
      <c r="C264" s="2" t="s">
        <v>31</v>
      </c>
      <c r="D264" s="2" t="s">
        <v>98</v>
      </c>
      <c r="F264" s="2" t="s">
        <v>199</v>
      </c>
      <c r="G264" s="2">
        <v>18982.853175</v>
      </c>
      <c r="H264" s="2" t="s">
        <v>26</v>
      </c>
    </row>
    <row r="265" ht="22.5" customHeight="1">
      <c r="A265" s="2" t="s">
        <v>18</v>
      </c>
      <c r="B265" s="2" t="s">
        <v>198</v>
      </c>
      <c r="C265" s="2" t="s">
        <v>31</v>
      </c>
      <c r="D265" s="2" t="s">
        <v>98</v>
      </c>
      <c r="F265" s="2" t="s">
        <v>199</v>
      </c>
      <c r="G265" s="2">
        <v>19146.252292</v>
      </c>
      <c r="H265" s="2" t="s">
        <v>25</v>
      </c>
    </row>
    <row r="266" ht="22.5" customHeight="1">
      <c r="A266" s="2" t="s">
        <v>18</v>
      </c>
      <c r="B266" s="2" t="s">
        <v>200</v>
      </c>
      <c r="C266" s="2" t="s">
        <v>20</v>
      </c>
      <c r="D266" s="2" t="s">
        <v>21</v>
      </c>
      <c r="E266" s="2" t="s">
        <v>22</v>
      </c>
      <c r="F266" s="2" t="s">
        <v>201</v>
      </c>
      <c r="G266" s="3">
        <v>12879.87</v>
      </c>
      <c r="H266" s="2" t="s">
        <v>25</v>
      </c>
    </row>
    <row r="267" ht="22.5" customHeight="1">
      <c r="A267" s="2" t="s">
        <v>18</v>
      </c>
      <c r="B267" s="2" t="s">
        <v>200</v>
      </c>
      <c r="C267" s="2" t="s">
        <v>20</v>
      </c>
      <c r="D267" s="2" t="s">
        <v>21</v>
      </c>
      <c r="E267" s="2" t="s">
        <v>22</v>
      </c>
      <c r="F267" s="2" t="s">
        <v>201</v>
      </c>
      <c r="G267" s="2">
        <v>17288.580152</v>
      </c>
      <c r="H267" s="2" t="s">
        <v>26</v>
      </c>
    </row>
    <row r="268" ht="22.5" customHeight="1">
      <c r="A268" s="2" t="s">
        <v>18</v>
      </c>
      <c r="B268" s="2" t="s">
        <v>200</v>
      </c>
      <c r="C268" s="2" t="s">
        <v>20</v>
      </c>
      <c r="D268" s="2" t="s">
        <v>21</v>
      </c>
      <c r="E268" s="2" t="s">
        <v>22</v>
      </c>
      <c r="F268" s="2" t="s">
        <v>201</v>
      </c>
      <c r="G268" s="2">
        <v>15604.598181</v>
      </c>
      <c r="H268" s="2" t="s">
        <v>24</v>
      </c>
    </row>
    <row r="269" ht="22.5" customHeight="1">
      <c r="A269" s="2" t="s">
        <v>18</v>
      </c>
      <c r="B269" s="2" t="s">
        <v>200</v>
      </c>
      <c r="C269" s="2" t="s">
        <v>20</v>
      </c>
      <c r="D269" s="2" t="s">
        <v>21</v>
      </c>
      <c r="E269" s="2" t="s">
        <v>22</v>
      </c>
      <c r="F269" s="2" t="s">
        <v>201</v>
      </c>
      <c r="G269" s="3">
        <v>11689.548</v>
      </c>
      <c r="H269" s="4" t="s">
        <v>27</v>
      </c>
    </row>
    <row r="270" ht="22.5" customHeight="1">
      <c r="A270" s="2" t="s">
        <v>18</v>
      </c>
      <c r="B270" s="2" t="s">
        <v>202</v>
      </c>
      <c r="C270" s="2" t="s">
        <v>31</v>
      </c>
      <c r="D270" s="2" t="s">
        <v>98</v>
      </c>
      <c r="F270" s="2" t="s">
        <v>203</v>
      </c>
      <c r="G270" s="2">
        <v>19337.174718</v>
      </c>
      <c r="H270" s="2" t="s">
        <v>24</v>
      </c>
    </row>
    <row r="271" ht="22.5" customHeight="1">
      <c r="A271" s="2" t="s">
        <v>18</v>
      </c>
      <c r="B271" s="2" t="s">
        <v>202</v>
      </c>
      <c r="C271" s="2" t="s">
        <v>31</v>
      </c>
      <c r="D271" s="2" t="s">
        <v>98</v>
      </c>
      <c r="F271" s="2" t="s">
        <v>203</v>
      </c>
      <c r="G271" s="2">
        <v>19143.282958</v>
      </c>
      <c r="H271" s="2" t="s">
        <v>25</v>
      </c>
    </row>
    <row r="272" ht="22.5" customHeight="1">
      <c r="A272" s="2" t="s">
        <v>18</v>
      </c>
      <c r="B272" s="2" t="s">
        <v>202</v>
      </c>
      <c r="C272" s="2" t="s">
        <v>31</v>
      </c>
      <c r="D272" s="2" t="s">
        <v>98</v>
      </c>
      <c r="F272" s="2" t="s">
        <v>203</v>
      </c>
      <c r="G272" s="2">
        <v>18980.15378</v>
      </c>
      <c r="H272" s="2" t="s">
        <v>26</v>
      </c>
    </row>
    <row r="273" ht="22.5" customHeight="1">
      <c r="A273" s="2" t="s">
        <v>18</v>
      </c>
      <c r="B273" s="2" t="s">
        <v>204</v>
      </c>
      <c r="C273" s="2" t="s">
        <v>20</v>
      </c>
      <c r="D273" s="2" t="s">
        <v>21</v>
      </c>
      <c r="E273" s="2" t="s">
        <v>22</v>
      </c>
      <c r="F273" s="2" t="s">
        <v>205</v>
      </c>
      <c r="G273" s="2">
        <v>18141.678181</v>
      </c>
      <c r="H273" s="2" t="s">
        <v>24</v>
      </c>
    </row>
    <row r="274" ht="22.5" customHeight="1">
      <c r="A274" s="2" t="s">
        <v>18</v>
      </c>
      <c r="B274" s="2" t="s">
        <v>204</v>
      </c>
      <c r="C274" s="2" t="s">
        <v>20</v>
      </c>
      <c r="D274" s="2" t="s">
        <v>21</v>
      </c>
      <c r="E274" s="2" t="s">
        <v>22</v>
      </c>
      <c r="F274" s="2" t="s">
        <v>205</v>
      </c>
      <c r="G274" s="2">
        <v>17823.581037</v>
      </c>
      <c r="H274" s="2" t="s">
        <v>26</v>
      </c>
    </row>
    <row r="275" ht="22.5" customHeight="1">
      <c r="A275" s="2" t="s">
        <v>18</v>
      </c>
      <c r="B275" s="2" t="s">
        <v>204</v>
      </c>
      <c r="C275" s="2" t="s">
        <v>20</v>
      </c>
      <c r="D275" s="2" t="s">
        <v>21</v>
      </c>
      <c r="E275" s="2" t="s">
        <v>22</v>
      </c>
      <c r="F275" s="2" t="s">
        <v>205</v>
      </c>
      <c r="G275" s="3">
        <v>15509.760583000001</v>
      </c>
      <c r="H275" s="2" t="s">
        <v>25</v>
      </c>
    </row>
    <row r="276" ht="22.5" customHeight="1">
      <c r="A276" s="2" t="s">
        <v>18</v>
      </c>
      <c r="B276" s="2" t="s">
        <v>204</v>
      </c>
      <c r="C276" s="2" t="s">
        <v>20</v>
      </c>
      <c r="D276" s="2" t="s">
        <v>21</v>
      </c>
      <c r="E276" s="2" t="s">
        <v>22</v>
      </c>
      <c r="F276" s="2" t="s">
        <v>205</v>
      </c>
      <c r="G276" s="3">
        <v>13715.04</v>
      </c>
      <c r="H276" s="4" t="s">
        <v>27</v>
      </c>
    </row>
    <row r="277" ht="22.5" customHeight="1">
      <c r="A277" s="2" t="s">
        <v>18</v>
      </c>
      <c r="B277" s="2" t="s">
        <v>206</v>
      </c>
      <c r="C277" s="2" t="s">
        <v>31</v>
      </c>
      <c r="D277" s="2" t="s">
        <v>38</v>
      </c>
      <c r="F277" s="2" t="s">
        <v>207</v>
      </c>
      <c r="G277" s="2">
        <v>7350.0</v>
      </c>
      <c r="H277" s="2" t="s">
        <v>26</v>
      </c>
    </row>
    <row r="278" ht="22.5" customHeight="1">
      <c r="A278" s="2" t="s">
        <v>18</v>
      </c>
      <c r="B278" s="2" t="s">
        <v>206</v>
      </c>
      <c r="C278" s="2" t="s">
        <v>31</v>
      </c>
      <c r="D278" s="2" t="s">
        <v>38</v>
      </c>
      <c r="F278" s="2" t="s">
        <v>207</v>
      </c>
      <c r="G278" s="2">
        <v>7350.0</v>
      </c>
      <c r="H278" s="2" t="s">
        <v>25</v>
      </c>
    </row>
    <row r="279" ht="22.5" customHeight="1">
      <c r="A279" s="2" t="s">
        <v>18</v>
      </c>
      <c r="B279" s="2" t="s">
        <v>206</v>
      </c>
      <c r="C279" s="2" t="s">
        <v>31</v>
      </c>
      <c r="D279" s="2" t="s">
        <v>38</v>
      </c>
      <c r="F279" s="2" t="s">
        <v>207</v>
      </c>
      <c r="G279" s="2">
        <v>7350.0</v>
      </c>
      <c r="H279" s="2" t="s">
        <v>24</v>
      </c>
    </row>
    <row r="280" ht="22.5" customHeight="1">
      <c r="A280" s="2" t="s">
        <v>18</v>
      </c>
      <c r="B280" s="2" t="s">
        <v>208</v>
      </c>
      <c r="C280" s="2" t="s">
        <v>20</v>
      </c>
      <c r="D280" s="2" t="s">
        <v>54</v>
      </c>
      <c r="F280" s="2" t="s">
        <v>209</v>
      </c>
      <c r="G280" s="2">
        <v>13202.829051</v>
      </c>
      <c r="H280" s="2" t="s">
        <v>25</v>
      </c>
    </row>
    <row r="281" ht="22.5" customHeight="1">
      <c r="A281" s="2" t="s">
        <v>18</v>
      </c>
      <c r="B281" s="2" t="s">
        <v>208</v>
      </c>
      <c r="C281" s="2" t="s">
        <v>20</v>
      </c>
      <c r="D281" s="2" t="s">
        <v>54</v>
      </c>
      <c r="F281" s="2" t="s">
        <v>209</v>
      </c>
      <c r="G281" s="2">
        <v>10059.743257</v>
      </c>
      <c r="H281" s="2" t="s">
        <v>26</v>
      </c>
    </row>
    <row r="282" ht="22.5" customHeight="1">
      <c r="A282" s="2" t="s">
        <v>18</v>
      </c>
      <c r="B282" s="2" t="s">
        <v>208</v>
      </c>
      <c r="C282" s="2" t="s">
        <v>20</v>
      </c>
      <c r="D282" s="2" t="s">
        <v>54</v>
      </c>
      <c r="F282" s="2" t="s">
        <v>209</v>
      </c>
      <c r="G282" s="2">
        <v>7350.0</v>
      </c>
      <c r="H282" s="2" t="s">
        <v>24</v>
      </c>
    </row>
    <row r="283" ht="22.5" customHeight="1">
      <c r="A283" s="2" t="s">
        <v>18</v>
      </c>
      <c r="B283" s="2" t="s">
        <v>210</v>
      </c>
      <c r="C283" s="2" t="s">
        <v>20</v>
      </c>
      <c r="D283" s="2" t="s">
        <v>21</v>
      </c>
      <c r="E283" s="4" t="s">
        <v>44</v>
      </c>
      <c r="F283" s="2" t="s">
        <v>211</v>
      </c>
      <c r="G283" s="2">
        <v>18087.178181</v>
      </c>
      <c r="H283" s="2" t="s">
        <v>24</v>
      </c>
    </row>
    <row r="284" ht="22.5" customHeight="1">
      <c r="A284" s="2" t="s">
        <v>18</v>
      </c>
      <c r="B284" s="2" t="s">
        <v>210</v>
      </c>
      <c r="C284" s="2" t="s">
        <v>20</v>
      </c>
      <c r="D284" s="2" t="s">
        <v>21</v>
      </c>
      <c r="E284" s="4" t="s">
        <v>44</v>
      </c>
      <c r="F284" s="2" t="s">
        <v>211</v>
      </c>
      <c r="G284" s="2">
        <v>7290.245537</v>
      </c>
      <c r="H284" s="2" t="s">
        <v>26</v>
      </c>
    </row>
    <row r="285" ht="22.5" customHeight="1">
      <c r="A285" s="2" t="s">
        <v>18</v>
      </c>
      <c r="B285" s="2" t="s">
        <v>212</v>
      </c>
      <c r="C285" s="2" t="s">
        <v>20</v>
      </c>
      <c r="D285" s="2" t="s">
        <v>21</v>
      </c>
      <c r="E285" s="2" t="s">
        <v>61</v>
      </c>
      <c r="F285" s="2" t="s">
        <v>213</v>
      </c>
      <c r="G285" s="2">
        <v>15934.228414</v>
      </c>
      <c r="H285" s="2" t="s">
        <v>24</v>
      </c>
    </row>
    <row r="286" ht="22.5" customHeight="1">
      <c r="A286" s="2" t="s">
        <v>18</v>
      </c>
      <c r="B286" s="2" t="s">
        <v>212</v>
      </c>
      <c r="C286" s="2" t="s">
        <v>20</v>
      </c>
      <c r="D286" s="2" t="s">
        <v>21</v>
      </c>
      <c r="E286" s="2" t="s">
        <v>61</v>
      </c>
      <c r="F286" s="2" t="s">
        <v>213</v>
      </c>
      <c r="G286" s="2">
        <v>15881.92591</v>
      </c>
      <c r="H286" s="2" t="s">
        <v>25</v>
      </c>
    </row>
    <row r="287" ht="22.5" customHeight="1">
      <c r="A287" s="2" t="s">
        <v>18</v>
      </c>
      <c r="B287" s="2" t="s">
        <v>212</v>
      </c>
      <c r="C287" s="2" t="s">
        <v>20</v>
      </c>
      <c r="D287" s="2" t="s">
        <v>21</v>
      </c>
      <c r="E287" s="2" t="s">
        <v>61</v>
      </c>
      <c r="F287" s="2" t="s">
        <v>213</v>
      </c>
      <c r="G287" s="2">
        <v>15635.661516</v>
      </c>
      <c r="H287" s="2" t="s">
        <v>26</v>
      </c>
    </row>
    <row r="288" ht="22.5" customHeight="1">
      <c r="A288" s="2" t="s">
        <v>18</v>
      </c>
      <c r="B288" s="2" t="s">
        <v>214</v>
      </c>
      <c r="C288" s="4" t="s">
        <v>31</v>
      </c>
      <c r="D288" s="2" t="s">
        <v>54</v>
      </c>
      <c r="F288" s="2" t="s">
        <v>215</v>
      </c>
      <c r="G288" s="3">
        <v>35960.1</v>
      </c>
      <c r="H288" s="2" t="s">
        <v>25</v>
      </c>
    </row>
    <row r="289" ht="22.5" customHeight="1">
      <c r="A289" s="2" t="s">
        <v>18</v>
      </c>
      <c r="B289" s="2" t="s">
        <v>214</v>
      </c>
      <c r="C289" s="4" t="s">
        <v>31</v>
      </c>
      <c r="D289" s="2" t="s">
        <v>54</v>
      </c>
      <c r="F289" s="2" t="s">
        <v>215</v>
      </c>
      <c r="G289" s="3">
        <v>32546.1</v>
      </c>
      <c r="H289" s="2" t="s">
        <v>24</v>
      </c>
    </row>
    <row r="290" ht="22.5" customHeight="1">
      <c r="A290" s="2" t="s">
        <v>18</v>
      </c>
      <c r="B290" s="2" t="s">
        <v>214</v>
      </c>
      <c r="C290" s="4" t="s">
        <v>31</v>
      </c>
      <c r="D290" s="2" t="s">
        <v>54</v>
      </c>
      <c r="F290" s="2" t="s">
        <v>215</v>
      </c>
      <c r="G290" s="3">
        <v>32547.6</v>
      </c>
      <c r="H290" s="2" t="s">
        <v>26</v>
      </c>
    </row>
    <row r="291" ht="22.5" customHeight="1">
      <c r="A291" s="2" t="s">
        <v>18</v>
      </c>
      <c r="B291" s="2" t="s">
        <v>214</v>
      </c>
      <c r="C291" s="4" t="s">
        <v>31</v>
      </c>
      <c r="D291" s="2" t="s">
        <v>54</v>
      </c>
      <c r="F291" s="2" t="s">
        <v>215</v>
      </c>
      <c r="G291" s="3">
        <v>58917.79564</v>
      </c>
      <c r="H291" s="4" t="s">
        <v>27</v>
      </c>
    </row>
    <row r="292" ht="22.5" customHeight="1">
      <c r="A292" s="2" t="s">
        <v>18</v>
      </c>
      <c r="B292" s="2" t="s">
        <v>216</v>
      </c>
      <c r="C292" s="2" t="s">
        <v>31</v>
      </c>
      <c r="D292" s="2" t="s">
        <v>38</v>
      </c>
      <c r="F292" s="2" t="s">
        <v>217</v>
      </c>
      <c r="G292" s="2">
        <v>21447.91512</v>
      </c>
      <c r="H292" s="2" t="s">
        <v>24</v>
      </c>
    </row>
    <row r="293" ht="22.5" customHeight="1">
      <c r="A293" s="2" t="s">
        <v>18</v>
      </c>
      <c r="B293" s="2" t="s">
        <v>216</v>
      </c>
      <c r="C293" s="2" t="s">
        <v>31</v>
      </c>
      <c r="D293" s="2" t="s">
        <v>38</v>
      </c>
      <c r="F293" s="2" t="s">
        <v>217</v>
      </c>
      <c r="G293" s="2">
        <v>21043.28283</v>
      </c>
      <c r="H293" s="2" t="s">
        <v>26</v>
      </c>
    </row>
    <row r="294" ht="22.5" customHeight="1">
      <c r="A294" s="2" t="s">
        <v>18</v>
      </c>
      <c r="B294" s="2" t="s">
        <v>218</v>
      </c>
      <c r="C294" s="2" t="s">
        <v>20</v>
      </c>
      <c r="D294" s="2" t="s">
        <v>21</v>
      </c>
      <c r="E294" s="4" t="s">
        <v>44</v>
      </c>
      <c r="F294" s="2" t="s">
        <v>219</v>
      </c>
      <c r="G294" s="2">
        <v>12664.666657</v>
      </c>
      <c r="H294" s="2" t="s">
        <v>25</v>
      </c>
    </row>
    <row r="295" ht="22.5" customHeight="1">
      <c r="A295" s="2" t="s">
        <v>18</v>
      </c>
      <c r="B295" s="2" t="s">
        <v>218</v>
      </c>
      <c r="C295" s="2" t="s">
        <v>20</v>
      </c>
      <c r="D295" s="2" t="s">
        <v>21</v>
      </c>
      <c r="E295" s="4" t="s">
        <v>44</v>
      </c>
      <c r="F295" s="2" t="s">
        <v>219</v>
      </c>
      <c r="G295" s="2">
        <v>8107.360929</v>
      </c>
      <c r="H295" s="2" t="s">
        <v>26</v>
      </c>
    </row>
    <row r="296" ht="22.5" customHeight="1">
      <c r="A296" s="2" t="s">
        <v>18</v>
      </c>
      <c r="B296" s="2" t="s">
        <v>220</v>
      </c>
      <c r="C296" s="4" t="s">
        <v>20</v>
      </c>
      <c r="D296" s="2" t="s">
        <v>21</v>
      </c>
      <c r="E296" s="2" t="s">
        <v>41</v>
      </c>
      <c r="F296" s="2" t="s">
        <v>221</v>
      </c>
      <c r="G296" s="2">
        <v>24662.52906</v>
      </c>
      <c r="H296" s="2" t="s">
        <v>24</v>
      </c>
    </row>
    <row r="297" ht="22.5" customHeight="1">
      <c r="A297" s="2" t="s">
        <v>18</v>
      </c>
      <c r="B297" s="2" t="s">
        <v>220</v>
      </c>
      <c r="C297" s="4" t="s">
        <v>20</v>
      </c>
      <c r="D297" s="2" t="s">
        <v>21</v>
      </c>
      <c r="E297" s="2" t="s">
        <v>41</v>
      </c>
      <c r="F297" s="2" t="s">
        <v>221</v>
      </c>
      <c r="G297" s="2">
        <v>24290.29243</v>
      </c>
      <c r="H297" s="2" t="s">
        <v>25</v>
      </c>
    </row>
    <row r="298" ht="22.5" customHeight="1">
      <c r="A298" s="2" t="s">
        <v>18</v>
      </c>
      <c r="B298" s="2" t="s">
        <v>220</v>
      </c>
      <c r="C298" s="4" t="s">
        <v>20</v>
      </c>
      <c r="D298" s="2" t="s">
        <v>21</v>
      </c>
      <c r="E298" s="2" t="s">
        <v>41</v>
      </c>
      <c r="F298" s="2" t="s">
        <v>221</v>
      </c>
      <c r="G298" s="2">
        <v>24203.17162</v>
      </c>
      <c r="H298" s="2" t="s">
        <v>26</v>
      </c>
    </row>
    <row r="299" ht="22.5" customHeight="1">
      <c r="A299" s="2" t="s">
        <v>18</v>
      </c>
      <c r="B299" s="2" t="s">
        <v>222</v>
      </c>
      <c r="C299" s="2" t="s">
        <v>31</v>
      </c>
      <c r="D299" s="2" t="s">
        <v>113</v>
      </c>
      <c r="F299" s="2" t="s">
        <v>223</v>
      </c>
      <c r="G299" s="2">
        <v>68390.14405</v>
      </c>
      <c r="H299" s="2" t="s">
        <v>24</v>
      </c>
    </row>
    <row r="300" ht="22.5" customHeight="1">
      <c r="A300" s="2" t="s">
        <v>18</v>
      </c>
      <c r="B300" s="2" t="s">
        <v>222</v>
      </c>
      <c r="C300" s="2" t="s">
        <v>31</v>
      </c>
      <c r="D300" s="2" t="s">
        <v>113</v>
      </c>
      <c r="F300" s="2" t="s">
        <v>223</v>
      </c>
      <c r="G300" s="2">
        <v>76896.25229</v>
      </c>
      <c r="H300" s="2" t="s">
        <v>25</v>
      </c>
    </row>
    <row r="301" ht="22.5" customHeight="1">
      <c r="A301" s="2" t="s">
        <v>18</v>
      </c>
      <c r="B301" s="2" t="s">
        <v>222</v>
      </c>
      <c r="C301" s="2" t="s">
        <v>31</v>
      </c>
      <c r="D301" s="2" t="s">
        <v>113</v>
      </c>
      <c r="F301" s="2" t="s">
        <v>223</v>
      </c>
      <c r="G301" s="2">
        <v>77832.85317</v>
      </c>
      <c r="H301" s="2" t="s">
        <v>26</v>
      </c>
    </row>
    <row r="302" ht="22.5" customHeight="1">
      <c r="A302" s="2" t="s">
        <v>18</v>
      </c>
      <c r="B302" s="2" t="s">
        <v>224</v>
      </c>
      <c r="C302" s="2" t="s">
        <v>31</v>
      </c>
      <c r="D302" s="2" t="s">
        <v>47</v>
      </c>
      <c r="F302" s="2" t="s">
        <v>225</v>
      </c>
      <c r="G302" s="2">
        <v>19207.062778</v>
      </c>
      <c r="H302" s="2" t="s">
        <v>24</v>
      </c>
    </row>
    <row r="303" ht="22.5" customHeight="1">
      <c r="A303" s="2" t="s">
        <v>18</v>
      </c>
      <c r="B303" s="2" t="s">
        <v>224</v>
      </c>
      <c r="C303" s="2" t="s">
        <v>31</v>
      </c>
      <c r="D303" s="2" t="s">
        <v>47</v>
      </c>
      <c r="F303" s="2" t="s">
        <v>225</v>
      </c>
      <c r="G303" s="3">
        <v>8031.52</v>
      </c>
      <c r="H303" s="2" t="s">
        <v>25</v>
      </c>
    </row>
    <row r="304" ht="22.5" customHeight="1">
      <c r="A304" s="2" t="s">
        <v>18</v>
      </c>
      <c r="B304" s="2" t="s">
        <v>224</v>
      </c>
      <c r="C304" s="2" t="s">
        <v>31</v>
      </c>
      <c r="D304" s="2" t="s">
        <v>47</v>
      </c>
      <c r="F304" s="2" t="s">
        <v>225</v>
      </c>
      <c r="G304" s="2">
        <v>18848.225941</v>
      </c>
      <c r="H304" s="2" t="s">
        <v>26</v>
      </c>
    </row>
    <row r="305" ht="22.5" customHeight="1">
      <c r="A305" s="2" t="s">
        <v>18</v>
      </c>
      <c r="B305" s="2" t="s">
        <v>224</v>
      </c>
      <c r="C305" s="2" t="s">
        <v>31</v>
      </c>
      <c r="D305" s="2" t="s">
        <v>47</v>
      </c>
      <c r="F305" s="2" t="s">
        <v>225</v>
      </c>
      <c r="G305" s="3">
        <v>15277.44</v>
      </c>
      <c r="H305" s="4" t="s">
        <v>27</v>
      </c>
    </row>
    <row r="306" ht="22.5" customHeight="1">
      <c r="A306" s="2" t="s">
        <v>18</v>
      </c>
      <c r="B306" s="2" t="s">
        <v>226</v>
      </c>
      <c r="C306" s="2" t="s">
        <v>66</v>
      </c>
      <c r="D306" s="2" t="s">
        <v>192</v>
      </c>
      <c r="F306" s="2" t="s">
        <v>227</v>
      </c>
      <c r="G306" s="2">
        <v>20203.68456</v>
      </c>
      <c r="H306" s="2" t="s">
        <v>25</v>
      </c>
    </row>
    <row r="307" ht="22.5" customHeight="1">
      <c r="A307" s="2" t="s">
        <v>18</v>
      </c>
      <c r="B307" s="2" t="s">
        <v>226</v>
      </c>
      <c r="C307" s="2" t="s">
        <v>66</v>
      </c>
      <c r="D307" s="2" t="s">
        <v>192</v>
      </c>
      <c r="F307" s="2" t="s">
        <v>227</v>
      </c>
      <c r="G307" s="2">
        <v>19963.580155</v>
      </c>
      <c r="H307" s="2" t="s">
        <v>26</v>
      </c>
    </row>
    <row r="308" ht="22.5" customHeight="1">
      <c r="A308" s="2" t="s">
        <v>18</v>
      </c>
      <c r="B308" s="2" t="s">
        <v>226</v>
      </c>
      <c r="C308" s="2" t="s">
        <v>66</v>
      </c>
      <c r="D308" s="2" t="s">
        <v>192</v>
      </c>
      <c r="F308" s="2" t="s">
        <v>227</v>
      </c>
      <c r="G308" s="2">
        <v>20321.67818</v>
      </c>
      <c r="H308" s="2" t="s">
        <v>24</v>
      </c>
    </row>
    <row r="309" ht="22.5" customHeight="1">
      <c r="A309" s="2" t="s">
        <v>18</v>
      </c>
      <c r="B309" s="2" t="s">
        <v>228</v>
      </c>
      <c r="C309" s="2" t="s">
        <v>20</v>
      </c>
      <c r="D309" s="2" t="s">
        <v>21</v>
      </c>
      <c r="E309" s="4" t="s">
        <v>61</v>
      </c>
      <c r="F309" s="2" t="s">
        <v>229</v>
      </c>
      <c r="G309" s="2">
        <v>18141.678181</v>
      </c>
      <c r="H309" s="2" t="s">
        <v>24</v>
      </c>
    </row>
    <row r="310" ht="22.5" customHeight="1">
      <c r="A310" s="2" t="s">
        <v>18</v>
      </c>
      <c r="B310" s="5" t="s">
        <v>230</v>
      </c>
      <c r="C310" s="4" t="s">
        <v>20</v>
      </c>
      <c r="D310" s="2" t="s">
        <v>21</v>
      </c>
      <c r="E310" s="4" t="s">
        <v>35</v>
      </c>
      <c r="F310" s="5" t="s">
        <v>230</v>
      </c>
      <c r="G310" s="3">
        <v>630.08</v>
      </c>
      <c r="H310" s="4" t="s">
        <v>25</v>
      </c>
    </row>
    <row r="311" ht="22.5" customHeight="1">
      <c r="A311" s="2" t="s">
        <v>18</v>
      </c>
      <c r="B311" s="5" t="s">
        <v>230</v>
      </c>
      <c r="C311" s="4" t="s">
        <v>20</v>
      </c>
      <c r="D311" s="2" t="s">
        <v>21</v>
      </c>
      <c r="E311" s="4" t="s">
        <v>35</v>
      </c>
      <c r="F311" s="5" t="s">
        <v>230</v>
      </c>
      <c r="G311" s="3">
        <v>19025.856</v>
      </c>
      <c r="H311" s="4" t="s">
        <v>27</v>
      </c>
    </row>
    <row r="312" ht="22.5" customHeight="1">
      <c r="A312" s="2" t="s">
        <v>18</v>
      </c>
      <c r="B312" s="2" t="s">
        <v>231</v>
      </c>
      <c r="C312" s="2" t="s">
        <v>20</v>
      </c>
      <c r="D312" s="2" t="s">
        <v>21</v>
      </c>
      <c r="E312" s="2" t="s">
        <v>41</v>
      </c>
      <c r="F312" s="2" t="s">
        <v>232</v>
      </c>
      <c r="G312" s="2">
        <v>12552.513977</v>
      </c>
      <c r="H312" s="2" t="s">
        <v>25</v>
      </c>
    </row>
    <row r="313" ht="22.5" customHeight="1">
      <c r="A313" s="2" t="s">
        <v>18</v>
      </c>
      <c r="B313" s="5" t="s">
        <v>233</v>
      </c>
      <c r="C313" s="4" t="s">
        <v>20</v>
      </c>
      <c r="D313" s="4" t="s">
        <v>21</v>
      </c>
      <c r="E313" s="4" t="s">
        <v>41</v>
      </c>
      <c r="F313" s="5" t="s">
        <v>233</v>
      </c>
      <c r="G313" s="3">
        <v>15356.2</v>
      </c>
      <c r="H313" s="4" t="s">
        <v>27</v>
      </c>
    </row>
    <row r="314" ht="22.5" customHeight="1">
      <c r="A314" s="2" t="s">
        <v>18</v>
      </c>
      <c r="B314" s="5" t="s">
        <v>234</v>
      </c>
      <c r="C314" s="4" t="s">
        <v>20</v>
      </c>
      <c r="D314" s="4" t="s">
        <v>21</v>
      </c>
      <c r="E314" s="4" t="s">
        <v>22</v>
      </c>
      <c r="F314" s="5" t="s">
        <v>234</v>
      </c>
      <c r="G314" s="3">
        <v>6588.72</v>
      </c>
      <c r="H314" s="4" t="s">
        <v>27</v>
      </c>
    </row>
    <row r="315" ht="22.5" customHeight="1">
      <c r="A315" s="2" t="s">
        <v>18</v>
      </c>
      <c r="B315" s="5" t="s">
        <v>235</v>
      </c>
      <c r="C315" s="4" t="s">
        <v>20</v>
      </c>
      <c r="D315" s="4" t="s">
        <v>21</v>
      </c>
      <c r="E315" s="4" t="s">
        <v>35</v>
      </c>
      <c r="F315" s="5" t="s">
        <v>235</v>
      </c>
      <c r="G315" s="3">
        <v>8163.72</v>
      </c>
      <c r="H315" s="4" t="s">
        <v>27</v>
      </c>
    </row>
    <row r="316" ht="22.5" customHeight="1">
      <c r="A316" s="2" t="s">
        <v>18</v>
      </c>
      <c r="B316" s="5" t="s">
        <v>236</v>
      </c>
      <c r="C316" s="4" t="s">
        <v>20</v>
      </c>
      <c r="D316" s="4" t="s">
        <v>21</v>
      </c>
      <c r="E316" s="4" t="s">
        <v>44</v>
      </c>
      <c r="F316" s="5" t="s">
        <v>236</v>
      </c>
      <c r="G316" s="3">
        <v>1756.9885000000002</v>
      </c>
      <c r="H316" s="4" t="s">
        <v>27</v>
      </c>
    </row>
    <row r="317" ht="22.5" customHeight="1">
      <c r="A317" s="2" t="s">
        <v>18</v>
      </c>
      <c r="B317" s="2" t="s">
        <v>231</v>
      </c>
      <c r="C317" s="2" t="s">
        <v>20</v>
      </c>
      <c r="D317" s="2" t="s">
        <v>21</v>
      </c>
      <c r="E317" s="2" t="s">
        <v>41</v>
      </c>
      <c r="F317" s="2" t="s">
        <v>232</v>
      </c>
      <c r="G317" s="2">
        <v>18893.580152</v>
      </c>
      <c r="H317" s="2" t="s">
        <v>26</v>
      </c>
    </row>
    <row r="318" ht="22.5" customHeight="1">
      <c r="A318" s="2" t="s">
        <v>18</v>
      </c>
      <c r="B318" s="2" t="s">
        <v>231</v>
      </c>
      <c r="C318" s="2" t="s">
        <v>20</v>
      </c>
      <c r="D318" s="2" t="s">
        <v>21</v>
      </c>
      <c r="E318" s="2" t="s">
        <v>41</v>
      </c>
      <c r="F318" s="2" t="s">
        <v>232</v>
      </c>
      <c r="G318" s="2">
        <v>19231.678181</v>
      </c>
      <c r="H318" s="2" t="s">
        <v>24</v>
      </c>
    </row>
    <row r="319" ht="22.5" customHeight="1">
      <c r="A319" s="2" t="s">
        <v>18</v>
      </c>
      <c r="B319" s="2" t="s">
        <v>237</v>
      </c>
      <c r="C319" s="2" t="s">
        <v>20</v>
      </c>
      <c r="D319" s="2" t="s">
        <v>54</v>
      </c>
      <c r="F319" s="2" t="s">
        <v>238</v>
      </c>
      <c r="G319" s="2">
        <v>28074.40406</v>
      </c>
      <c r="H319" s="2" t="s">
        <v>26</v>
      </c>
    </row>
    <row r="320" ht="22.5" customHeight="1">
      <c r="A320" s="2" t="s">
        <v>18</v>
      </c>
      <c r="B320" s="2" t="s">
        <v>237</v>
      </c>
      <c r="C320" s="2" t="s">
        <v>20</v>
      </c>
      <c r="D320" s="2" t="s">
        <v>54</v>
      </c>
      <c r="F320" s="2" t="s">
        <v>238</v>
      </c>
      <c r="G320" s="2">
        <v>28361.56091</v>
      </c>
      <c r="H320" s="2" t="s">
        <v>24</v>
      </c>
    </row>
    <row r="321" ht="22.5" customHeight="1">
      <c r="A321" s="2" t="s">
        <v>18</v>
      </c>
      <c r="B321" s="2" t="s">
        <v>237</v>
      </c>
      <c r="C321" s="2" t="s">
        <v>20</v>
      </c>
      <c r="D321" s="2" t="s">
        <v>54</v>
      </c>
      <c r="F321" s="2" t="s">
        <v>238</v>
      </c>
      <c r="G321" s="2">
        <v>27403.82208</v>
      </c>
      <c r="H321" s="2" t="s">
        <v>25</v>
      </c>
    </row>
    <row r="322" ht="22.5" customHeight="1">
      <c r="A322" s="2" t="s">
        <v>18</v>
      </c>
      <c r="B322" s="2" t="s">
        <v>239</v>
      </c>
      <c r="C322" s="2" t="s">
        <v>20</v>
      </c>
      <c r="D322" s="2" t="s">
        <v>21</v>
      </c>
      <c r="E322" s="2" t="s">
        <v>61</v>
      </c>
      <c r="F322" s="2" t="s">
        <v>240</v>
      </c>
      <c r="G322" s="3">
        <v>9501.84</v>
      </c>
      <c r="H322" s="2" t="s">
        <v>25</v>
      </c>
    </row>
    <row r="323" ht="22.5" customHeight="1">
      <c r="A323" s="2" t="s">
        <v>18</v>
      </c>
      <c r="B323" s="2" t="s">
        <v>239</v>
      </c>
      <c r="C323" s="2" t="s">
        <v>20</v>
      </c>
      <c r="D323" s="2" t="s">
        <v>21</v>
      </c>
      <c r="E323" s="2" t="s">
        <v>61</v>
      </c>
      <c r="F323" s="2" t="s">
        <v>240</v>
      </c>
      <c r="G323" s="2">
        <v>18141.678181</v>
      </c>
      <c r="H323" s="2" t="s">
        <v>24</v>
      </c>
    </row>
    <row r="324" ht="22.5" customHeight="1">
      <c r="A324" s="2" t="s">
        <v>18</v>
      </c>
      <c r="B324" s="2" t="s">
        <v>239</v>
      </c>
      <c r="C324" s="2" t="s">
        <v>20</v>
      </c>
      <c r="D324" s="2" t="s">
        <v>21</v>
      </c>
      <c r="E324" s="2" t="s">
        <v>61</v>
      </c>
      <c r="F324" s="2" t="s">
        <v>240</v>
      </c>
      <c r="G324" s="2">
        <v>17823.580152</v>
      </c>
      <c r="H324" s="2" t="s">
        <v>26</v>
      </c>
    </row>
    <row r="325" ht="22.5" customHeight="1">
      <c r="A325" s="2" t="s">
        <v>18</v>
      </c>
      <c r="B325" s="2" t="s">
        <v>239</v>
      </c>
      <c r="C325" s="2" t="s">
        <v>20</v>
      </c>
      <c r="D325" s="2" t="s">
        <v>21</v>
      </c>
      <c r="E325" s="2" t="s">
        <v>61</v>
      </c>
      <c r="F325" s="2" t="s">
        <v>240</v>
      </c>
      <c r="G325" s="3">
        <v>14227.44</v>
      </c>
      <c r="H325" s="4" t="s">
        <v>27</v>
      </c>
    </row>
    <row r="326" ht="22.5" customHeight="1">
      <c r="A326" s="2" t="s">
        <v>18</v>
      </c>
      <c r="B326" s="2" t="s">
        <v>241</v>
      </c>
      <c r="C326" s="2" t="s">
        <v>20</v>
      </c>
      <c r="D326" s="2" t="s">
        <v>21</v>
      </c>
      <c r="E326" s="2" t="s">
        <v>22</v>
      </c>
      <c r="F326" s="2" t="s">
        <v>242</v>
      </c>
      <c r="G326" s="2">
        <v>7350.0</v>
      </c>
      <c r="H326" s="2" t="s">
        <v>25</v>
      </c>
    </row>
    <row r="327" ht="22.5" customHeight="1">
      <c r="A327" s="2" t="s">
        <v>18</v>
      </c>
      <c r="B327" s="2" t="s">
        <v>241</v>
      </c>
      <c r="C327" s="2" t="s">
        <v>20</v>
      </c>
      <c r="D327" s="2" t="s">
        <v>21</v>
      </c>
      <c r="E327" s="2" t="s">
        <v>22</v>
      </c>
      <c r="F327" s="2" t="s">
        <v>242</v>
      </c>
      <c r="G327" s="2">
        <v>7350.0</v>
      </c>
      <c r="H327" s="2" t="s">
        <v>24</v>
      </c>
    </row>
    <row r="328" ht="22.5" customHeight="1">
      <c r="A328" s="2" t="s">
        <v>18</v>
      </c>
      <c r="B328" s="2" t="s">
        <v>241</v>
      </c>
      <c r="C328" s="2" t="s">
        <v>20</v>
      </c>
      <c r="D328" s="2" t="s">
        <v>21</v>
      </c>
      <c r="E328" s="2" t="s">
        <v>22</v>
      </c>
      <c r="F328" s="2" t="s">
        <v>242</v>
      </c>
      <c r="G328" s="2">
        <v>7350.0</v>
      </c>
      <c r="H328" s="2" t="s">
        <v>26</v>
      </c>
    </row>
    <row r="329" ht="22.5" customHeight="1">
      <c r="A329" s="2" t="s">
        <v>18</v>
      </c>
      <c r="B329" s="2" t="s">
        <v>243</v>
      </c>
      <c r="C329" s="2" t="s">
        <v>20</v>
      </c>
      <c r="D329" s="2" t="s">
        <v>54</v>
      </c>
      <c r="F329" s="2" t="s">
        <v>244</v>
      </c>
      <c r="G329" s="2">
        <v>13202.829051</v>
      </c>
      <c r="H329" s="2" t="s">
        <v>25</v>
      </c>
    </row>
    <row r="330" ht="22.5" customHeight="1">
      <c r="A330" s="2" t="s">
        <v>18</v>
      </c>
      <c r="B330" s="2" t="s">
        <v>243</v>
      </c>
      <c r="C330" s="2" t="s">
        <v>20</v>
      </c>
      <c r="D330" s="2" t="s">
        <v>54</v>
      </c>
      <c r="F330" s="2" t="s">
        <v>244</v>
      </c>
      <c r="G330" s="2">
        <v>12905.877092</v>
      </c>
      <c r="H330" s="2" t="s">
        <v>26</v>
      </c>
    </row>
    <row r="331" ht="22.5" customHeight="1">
      <c r="A331" s="2" t="s">
        <v>18</v>
      </c>
      <c r="B331" s="2" t="s">
        <v>243</v>
      </c>
      <c r="C331" s="2" t="s">
        <v>20</v>
      </c>
      <c r="D331" s="2" t="s">
        <v>54</v>
      </c>
      <c r="F331" s="2" t="s">
        <v>244</v>
      </c>
      <c r="G331" s="2">
        <v>13153.19405</v>
      </c>
      <c r="H331" s="2" t="s">
        <v>24</v>
      </c>
    </row>
    <row r="332" ht="22.5" customHeight="1">
      <c r="A332" s="2" t="s">
        <v>18</v>
      </c>
      <c r="B332" s="2" t="s">
        <v>245</v>
      </c>
      <c r="C332" s="2" t="s">
        <v>20</v>
      </c>
      <c r="D332" s="2" t="s">
        <v>54</v>
      </c>
      <c r="F332" s="2" t="s">
        <v>246</v>
      </c>
      <c r="G332" s="2">
        <v>7350.0</v>
      </c>
      <c r="H332" s="2" t="s">
        <v>24</v>
      </c>
    </row>
    <row r="333" ht="22.5" customHeight="1">
      <c r="A333" s="2" t="s">
        <v>18</v>
      </c>
      <c r="B333" s="2" t="s">
        <v>245</v>
      </c>
      <c r="C333" s="2" t="s">
        <v>20</v>
      </c>
      <c r="D333" s="2" t="s">
        <v>54</v>
      </c>
      <c r="F333" s="2" t="s">
        <v>246</v>
      </c>
      <c r="G333" s="2">
        <v>7350.0</v>
      </c>
      <c r="H333" s="2" t="s">
        <v>25</v>
      </c>
    </row>
    <row r="334" ht="22.5" customHeight="1">
      <c r="A334" s="2" t="s">
        <v>18</v>
      </c>
      <c r="B334" s="2" t="s">
        <v>245</v>
      </c>
      <c r="C334" s="2" t="s">
        <v>20</v>
      </c>
      <c r="D334" s="2" t="s">
        <v>54</v>
      </c>
      <c r="F334" s="2" t="s">
        <v>246</v>
      </c>
      <c r="G334" s="2">
        <v>7350.0</v>
      </c>
      <c r="H334" s="2" t="s">
        <v>26</v>
      </c>
    </row>
    <row r="335" ht="22.5" customHeight="1">
      <c r="A335" s="2" t="s">
        <v>18</v>
      </c>
      <c r="B335" s="2" t="s">
        <v>247</v>
      </c>
      <c r="C335" s="2" t="s">
        <v>31</v>
      </c>
      <c r="D335" s="2" t="s">
        <v>54</v>
      </c>
      <c r="F335" s="2" t="s">
        <v>248</v>
      </c>
      <c r="G335" s="2">
        <v>21139.39677</v>
      </c>
      <c r="H335" s="2" t="s">
        <v>25</v>
      </c>
    </row>
    <row r="336" ht="22.5" customHeight="1">
      <c r="A336" s="2" t="s">
        <v>18</v>
      </c>
      <c r="B336" s="2" t="s">
        <v>247</v>
      </c>
      <c r="C336" s="2" t="s">
        <v>31</v>
      </c>
      <c r="D336" s="2" t="s">
        <v>54</v>
      </c>
      <c r="F336" s="2" t="s">
        <v>248</v>
      </c>
      <c r="G336" s="2">
        <v>19315.770457</v>
      </c>
      <c r="H336" s="2" t="s">
        <v>24</v>
      </c>
    </row>
    <row r="337" ht="22.5" customHeight="1">
      <c r="A337" s="2" t="s">
        <v>18</v>
      </c>
      <c r="B337" s="2" t="s">
        <v>247</v>
      </c>
      <c r="C337" s="2" t="s">
        <v>31</v>
      </c>
      <c r="D337" s="2" t="s">
        <v>54</v>
      </c>
      <c r="F337" s="2" t="s">
        <v>248</v>
      </c>
      <c r="G337" s="2">
        <v>19996.580507</v>
      </c>
      <c r="H337" s="2" t="s">
        <v>26</v>
      </c>
    </row>
    <row r="338" ht="22.5" customHeight="1">
      <c r="A338" s="2" t="s">
        <v>18</v>
      </c>
      <c r="B338" s="2" t="s">
        <v>249</v>
      </c>
      <c r="C338" s="2" t="s">
        <v>20</v>
      </c>
      <c r="D338" s="2" t="s">
        <v>21</v>
      </c>
      <c r="E338" s="2" t="s">
        <v>61</v>
      </c>
      <c r="F338" s="2" t="s">
        <v>250</v>
      </c>
      <c r="G338" s="3">
        <v>16854.666</v>
      </c>
      <c r="H338" s="2" t="s">
        <v>25</v>
      </c>
    </row>
    <row r="339" ht="22.5" customHeight="1">
      <c r="A339" s="2" t="s">
        <v>18</v>
      </c>
      <c r="B339" s="2" t="s">
        <v>249</v>
      </c>
      <c r="C339" s="2" t="s">
        <v>20</v>
      </c>
      <c r="D339" s="2" t="s">
        <v>21</v>
      </c>
      <c r="E339" s="2" t="s">
        <v>61</v>
      </c>
      <c r="F339" s="2" t="s">
        <v>250</v>
      </c>
      <c r="G339" s="2">
        <v>21425.8467</v>
      </c>
      <c r="H339" s="2" t="s">
        <v>24</v>
      </c>
    </row>
    <row r="340" ht="22.5" customHeight="1">
      <c r="A340" s="2" t="s">
        <v>18</v>
      </c>
      <c r="B340" s="2" t="s">
        <v>249</v>
      </c>
      <c r="C340" s="2" t="s">
        <v>20</v>
      </c>
      <c r="D340" s="2" t="s">
        <v>21</v>
      </c>
      <c r="E340" s="2" t="s">
        <v>61</v>
      </c>
      <c r="F340" s="2" t="s">
        <v>250</v>
      </c>
      <c r="G340" s="2">
        <v>21046.5104</v>
      </c>
      <c r="H340" s="2" t="s">
        <v>26</v>
      </c>
    </row>
    <row r="341" ht="22.5" customHeight="1">
      <c r="A341" s="2" t="s">
        <v>18</v>
      </c>
      <c r="B341" s="2" t="s">
        <v>249</v>
      </c>
      <c r="C341" s="2" t="s">
        <v>20</v>
      </c>
      <c r="D341" s="2" t="s">
        <v>21</v>
      </c>
      <c r="E341" s="2" t="s">
        <v>61</v>
      </c>
      <c r="F341" s="2" t="s">
        <v>250</v>
      </c>
      <c r="G341" s="3">
        <v>17377.440000000002</v>
      </c>
      <c r="H341" s="4" t="s">
        <v>27</v>
      </c>
    </row>
    <row r="342" ht="22.5" customHeight="1">
      <c r="A342" s="2" t="s">
        <v>18</v>
      </c>
      <c r="B342" s="2" t="s">
        <v>251</v>
      </c>
      <c r="C342" s="2" t="s">
        <v>31</v>
      </c>
      <c r="D342" s="2" t="s">
        <v>38</v>
      </c>
      <c r="F342" s="2" t="s">
        <v>252</v>
      </c>
      <c r="G342" s="2">
        <v>14700.15378</v>
      </c>
      <c r="H342" s="2" t="s">
        <v>26</v>
      </c>
    </row>
    <row r="343" ht="22.5" customHeight="1">
      <c r="A343" s="2" t="s">
        <v>18</v>
      </c>
      <c r="B343" s="2" t="s">
        <v>251</v>
      </c>
      <c r="C343" s="2" t="s">
        <v>31</v>
      </c>
      <c r="D343" s="2" t="s">
        <v>38</v>
      </c>
      <c r="F343" s="2" t="s">
        <v>252</v>
      </c>
      <c r="G343" s="2">
        <v>14977.174718</v>
      </c>
      <c r="H343" s="2" t="s">
        <v>24</v>
      </c>
    </row>
    <row r="344" ht="22.5" customHeight="1">
      <c r="A344" s="2" t="s">
        <v>18</v>
      </c>
      <c r="B344" s="2" t="s">
        <v>251</v>
      </c>
      <c r="C344" s="2" t="s">
        <v>31</v>
      </c>
      <c r="D344" s="2" t="s">
        <v>38</v>
      </c>
      <c r="F344" s="2" t="s">
        <v>252</v>
      </c>
      <c r="G344" s="2">
        <v>14943.282958</v>
      </c>
      <c r="H344" s="2" t="s">
        <v>25</v>
      </c>
    </row>
    <row r="345" ht="22.5" customHeight="1">
      <c r="A345" s="2" t="s">
        <v>18</v>
      </c>
      <c r="B345" s="2" t="s">
        <v>253</v>
      </c>
      <c r="C345" s="2" t="s">
        <v>20</v>
      </c>
      <c r="D345" s="2" t="s">
        <v>21</v>
      </c>
      <c r="E345" s="2" t="s">
        <v>61</v>
      </c>
      <c r="F345" s="2" t="s">
        <v>254</v>
      </c>
      <c r="G345" s="2">
        <v>16715.736044</v>
      </c>
      <c r="H345" s="2" t="s">
        <v>26</v>
      </c>
    </row>
    <row r="346" ht="22.5" customHeight="1">
      <c r="A346" s="2" t="s">
        <v>18</v>
      </c>
      <c r="B346" s="2" t="s">
        <v>253</v>
      </c>
      <c r="C346" s="2" t="s">
        <v>20</v>
      </c>
      <c r="D346" s="2" t="s">
        <v>21</v>
      </c>
      <c r="E346" s="2" t="s">
        <v>61</v>
      </c>
      <c r="F346" s="2" t="s">
        <v>254</v>
      </c>
      <c r="G346" s="2">
        <v>18670.363418</v>
      </c>
      <c r="H346" s="2" t="s">
        <v>24</v>
      </c>
    </row>
    <row r="347" ht="22.5" customHeight="1">
      <c r="A347" s="2" t="s">
        <v>18</v>
      </c>
      <c r="B347" s="2" t="s">
        <v>253</v>
      </c>
      <c r="C347" s="2" t="s">
        <v>20</v>
      </c>
      <c r="D347" s="2" t="s">
        <v>21</v>
      </c>
      <c r="E347" s="2" t="s">
        <v>61</v>
      </c>
      <c r="F347" s="2" t="s">
        <v>254</v>
      </c>
      <c r="G347" s="2">
        <v>18039.056587</v>
      </c>
      <c r="H347" s="2" t="s">
        <v>25</v>
      </c>
    </row>
    <row r="348" ht="22.5" customHeight="1">
      <c r="A348" s="2" t="s">
        <v>18</v>
      </c>
      <c r="B348" s="2" t="s">
        <v>255</v>
      </c>
      <c r="C348" s="2" t="s">
        <v>20</v>
      </c>
      <c r="D348" s="2" t="s">
        <v>21</v>
      </c>
      <c r="E348" s="2" t="s">
        <v>35</v>
      </c>
      <c r="F348" s="2" t="s">
        <v>256</v>
      </c>
      <c r="G348" s="2">
        <v>15147.448181</v>
      </c>
      <c r="H348" s="2" t="s">
        <v>24</v>
      </c>
    </row>
    <row r="349" ht="22.5" customHeight="1">
      <c r="A349" s="2" t="s">
        <v>18</v>
      </c>
      <c r="B349" s="2" t="s">
        <v>255</v>
      </c>
      <c r="C349" s="2" t="s">
        <v>20</v>
      </c>
      <c r="D349" s="2" t="s">
        <v>21</v>
      </c>
      <c r="E349" s="2" t="s">
        <v>35</v>
      </c>
      <c r="F349" s="2" t="s">
        <v>256</v>
      </c>
      <c r="G349" s="2">
        <v>17038.780152</v>
      </c>
      <c r="H349" s="2" t="s">
        <v>26</v>
      </c>
    </row>
    <row r="350" ht="22.5" customHeight="1">
      <c r="A350" s="2" t="s">
        <v>18</v>
      </c>
      <c r="B350" s="2" t="s">
        <v>255</v>
      </c>
      <c r="C350" s="2" t="s">
        <v>20</v>
      </c>
      <c r="D350" s="2" t="s">
        <v>21</v>
      </c>
      <c r="E350" s="2" t="s">
        <v>35</v>
      </c>
      <c r="F350" s="2" t="s">
        <v>256</v>
      </c>
      <c r="G350" s="3">
        <v>14227.44</v>
      </c>
      <c r="H350" s="2" t="s">
        <v>25</v>
      </c>
    </row>
    <row r="351" ht="22.5" customHeight="1">
      <c r="A351" s="2" t="s">
        <v>18</v>
      </c>
      <c r="B351" s="2" t="s">
        <v>255</v>
      </c>
      <c r="C351" s="2" t="s">
        <v>20</v>
      </c>
      <c r="D351" s="2" t="s">
        <v>21</v>
      </c>
      <c r="E351" s="2" t="s">
        <v>35</v>
      </c>
      <c r="F351" s="2" t="s">
        <v>256</v>
      </c>
      <c r="G351" s="3">
        <v>10075.824</v>
      </c>
      <c r="H351" s="4" t="s">
        <v>27</v>
      </c>
    </row>
    <row r="352" ht="22.5" customHeight="1">
      <c r="A352" s="2" t="s">
        <v>18</v>
      </c>
      <c r="B352" s="2" t="s">
        <v>257</v>
      </c>
      <c r="C352" s="2" t="s">
        <v>20</v>
      </c>
      <c r="D352" s="2" t="s">
        <v>21</v>
      </c>
      <c r="E352" s="4" t="s">
        <v>22</v>
      </c>
      <c r="F352" s="2" t="s">
        <v>258</v>
      </c>
      <c r="G352" s="2">
        <v>7350.0</v>
      </c>
      <c r="H352" s="2" t="s">
        <v>26</v>
      </c>
    </row>
    <row r="353" ht="22.5" customHeight="1">
      <c r="A353" s="2" t="s">
        <v>18</v>
      </c>
      <c r="B353" s="2" t="s">
        <v>257</v>
      </c>
      <c r="C353" s="2" t="s">
        <v>20</v>
      </c>
      <c r="D353" s="2" t="s">
        <v>21</v>
      </c>
      <c r="E353" s="4" t="s">
        <v>22</v>
      </c>
      <c r="F353" s="2" t="s">
        <v>258</v>
      </c>
      <c r="G353" s="2">
        <v>7350.0</v>
      </c>
      <c r="H353" s="2" t="s">
        <v>24</v>
      </c>
    </row>
    <row r="354" ht="22.5" customHeight="1">
      <c r="A354" s="2" t="s">
        <v>18</v>
      </c>
      <c r="B354" s="2" t="s">
        <v>257</v>
      </c>
      <c r="C354" s="2" t="s">
        <v>20</v>
      </c>
      <c r="D354" s="2" t="s">
        <v>21</v>
      </c>
      <c r="E354" s="4" t="s">
        <v>22</v>
      </c>
      <c r="F354" s="2" t="s">
        <v>258</v>
      </c>
      <c r="G354" s="2">
        <v>3675.0</v>
      </c>
      <c r="H354" s="2" t="s">
        <v>25</v>
      </c>
    </row>
    <row r="355" ht="22.5" customHeight="1">
      <c r="A355" s="2" t="s">
        <v>18</v>
      </c>
      <c r="B355" s="2" t="s">
        <v>259</v>
      </c>
      <c r="C355" s="2" t="s">
        <v>31</v>
      </c>
      <c r="D355" s="2" t="s">
        <v>187</v>
      </c>
      <c r="E355" s="2" t="s">
        <v>22</v>
      </c>
      <c r="F355" s="2" t="s">
        <v>260</v>
      </c>
      <c r="G355" s="2">
        <v>23508.75854</v>
      </c>
      <c r="H355" s="2" t="s">
        <v>26</v>
      </c>
    </row>
    <row r="356" ht="22.5" customHeight="1">
      <c r="A356" s="2" t="s">
        <v>18</v>
      </c>
      <c r="B356" s="2" t="s">
        <v>259</v>
      </c>
      <c r="C356" s="2" t="s">
        <v>31</v>
      </c>
      <c r="D356" s="2" t="s">
        <v>187</v>
      </c>
      <c r="E356" s="2" t="s">
        <v>22</v>
      </c>
      <c r="F356" s="2" t="s">
        <v>260</v>
      </c>
      <c r="G356" s="2">
        <v>22304.9482</v>
      </c>
      <c r="H356" s="2" t="s">
        <v>25</v>
      </c>
    </row>
    <row r="357" ht="22.5" customHeight="1">
      <c r="A357" s="2" t="s">
        <v>18</v>
      </c>
      <c r="B357" s="2" t="s">
        <v>259</v>
      </c>
      <c r="C357" s="2" t="s">
        <v>31</v>
      </c>
      <c r="D357" s="2" t="s">
        <v>187</v>
      </c>
      <c r="E357" s="2" t="s">
        <v>22</v>
      </c>
      <c r="F357" s="2" t="s">
        <v>260</v>
      </c>
      <c r="G357" s="2">
        <v>22618.83996</v>
      </c>
      <c r="H357" s="2" t="s">
        <v>24</v>
      </c>
    </row>
    <row r="358" ht="22.5" customHeight="1">
      <c r="A358" s="2" t="s">
        <v>18</v>
      </c>
      <c r="B358" s="2" t="s">
        <v>261</v>
      </c>
      <c r="C358" s="2" t="s">
        <v>20</v>
      </c>
      <c r="D358" s="2" t="s">
        <v>21</v>
      </c>
      <c r="E358" s="2" t="s">
        <v>22</v>
      </c>
      <c r="F358" s="2" t="s">
        <v>262</v>
      </c>
      <c r="G358" s="2">
        <v>7350.0</v>
      </c>
      <c r="H358" s="2" t="s">
        <v>24</v>
      </c>
    </row>
    <row r="359" ht="22.5" customHeight="1">
      <c r="A359" s="2" t="s">
        <v>18</v>
      </c>
      <c r="B359" s="2" t="s">
        <v>261</v>
      </c>
      <c r="C359" s="2" t="s">
        <v>20</v>
      </c>
      <c r="D359" s="2" t="s">
        <v>21</v>
      </c>
      <c r="E359" s="2" t="s">
        <v>22</v>
      </c>
      <c r="F359" s="2" t="s">
        <v>262</v>
      </c>
      <c r="G359" s="2">
        <v>7350.0</v>
      </c>
      <c r="H359" s="2" t="s">
        <v>25</v>
      </c>
    </row>
    <row r="360" ht="22.5" customHeight="1">
      <c r="A360" s="2" t="s">
        <v>18</v>
      </c>
      <c r="B360" s="2" t="s">
        <v>261</v>
      </c>
      <c r="C360" s="2" t="s">
        <v>20</v>
      </c>
      <c r="D360" s="2" t="s">
        <v>21</v>
      </c>
      <c r="E360" s="2" t="s">
        <v>22</v>
      </c>
      <c r="F360" s="2" t="s">
        <v>262</v>
      </c>
      <c r="G360" s="2">
        <v>7350.0</v>
      </c>
      <c r="H360" s="2" t="s">
        <v>26</v>
      </c>
    </row>
    <row r="361" ht="22.5" customHeight="1">
      <c r="A361" s="2" t="s">
        <v>18</v>
      </c>
      <c r="B361" s="2" t="s">
        <v>263</v>
      </c>
      <c r="C361" s="2" t="s">
        <v>20</v>
      </c>
      <c r="D361" s="2" t="s">
        <v>21</v>
      </c>
      <c r="E361" s="4" t="s">
        <v>35</v>
      </c>
      <c r="F361" s="2" t="s">
        <v>264</v>
      </c>
      <c r="G361" s="2">
        <v>15927.656463</v>
      </c>
      <c r="H361" s="2" t="s">
        <v>25</v>
      </c>
    </row>
    <row r="362" ht="22.5" customHeight="1">
      <c r="A362" s="2" t="s">
        <v>18</v>
      </c>
      <c r="B362" s="2" t="s">
        <v>263</v>
      </c>
      <c r="C362" s="2" t="s">
        <v>20</v>
      </c>
      <c r="D362" s="2" t="s">
        <v>21</v>
      </c>
      <c r="E362" s="4" t="s">
        <v>35</v>
      </c>
      <c r="F362" s="2" t="s">
        <v>264</v>
      </c>
      <c r="G362" s="2">
        <v>15635.661516</v>
      </c>
      <c r="H362" s="2" t="s">
        <v>26</v>
      </c>
    </row>
    <row r="363" ht="22.5" customHeight="1">
      <c r="A363" s="2" t="s">
        <v>18</v>
      </c>
      <c r="B363" s="2" t="s">
        <v>263</v>
      </c>
      <c r="C363" s="2" t="s">
        <v>20</v>
      </c>
      <c r="D363" s="2" t="s">
        <v>21</v>
      </c>
      <c r="E363" s="4" t="s">
        <v>35</v>
      </c>
      <c r="F363" s="2" t="s">
        <v>264</v>
      </c>
      <c r="G363" s="2">
        <v>15934.228414</v>
      </c>
      <c r="H363" s="2" t="s">
        <v>24</v>
      </c>
    </row>
    <row r="364" ht="22.5" customHeight="1">
      <c r="A364" s="2" t="s">
        <v>18</v>
      </c>
      <c r="B364" s="2" t="s">
        <v>265</v>
      </c>
      <c r="C364" s="2" t="s">
        <v>31</v>
      </c>
      <c r="D364" s="2" t="s">
        <v>47</v>
      </c>
      <c r="F364" s="2" t="s">
        <v>266</v>
      </c>
      <c r="G364" s="2">
        <v>29400.0</v>
      </c>
      <c r="H364" s="2" t="s">
        <v>25</v>
      </c>
    </row>
    <row r="365" ht="22.5" customHeight="1">
      <c r="A365" s="2" t="s">
        <v>18</v>
      </c>
      <c r="B365" s="2" t="s">
        <v>265</v>
      </c>
      <c r="C365" s="2" t="s">
        <v>31</v>
      </c>
      <c r="D365" s="2" t="s">
        <v>47</v>
      </c>
      <c r="F365" s="2" t="s">
        <v>266</v>
      </c>
      <c r="G365" s="2">
        <v>29400.0</v>
      </c>
      <c r="H365" s="2" t="s">
        <v>26</v>
      </c>
    </row>
    <row r="366" ht="22.5" customHeight="1">
      <c r="A366" s="2" t="s">
        <v>18</v>
      </c>
      <c r="B366" s="2" t="s">
        <v>265</v>
      </c>
      <c r="C366" s="2" t="s">
        <v>31</v>
      </c>
      <c r="D366" s="2" t="s">
        <v>47</v>
      </c>
      <c r="F366" s="2" t="s">
        <v>266</v>
      </c>
      <c r="G366" s="2">
        <v>29400.0</v>
      </c>
      <c r="H366" s="2" t="s">
        <v>24</v>
      </c>
    </row>
    <row r="367" ht="22.5" customHeight="1">
      <c r="A367" s="2" t="s">
        <v>18</v>
      </c>
      <c r="B367" s="2" t="s">
        <v>267</v>
      </c>
      <c r="C367" s="2" t="s">
        <v>20</v>
      </c>
      <c r="D367" s="2" t="s">
        <v>21</v>
      </c>
      <c r="E367" s="2" t="s">
        <v>22</v>
      </c>
      <c r="F367" s="2" t="s">
        <v>268</v>
      </c>
      <c r="G367" s="3">
        <v>15802.44</v>
      </c>
      <c r="H367" s="2" t="s">
        <v>25</v>
      </c>
    </row>
    <row r="368" ht="22.5" customHeight="1">
      <c r="A368" s="2" t="s">
        <v>18</v>
      </c>
      <c r="B368" s="2" t="s">
        <v>267</v>
      </c>
      <c r="C368" s="2" t="s">
        <v>20</v>
      </c>
      <c r="D368" s="2" t="s">
        <v>21</v>
      </c>
      <c r="E368" s="2" t="s">
        <v>22</v>
      </c>
      <c r="F368" s="2" t="s">
        <v>268</v>
      </c>
      <c r="G368" s="2">
        <v>18115.280385000002</v>
      </c>
      <c r="H368" s="2" t="s">
        <v>26</v>
      </c>
    </row>
    <row r="369" ht="22.5" customHeight="1">
      <c r="A369" s="2" t="s">
        <v>18</v>
      </c>
      <c r="B369" s="2" t="s">
        <v>267</v>
      </c>
      <c r="C369" s="2" t="s">
        <v>20</v>
      </c>
      <c r="D369" s="2" t="s">
        <v>21</v>
      </c>
      <c r="E369" s="2" t="s">
        <v>22</v>
      </c>
      <c r="F369" s="2" t="s">
        <v>268</v>
      </c>
      <c r="G369" s="2">
        <v>18822.928181</v>
      </c>
      <c r="H369" s="2" t="s">
        <v>24</v>
      </c>
    </row>
    <row r="370" ht="22.5" customHeight="1">
      <c r="A370" s="2" t="s">
        <v>18</v>
      </c>
      <c r="B370" s="2" t="s">
        <v>267</v>
      </c>
      <c r="C370" s="2" t="s">
        <v>20</v>
      </c>
      <c r="D370" s="2" t="s">
        <v>21</v>
      </c>
      <c r="E370" s="2" t="s">
        <v>22</v>
      </c>
      <c r="F370" s="2" t="s">
        <v>268</v>
      </c>
      <c r="G370" s="3">
        <v>15564.090000000002</v>
      </c>
      <c r="H370" s="4" t="s">
        <v>27</v>
      </c>
    </row>
    <row r="371" ht="22.5" customHeight="1">
      <c r="A371" s="2" t="s">
        <v>18</v>
      </c>
      <c r="B371" s="2" t="s">
        <v>269</v>
      </c>
      <c r="C371" s="2" t="s">
        <v>20</v>
      </c>
      <c r="D371" s="2" t="s">
        <v>21</v>
      </c>
      <c r="E371" s="2" t="s">
        <v>22</v>
      </c>
      <c r="F371" s="2" t="s">
        <v>270</v>
      </c>
      <c r="G371" s="2">
        <v>16974.754614</v>
      </c>
      <c r="H371" s="2" t="s">
        <v>25</v>
      </c>
    </row>
    <row r="372" ht="22.5" customHeight="1">
      <c r="A372" s="2" t="s">
        <v>18</v>
      </c>
      <c r="B372" s="2" t="s">
        <v>269</v>
      </c>
      <c r="C372" s="2" t="s">
        <v>20</v>
      </c>
      <c r="D372" s="2" t="s">
        <v>21</v>
      </c>
      <c r="E372" s="2" t="s">
        <v>22</v>
      </c>
      <c r="F372" s="2" t="s">
        <v>270</v>
      </c>
      <c r="G372" s="2">
        <v>16703.097092</v>
      </c>
      <c r="H372" s="2" t="s">
        <v>26</v>
      </c>
    </row>
    <row r="373" ht="22.5" customHeight="1">
      <c r="A373" s="2" t="s">
        <v>18</v>
      </c>
      <c r="B373" s="2" t="s">
        <v>269</v>
      </c>
      <c r="C373" s="2" t="s">
        <v>20</v>
      </c>
      <c r="D373" s="2" t="s">
        <v>21</v>
      </c>
      <c r="E373" s="2" t="s">
        <v>22</v>
      </c>
      <c r="F373" s="2" t="s">
        <v>270</v>
      </c>
      <c r="G373" s="2">
        <v>17021.39405</v>
      </c>
      <c r="H373" s="2" t="s">
        <v>24</v>
      </c>
    </row>
    <row r="374" ht="22.5" customHeight="1">
      <c r="A374" s="2" t="s">
        <v>18</v>
      </c>
      <c r="B374" s="2" t="s">
        <v>271</v>
      </c>
      <c r="C374" s="2" t="s">
        <v>31</v>
      </c>
      <c r="D374" s="2" t="s">
        <v>54</v>
      </c>
      <c r="F374" s="2" t="s">
        <v>272</v>
      </c>
      <c r="G374" s="2">
        <v>21778.98612</v>
      </c>
      <c r="H374" s="2" t="s">
        <v>25</v>
      </c>
    </row>
    <row r="375" ht="22.5" customHeight="1">
      <c r="A375" s="2" t="s">
        <v>18</v>
      </c>
      <c r="B375" s="2" t="s">
        <v>271</v>
      </c>
      <c r="C375" s="2" t="s">
        <v>31</v>
      </c>
      <c r="D375" s="2" t="s">
        <v>54</v>
      </c>
      <c r="F375" s="2" t="s">
        <v>272</v>
      </c>
      <c r="G375" s="2">
        <v>20697.705549</v>
      </c>
      <c r="H375" s="2" t="s">
        <v>24</v>
      </c>
    </row>
    <row r="376" ht="22.5" customHeight="1">
      <c r="A376" s="2" t="s">
        <v>18</v>
      </c>
      <c r="B376" s="2" t="s">
        <v>271</v>
      </c>
      <c r="C376" s="2" t="s">
        <v>31</v>
      </c>
      <c r="D376" s="2" t="s">
        <v>54</v>
      </c>
      <c r="F376" s="2" t="s">
        <v>272</v>
      </c>
      <c r="G376" s="2">
        <v>21661.06821</v>
      </c>
      <c r="H376" s="2" t="s">
        <v>26</v>
      </c>
    </row>
    <row r="377" ht="22.5" customHeight="1">
      <c r="A377" s="2" t="s">
        <v>18</v>
      </c>
      <c r="B377" s="2" t="s">
        <v>273</v>
      </c>
      <c r="C377" s="4" t="s">
        <v>66</v>
      </c>
      <c r="D377" s="4" t="s">
        <v>67</v>
      </c>
      <c r="E377" s="2"/>
      <c r="F377" s="2" t="s">
        <v>273</v>
      </c>
      <c r="G377" s="8">
        <f t="shared" ref="G377:G380" si="8">131250*2</f>
        <v>262500</v>
      </c>
      <c r="H377" s="4" t="s">
        <v>24</v>
      </c>
    </row>
    <row r="378" ht="22.5" customHeight="1">
      <c r="A378" s="2" t="s">
        <v>18</v>
      </c>
      <c r="B378" s="2" t="s">
        <v>273</v>
      </c>
      <c r="C378" s="4" t="s">
        <v>66</v>
      </c>
      <c r="D378" s="4" t="s">
        <v>67</v>
      </c>
      <c r="E378" s="2"/>
      <c r="F378" s="2" t="s">
        <v>273</v>
      </c>
      <c r="G378" s="8">
        <f t="shared" si="8"/>
        <v>262500</v>
      </c>
      <c r="H378" s="4" t="s">
        <v>26</v>
      </c>
    </row>
    <row r="379" ht="22.5" customHeight="1">
      <c r="A379" s="2" t="s">
        <v>18</v>
      </c>
      <c r="B379" s="2" t="s">
        <v>273</v>
      </c>
      <c r="C379" s="4" t="s">
        <v>66</v>
      </c>
      <c r="D379" s="4" t="s">
        <v>67</v>
      </c>
      <c r="E379" s="2"/>
      <c r="F379" s="2" t="s">
        <v>273</v>
      </c>
      <c r="G379" s="8">
        <f t="shared" si="8"/>
        <v>262500</v>
      </c>
      <c r="H379" s="4" t="s">
        <v>25</v>
      </c>
    </row>
    <row r="380" ht="22.5" customHeight="1">
      <c r="A380" s="2" t="s">
        <v>18</v>
      </c>
      <c r="B380" s="2" t="s">
        <v>273</v>
      </c>
      <c r="C380" s="4" t="s">
        <v>66</v>
      </c>
      <c r="D380" s="4" t="s">
        <v>67</v>
      </c>
      <c r="E380" s="2"/>
      <c r="F380" s="2" t="s">
        <v>273</v>
      </c>
      <c r="G380" s="8">
        <f t="shared" si="8"/>
        <v>262500</v>
      </c>
      <c r="H380" s="4" t="s">
        <v>27</v>
      </c>
    </row>
    <row r="381" ht="22.5" customHeight="1">
      <c r="A381" s="2" t="s">
        <v>18</v>
      </c>
      <c r="B381" s="2" t="s">
        <v>274</v>
      </c>
      <c r="C381" s="2" t="s">
        <v>31</v>
      </c>
      <c r="D381" s="2" t="s">
        <v>187</v>
      </c>
      <c r="E381" s="2" t="s">
        <v>22</v>
      </c>
      <c r="F381" s="2" t="s">
        <v>275</v>
      </c>
      <c r="G381" s="2">
        <v>13291.944052</v>
      </c>
      <c r="H381" s="2" t="s">
        <v>24</v>
      </c>
    </row>
    <row r="382" ht="22.5" customHeight="1">
      <c r="A382" s="2" t="s">
        <v>18</v>
      </c>
      <c r="B382" s="2" t="s">
        <v>274</v>
      </c>
      <c r="C382" s="2" t="s">
        <v>31</v>
      </c>
      <c r="D382" s="2" t="s">
        <v>187</v>
      </c>
      <c r="E382" s="2" t="s">
        <v>22</v>
      </c>
      <c r="F382" s="2" t="s">
        <v>275</v>
      </c>
      <c r="G382" s="2">
        <v>14658.132292</v>
      </c>
      <c r="H382" s="2" t="s">
        <v>25</v>
      </c>
    </row>
    <row r="383" ht="22.5" customHeight="1">
      <c r="A383" s="2" t="s">
        <v>18</v>
      </c>
      <c r="B383" s="2" t="s">
        <v>274</v>
      </c>
      <c r="C383" s="2" t="s">
        <v>31</v>
      </c>
      <c r="D383" s="2" t="s">
        <v>187</v>
      </c>
      <c r="E383" s="2" t="s">
        <v>22</v>
      </c>
      <c r="F383" s="2" t="s">
        <v>275</v>
      </c>
      <c r="G383" s="2">
        <v>13045.633175</v>
      </c>
      <c r="H383" s="2" t="s">
        <v>26</v>
      </c>
    </row>
    <row r="384" ht="22.5" customHeight="1">
      <c r="A384" s="2" t="s">
        <v>18</v>
      </c>
      <c r="B384" s="2" t="s">
        <v>276</v>
      </c>
      <c r="C384" s="2" t="s">
        <v>20</v>
      </c>
      <c r="D384" s="2" t="s">
        <v>54</v>
      </c>
      <c r="F384" s="2" t="s">
        <v>277</v>
      </c>
      <c r="G384" s="2">
        <v>21381.39405</v>
      </c>
      <c r="H384" s="2" t="s">
        <v>24</v>
      </c>
    </row>
    <row r="385" ht="22.5" customHeight="1">
      <c r="A385" s="2" t="s">
        <v>18</v>
      </c>
      <c r="B385" s="2" t="s">
        <v>276</v>
      </c>
      <c r="C385" s="2" t="s">
        <v>20</v>
      </c>
      <c r="D385" s="2" t="s">
        <v>54</v>
      </c>
      <c r="F385" s="2" t="s">
        <v>277</v>
      </c>
      <c r="G385" s="2">
        <v>19452.096152</v>
      </c>
      <c r="H385" s="2" t="s">
        <v>25</v>
      </c>
    </row>
    <row r="386" ht="22.5" customHeight="1">
      <c r="A386" s="2" t="s">
        <v>18</v>
      </c>
      <c r="B386" s="2" t="s">
        <v>276</v>
      </c>
      <c r="C386" s="2" t="s">
        <v>20</v>
      </c>
      <c r="D386" s="2" t="s">
        <v>54</v>
      </c>
      <c r="F386" s="2" t="s">
        <v>277</v>
      </c>
      <c r="G386" s="2">
        <v>14542.782092</v>
      </c>
      <c r="H386" s="2" t="s">
        <v>26</v>
      </c>
    </row>
    <row r="387" ht="22.5" customHeight="1">
      <c r="A387" s="2" t="s">
        <v>18</v>
      </c>
      <c r="B387" s="2" t="s">
        <v>278</v>
      </c>
      <c r="C387" s="2" t="s">
        <v>20</v>
      </c>
      <c r="D387" s="2" t="s">
        <v>21</v>
      </c>
      <c r="E387" s="2" t="s">
        <v>22</v>
      </c>
      <c r="F387" s="2" t="s">
        <v>279</v>
      </c>
      <c r="G387" s="2">
        <v>17778.225941</v>
      </c>
      <c r="H387" s="2" t="s">
        <v>26</v>
      </c>
    </row>
    <row r="388" ht="22.5" customHeight="1">
      <c r="A388" s="2" t="s">
        <v>18</v>
      </c>
      <c r="B388" s="2" t="s">
        <v>278</v>
      </c>
      <c r="C388" s="2" t="s">
        <v>20</v>
      </c>
      <c r="D388" s="2" t="s">
        <v>21</v>
      </c>
      <c r="E388" s="2" t="s">
        <v>22</v>
      </c>
      <c r="F388" s="2" t="s">
        <v>279</v>
      </c>
      <c r="G388" s="2">
        <v>18117.062778</v>
      </c>
      <c r="H388" s="2" t="s">
        <v>24</v>
      </c>
    </row>
    <row r="389" ht="22.5" customHeight="1">
      <c r="A389" s="2" t="s">
        <v>18</v>
      </c>
      <c r="B389" s="2" t="s">
        <v>278</v>
      </c>
      <c r="C389" s="2" t="s">
        <v>20</v>
      </c>
      <c r="D389" s="2" t="s">
        <v>21</v>
      </c>
      <c r="E389" s="2" t="s">
        <v>22</v>
      </c>
      <c r="F389" s="2" t="s">
        <v>279</v>
      </c>
      <c r="G389" s="2">
        <v>18030.558312</v>
      </c>
      <c r="H389" s="2" t="s">
        <v>25</v>
      </c>
    </row>
    <row r="390" ht="22.5" customHeight="1">
      <c r="A390" s="2" t="s">
        <v>18</v>
      </c>
      <c r="B390" s="2" t="s">
        <v>280</v>
      </c>
      <c r="C390" s="2" t="s">
        <v>20</v>
      </c>
      <c r="D390" s="2" t="s">
        <v>21</v>
      </c>
      <c r="E390" s="2" t="s">
        <v>61</v>
      </c>
      <c r="F390" s="2" t="s">
        <v>281</v>
      </c>
      <c r="G390" s="3">
        <v>9292.08</v>
      </c>
      <c r="H390" s="2" t="s">
        <v>25</v>
      </c>
    </row>
    <row r="391" ht="22.5" customHeight="1">
      <c r="A391" s="2" t="s">
        <v>18</v>
      </c>
      <c r="B391" s="2" t="s">
        <v>280</v>
      </c>
      <c r="C391" s="2" t="s">
        <v>20</v>
      </c>
      <c r="D391" s="2" t="s">
        <v>21</v>
      </c>
      <c r="E391" s="2" t="s">
        <v>61</v>
      </c>
      <c r="F391" s="2" t="s">
        <v>281</v>
      </c>
      <c r="G391" s="2">
        <v>15686.20395</v>
      </c>
      <c r="H391" s="2" t="s">
        <v>26</v>
      </c>
    </row>
    <row r="392" ht="22.5" customHeight="1">
      <c r="A392" s="2" t="s">
        <v>18</v>
      </c>
      <c r="B392" s="2" t="s">
        <v>280</v>
      </c>
      <c r="C392" s="2" t="s">
        <v>20</v>
      </c>
      <c r="D392" s="2" t="s">
        <v>21</v>
      </c>
      <c r="E392" s="2" t="s">
        <v>61</v>
      </c>
      <c r="F392" s="2" t="s">
        <v>281</v>
      </c>
      <c r="G392" s="2">
        <v>15964.552952</v>
      </c>
      <c r="H392" s="2" t="s">
        <v>24</v>
      </c>
    </row>
    <row r="393" ht="22.5" customHeight="1">
      <c r="A393" s="2" t="s">
        <v>18</v>
      </c>
      <c r="B393" s="2" t="s">
        <v>280</v>
      </c>
      <c r="C393" s="2" t="s">
        <v>20</v>
      </c>
      <c r="D393" s="2" t="s">
        <v>21</v>
      </c>
      <c r="E393" s="2" t="s">
        <v>61</v>
      </c>
      <c r="F393" s="2" t="s">
        <v>281</v>
      </c>
      <c r="G393" s="3">
        <v>12127.44</v>
      </c>
      <c r="H393" s="4" t="s">
        <v>27</v>
      </c>
    </row>
    <row r="394" ht="22.5" customHeight="1">
      <c r="A394" s="2" t="s">
        <v>18</v>
      </c>
      <c r="B394" s="2" t="s">
        <v>282</v>
      </c>
      <c r="C394" s="2" t="s">
        <v>31</v>
      </c>
      <c r="D394" s="2" t="s">
        <v>47</v>
      </c>
      <c r="F394" s="2" t="s">
        <v>283</v>
      </c>
      <c r="G394" s="2">
        <v>18843.097092</v>
      </c>
      <c r="H394" s="2" t="s">
        <v>26</v>
      </c>
    </row>
    <row r="395" ht="22.5" customHeight="1">
      <c r="A395" s="2" t="s">
        <v>18</v>
      </c>
      <c r="B395" s="2" t="s">
        <v>282</v>
      </c>
      <c r="C395" s="2" t="s">
        <v>31</v>
      </c>
      <c r="D395" s="2" t="s">
        <v>47</v>
      </c>
      <c r="F395" s="2" t="s">
        <v>283</v>
      </c>
      <c r="G395" s="2">
        <v>19201.39405</v>
      </c>
      <c r="H395" s="2" t="s">
        <v>24</v>
      </c>
    </row>
    <row r="396" ht="22.5" customHeight="1">
      <c r="A396" s="2" t="s">
        <v>18</v>
      </c>
      <c r="B396" s="2" t="s">
        <v>282</v>
      </c>
      <c r="C396" s="2" t="s">
        <v>31</v>
      </c>
      <c r="D396" s="2" t="s">
        <v>47</v>
      </c>
      <c r="F396" s="2" t="s">
        <v>283</v>
      </c>
      <c r="G396" s="2">
        <v>19074.754614</v>
      </c>
      <c r="H396" s="2" t="s">
        <v>25</v>
      </c>
    </row>
    <row r="397" ht="22.5" customHeight="1">
      <c r="A397" s="2" t="s">
        <v>18</v>
      </c>
      <c r="B397" s="2" t="s">
        <v>284</v>
      </c>
      <c r="C397" s="2" t="s">
        <v>31</v>
      </c>
      <c r="D397" s="2" t="s">
        <v>54</v>
      </c>
      <c r="F397" s="2" t="s">
        <v>285</v>
      </c>
      <c r="G397" s="2">
        <v>13161.494689</v>
      </c>
      <c r="H397" s="2" t="s">
        <v>24</v>
      </c>
    </row>
    <row r="398" ht="22.5" customHeight="1">
      <c r="A398" s="2" t="s">
        <v>18</v>
      </c>
      <c r="B398" s="2" t="s">
        <v>284</v>
      </c>
      <c r="C398" s="2" t="s">
        <v>31</v>
      </c>
      <c r="D398" s="2" t="s">
        <v>54</v>
      </c>
      <c r="F398" s="2" t="s">
        <v>285</v>
      </c>
      <c r="G398" s="2">
        <v>12913.387193</v>
      </c>
      <c r="H398" s="2" t="s">
        <v>26</v>
      </c>
    </row>
    <row r="399" ht="22.5" customHeight="1">
      <c r="A399" s="2" t="s">
        <v>18</v>
      </c>
      <c r="B399" s="2" t="s">
        <v>284</v>
      </c>
      <c r="C399" s="2" t="s">
        <v>31</v>
      </c>
      <c r="D399" s="2" t="s">
        <v>54</v>
      </c>
      <c r="F399" s="2" t="s">
        <v>285</v>
      </c>
      <c r="G399" s="2">
        <v>13257.012887</v>
      </c>
      <c r="H399" s="2" t="s">
        <v>25</v>
      </c>
    </row>
    <row r="400" ht="22.5" customHeight="1">
      <c r="A400" s="2" t="s">
        <v>18</v>
      </c>
      <c r="B400" s="2" t="s">
        <v>286</v>
      </c>
      <c r="C400" s="2" t="s">
        <v>66</v>
      </c>
      <c r="D400" s="2" t="s">
        <v>192</v>
      </c>
      <c r="F400" s="2" t="s">
        <v>287</v>
      </c>
      <c r="G400" s="2">
        <v>20207.91754</v>
      </c>
      <c r="H400" s="2" t="s">
        <v>25</v>
      </c>
    </row>
    <row r="401" ht="22.5" customHeight="1">
      <c r="A401" s="2" t="s">
        <v>18</v>
      </c>
      <c r="B401" s="2" t="s">
        <v>286</v>
      </c>
      <c r="C401" s="2" t="s">
        <v>66</v>
      </c>
      <c r="D401" s="2" t="s">
        <v>192</v>
      </c>
      <c r="F401" s="2" t="s">
        <v>287</v>
      </c>
      <c r="G401" s="2">
        <v>20063.457943</v>
      </c>
      <c r="H401" s="2" t="s">
        <v>26</v>
      </c>
    </row>
    <row r="402" ht="22.5" customHeight="1">
      <c r="A402" s="2" t="s">
        <v>18</v>
      </c>
      <c r="B402" s="2" t="s">
        <v>286</v>
      </c>
      <c r="C402" s="2" t="s">
        <v>66</v>
      </c>
      <c r="D402" s="2" t="s">
        <v>192</v>
      </c>
      <c r="F402" s="2" t="s">
        <v>287</v>
      </c>
      <c r="G402" s="2">
        <v>20441.8093</v>
      </c>
      <c r="H402" s="2" t="s">
        <v>24</v>
      </c>
    </row>
    <row r="403" ht="22.5" customHeight="1">
      <c r="A403" s="2" t="s">
        <v>18</v>
      </c>
      <c r="B403" s="2" t="s">
        <v>288</v>
      </c>
      <c r="C403" s="4" t="s">
        <v>31</v>
      </c>
      <c r="D403" s="4" t="s">
        <v>54</v>
      </c>
      <c r="F403" s="2" t="s">
        <v>289</v>
      </c>
      <c r="G403" s="2">
        <v>24296.58051</v>
      </c>
      <c r="H403" s="2" t="s">
        <v>26</v>
      </c>
    </row>
    <row r="404" ht="22.5" customHeight="1">
      <c r="A404" s="2" t="s">
        <v>18</v>
      </c>
      <c r="B404" s="2" t="s">
        <v>288</v>
      </c>
      <c r="C404" s="4" t="s">
        <v>31</v>
      </c>
      <c r="D404" s="4" t="s">
        <v>54</v>
      </c>
      <c r="F404" s="2" t="s">
        <v>289</v>
      </c>
      <c r="G404" s="2">
        <v>24765.77046</v>
      </c>
      <c r="H404" s="2" t="s">
        <v>24</v>
      </c>
    </row>
    <row r="405" ht="22.5" customHeight="1">
      <c r="A405" s="2" t="s">
        <v>18</v>
      </c>
      <c r="B405" s="2" t="s">
        <v>288</v>
      </c>
      <c r="C405" s="4" t="s">
        <v>31</v>
      </c>
      <c r="D405" s="4" t="s">
        <v>54</v>
      </c>
      <c r="F405" s="2" t="s">
        <v>289</v>
      </c>
      <c r="G405" s="2">
        <v>24289.39677</v>
      </c>
      <c r="H405" s="2" t="s">
        <v>25</v>
      </c>
    </row>
    <row r="406" ht="22.5" customHeight="1">
      <c r="A406" s="2" t="s">
        <v>18</v>
      </c>
      <c r="B406" s="2" t="s">
        <v>290</v>
      </c>
      <c r="C406" s="2" t="s">
        <v>20</v>
      </c>
      <c r="D406" s="2" t="s">
        <v>21</v>
      </c>
      <c r="E406" s="2" t="s">
        <v>44</v>
      </c>
      <c r="F406" s="2" t="s">
        <v>291</v>
      </c>
      <c r="G406" s="2">
        <v>19153.68456</v>
      </c>
      <c r="H406" s="2" t="s">
        <v>25</v>
      </c>
    </row>
    <row r="407" ht="22.5" customHeight="1">
      <c r="A407" s="2" t="s">
        <v>18</v>
      </c>
      <c r="B407" s="2" t="s">
        <v>290</v>
      </c>
      <c r="C407" s="2" t="s">
        <v>20</v>
      </c>
      <c r="D407" s="2" t="s">
        <v>21</v>
      </c>
      <c r="E407" s="2" t="s">
        <v>44</v>
      </c>
      <c r="F407" s="2" t="s">
        <v>291</v>
      </c>
      <c r="G407" s="2">
        <v>18893.580152</v>
      </c>
      <c r="H407" s="2" t="s">
        <v>26</v>
      </c>
    </row>
    <row r="408" ht="22.5" customHeight="1">
      <c r="A408" s="2" t="s">
        <v>18</v>
      </c>
      <c r="B408" s="2" t="s">
        <v>290</v>
      </c>
      <c r="C408" s="2" t="s">
        <v>20</v>
      </c>
      <c r="D408" s="2" t="s">
        <v>21</v>
      </c>
      <c r="E408" s="2" t="s">
        <v>44</v>
      </c>
      <c r="F408" s="2" t="s">
        <v>291</v>
      </c>
      <c r="G408" s="2">
        <v>19231.678181</v>
      </c>
      <c r="H408" s="2" t="s">
        <v>24</v>
      </c>
    </row>
    <row r="409" ht="22.5" customHeight="1">
      <c r="A409" s="2" t="s">
        <v>18</v>
      </c>
      <c r="B409" s="2" t="s">
        <v>292</v>
      </c>
      <c r="C409" s="2" t="s">
        <v>31</v>
      </c>
      <c r="D409" s="2" t="s">
        <v>187</v>
      </c>
      <c r="E409" s="2" t="s">
        <v>22</v>
      </c>
      <c r="F409" s="2" t="s">
        <v>293</v>
      </c>
      <c r="G409" s="2">
        <v>17773.097092</v>
      </c>
      <c r="H409" s="2" t="s">
        <v>26</v>
      </c>
    </row>
    <row r="410" ht="22.5" customHeight="1">
      <c r="A410" s="2" t="s">
        <v>18</v>
      </c>
      <c r="B410" s="2" t="s">
        <v>292</v>
      </c>
      <c r="C410" s="2" t="s">
        <v>31</v>
      </c>
      <c r="D410" s="2" t="s">
        <v>187</v>
      </c>
      <c r="E410" s="2" t="s">
        <v>22</v>
      </c>
      <c r="F410" s="2" t="s">
        <v>293</v>
      </c>
      <c r="G410" s="2">
        <v>18111.39405</v>
      </c>
      <c r="H410" s="2" t="s">
        <v>24</v>
      </c>
    </row>
    <row r="411" ht="22.5" customHeight="1">
      <c r="A411" s="2" t="s">
        <v>18</v>
      </c>
      <c r="B411" s="2" t="s">
        <v>292</v>
      </c>
      <c r="C411" s="2" t="s">
        <v>31</v>
      </c>
      <c r="D411" s="2" t="s">
        <v>187</v>
      </c>
      <c r="E411" s="2" t="s">
        <v>22</v>
      </c>
      <c r="F411" s="2" t="s">
        <v>293</v>
      </c>
      <c r="G411" s="2">
        <v>18024.754614</v>
      </c>
      <c r="H411" s="2" t="s">
        <v>25</v>
      </c>
    </row>
    <row r="412" ht="22.5" customHeight="1">
      <c r="A412" s="2" t="s">
        <v>18</v>
      </c>
      <c r="B412" s="2" t="s">
        <v>294</v>
      </c>
      <c r="C412" s="2" t="s">
        <v>31</v>
      </c>
      <c r="D412" s="2" t="s">
        <v>54</v>
      </c>
      <c r="F412" s="2" t="s">
        <v>295</v>
      </c>
      <c r="G412" s="2">
        <v>21786.40512</v>
      </c>
      <c r="H412" s="2" t="s">
        <v>25</v>
      </c>
    </row>
    <row r="413" ht="22.5" customHeight="1">
      <c r="A413" s="2" t="s">
        <v>18</v>
      </c>
      <c r="B413" s="2" t="s">
        <v>294</v>
      </c>
      <c r="C413" s="2" t="s">
        <v>31</v>
      </c>
      <c r="D413" s="2" t="s">
        <v>54</v>
      </c>
      <c r="F413" s="2" t="s">
        <v>295</v>
      </c>
      <c r="G413" s="2">
        <v>20686.97919</v>
      </c>
      <c r="H413" s="2" t="s">
        <v>26</v>
      </c>
    </row>
    <row r="414" ht="22.5" customHeight="1">
      <c r="A414" s="2" t="s">
        <v>18</v>
      </c>
      <c r="B414" s="2" t="s">
        <v>294</v>
      </c>
      <c r="C414" s="2" t="s">
        <v>31</v>
      </c>
      <c r="D414" s="2" t="s">
        <v>54</v>
      </c>
      <c r="F414" s="2" t="s">
        <v>295</v>
      </c>
      <c r="G414" s="2">
        <v>20176.369</v>
      </c>
      <c r="H414" s="2" t="s">
        <v>24</v>
      </c>
    </row>
    <row r="415" ht="22.5" customHeight="1">
      <c r="A415" s="2" t="s">
        <v>18</v>
      </c>
      <c r="B415" s="2" t="s">
        <v>296</v>
      </c>
      <c r="C415" s="2" t="s">
        <v>20</v>
      </c>
      <c r="D415" s="2" t="s">
        <v>21</v>
      </c>
      <c r="E415" s="2" t="s">
        <v>41</v>
      </c>
      <c r="F415" s="2" t="s">
        <v>297</v>
      </c>
      <c r="G415" s="3">
        <v>9213.720000000001</v>
      </c>
      <c r="H415" s="4" t="s">
        <v>27</v>
      </c>
    </row>
    <row r="416" ht="22.5" customHeight="1">
      <c r="A416" s="2" t="s">
        <v>18</v>
      </c>
      <c r="B416" s="2" t="s">
        <v>296</v>
      </c>
      <c r="C416" s="2" t="s">
        <v>20</v>
      </c>
      <c r="D416" s="2" t="s">
        <v>21</v>
      </c>
      <c r="E416" s="2" t="s">
        <v>41</v>
      </c>
      <c r="F416" s="2" t="s">
        <v>297</v>
      </c>
      <c r="G416" s="3">
        <v>19567.74224</v>
      </c>
      <c r="H416" s="2" t="s">
        <v>25</v>
      </c>
    </row>
    <row r="417" ht="22.5" customHeight="1">
      <c r="A417" s="2" t="s">
        <v>18</v>
      </c>
      <c r="B417" s="2" t="s">
        <v>298</v>
      </c>
      <c r="C417" s="2" t="s">
        <v>20</v>
      </c>
      <c r="D417" s="2" t="s">
        <v>54</v>
      </c>
      <c r="F417" s="2" t="s">
        <v>299</v>
      </c>
      <c r="G417" s="2">
        <v>9599.206537</v>
      </c>
      <c r="H417" s="2" t="s">
        <v>26</v>
      </c>
    </row>
    <row r="418" ht="22.5" customHeight="1">
      <c r="A418" s="2" t="s">
        <v>18</v>
      </c>
      <c r="B418" s="2" t="s">
        <v>298</v>
      </c>
      <c r="C418" s="2" t="s">
        <v>20</v>
      </c>
      <c r="D418" s="2" t="s">
        <v>54</v>
      </c>
      <c r="F418" s="2" t="s">
        <v>299</v>
      </c>
      <c r="G418" s="2">
        <v>19037.435568</v>
      </c>
      <c r="H418" s="2" t="s">
        <v>25</v>
      </c>
    </row>
    <row r="419" ht="22.5" customHeight="1">
      <c r="A419" s="2" t="s">
        <v>18</v>
      </c>
      <c r="B419" s="2" t="s">
        <v>298</v>
      </c>
      <c r="C419" s="2" t="s">
        <v>20</v>
      </c>
      <c r="D419" s="2" t="s">
        <v>54</v>
      </c>
      <c r="F419" s="2" t="s">
        <v>299</v>
      </c>
      <c r="G419" s="2">
        <v>19265.007247</v>
      </c>
      <c r="H419" s="2" t="s">
        <v>24</v>
      </c>
    </row>
    <row r="420" ht="22.5" customHeight="1">
      <c r="A420" s="2" t="s">
        <v>18</v>
      </c>
      <c r="B420" s="2" t="s">
        <v>300</v>
      </c>
      <c r="C420" s="2" t="s">
        <v>20</v>
      </c>
      <c r="D420" s="2" t="s">
        <v>54</v>
      </c>
      <c r="F420" s="2" t="s">
        <v>301</v>
      </c>
      <c r="G420" s="2">
        <v>7350.0</v>
      </c>
      <c r="H420" s="2" t="s">
        <v>24</v>
      </c>
    </row>
    <row r="421" ht="22.5" customHeight="1">
      <c r="A421" s="2" t="s">
        <v>18</v>
      </c>
      <c r="B421" s="2" t="s">
        <v>300</v>
      </c>
      <c r="C421" s="2" t="s">
        <v>20</v>
      </c>
      <c r="D421" s="2" t="s">
        <v>54</v>
      </c>
      <c r="F421" s="2" t="s">
        <v>301</v>
      </c>
      <c r="G421" s="2">
        <v>10059.743257</v>
      </c>
      <c r="H421" s="2" t="s">
        <v>26</v>
      </c>
    </row>
    <row r="422" ht="22.5" customHeight="1">
      <c r="A422" s="2" t="s">
        <v>18</v>
      </c>
      <c r="B422" s="2" t="s">
        <v>300</v>
      </c>
      <c r="C422" s="2" t="s">
        <v>20</v>
      </c>
      <c r="D422" s="2" t="s">
        <v>54</v>
      </c>
      <c r="F422" s="2" t="s">
        <v>301</v>
      </c>
      <c r="G422" s="2">
        <v>13202.829051</v>
      </c>
      <c r="H422" s="2" t="s">
        <v>25</v>
      </c>
    </row>
    <row r="423" ht="22.5" customHeight="1">
      <c r="A423" s="2" t="s">
        <v>18</v>
      </c>
      <c r="B423" s="2" t="s">
        <v>302</v>
      </c>
      <c r="C423" s="2" t="s">
        <v>20</v>
      </c>
      <c r="D423" s="2" t="s">
        <v>21</v>
      </c>
      <c r="E423" s="2" t="s">
        <v>44</v>
      </c>
      <c r="F423" s="2" t="s">
        <v>303</v>
      </c>
      <c r="G423" s="2">
        <v>17051.678181</v>
      </c>
      <c r="H423" s="2" t="s">
        <v>24</v>
      </c>
    </row>
    <row r="424" ht="22.5" customHeight="1">
      <c r="A424" s="2" t="s">
        <v>18</v>
      </c>
      <c r="B424" s="2" t="s">
        <v>302</v>
      </c>
      <c r="C424" s="2" t="s">
        <v>20</v>
      </c>
      <c r="D424" s="2" t="s">
        <v>21</v>
      </c>
      <c r="E424" s="2" t="s">
        <v>44</v>
      </c>
      <c r="F424" s="2" t="s">
        <v>303</v>
      </c>
      <c r="G424" s="2">
        <v>16753.580152</v>
      </c>
      <c r="H424" s="2" t="s">
        <v>26</v>
      </c>
    </row>
    <row r="425" ht="22.5" customHeight="1">
      <c r="A425" s="2" t="s">
        <v>18</v>
      </c>
      <c r="B425" s="2" t="s">
        <v>302</v>
      </c>
      <c r="C425" s="2" t="s">
        <v>20</v>
      </c>
      <c r="D425" s="2" t="s">
        <v>21</v>
      </c>
      <c r="E425" s="2" t="s">
        <v>44</v>
      </c>
      <c r="F425" s="2" t="s">
        <v>303</v>
      </c>
      <c r="G425" s="2">
        <v>16686.18456</v>
      </c>
      <c r="H425" s="2" t="s">
        <v>25</v>
      </c>
    </row>
    <row r="426" ht="22.5" customHeight="1">
      <c r="A426" s="2" t="s">
        <v>18</v>
      </c>
      <c r="B426" s="2" t="s">
        <v>304</v>
      </c>
      <c r="C426" s="2" t="s">
        <v>20</v>
      </c>
      <c r="D426" s="2" t="s">
        <v>21</v>
      </c>
      <c r="E426" s="2" t="s">
        <v>44</v>
      </c>
      <c r="F426" s="2" t="s">
        <v>305</v>
      </c>
      <c r="G426" s="2">
        <v>14145.9939</v>
      </c>
      <c r="H426" s="2" t="s">
        <v>25</v>
      </c>
    </row>
    <row r="427" ht="22.5" customHeight="1">
      <c r="A427" s="2" t="s">
        <v>18</v>
      </c>
      <c r="B427" s="2" t="s">
        <v>304</v>
      </c>
      <c r="C427" s="2" t="s">
        <v>20</v>
      </c>
      <c r="D427" s="2" t="s">
        <v>21</v>
      </c>
      <c r="E427" s="2" t="s">
        <v>44</v>
      </c>
      <c r="F427" s="2" t="s">
        <v>305</v>
      </c>
      <c r="G427" s="2">
        <v>16753.580152</v>
      </c>
      <c r="H427" s="2" t="s">
        <v>26</v>
      </c>
    </row>
    <row r="428" ht="22.5" customHeight="1">
      <c r="A428" s="2" t="s">
        <v>18</v>
      </c>
      <c r="B428" s="2" t="s">
        <v>304</v>
      </c>
      <c r="C428" s="2" t="s">
        <v>20</v>
      </c>
      <c r="D428" s="2" t="s">
        <v>21</v>
      </c>
      <c r="E428" s="2" t="s">
        <v>44</v>
      </c>
      <c r="F428" s="2" t="s">
        <v>305</v>
      </c>
      <c r="G428" s="2">
        <v>17051.678181</v>
      </c>
      <c r="H428" s="2" t="s">
        <v>24</v>
      </c>
    </row>
    <row r="429" ht="22.5" customHeight="1">
      <c r="A429" s="2" t="s">
        <v>18</v>
      </c>
      <c r="B429" s="2" t="s">
        <v>306</v>
      </c>
      <c r="C429" s="2" t="s">
        <v>20</v>
      </c>
      <c r="D429" s="2" t="s">
        <v>21</v>
      </c>
      <c r="E429" s="4" t="s">
        <v>22</v>
      </c>
      <c r="F429" s="2" t="s">
        <v>307</v>
      </c>
      <c r="G429" s="2">
        <v>15685.577941</v>
      </c>
      <c r="H429" s="2" t="s">
        <v>26</v>
      </c>
    </row>
    <row r="430" ht="22.5" customHeight="1">
      <c r="A430" s="2" t="s">
        <v>18</v>
      </c>
      <c r="B430" s="2" t="s">
        <v>306</v>
      </c>
      <c r="C430" s="2" t="s">
        <v>20</v>
      </c>
      <c r="D430" s="2" t="s">
        <v>21</v>
      </c>
      <c r="E430" s="4" t="s">
        <v>22</v>
      </c>
      <c r="F430" s="2" t="s">
        <v>307</v>
      </c>
      <c r="G430" s="2">
        <v>15989.399199</v>
      </c>
      <c r="H430" s="2" t="s">
        <v>24</v>
      </c>
    </row>
    <row r="431" ht="22.5" customHeight="1">
      <c r="A431" s="2" t="s">
        <v>18</v>
      </c>
      <c r="B431" s="2" t="s">
        <v>306</v>
      </c>
      <c r="C431" s="2" t="s">
        <v>20</v>
      </c>
      <c r="D431" s="2" t="s">
        <v>21</v>
      </c>
      <c r="E431" s="4" t="s">
        <v>22</v>
      </c>
      <c r="F431" s="2" t="s">
        <v>307</v>
      </c>
      <c r="G431" s="2">
        <v>15881.92591</v>
      </c>
      <c r="H431" s="2" t="s">
        <v>25</v>
      </c>
    </row>
    <row r="432" ht="22.5" customHeight="1">
      <c r="A432" s="2" t="s">
        <v>18</v>
      </c>
      <c r="B432" s="2" t="s">
        <v>308</v>
      </c>
      <c r="C432" s="2" t="s">
        <v>31</v>
      </c>
      <c r="D432" s="2" t="s">
        <v>187</v>
      </c>
      <c r="F432" s="2" t="s">
        <v>309</v>
      </c>
      <c r="G432" s="2">
        <v>7350.0</v>
      </c>
      <c r="H432" s="2" t="s">
        <v>24</v>
      </c>
    </row>
    <row r="433" ht="22.5" customHeight="1">
      <c r="A433" s="2" t="s">
        <v>18</v>
      </c>
      <c r="B433" s="2" t="s">
        <v>310</v>
      </c>
      <c r="C433" s="2" t="s">
        <v>20</v>
      </c>
      <c r="D433" s="2" t="s">
        <v>21</v>
      </c>
      <c r="E433" s="2" t="s">
        <v>41</v>
      </c>
      <c r="F433" s="2" t="s">
        <v>311</v>
      </c>
      <c r="G433" s="2">
        <v>16335.548181</v>
      </c>
      <c r="H433" s="2" t="s">
        <v>24</v>
      </c>
    </row>
    <row r="434" ht="22.5" customHeight="1">
      <c r="A434" s="2" t="s">
        <v>18</v>
      </c>
      <c r="B434" s="2" t="s">
        <v>310</v>
      </c>
      <c r="C434" s="2" t="s">
        <v>20</v>
      </c>
      <c r="D434" s="2" t="s">
        <v>21</v>
      </c>
      <c r="E434" s="2" t="s">
        <v>41</v>
      </c>
      <c r="F434" s="2" t="s">
        <v>311</v>
      </c>
      <c r="G434" s="3">
        <v>14227.44</v>
      </c>
      <c r="H434" s="2" t="s">
        <v>25</v>
      </c>
    </row>
    <row r="435" ht="22.5" customHeight="1">
      <c r="A435" s="2" t="s">
        <v>18</v>
      </c>
      <c r="B435" s="2" t="s">
        <v>310</v>
      </c>
      <c r="C435" s="2" t="s">
        <v>20</v>
      </c>
      <c r="D435" s="2" t="s">
        <v>21</v>
      </c>
      <c r="E435" s="2" t="s">
        <v>41</v>
      </c>
      <c r="F435" s="2" t="s">
        <v>311</v>
      </c>
      <c r="G435" s="2">
        <v>17823.580152</v>
      </c>
      <c r="H435" s="2" t="s">
        <v>26</v>
      </c>
    </row>
    <row r="436" ht="22.5" customHeight="1">
      <c r="A436" s="2" t="s">
        <v>18</v>
      </c>
      <c r="B436" s="2" t="s">
        <v>310</v>
      </c>
      <c r="C436" s="2" t="s">
        <v>20</v>
      </c>
      <c r="D436" s="2" t="s">
        <v>21</v>
      </c>
      <c r="E436" s="2" t="s">
        <v>41</v>
      </c>
      <c r="F436" s="2" t="s">
        <v>311</v>
      </c>
      <c r="G436" s="3">
        <v>14227.44</v>
      </c>
      <c r="H436" s="4" t="s">
        <v>27</v>
      </c>
    </row>
    <row r="437" ht="22.5" customHeight="1">
      <c r="A437" s="2" t="s">
        <v>18</v>
      </c>
      <c r="B437" s="2" t="s">
        <v>312</v>
      </c>
      <c r="C437" s="2" t="s">
        <v>31</v>
      </c>
      <c r="D437" s="2" t="s">
        <v>98</v>
      </c>
      <c r="F437" s="2" t="s">
        <v>313</v>
      </c>
      <c r="G437" s="2">
        <v>21120.15378</v>
      </c>
      <c r="H437" s="2" t="s">
        <v>26</v>
      </c>
    </row>
    <row r="438" ht="22.5" customHeight="1">
      <c r="A438" s="2" t="s">
        <v>18</v>
      </c>
      <c r="B438" s="2" t="s">
        <v>312</v>
      </c>
      <c r="C438" s="2" t="s">
        <v>31</v>
      </c>
      <c r="D438" s="2" t="s">
        <v>98</v>
      </c>
      <c r="F438" s="2" t="s">
        <v>313</v>
      </c>
      <c r="G438" s="2">
        <v>21517.17472</v>
      </c>
      <c r="H438" s="2" t="s">
        <v>24</v>
      </c>
    </row>
    <row r="439" ht="22.5" customHeight="1">
      <c r="A439" s="2" t="s">
        <v>18</v>
      </c>
      <c r="B439" s="2" t="s">
        <v>312</v>
      </c>
      <c r="C439" s="2" t="s">
        <v>31</v>
      </c>
      <c r="D439" s="2" t="s">
        <v>98</v>
      </c>
      <c r="F439" s="2" t="s">
        <v>313</v>
      </c>
      <c r="G439" s="2">
        <v>21243.28296</v>
      </c>
      <c r="H439" s="2" t="s">
        <v>25</v>
      </c>
    </row>
    <row r="440" ht="22.5" customHeight="1">
      <c r="A440" s="2" t="s">
        <v>18</v>
      </c>
      <c r="B440" s="2" t="s">
        <v>314</v>
      </c>
      <c r="C440" s="2" t="s">
        <v>31</v>
      </c>
      <c r="D440" s="2" t="s">
        <v>187</v>
      </c>
      <c r="E440" s="2" t="s">
        <v>22</v>
      </c>
      <c r="F440" s="2" t="s">
        <v>315</v>
      </c>
      <c r="G440" s="2">
        <v>13045.633175</v>
      </c>
      <c r="H440" s="2" t="s">
        <v>26</v>
      </c>
    </row>
    <row r="441" ht="22.5" customHeight="1">
      <c r="A441" s="2" t="s">
        <v>18</v>
      </c>
      <c r="B441" s="2" t="s">
        <v>314</v>
      </c>
      <c r="C441" s="2" t="s">
        <v>31</v>
      </c>
      <c r="D441" s="2" t="s">
        <v>187</v>
      </c>
      <c r="E441" s="2" t="s">
        <v>22</v>
      </c>
      <c r="F441" s="2" t="s">
        <v>315</v>
      </c>
      <c r="G441" s="2">
        <v>13291.944052</v>
      </c>
      <c r="H441" s="2" t="s">
        <v>24</v>
      </c>
    </row>
    <row r="442" ht="22.5" customHeight="1">
      <c r="A442" s="2" t="s">
        <v>18</v>
      </c>
      <c r="B442" s="2" t="s">
        <v>314</v>
      </c>
      <c r="C442" s="2" t="s">
        <v>31</v>
      </c>
      <c r="D442" s="2" t="s">
        <v>187</v>
      </c>
      <c r="E442" s="2" t="s">
        <v>22</v>
      </c>
      <c r="F442" s="2" t="s">
        <v>315</v>
      </c>
      <c r="G442" s="2">
        <v>14658.132292</v>
      </c>
      <c r="H442" s="2" t="s">
        <v>25</v>
      </c>
    </row>
    <row r="443" ht="22.5" customHeight="1">
      <c r="A443" s="2" t="s">
        <v>18</v>
      </c>
      <c r="B443" s="2" t="s">
        <v>316</v>
      </c>
      <c r="C443" s="2" t="s">
        <v>20</v>
      </c>
      <c r="D443" s="2" t="s">
        <v>54</v>
      </c>
      <c r="F443" s="2" t="s">
        <v>317</v>
      </c>
      <c r="G443" s="2">
        <v>16518.122589</v>
      </c>
      <c r="H443" s="2" t="s">
        <v>25</v>
      </c>
    </row>
    <row r="444" ht="22.5" customHeight="1">
      <c r="A444" s="2" t="s">
        <v>18</v>
      </c>
      <c r="B444" s="2" t="s">
        <v>316</v>
      </c>
      <c r="C444" s="2" t="s">
        <v>20</v>
      </c>
      <c r="D444" s="2" t="s">
        <v>54</v>
      </c>
      <c r="F444" s="2" t="s">
        <v>317</v>
      </c>
      <c r="G444" s="2">
        <v>16300.94857</v>
      </c>
      <c r="H444" s="2" t="s">
        <v>26</v>
      </c>
    </row>
    <row r="445" ht="22.5" customHeight="1">
      <c r="A445" s="2" t="s">
        <v>18</v>
      </c>
      <c r="B445" s="2" t="s">
        <v>316</v>
      </c>
      <c r="C445" s="2" t="s">
        <v>20</v>
      </c>
      <c r="D445" s="2" t="s">
        <v>54</v>
      </c>
      <c r="F445" s="2" t="s">
        <v>317</v>
      </c>
      <c r="G445" s="2">
        <v>16598.800683</v>
      </c>
      <c r="H445" s="2" t="s">
        <v>24</v>
      </c>
    </row>
    <row r="446" ht="22.5" customHeight="1">
      <c r="A446" s="2" t="s">
        <v>18</v>
      </c>
      <c r="B446" s="2" t="s">
        <v>318</v>
      </c>
      <c r="C446" s="2" t="s">
        <v>31</v>
      </c>
      <c r="D446" s="2" t="s">
        <v>113</v>
      </c>
      <c r="F446" s="2" t="s">
        <v>319</v>
      </c>
      <c r="G446" s="2">
        <v>66396.25229</v>
      </c>
      <c r="H446" s="2" t="s">
        <v>25</v>
      </c>
    </row>
    <row r="447" ht="22.5" customHeight="1">
      <c r="A447" s="2" t="s">
        <v>18</v>
      </c>
      <c r="B447" s="2" t="s">
        <v>320</v>
      </c>
      <c r="C447" s="2" t="s">
        <v>31</v>
      </c>
      <c r="D447" s="2" t="s">
        <v>113</v>
      </c>
      <c r="F447" s="2" t="s">
        <v>319</v>
      </c>
      <c r="G447" s="2">
        <v>68390.14405</v>
      </c>
      <c r="H447" s="2" t="s">
        <v>24</v>
      </c>
    </row>
    <row r="448" ht="22.5" customHeight="1">
      <c r="A448" s="2" t="s">
        <v>18</v>
      </c>
      <c r="B448" s="2" t="s">
        <v>320</v>
      </c>
      <c r="C448" s="2" t="s">
        <v>31</v>
      </c>
      <c r="D448" s="2" t="s">
        <v>113</v>
      </c>
      <c r="F448" s="2" t="s">
        <v>319</v>
      </c>
      <c r="G448" s="2">
        <v>67132.85317</v>
      </c>
      <c r="H448" s="2" t="s">
        <v>26</v>
      </c>
    </row>
    <row r="449" ht="22.5" customHeight="1">
      <c r="A449" s="2" t="s">
        <v>18</v>
      </c>
      <c r="B449" s="2" t="s">
        <v>321</v>
      </c>
      <c r="C449" s="2" t="s">
        <v>20</v>
      </c>
      <c r="D449" s="2" t="s">
        <v>21</v>
      </c>
      <c r="E449" s="2" t="s">
        <v>44</v>
      </c>
      <c r="F449" s="2" t="s">
        <v>322</v>
      </c>
      <c r="G449" s="2">
        <v>12011.248991</v>
      </c>
      <c r="H449" s="2" t="s">
        <v>25</v>
      </c>
    </row>
    <row r="450" ht="22.5" customHeight="1">
      <c r="A450" s="2" t="s">
        <v>18</v>
      </c>
      <c r="B450" s="2" t="s">
        <v>323</v>
      </c>
      <c r="C450" s="2" t="s">
        <v>20</v>
      </c>
      <c r="D450" s="2" t="s">
        <v>21</v>
      </c>
      <c r="E450" s="2" t="s">
        <v>44</v>
      </c>
      <c r="F450" s="2" t="s">
        <v>324</v>
      </c>
      <c r="G450" s="2">
        <v>18118.442615</v>
      </c>
      <c r="H450" s="2" t="s">
        <v>25</v>
      </c>
    </row>
    <row r="451" ht="22.5" customHeight="1">
      <c r="A451" s="2" t="s">
        <v>18</v>
      </c>
      <c r="B451" s="2" t="s">
        <v>323</v>
      </c>
      <c r="C451" s="2" t="s">
        <v>20</v>
      </c>
      <c r="D451" s="2" t="s">
        <v>21</v>
      </c>
      <c r="E451" s="2" t="s">
        <v>44</v>
      </c>
      <c r="F451" s="2" t="s">
        <v>324</v>
      </c>
      <c r="G451" s="2">
        <v>17836.51173</v>
      </c>
      <c r="H451" s="2" t="s">
        <v>26</v>
      </c>
    </row>
    <row r="452" ht="22.5" customHeight="1">
      <c r="A452" s="2" t="s">
        <v>18</v>
      </c>
      <c r="B452" s="2" t="s">
        <v>323</v>
      </c>
      <c r="C452" s="2" t="s">
        <v>20</v>
      </c>
      <c r="D452" s="2" t="s">
        <v>21</v>
      </c>
      <c r="E452" s="2" t="s">
        <v>44</v>
      </c>
      <c r="F452" s="2" t="s">
        <v>324</v>
      </c>
      <c r="G452" s="2">
        <v>17789.606693</v>
      </c>
      <c r="H452" s="2" t="s">
        <v>24</v>
      </c>
    </row>
    <row r="453" ht="22.5" customHeight="1">
      <c r="A453" s="2" t="s">
        <v>18</v>
      </c>
      <c r="B453" s="2" t="s">
        <v>325</v>
      </c>
      <c r="C453" s="2" t="s">
        <v>20</v>
      </c>
      <c r="D453" s="2" t="s">
        <v>21</v>
      </c>
      <c r="E453" s="2" t="s">
        <v>44</v>
      </c>
      <c r="F453" s="2" t="s">
        <v>326</v>
      </c>
      <c r="G453" s="2">
        <v>3184.9965</v>
      </c>
      <c r="H453" s="2" t="s">
        <v>25</v>
      </c>
    </row>
    <row r="454" ht="22.5" customHeight="1">
      <c r="A454" s="2" t="s">
        <v>18</v>
      </c>
      <c r="B454" s="2" t="s">
        <v>327</v>
      </c>
      <c r="C454" s="2" t="s">
        <v>20</v>
      </c>
      <c r="D454" s="2" t="s">
        <v>21</v>
      </c>
      <c r="E454" s="2" t="s">
        <v>44</v>
      </c>
      <c r="F454" s="2" t="s">
        <v>328</v>
      </c>
      <c r="G454" s="3">
        <v>16103.010583000001</v>
      </c>
      <c r="H454" s="2" t="s">
        <v>25</v>
      </c>
    </row>
    <row r="455" ht="22.5" customHeight="1">
      <c r="A455" s="2" t="s">
        <v>18</v>
      </c>
      <c r="B455" s="2" t="s">
        <v>327</v>
      </c>
      <c r="C455" s="2" t="s">
        <v>20</v>
      </c>
      <c r="D455" s="2" t="s">
        <v>21</v>
      </c>
      <c r="E455" s="2" t="s">
        <v>44</v>
      </c>
      <c r="F455" s="2" t="s">
        <v>328</v>
      </c>
      <c r="G455" s="2">
        <v>17823.580152</v>
      </c>
      <c r="H455" s="2" t="s">
        <v>26</v>
      </c>
    </row>
    <row r="456" ht="22.5" customHeight="1">
      <c r="A456" s="2" t="s">
        <v>18</v>
      </c>
      <c r="B456" s="2" t="s">
        <v>327</v>
      </c>
      <c r="C456" s="2" t="s">
        <v>20</v>
      </c>
      <c r="D456" s="2" t="s">
        <v>21</v>
      </c>
      <c r="E456" s="2" t="s">
        <v>44</v>
      </c>
      <c r="F456" s="2" t="s">
        <v>328</v>
      </c>
      <c r="G456" s="2">
        <v>18141.678181</v>
      </c>
      <c r="H456" s="2" t="s">
        <v>24</v>
      </c>
    </row>
    <row r="457" ht="22.5" customHeight="1">
      <c r="A457" s="2" t="s">
        <v>18</v>
      </c>
      <c r="B457" s="2" t="s">
        <v>327</v>
      </c>
      <c r="C457" s="2" t="s">
        <v>20</v>
      </c>
      <c r="D457" s="2" t="s">
        <v>21</v>
      </c>
      <c r="E457" s="2" t="s">
        <v>44</v>
      </c>
      <c r="F457" s="2" t="s">
        <v>328</v>
      </c>
      <c r="G457" s="3">
        <v>14227.44</v>
      </c>
      <c r="H457" s="4" t="s">
        <v>27</v>
      </c>
    </row>
    <row r="458" ht="22.5" customHeight="1">
      <c r="A458" s="2" t="s">
        <v>18</v>
      </c>
      <c r="B458" s="2" t="s">
        <v>329</v>
      </c>
      <c r="C458" s="2" t="s">
        <v>20</v>
      </c>
      <c r="D458" s="2" t="s">
        <v>21</v>
      </c>
      <c r="E458" s="2" t="s">
        <v>41</v>
      </c>
      <c r="F458" s="2" t="s">
        <v>330</v>
      </c>
      <c r="G458" s="3">
        <v>19567.74224</v>
      </c>
      <c r="H458" s="2" t="s">
        <v>25</v>
      </c>
    </row>
    <row r="459" ht="22.5" customHeight="1">
      <c r="A459" s="2" t="s">
        <v>18</v>
      </c>
      <c r="B459" s="2" t="s">
        <v>329</v>
      </c>
      <c r="C459" s="2" t="s">
        <v>20</v>
      </c>
      <c r="D459" s="2" t="s">
        <v>21</v>
      </c>
      <c r="E459" s="2" t="s">
        <v>41</v>
      </c>
      <c r="F459" s="2" t="s">
        <v>330</v>
      </c>
      <c r="G459" s="3">
        <v>13768.16</v>
      </c>
      <c r="H459" s="4" t="s">
        <v>27</v>
      </c>
    </row>
    <row r="460" ht="22.5" customHeight="1">
      <c r="A460" s="2" t="s">
        <v>18</v>
      </c>
      <c r="B460" s="2" t="s">
        <v>331</v>
      </c>
      <c r="C460" s="2" t="s">
        <v>20</v>
      </c>
      <c r="D460" s="2" t="s">
        <v>21</v>
      </c>
      <c r="E460" s="2" t="s">
        <v>22</v>
      </c>
      <c r="F460" s="2" t="s">
        <v>332</v>
      </c>
      <c r="G460" s="2">
        <v>7350.0</v>
      </c>
      <c r="H460" s="2" t="s">
        <v>24</v>
      </c>
    </row>
    <row r="461" ht="22.5" customHeight="1">
      <c r="A461" s="2" t="s">
        <v>18</v>
      </c>
      <c r="B461" s="2" t="s">
        <v>331</v>
      </c>
      <c r="C461" s="2" t="s">
        <v>20</v>
      </c>
      <c r="D461" s="2" t="s">
        <v>21</v>
      </c>
      <c r="E461" s="2" t="s">
        <v>22</v>
      </c>
      <c r="F461" s="2" t="s">
        <v>332</v>
      </c>
      <c r="G461" s="2">
        <v>3675.0</v>
      </c>
      <c r="H461" s="2" t="s">
        <v>26</v>
      </c>
    </row>
    <row r="462" ht="22.5" customHeight="1">
      <c r="A462" s="2" t="s">
        <v>18</v>
      </c>
      <c r="B462" s="2" t="s">
        <v>333</v>
      </c>
      <c r="C462" s="2" t="s">
        <v>20</v>
      </c>
      <c r="D462" s="2" t="s">
        <v>21</v>
      </c>
      <c r="E462" s="4" t="s">
        <v>35</v>
      </c>
      <c r="F462" s="2" t="s">
        <v>334</v>
      </c>
      <c r="G462" s="3">
        <v>18427.440000000002</v>
      </c>
      <c r="H462" s="2" t="s">
        <v>25</v>
      </c>
    </row>
    <row r="463" ht="22.5" customHeight="1">
      <c r="A463" s="2" t="s">
        <v>18</v>
      </c>
      <c r="B463" s="2" t="s">
        <v>333</v>
      </c>
      <c r="C463" s="2" t="s">
        <v>20</v>
      </c>
      <c r="D463" s="2" t="s">
        <v>21</v>
      </c>
      <c r="E463" s="4" t="s">
        <v>35</v>
      </c>
      <c r="F463" s="2" t="s">
        <v>334</v>
      </c>
      <c r="G463" s="2">
        <v>22103.58015</v>
      </c>
      <c r="H463" s="2" t="s">
        <v>26</v>
      </c>
    </row>
    <row r="464" ht="22.5" customHeight="1">
      <c r="A464" s="2" t="s">
        <v>18</v>
      </c>
      <c r="B464" s="2" t="s">
        <v>333</v>
      </c>
      <c r="C464" s="2" t="s">
        <v>20</v>
      </c>
      <c r="D464" s="2" t="s">
        <v>21</v>
      </c>
      <c r="E464" s="4" t="s">
        <v>35</v>
      </c>
      <c r="F464" s="2" t="s">
        <v>334</v>
      </c>
      <c r="G464" s="2">
        <v>8223.170779</v>
      </c>
      <c r="H464" s="2" t="s">
        <v>24</v>
      </c>
    </row>
    <row r="465" ht="22.5" customHeight="1">
      <c r="A465" s="2" t="s">
        <v>18</v>
      </c>
      <c r="B465" s="2" t="s">
        <v>333</v>
      </c>
      <c r="C465" s="2" t="s">
        <v>20</v>
      </c>
      <c r="D465" s="2" t="s">
        <v>21</v>
      </c>
      <c r="E465" s="4" t="s">
        <v>35</v>
      </c>
      <c r="F465" s="2" t="s">
        <v>334</v>
      </c>
      <c r="G465" s="3">
        <v>18427.440000000002</v>
      </c>
      <c r="H465" s="4" t="s">
        <v>27</v>
      </c>
    </row>
    <row r="466" ht="22.5" customHeight="1">
      <c r="A466" s="2" t="s">
        <v>18</v>
      </c>
      <c r="B466" s="2" t="s">
        <v>335</v>
      </c>
      <c r="C466" s="2" t="s">
        <v>20</v>
      </c>
      <c r="D466" s="2" t="s">
        <v>21</v>
      </c>
      <c r="E466" s="2" t="s">
        <v>22</v>
      </c>
      <c r="F466" s="2" t="s">
        <v>336</v>
      </c>
      <c r="G466" s="2">
        <v>14597.59959</v>
      </c>
      <c r="H466" s="2" t="s">
        <v>26</v>
      </c>
    </row>
    <row r="467" ht="22.5" customHeight="1">
      <c r="A467" s="2" t="s">
        <v>18</v>
      </c>
      <c r="B467" s="2" t="s">
        <v>335</v>
      </c>
      <c r="C467" s="2" t="s">
        <v>20</v>
      </c>
      <c r="D467" s="2" t="s">
        <v>21</v>
      </c>
      <c r="E467" s="2" t="s">
        <v>22</v>
      </c>
      <c r="F467" s="2" t="s">
        <v>336</v>
      </c>
      <c r="G467" s="2">
        <v>15931.39405</v>
      </c>
      <c r="H467" s="2" t="s">
        <v>24</v>
      </c>
    </row>
    <row r="468" ht="22.5" customHeight="1">
      <c r="A468" s="2" t="s">
        <v>18</v>
      </c>
      <c r="B468" s="2" t="s">
        <v>335</v>
      </c>
      <c r="C468" s="2" t="s">
        <v>20</v>
      </c>
      <c r="D468" s="2" t="s">
        <v>21</v>
      </c>
      <c r="E468" s="2" t="s">
        <v>22</v>
      </c>
      <c r="F468" s="2" t="s">
        <v>336</v>
      </c>
      <c r="G468" s="2">
        <v>11622.781714</v>
      </c>
      <c r="H468" s="2" t="s">
        <v>25</v>
      </c>
    </row>
    <row r="469" ht="22.5" customHeight="1">
      <c r="A469" s="2" t="s">
        <v>18</v>
      </c>
      <c r="B469" s="2" t="s">
        <v>337</v>
      </c>
      <c r="C469" s="2" t="s">
        <v>20</v>
      </c>
      <c r="D469" s="2" t="s">
        <v>21</v>
      </c>
      <c r="E469" s="2" t="s">
        <v>44</v>
      </c>
      <c r="F469" s="2" t="s">
        <v>338</v>
      </c>
      <c r="G469" s="3">
        <v>28370.03</v>
      </c>
      <c r="H469" s="2" t="s">
        <v>25</v>
      </c>
    </row>
    <row r="470" ht="22.5" customHeight="1">
      <c r="A470" s="2" t="s">
        <v>18</v>
      </c>
      <c r="B470" s="2" t="s">
        <v>337</v>
      </c>
      <c r="C470" s="2" t="s">
        <v>20</v>
      </c>
      <c r="D470" s="2" t="s">
        <v>21</v>
      </c>
      <c r="E470" s="2" t="s">
        <v>44</v>
      </c>
      <c r="F470" s="2" t="s">
        <v>338</v>
      </c>
      <c r="G470" s="3">
        <v>29809.41921</v>
      </c>
      <c r="H470" s="2" t="s">
        <v>26</v>
      </c>
    </row>
    <row r="471" ht="22.5" customHeight="1">
      <c r="A471" s="2" t="s">
        <v>18</v>
      </c>
      <c r="B471" s="2" t="s">
        <v>337</v>
      </c>
      <c r="C471" s="2" t="s">
        <v>20</v>
      </c>
      <c r="D471" s="2" t="s">
        <v>21</v>
      </c>
      <c r="E471" s="2" t="s">
        <v>44</v>
      </c>
      <c r="F471" s="2" t="s">
        <v>338</v>
      </c>
      <c r="G471" s="2">
        <v>22339.29715</v>
      </c>
      <c r="H471" s="2" t="s">
        <v>24</v>
      </c>
    </row>
    <row r="472" ht="22.5" customHeight="1">
      <c r="A472" s="2" t="s">
        <v>18</v>
      </c>
      <c r="B472" s="2" t="s">
        <v>337</v>
      </c>
      <c r="C472" s="2" t="s">
        <v>20</v>
      </c>
      <c r="D472" s="2" t="s">
        <v>21</v>
      </c>
      <c r="E472" s="2" t="s">
        <v>44</v>
      </c>
      <c r="F472" s="2" t="s">
        <v>338</v>
      </c>
      <c r="G472" s="3">
        <v>27877.440000000002</v>
      </c>
      <c r="H472" s="4" t="s">
        <v>27</v>
      </c>
    </row>
    <row r="473" ht="22.5" customHeight="1">
      <c r="A473" s="2" t="s">
        <v>18</v>
      </c>
      <c r="B473" s="2" t="s">
        <v>339</v>
      </c>
      <c r="C473" s="2" t="s">
        <v>20</v>
      </c>
      <c r="D473" s="2" t="s">
        <v>21</v>
      </c>
      <c r="E473" s="2" t="s">
        <v>61</v>
      </c>
      <c r="F473" s="2" t="s">
        <v>340</v>
      </c>
      <c r="G473" s="2">
        <v>14563.097092</v>
      </c>
      <c r="H473" s="2" t="s">
        <v>26</v>
      </c>
    </row>
    <row r="474" ht="22.5" customHeight="1">
      <c r="A474" s="2" t="s">
        <v>18</v>
      </c>
      <c r="B474" s="2" t="s">
        <v>339</v>
      </c>
      <c r="C474" s="2" t="s">
        <v>20</v>
      </c>
      <c r="D474" s="2" t="s">
        <v>21</v>
      </c>
      <c r="E474" s="2" t="s">
        <v>61</v>
      </c>
      <c r="F474" s="2" t="s">
        <v>340</v>
      </c>
      <c r="G474" s="3">
        <v>8242.08</v>
      </c>
      <c r="H474" s="2" t="s">
        <v>25</v>
      </c>
    </row>
    <row r="475" ht="22.5" customHeight="1">
      <c r="A475" s="2" t="s">
        <v>18</v>
      </c>
      <c r="B475" s="2" t="s">
        <v>339</v>
      </c>
      <c r="C475" s="2" t="s">
        <v>20</v>
      </c>
      <c r="D475" s="2" t="s">
        <v>21</v>
      </c>
      <c r="E475" s="2" t="s">
        <v>61</v>
      </c>
      <c r="F475" s="2" t="s">
        <v>340</v>
      </c>
      <c r="G475" s="2">
        <v>8845.99814</v>
      </c>
      <c r="H475" s="2" t="s">
        <v>24</v>
      </c>
    </row>
    <row r="476" ht="22.5" customHeight="1">
      <c r="A476" s="2" t="s">
        <v>18</v>
      </c>
      <c r="B476" s="2" t="s">
        <v>339</v>
      </c>
      <c r="C476" s="2" t="s">
        <v>20</v>
      </c>
      <c r="D476" s="2" t="s">
        <v>21</v>
      </c>
      <c r="E476" s="2" t="s">
        <v>61</v>
      </c>
      <c r="F476" s="2" t="s">
        <v>340</v>
      </c>
      <c r="G476" s="3">
        <v>11077.44</v>
      </c>
      <c r="H476" s="4" t="s">
        <v>27</v>
      </c>
    </row>
    <row r="477" ht="22.5" customHeight="1">
      <c r="A477" s="2" t="s">
        <v>18</v>
      </c>
      <c r="B477" s="2" t="s">
        <v>341</v>
      </c>
      <c r="C477" s="2" t="s">
        <v>20</v>
      </c>
      <c r="D477" s="2" t="s">
        <v>21</v>
      </c>
      <c r="E477" s="2" t="s">
        <v>22</v>
      </c>
      <c r="F477" s="2" t="s">
        <v>342</v>
      </c>
      <c r="G477" s="2">
        <v>18627.68746</v>
      </c>
      <c r="H477" s="2" t="s">
        <v>26</v>
      </c>
    </row>
    <row r="478" ht="22.5" customHeight="1">
      <c r="A478" s="2" t="s">
        <v>18</v>
      </c>
      <c r="B478" s="2" t="s">
        <v>341</v>
      </c>
      <c r="C478" s="2" t="s">
        <v>20</v>
      </c>
      <c r="D478" s="2" t="s">
        <v>21</v>
      </c>
      <c r="E478" s="2" t="s">
        <v>22</v>
      </c>
      <c r="F478" s="2" t="s">
        <v>342</v>
      </c>
      <c r="G478" s="3">
        <v>16820.03</v>
      </c>
      <c r="H478" s="2" t="s">
        <v>25</v>
      </c>
    </row>
    <row r="479" ht="22.5" customHeight="1">
      <c r="A479" s="2" t="s">
        <v>18</v>
      </c>
      <c r="B479" s="2" t="s">
        <v>341</v>
      </c>
      <c r="C479" s="2" t="s">
        <v>20</v>
      </c>
      <c r="D479" s="2" t="s">
        <v>21</v>
      </c>
      <c r="E479" s="2" t="s">
        <v>22</v>
      </c>
      <c r="F479" s="2" t="s">
        <v>342</v>
      </c>
      <c r="G479" s="3">
        <v>16327.44</v>
      </c>
      <c r="H479" s="4" t="s">
        <v>27</v>
      </c>
    </row>
    <row r="480" ht="22.5" customHeight="1">
      <c r="A480" s="2" t="s">
        <v>18</v>
      </c>
      <c r="B480" s="2" t="s">
        <v>341</v>
      </c>
      <c r="C480" s="2" t="s">
        <v>20</v>
      </c>
      <c r="D480" s="2" t="s">
        <v>21</v>
      </c>
      <c r="E480" s="2" t="s">
        <v>22</v>
      </c>
      <c r="F480" s="2" t="s">
        <v>342</v>
      </c>
      <c r="G480" s="2">
        <v>20291.39405</v>
      </c>
      <c r="H480" s="2" t="s">
        <v>24</v>
      </c>
    </row>
    <row r="481" ht="22.5" customHeight="1">
      <c r="A481" s="2" t="s">
        <v>18</v>
      </c>
      <c r="B481" s="2" t="s">
        <v>343</v>
      </c>
      <c r="C481" s="4" t="s">
        <v>20</v>
      </c>
      <c r="D481" s="2" t="s">
        <v>21</v>
      </c>
      <c r="E481" s="2" t="s">
        <v>44</v>
      </c>
      <c r="F481" s="2" t="s">
        <v>344</v>
      </c>
      <c r="G481" s="2">
        <v>33868.44261</v>
      </c>
      <c r="H481" s="2" t="s">
        <v>25</v>
      </c>
    </row>
    <row r="482" ht="22.5" customHeight="1">
      <c r="A482" s="2" t="s">
        <v>18</v>
      </c>
      <c r="B482" s="2" t="s">
        <v>343</v>
      </c>
      <c r="C482" s="4" t="s">
        <v>20</v>
      </c>
      <c r="D482" s="2" t="s">
        <v>21</v>
      </c>
      <c r="E482" s="2" t="s">
        <v>44</v>
      </c>
      <c r="F482" s="2" t="s">
        <v>344</v>
      </c>
      <c r="G482" s="2">
        <v>32935.3767</v>
      </c>
      <c r="H482" s="2" t="s">
        <v>24</v>
      </c>
    </row>
    <row r="483" ht="22.5" customHeight="1">
      <c r="A483" s="2" t="s">
        <v>18</v>
      </c>
      <c r="B483" s="2" t="s">
        <v>343</v>
      </c>
      <c r="C483" s="4" t="s">
        <v>20</v>
      </c>
      <c r="D483" s="2" t="s">
        <v>21</v>
      </c>
      <c r="E483" s="2" t="s">
        <v>44</v>
      </c>
      <c r="F483" s="2" t="s">
        <v>344</v>
      </c>
      <c r="G483" s="2">
        <v>33886.51173</v>
      </c>
      <c r="H483" s="2" t="s">
        <v>26</v>
      </c>
    </row>
    <row r="484" ht="22.5" customHeight="1">
      <c r="A484" s="2" t="s">
        <v>18</v>
      </c>
      <c r="B484" s="2" t="s">
        <v>345</v>
      </c>
      <c r="C484" s="2" t="s">
        <v>20</v>
      </c>
      <c r="D484" s="2" t="s">
        <v>21</v>
      </c>
      <c r="E484" s="2" t="s">
        <v>35</v>
      </c>
      <c r="F484" s="2" t="s">
        <v>346</v>
      </c>
      <c r="G484" s="2">
        <v>21568.41622</v>
      </c>
      <c r="H484" s="2" t="s">
        <v>25</v>
      </c>
    </row>
    <row r="485" ht="22.5" customHeight="1">
      <c r="A485" s="2" t="s">
        <v>18</v>
      </c>
      <c r="B485" s="2" t="s">
        <v>347</v>
      </c>
      <c r="C485" s="2" t="s">
        <v>20</v>
      </c>
      <c r="D485" s="2" t="s">
        <v>21</v>
      </c>
      <c r="E485" s="2" t="s">
        <v>22</v>
      </c>
      <c r="F485" s="2" t="s">
        <v>348</v>
      </c>
      <c r="G485" s="2">
        <v>13042.93378</v>
      </c>
      <c r="H485" s="2" t="s">
        <v>26</v>
      </c>
    </row>
    <row r="486" ht="22.5" customHeight="1">
      <c r="A486" s="2" t="s">
        <v>18</v>
      </c>
      <c r="B486" s="2" t="s">
        <v>347</v>
      </c>
      <c r="C486" s="2" t="s">
        <v>20</v>
      </c>
      <c r="D486" s="2" t="s">
        <v>21</v>
      </c>
      <c r="E486" s="2" t="s">
        <v>22</v>
      </c>
      <c r="F486" s="2" t="s">
        <v>348</v>
      </c>
      <c r="G486" s="2">
        <v>13288.974718</v>
      </c>
      <c r="H486" s="2" t="s">
        <v>24</v>
      </c>
    </row>
    <row r="487" ht="22.5" customHeight="1">
      <c r="A487" s="2" t="s">
        <v>18</v>
      </c>
      <c r="B487" s="2" t="s">
        <v>347</v>
      </c>
      <c r="C487" s="2" t="s">
        <v>20</v>
      </c>
      <c r="D487" s="2" t="s">
        <v>21</v>
      </c>
      <c r="E487" s="2" t="s">
        <v>22</v>
      </c>
      <c r="F487" s="2" t="s">
        <v>348</v>
      </c>
      <c r="G487" s="3">
        <v>12127.44</v>
      </c>
      <c r="H487" s="4" t="s">
        <v>27</v>
      </c>
    </row>
    <row r="488" ht="22.5" customHeight="1">
      <c r="A488" s="2" t="s">
        <v>349</v>
      </c>
      <c r="B488" s="2" t="s">
        <v>350</v>
      </c>
      <c r="C488" s="2" t="s">
        <v>31</v>
      </c>
      <c r="D488" s="9" t="s">
        <v>54</v>
      </c>
      <c r="F488" s="5" t="s">
        <v>350</v>
      </c>
      <c r="G488" s="2">
        <v>3087.11</v>
      </c>
      <c r="L488" s="10">
        <v>46082.0</v>
      </c>
      <c r="M488" s="2"/>
      <c r="N488" s="2"/>
      <c r="O488" s="2"/>
    </row>
    <row r="489" ht="22.5" customHeight="1">
      <c r="A489" s="2" t="s">
        <v>351</v>
      </c>
      <c r="B489" s="2" t="s">
        <v>352</v>
      </c>
      <c r="F489" s="5"/>
      <c r="G489" s="2">
        <v>-619202.69</v>
      </c>
      <c r="L489" s="2" t="s">
        <v>353</v>
      </c>
      <c r="M489" s="2" t="s">
        <v>354</v>
      </c>
      <c r="N489" s="2">
        <v>303.0</v>
      </c>
      <c r="O489" s="2" t="s">
        <v>355</v>
      </c>
    </row>
    <row r="490" ht="22.5" customHeight="1">
      <c r="A490" s="4" t="s">
        <v>349</v>
      </c>
      <c r="B490" s="4" t="s">
        <v>356</v>
      </c>
      <c r="C490" s="4" t="s">
        <v>31</v>
      </c>
      <c r="D490" s="4" t="s">
        <v>38</v>
      </c>
      <c r="E490" s="4" t="s">
        <v>356</v>
      </c>
      <c r="F490" s="11"/>
      <c r="G490" s="4">
        <v>479.7</v>
      </c>
      <c r="H490" s="4"/>
      <c r="I490" s="4"/>
      <c r="J490" s="4"/>
      <c r="K490" s="4"/>
      <c r="L490" s="4">
        <v>46082.0</v>
      </c>
      <c r="M490" s="4"/>
      <c r="N490" s="4"/>
      <c r="O490" s="4"/>
      <c r="P490" s="4"/>
      <c r="Q490" s="4"/>
      <c r="R490" s="4"/>
    </row>
    <row r="491" ht="22.5" customHeight="1">
      <c r="A491" s="2" t="s">
        <v>18</v>
      </c>
      <c r="B491" s="2" t="s">
        <v>347</v>
      </c>
      <c r="C491" s="2" t="s">
        <v>20</v>
      </c>
      <c r="D491" s="2" t="s">
        <v>21</v>
      </c>
      <c r="E491" s="2" t="s">
        <v>22</v>
      </c>
      <c r="F491" s="2" t="s">
        <v>348</v>
      </c>
      <c r="G491" s="3">
        <v>9292.08</v>
      </c>
      <c r="H491" s="2" t="s">
        <v>25</v>
      </c>
    </row>
    <row r="492" ht="22.5" customHeight="1">
      <c r="A492" s="2" t="s">
        <v>351</v>
      </c>
      <c r="B492" s="2" t="s">
        <v>352</v>
      </c>
      <c r="F492" s="5"/>
      <c r="G492" s="2">
        <v>-33600.0</v>
      </c>
      <c r="L492" s="2" t="s">
        <v>353</v>
      </c>
      <c r="M492" s="2" t="s">
        <v>354</v>
      </c>
      <c r="N492" s="2">
        <v>303.0</v>
      </c>
      <c r="O492" s="2" t="s">
        <v>355</v>
      </c>
    </row>
    <row r="493" ht="22.5" customHeight="1">
      <c r="A493" s="2" t="s">
        <v>357</v>
      </c>
      <c r="B493" s="5" t="s">
        <v>358</v>
      </c>
      <c r="C493" s="4" t="s">
        <v>31</v>
      </c>
      <c r="D493" s="9" t="s">
        <v>54</v>
      </c>
      <c r="F493" s="5"/>
      <c r="G493" s="4">
        <v>816.8222222</v>
      </c>
      <c r="L493" s="2" t="s">
        <v>359</v>
      </c>
      <c r="M493" s="2" t="s">
        <v>354</v>
      </c>
      <c r="N493" s="2">
        <v>271.0</v>
      </c>
      <c r="O493" s="2" t="s">
        <v>357</v>
      </c>
    </row>
    <row r="494" ht="22.5" customHeight="1">
      <c r="A494" s="2" t="s">
        <v>357</v>
      </c>
      <c r="B494" s="5" t="s">
        <v>358</v>
      </c>
      <c r="C494" s="4" t="s">
        <v>31</v>
      </c>
      <c r="D494" s="9" t="s">
        <v>98</v>
      </c>
      <c r="F494" s="5"/>
      <c r="G494" s="4">
        <v>58.34444444</v>
      </c>
      <c r="L494" s="2" t="s">
        <v>359</v>
      </c>
      <c r="M494" s="2" t="s">
        <v>354</v>
      </c>
      <c r="N494" s="2">
        <v>271.0</v>
      </c>
      <c r="O494" s="2" t="s">
        <v>357</v>
      </c>
    </row>
    <row r="495" ht="22.5" customHeight="1">
      <c r="A495" s="2" t="s">
        <v>357</v>
      </c>
      <c r="B495" s="5" t="s">
        <v>358</v>
      </c>
      <c r="C495" s="4" t="s">
        <v>20</v>
      </c>
      <c r="D495" s="9" t="s">
        <v>21</v>
      </c>
      <c r="F495" s="5"/>
      <c r="G495" s="4">
        <v>1108.544444</v>
      </c>
      <c r="L495" s="2" t="s">
        <v>359</v>
      </c>
      <c r="M495" s="2" t="s">
        <v>354</v>
      </c>
      <c r="N495" s="2">
        <v>271.0</v>
      </c>
      <c r="O495" s="2" t="s">
        <v>357</v>
      </c>
    </row>
    <row r="496" ht="22.5" customHeight="1">
      <c r="A496" s="4" t="s">
        <v>357</v>
      </c>
      <c r="B496" s="5" t="s">
        <v>358</v>
      </c>
      <c r="C496" s="4" t="s">
        <v>31</v>
      </c>
      <c r="D496" s="9" t="s">
        <v>187</v>
      </c>
      <c r="F496" s="5"/>
      <c r="G496" s="4">
        <v>155.5851852</v>
      </c>
      <c r="L496" s="2" t="s">
        <v>359</v>
      </c>
      <c r="M496" s="2" t="s">
        <v>354</v>
      </c>
      <c r="N496" s="2">
        <v>271.0</v>
      </c>
      <c r="O496" s="2" t="s">
        <v>357</v>
      </c>
    </row>
    <row r="497" ht="22.5" customHeight="1">
      <c r="A497" s="4" t="s">
        <v>357</v>
      </c>
      <c r="B497" s="5" t="s">
        <v>358</v>
      </c>
      <c r="C497" s="4" t="s">
        <v>31</v>
      </c>
      <c r="D497" s="4" t="s">
        <v>38</v>
      </c>
      <c r="E497" s="4"/>
      <c r="F497" s="11"/>
      <c r="G497" s="4">
        <v>87.51666667</v>
      </c>
      <c r="H497" s="4"/>
      <c r="I497" s="4"/>
      <c r="J497" s="4"/>
      <c r="K497" s="4"/>
      <c r="L497" s="4" t="s">
        <v>359</v>
      </c>
      <c r="M497" s="4"/>
      <c r="N497" s="4"/>
      <c r="O497" s="4"/>
      <c r="P497" s="4"/>
      <c r="Q497" s="4"/>
      <c r="R497" s="4"/>
    </row>
    <row r="498" ht="22.5" customHeight="1">
      <c r="A498" s="4" t="s">
        <v>357</v>
      </c>
      <c r="B498" s="5" t="s">
        <v>358</v>
      </c>
      <c r="C498" s="4" t="s">
        <v>31</v>
      </c>
      <c r="D498" s="4" t="s">
        <v>47</v>
      </c>
      <c r="E498" s="4"/>
      <c r="F498" s="11"/>
      <c r="G498" s="4">
        <v>311.1703704</v>
      </c>
      <c r="H498" s="4"/>
      <c r="I498" s="4"/>
      <c r="J498" s="4"/>
      <c r="K498" s="4"/>
      <c r="L498" s="4" t="s">
        <v>359</v>
      </c>
      <c r="M498" s="4"/>
      <c r="N498" s="4"/>
      <c r="O498" s="4"/>
      <c r="P498" s="4"/>
      <c r="Q498" s="4"/>
      <c r="R498" s="4"/>
    </row>
    <row r="499" ht="22.5" customHeight="1">
      <c r="A499" s="4" t="s">
        <v>357</v>
      </c>
      <c r="B499" s="5" t="s">
        <v>358</v>
      </c>
      <c r="C499" s="4" t="s">
        <v>31</v>
      </c>
      <c r="D499" s="4" t="s">
        <v>113</v>
      </c>
      <c r="E499" s="4"/>
      <c r="F499" s="11"/>
      <c r="G499" s="4">
        <v>87.51666667</v>
      </c>
      <c r="H499" s="4"/>
      <c r="I499" s="4"/>
      <c r="J499" s="4"/>
      <c r="K499" s="4"/>
      <c r="L499" s="4" t="s">
        <v>359</v>
      </c>
      <c r="M499" s="4"/>
      <c r="N499" s="4"/>
      <c r="O499" s="4"/>
      <c r="P499" s="4"/>
      <c r="Q499" s="4"/>
      <c r="R499" s="4"/>
    </row>
    <row r="500" ht="22.5" customHeight="1">
      <c r="A500" s="4" t="s">
        <v>360</v>
      </c>
      <c r="B500" s="4" t="s">
        <v>361</v>
      </c>
      <c r="C500" s="4" t="s">
        <v>20</v>
      </c>
      <c r="D500" s="4" t="s">
        <v>21</v>
      </c>
      <c r="E500" s="4"/>
      <c r="F500" s="4" t="s">
        <v>362</v>
      </c>
      <c r="G500" s="4">
        <v>101529.395</v>
      </c>
      <c r="H500" s="4"/>
      <c r="I500" s="4"/>
      <c r="J500" s="4"/>
      <c r="K500" s="4"/>
      <c r="L500" s="4" t="s">
        <v>359</v>
      </c>
      <c r="M500" s="4"/>
      <c r="N500" s="4"/>
      <c r="O500" s="4"/>
      <c r="P500" s="4"/>
      <c r="Q500" s="4"/>
      <c r="R500" s="4"/>
    </row>
    <row r="501" ht="22.5" customHeight="1">
      <c r="A501" s="4" t="s">
        <v>360</v>
      </c>
      <c r="B501" s="4" t="s">
        <v>361</v>
      </c>
      <c r="C501" s="4" t="s">
        <v>31</v>
      </c>
      <c r="D501" s="4" t="s">
        <v>187</v>
      </c>
      <c r="E501" s="4"/>
      <c r="F501" s="4" t="s">
        <v>363</v>
      </c>
      <c r="G501" s="4">
        <v>101529.395</v>
      </c>
      <c r="H501" s="4"/>
      <c r="I501" s="4"/>
      <c r="J501" s="4"/>
      <c r="K501" s="4"/>
      <c r="L501" s="4" t="s">
        <v>359</v>
      </c>
      <c r="M501" s="4"/>
      <c r="N501" s="4"/>
      <c r="O501" s="4"/>
      <c r="P501" s="4"/>
      <c r="Q501" s="4"/>
      <c r="R501" s="4"/>
    </row>
    <row r="502" ht="22.5" customHeight="1">
      <c r="A502" s="2" t="s">
        <v>364</v>
      </c>
      <c r="B502" s="2" t="s">
        <v>365</v>
      </c>
      <c r="C502" s="4" t="s">
        <v>20</v>
      </c>
      <c r="D502" s="4" t="s">
        <v>21</v>
      </c>
      <c r="F502" s="5"/>
      <c r="G502" s="2">
        <v>4258.36</v>
      </c>
      <c r="L502" s="2" t="s">
        <v>359</v>
      </c>
      <c r="M502" s="2" t="s">
        <v>354</v>
      </c>
      <c r="N502" s="2">
        <v>272.0</v>
      </c>
      <c r="O502" s="2" t="s">
        <v>366</v>
      </c>
    </row>
    <row r="503" ht="22.5" customHeight="1">
      <c r="A503" s="2" t="s">
        <v>364</v>
      </c>
      <c r="B503" s="2" t="s">
        <v>365</v>
      </c>
      <c r="C503" s="4" t="s">
        <v>20</v>
      </c>
      <c r="D503" s="4" t="s">
        <v>21</v>
      </c>
      <c r="F503" s="5"/>
      <c r="G503" s="2">
        <v>15365.54</v>
      </c>
      <c r="L503" s="2" t="s">
        <v>359</v>
      </c>
      <c r="M503" s="2" t="s">
        <v>354</v>
      </c>
      <c r="N503" s="2">
        <v>272.0</v>
      </c>
      <c r="O503" s="2" t="s">
        <v>367</v>
      </c>
    </row>
    <row r="504" ht="22.5" customHeight="1">
      <c r="A504" s="2" t="s">
        <v>364</v>
      </c>
      <c r="B504" s="2" t="s">
        <v>365</v>
      </c>
      <c r="C504" s="4" t="s">
        <v>20</v>
      </c>
      <c r="D504" s="4" t="s">
        <v>21</v>
      </c>
      <c r="F504" s="5"/>
      <c r="G504" s="2">
        <v>17316.68</v>
      </c>
      <c r="L504" s="2" t="s">
        <v>359</v>
      </c>
      <c r="M504" s="2" t="s">
        <v>354</v>
      </c>
      <c r="N504" s="2">
        <v>272.0</v>
      </c>
      <c r="O504" s="2" t="s">
        <v>367</v>
      </c>
    </row>
    <row r="505" ht="22.5" customHeight="1">
      <c r="A505" s="2" t="s">
        <v>367</v>
      </c>
      <c r="B505" s="2" t="s">
        <v>368</v>
      </c>
      <c r="C505" s="4" t="s">
        <v>31</v>
      </c>
      <c r="D505" s="2" t="s">
        <v>54</v>
      </c>
      <c r="F505" s="5"/>
      <c r="G505" s="4">
        <v>15289.59289</v>
      </c>
      <c r="L505" s="2" t="s">
        <v>359</v>
      </c>
      <c r="M505" s="2" t="s">
        <v>354</v>
      </c>
      <c r="N505" s="2">
        <v>272.0</v>
      </c>
      <c r="O505" s="2" t="s">
        <v>367</v>
      </c>
    </row>
    <row r="506" ht="22.5" customHeight="1">
      <c r="A506" s="2" t="s">
        <v>367</v>
      </c>
      <c r="B506" s="2" t="s">
        <v>368</v>
      </c>
      <c r="C506" s="4" t="s">
        <v>31</v>
      </c>
      <c r="D506" s="2" t="s">
        <v>98</v>
      </c>
      <c r="F506" s="5"/>
      <c r="G506" s="4">
        <v>1092.113778</v>
      </c>
      <c r="L506" s="2" t="s">
        <v>359</v>
      </c>
      <c r="M506" s="2" t="s">
        <v>354</v>
      </c>
      <c r="N506" s="2">
        <v>272.0</v>
      </c>
      <c r="O506" s="2" t="s">
        <v>367</v>
      </c>
    </row>
    <row r="507" ht="22.5" customHeight="1">
      <c r="A507" s="2" t="s">
        <v>367</v>
      </c>
      <c r="B507" s="2" t="s">
        <v>368</v>
      </c>
      <c r="C507" s="4" t="s">
        <v>20</v>
      </c>
      <c r="D507" s="2" t="s">
        <v>21</v>
      </c>
      <c r="F507" s="5"/>
      <c r="G507" s="4">
        <v>20750.16178</v>
      </c>
      <c r="L507" s="2" t="s">
        <v>359</v>
      </c>
      <c r="M507" s="2" t="s">
        <v>354</v>
      </c>
      <c r="N507" s="2">
        <v>272.0</v>
      </c>
      <c r="O507" s="2" t="s">
        <v>367</v>
      </c>
    </row>
    <row r="508" ht="22.5" customHeight="1">
      <c r="A508" s="2" t="s">
        <v>367</v>
      </c>
      <c r="B508" s="2" t="s">
        <v>368</v>
      </c>
      <c r="C508" s="4" t="s">
        <v>31</v>
      </c>
      <c r="D508" s="2" t="s">
        <v>187</v>
      </c>
      <c r="F508" s="5"/>
      <c r="G508" s="4">
        <v>2912.303407</v>
      </c>
      <c r="L508" s="2" t="s">
        <v>359</v>
      </c>
      <c r="M508" s="2" t="s">
        <v>354</v>
      </c>
      <c r="N508" s="2">
        <v>272.0</v>
      </c>
      <c r="O508" s="2" t="s">
        <v>367</v>
      </c>
    </row>
    <row r="509" ht="22.5" customHeight="1">
      <c r="A509" s="2" t="s">
        <v>367</v>
      </c>
      <c r="B509" s="2" t="s">
        <v>368</v>
      </c>
      <c r="C509" s="4" t="s">
        <v>31</v>
      </c>
      <c r="D509" s="2" t="s">
        <v>38</v>
      </c>
      <c r="F509" s="5"/>
      <c r="G509" s="4">
        <v>1638.170667</v>
      </c>
      <c r="L509" s="2" t="s">
        <v>359</v>
      </c>
      <c r="M509" s="2" t="s">
        <v>354</v>
      </c>
      <c r="N509" s="2">
        <v>272.0</v>
      </c>
      <c r="O509" s="2" t="s">
        <v>367</v>
      </c>
    </row>
    <row r="510" ht="22.5" customHeight="1">
      <c r="A510" s="2" t="s">
        <v>367</v>
      </c>
      <c r="B510" s="2" t="s">
        <v>368</v>
      </c>
      <c r="C510" s="4" t="s">
        <v>31</v>
      </c>
      <c r="D510" s="2" t="s">
        <v>47</v>
      </c>
      <c r="F510" s="5"/>
      <c r="G510" s="4">
        <v>5824.606815</v>
      </c>
      <c r="L510" s="2" t="s">
        <v>359</v>
      </c>
      <c r="M510" s="2" t="s">
        <v>354</v>
      </c>
      <c r="N510" s="2">
        <v>272.0</v>
      </c>
      <c r="O510" s="2" t="s">
        <v>367</v>
      </c>
    </row>
    <row r="511" ht="22.5" customHeight="1">
      <c r="A511" s="2" t="s">
        <v>367</v>
      </c>
      <c r="B511" s="2" t="s">
        <v>368</v>
      </c>
      <c r="C511" s="4" t="s">
        <v>31</v>
      </c>
      <c r="D511" s="2" t="s">
        <v>113</v>
      </c>
      <c r="F511" s="5"/>
      <c r="G511" s="4">
        <v>1638.170667</v>
      </c>
      <c r="L511" s="2" t="s">
        <v>359</v>
      </c>
      <c r="M511" s="2" t="s">
        <v>354</v>
      </c>
      <c r="N511" s="2">
        <v>272.0</v>
      </c>
      <c r="O511" s="2" t="s">
        <v>367</v>
      </c>
    </row>
    <row r="512" ht="22.5" customHeight="1">
      <c r="A512" s="2" t="s">
        <v>367</v>
      </c>
      <c r="B512" s="2" t="s">
        <v>369</v>
      </c>
      <c r="C512" s="4" t="s">
        <v>370</v>
      </c>
      <c r="D512" s="4" t="s">
        <v>371</v>
      </c>
      <c r="F512" s="5"/>
      <c r="G512" s="2">
        <v>11900.0</v>
      </c>
      <c r="L512" s="2" t="s">
        <v>359</v>
      </c>
      <c r="M512" s="2" t="s">
        <v>354</v>
      </c>
      <c r="N512" s="2">
        <v>272.0</v>
      </c>
      <c r="O512" s="2" t="s">
        <v>367</v>
      </c>
    </row>
    <row r="513" ht="22.5" customHeight="1">
      <c r="A513" s="2" t="s">
        <v>367</v>
      </c>
      <c r="B513" s="2" t="s">
        <v>372</v>
      </c>
      <c r="C513" s="4" t="s">
        <v>20</v>
      </c>
      <c r="D513" s="4" t="s">
        <v>21</v>
      </c>
      <c r="F513" s="5"/>
      <c r="G513" s="2">
        <v>2392.85</v>
      </c>
      <c r="L513" s="2" t="s">
        <v>359</v>
      </c>
      <c r="M513" s="2" t="s">
        <v>354</v>
      </c>
      <c r="N513" s="2">
        <v>272.0</v>
      </c>
      <c r="O513" s="2" t="s">
        <v>367</v>
      </c>
    </row>
    <row r="514" ht="22.5" customHeight="1">
      <c r="A514" s="2" t="s">
        <v>367</v>
      </c>
      <c r="B514" s="2" t="s">
        <v>372</v>
      </c>
      <c r="C514" s="4" t="s">
        <v>20</v>
      </c>
      <c r="D514" s="4" t="s">
        <v>21</v>
      </c>
      <c r="F514" s="5"/>
      <c r="G514" s="2">
        <v>2758.62</v>
      </c>
      <c r="L514" s="2" t="s">
        <v>359</v>
      </c>
      <c r="M514" s="2" t="s">
        <v>354</v>
      </c>
      <c r="N514" s="2">
        <v>272.0</v>
      </c>
      <c r="O514" s="2" t="s">
        <v>367</v>
      </c>
    </row>
    <row r="515" ht="22.5" customHeight="1">
      <c r="A515" s="2" t="s">
        <v>367</v>
      </c>
      <c r="B515" s="2" t="s">
        <v>372</v>
      </c>
      <c r="C515" s="4" t="s">
        <v>20</v>
      </c>
      <c r="D515" s="4" t="s">
        <v>21</v>
      </c>
      <c r="F515" s="5"/>
      <c r="G515" s="2">
        <v>5475.37</v>
      </c>
      <c r="L515" s="2" t="s">
        <v>359</v>
      </c>
      <c r="M515" s="2" t="s">
        <v>354</v>
      </c>
      <c r="N515" s="2">
        <v>272.0</v>
      </c>
      <c r="O515" s="2" t="s">
        <v>367</v>
      </c>
    </row>
    <row r="516" ht="22.5" customHeight="1">
      <c r="A516" s="2" t="s">
        <v>367</v>
      </c>
      <c r="B516" s="2" t="s">
        <v>373</v>
      </c>
      <c r="C516" s="4" t="s">
        <v>31</v>
      </c>
      <c r="D516" s="12" t="s">
        <v>54</v>
      </c>
      <c r="F516" s="5"/>
      <c r="G516" s="13">
        <v>145600.0</v>
      </c>
      <c r="L516" s="2" t="s">
        <v>359</v>
      </c>
      <c r="M516" s="2" t="s">
        <v>354</v>
      </c>
      <c r="N516" s="2">
        <v>272.0</v>
      </c>
      <c r="O516" s="2" t="s">
        <v>367</v>
      </c>
    </row>
    <row r="517" ht="22.5" customHeight="1">
      <c r="A517" s="2" t="s">
        <v>367</v>
      </c>
      <c r="B517" s="2" t="s">
        <v>373</v>
      </c>
      <c r="C517" s="4" t="s">
        <v>31</v>
      </c>
      <c r="D517" s="12" t="s">
        <v>98</v>
      </c>
      <c r="F517" s="5"/>
      <c r="G517" s="13">
        <v>10400.0</v>
      </c>
      <c r="L517" s="2" t="s">
        <v>359</v>
      </c>
      <c r="M517" s="2" t="s">
        <v>354</v>
      </c>
      <c r="N517" s="2">
        <v>272.0</v>
      </c>
      <c r="O517" s="2" t="s">
        <v>367</v>
      </c>
    </row>
    <row r="518" ht="22.5" customHeight="1">
      <c r="A518" s="2" t="s">
        <v>367</v>
      </c>
      <c r="B518" s="2" t="s">
        <v>373</v>
      </c>
      <c r="C518" s="4" t="s">
        <v>20</v>
      </c>
      <c r="D518" s="12" t="s">
        <v>21</v>
      </c>
      <c r="E518" s="4" t="s">
        <v>22</v>
      </c>
      <c r="F518" s="5"/>
      <c r="G518" s="13">
        <v>197600.0</v>
      </c>
      <c r="L518" s="2" t="s">
        <v>359</v>
      </c>
      <c r="M518" s="2" t="s">
        <v>354</v>
      </c>
      <c r="N518" s="2">
        <v>272.0</v>
      </c>
      <c r="O518" s="2" t="s">
        <v>367</v>
      </c>
    </row>
    <row r="519" ht="22.5" customHeight="1">
      <c r="A519" s="4" t="s">
        <v>367</v>
      </c>
      <c r="B519" s="4" t="s">
        <v>373</v>
      </c>
      <c r="C519" s="4" t="s">
        <v>31</v>
      </c>
      <c r="D519" s="14" t="s">
        <v>187</v>
      </c>
      <c r="E519" s="4"/>
      <c r="F519" s="11"/>
      <c r="G519" s="13">
        <v>27733.33333</v>
      </c>
      <c r="H519" s="4"/>
      <c r="I519" s="4"/>
      <c r="J519" s="4"/>
      <c r="K519" s="4"/>
      <c r="L519" s="4" t="s">
        <v>359</v>
      </c>
      <c r="M519" s="4"/>
      <c r="N519" s="4"/>
      <c r="O519" s="4"/>
      <c r="P519" s="4"/>
      <c r="Q519" s="4"/>
      <c r="R519" s="4"/>
    </row>
    <row r="520" ht="22.5" customHeight="1">
      <c r="A520" s="4" t="s">
        <v>367</v>
      </c>
      <c r="B520" s="4" t="s">
        <v>373</v>
      </c>
      <c r="C520" s="4" t="s">
        <v>31</v>
      </c>
      <c r="D520" s="14" t="s">
        <v>38</v>
      </c>
      <c r="E520" s="4"/>
      <c r="F520" s="11"/>
      <c r="G520" s="13">
        <v>15600.0</v>
      </c>
      <c r="H520" s="4"/>
      <c r="I520" s="4"/>
      <c r="J520" s="4"/>
      <c r="K520" s="4"/>
      <c r="L520" s="4" t="s">
        <v>359</v>
      </c>
      <c r="M520" s="4"/>
      <c r="N520" s="4"/>
      <c r="O520" s="4"/>
      <c r="P520" s="4"/>
      <c r="Q520" s="4"/>
      <c r="R520" s="4"/>
    </row>
    <row r="521" ht="22.5" customHeight="1">
      <c r="A521" s="4" t="s">
        <v>367</v>
      </c>
      <c r="B521" s="4" t="s">
        <v>373</v>
      </c>
      <c r="C521" s="4" t="s">
        <v>31</v>
      </c>
      <c r="D521" s="14" t="s">
        <v>47</v>
      </c>
      <c r="E521" s="4"/>
      <c r="F521" s="11"/>
      <c r="G521" s="13">
        <v>55466.66667</v>
      </c>
      <c r="H521" s="4"/>
      <c r="I521" s="4"/>
      <c r="J521" s="4"/>
      <c r="K521" s="4"/>
      <c r="L521" s="4" t="s">
        <v>359</v>
      </c>
      <c r="M521" s="4"/>
      <c r="N521" s="4"/>
      <c r="O521" s="4"/>
      <c r="P521" s="4"/>
      <c r="Q521" s="4"/>
      <c r="R521" s="4"/>
    </row>
    <row r="522" ht="22.5" customHeight="1">
      <c r="A522" s="4" t="s">
        <v>367</v>
      </c>
      <c r="B522" s="4" t="s">
        <v>373</v>
      </c>
      <c r="C522" s="4" t="s">
        <v>31</v>
      </c>
      <c r="D522" s="14" t="s">
        <v>113</v>
      </c>
      <c r="E522" s="4"/>
      <c r="F522" s="11"/>
      <c r="G522" s="13">
        <v>15600.0</v>
      </c>
      <c r="H522" s="4"/>
      <c r="I522" s="4"/>
      <c r="J522" s="4"/>
      <c r="K522" s="4"/>
      <c r="L522" s="4" t="s">
        <v>359</v>
      </c>
      <c r="M522" s="4"/>
      <c r="N522" s="4"/>
      <c r="O522" s="4"/>
      <c r="P522" s="4"/>
      <c r="Q522" s="4"/>
      <c r="R522" s="4"/>
    </row>
    <row r="523" ht="22.5" customHeight="1">
      <c r="A523" s="4" t="s">
        <v>367</v>
      </c>
      <c r="B523" s="2" t="s">
        <v>374</v>
      </c>
      <c r="C523" s="4" t="s">
        <v>31</v>
      </c>
      <c r="D523" s="4" t="s">
        <v>54</v>
      </c>
      <c r="F523" s="5"/>
      <c r="G523" s="2">
        <f t="shared" ref="G523:G524" si="9">4346.25/2</f>
        <v>2173.125</v>
      </c>
      <c r="L523" s="2" t="s">
        <v>359</v>
      </c>
      <c r="M523" s="2" t="s">
        <v>354</v>
      </c>
      <c r="N523" s="2">
        <v>275.0</v>
      </c>
      <c r="O523" s="2" t="s">
        <v>375</v>
      </c>
    </row>
    <row r="524" ht="22.5" customHeight="1">
      <c r="A524" s="4" t="s">
        <v>367</v>
      </c>
      <c r="B524" s="2" t="s">
        <v>374</v>
      </c>
      <c r="C524" s="4" t="s">
        <v>66</v>
      </c>
      <c r="D524" s="4" t="s">
        <v>70</v>
      </c>
      <c r="F524" s="5"/>
      <c r="G524" s="2">
        <f t="shared" si="9"/>
        <v>2173.125</v>
      </c>
      <c r="L524" s="2" t="s">
        <v>359</v>
      </c>
      <c r="M524" s="2" t="s">
        <v>354</v>
      </c>
      <c r="N524" s="2">
        <v>275.0</v>
      </c>
      <c r="O524" s="2" t="s">
        <v>375</v>
      </c>
    </row>
    <row r="525" ht="22.5" customHeight="1">
      <c r="A525" s="2" t="s">
        <v>367</v>
      </c>
      <c r="B525" s="2" t="s">
        <v>376</v>
      </c>
      <c r="C525" s="4" t="s">
        <v>20</v>
      </c>
      <c r="D525" s="4" t="s">
        <v>21</v>
      </c>
      <c r="F525" s="5"/>
      <c r="G525" s="2">
        <v>4456.0</v>
      </c>
      <c r="L525" s="2" t="s">
        <v>359</v>
      </c>
      <c r="M525" s="2" t="s">
        <v>354</v>
      </c>
      <c r="N525" s="2">
        <v>293.0</v>
      </c>
      <c r="O525" s="2" t="s">
        <v>377</v>
      </c>
    </row>
    <row r="526" ht="22.5" customHeight="1">
      <c r="A526" s="2" t="s">
        <v>367</v>
      </c>
      <c r="B526" s="2" t="s">
        <v>376</v>
      </c>
      <c r="C526" s="4" t="s">
        <v>20</v>
      </c>
      <c r="D526" s="4" t="s">
        <v>21</v>
      </c>
      <c r="F526" s="5"/>
      <c r="G526" s="2">
        <v>4456.0</v>
      </c>
      <c r="L526" s="2" t="s">
        <v>359</v>
      </c>
      <c r="M526" s="2" t="s">
        <v>354</v>
      </c>
      <c r="N526" s="2">
        <v>293.0</v>
      </c>
      <c r="O526" s="2" t="s">
        <v>377</v>
      </c>
    </row>
    <row r="527" ht="22.5" customHeight="1">
      <c r="A527" s="2" t="s">
        <v>378</v>
      </c>
      <c r="B527" s="2" t="s">
        <v>379</v>
      </c>
      <c r="C527" s="4" t="s">
        <v>370</v>
      </c>
      <c r="D527" s="4" t="s">
        <v>371</v>
      </c>
      <c r="F527" s="5"/>
      <c r="G527" s="2">
        <v>19503.8</v>
      </c>
      <c r="L527" s="2" t="s">
        <v>359</v>
      </c>
      <c r="M527" s="2" t="s">
        <v>354</v>
      </c>
      <c r="N527" s="2">
        <v>272.0</v>
      </c>
      <c r="O527" s="2" t="s">
        <v>367</v>
      </c>
    </row>
    <row r="528" ht="22.5" customHeight="1">
      <c r="A528" s="2" t="s">
        <v>378</v>
      </c>
      <c r="B528" s="2" t="s">
        <v>380</v>
      </c>
      <c r="C528" s="4" t="s">
        <v>20</v>
      </c>
      <c r="D528" s="4" t="s">
        <v>371</v>
      </c>
      <c r="F528" s="4" t="s">
        <v>381</v>
      </c>
      <c r="G528" s="2">
        <v>17306.48</v>
      </c>
      <c r="L528" s="2" t="s">
        <v>359</v>
      </c>
      <c r="M528" s="2" t="s">
        <v>354</v>
      </c>
      <c r="N528" s="2">
        <v>272.0</v>
      </c>
      <c r="O528" s="2" t="s">
        <v>367</v>
      </c>
    </row>
    <row r="529" ht="22.5" customHeight="1">
      <c r="A529" s="2" t="s">
        <v>349</v>
      </c>
      <c r="B529" s="4" t="s">
        <v>382</v>
      </c>
      <c r="C529" s="2" t="s">
        <v>20</v>
      </c>
      <c r="D529" s="9" t="s">
        <v>21</v>
      </c>
      <c r="E529" s="9" t="s">
        <v>22</v>
      </c>
      <c r="F529" s="5"/>
      <c r="G529" s="3">
        <v>115700.88</v>
      </c>
      <c r="L529" s="2" t="s">
        <v>359</v>
      </c>
      <c r="M529" s="2"/>
      <c r="N529" s="2"/>
      <c r="O529" s="2"/>
    </row>
    <row r="530" ht="22.5" customHeight="1">
      <c r="A530" s="2" t="s">
        <v>349</v>
      </c>
      <c r="B530" s="2" t="s">
        <v>383</v>
      </c>
      <c r="C530" s="2" t="s">
        <v>20</v>
      </c>
      <c r="D530" s="9" t="s">
        <v>21</v>
      </c>
      <c r="E530" s="9" t="s">
        <v>22</v>
      </c>
      <c r="F530" s="5" t="s">
        <v>383</v>
      </c>
      <c r="G530" s="3">
        <v>283.5</v>
      </c>
      <c r="L530" s="2" t="s">
        <v>359</v>
      </c>
      <c r="M530" s="2"/>
      <c r="N530" s="2"/>
      <c r="O530" s="2"/>
    </row>
    <row r="531" ht="22.5" customHeight="1">
      <c r="A531" s="4" t="s">
        <v>378</v>
      </c>
      <c r="B531" s="2" t="s">
        <v>384</v>
      </c>
      <c r="C531" s="4" t="s">
        <v>31</v>
      </c>
      <c r="D531" s="4" t="s">
        <v>54</v>
      </c>
      <c r="F531" s="5"/>
      <c r="G531" s="2">
        <v>4275.0</v>
      </c>
      <c r="L531" s="2" t="s">
        <v>359</v>
      </c>
      <c r="M531" s="2" t="s">
        <v>354</v>
      </c>
      <c r="N531" s="2">
        <v>276.0</v>
      </c>
      <c r="O531" s="2" t="s">
        <v>385</v>
      </c>
    </row>
    <row r="532" ht="22.5" customHeight="1">
      <c r="A532" s="2" t="s">
        <v>349</v>
      </c>
      <c r="B532" s="5"/>
      <c r="C532" s="2" t="s">
        <v>20</v>
      </c>
      <c r="D532" s="9" t="s">
        <v>21</v>
      </c>
      <c r="E532" s="9" t="s">
        <v>61</v>
      </c>
      <c r="F532" s="5"/>
      <c r="G532" s="15">
        <v>276857.45</v>
      </c>
      <c r="L532" s="2" t="s">
        <v>359</v>
      </c>
      <c r="M532" s="2"/>
      <c r="N532" s="2"/>
      <c r="O532" s="2"/>
    </row>
    <row r="533" ht="22.5" customHeight="1">
      <c r="A533" s="2" t="s">
        <v>349</v>
      </c>
      <c r="B533" s="5"/>
      <c r="C533" s="2" t="s">
        <v>20</v>
      </c>
      <c r="D533" s="9" t="s">
        <v>21</v>
      </c>
      <c r="E533" s="9" t="s">
        <v>44</v>
      </c>
      <c r="F533" s="5"/>
      <c r="G533" s="3">
        <v>116807.69</v>
      </c>
      <c r="L533" s="2" t="s">
        <v>359</v>
      </c>
      <c r="M533" s="2"/>
      <c r="N533" s="2"/>
      <c r="O533" s="2"/>
    </row>
    <row r="534" ht="22.5" customHeight="1">
      <c r="A534" s="2" t="s">
        <v>349</v>
      </c>
      <c r="B534" s="5"/>
      <c r="C534" s="2" t="s">
        <v>20</v>
      </c>
      <c r="D534" s="9" t="s">
        <v>21</v>
      </c>
      <c r="E534" s="9" t="s">
        <v>386</v>
      </c>
      <c r="F534" s="5"/>
      <c r="G534" s="15">
        <v>15788.81</v>
      </c>
      <c r="L534" s="2" t="s">
        <v>359</v>
      </c>
      <c r="M534" s="2"/>
      <c r="N534" s="2"/>
      <c r="O534" s="2"/>
    </row>
    <row r="535" ht="22.5" customHeight="1">
      <c r="A535" s="2" t="s">
        <v>349</v>
      </c>
      <c r="B535" s="2" t="s">
        <v>387</v>
      </c>
      <c r="C535" s="2" t="s">
        <v>31</v>
      </c>
      <c r="D535" s="9" t="s">
        <v>54</v>
      </c>
      <c r="F535" s="5" t="s">
        <v>387</v>
      </c>
      <c r="G535" s="15">
        <v>52488.89</v>
      </c>
      <c r="L535" s="2" t="s">
        <v>359</v>
      </c>
      <c r="M535" s="2"/>
      <c r="N535" s="2"/>
      <c r="O535" s="2"/>
    </row>
    <row r="536" ht="22.5" customHeight="1">
      <c r="A536" s="2" t="s">
        <v>349</v>
      </c>
      <c r="B536" s="2" t="s">
        <v>388</v>
      </c>
      <c r="C536" s="2" t="s">
        <v>20</v>
      </c>
      <c r="D536" s="9" t="s">
        <v>54</v>
      </c>
      <c r="F536" s="5" t="s">
        <v>388</v>
      </c>
      <c r="G536" s="15">
        <v>5599.92</v>
      </c>
      <c r="L536" s="2" t="s">
        <v>359</v>
      </c>
      <c r="M536" s="2"/>
      <c r="N536" s="2"/>
      <c r="O536" s="2"/>
    </row>
    <row r="537" ht="22.5" customHeight="1">
      <c r="A537" s="2" t="s">
        <v>389</v>
      </c>
      <c r="B537" s="2" t="s">
        <v>390</v>
      </c>
      <c r="C537" s="2" t="s">
        <v>20</v>
      </c>
      <c r="D537" s="4" t="s">
        <v>21</v>
      </c>
      <c r="F537" s="5"/>
      <c r="G537" s="2">
        <f>20826.33*70%</f>
        <v>14578.431</v>
      </c>
      <c r="L537" s="2" t="s">
        <v>359</v>
      </c>
      <c r="M537" s="2" t="s">
        <v>354</v>
      </c>
      <c r="N537" s="2">
        <v>272.0</v>
      </c>
      <c r="O537" s="2" t="s">
        <v>367</v>
      </c>
    </row>
    <row r="538" ht="22.5" customHeight="1">
      <c r="A538" s="2" t="s">
        <v>389</v>
      </c>
      <c r="B538" s="2" t="s">
        <v>390</v>
      </c>
      <c r="C538" s="2" t="s">
        <v>20</v>
      </c>
      <c r="D538" s="4" t="s">
        <v>54</v>
      </c>
      <c r="F538" s="5"/>
      <c r="G538" s="2">
        <f>20826.33*30%</f>
        <v>6247.899</v>
      </c>
      <c r="L538" s="2" t="s">
        <v>359</v>
      </c>
      <c r="M538" s="2" t="s">
        <v>354</v>
      </c>
      <c r="N538" s="2">
        <v>272.0</v>
      </c>
      <c r="O538" s="2" t="s">
        <v>367</v>
      </c>
    </row>
    <row r="539" ht="22.5" customHeight="1">
      <c r="A539" s="4" t="s">
        <v>391</v>
      </c>
      <c r="B539" s="2" t="s">
        <v>392</v>
      </c>
      <c r="C539" s="4" t="s">
        <v>31</v>
      </c>
      <c r="D539" s="4" t="s">
        <v>371</v>
      </c>
      <c r="F539" s="5"/>
      <c r="G539" s="2">
        <v>25000.0</v>
      </c>
      <c r="L539" s="2" t="s">
        <v>359</v>
      </c>
      <c r="M539" s="2" t="s">
        <v>354</v>
      </c>
      <c r="N539" s="2">
        <v>284.0</v>
      </c>
      <c r="O539" s="2" t="s">
        <v>393</v>
      </c>
    </row>
    <row r="540" ht="22.5" customHeight="1">
      <c r="A540" s="2" t="s">
        <v>391</v>
      </c>
      <c r="B540" s="2" t="s">
        <v>394</v>
      </c>
      <c r="C540" s="2" t="s">
        <v>31</v>
      </c>
      <c r="D540" s="4" t="s">
        <v>371</v>
      </c>
      <c r="F540" s="5"/>
      <c r="G540" s="4">
        <v>45000.0</v>
      </c>
      <c r="L540" s="2" t="s">
        <v>359</v>
      </c>
      <c r="M540" s="2" t="s">
        <v>354</v>
      </c>
      <c r="N540" s="2">
        <v>273.0</v>
      </c>
      <c r="O540" s="2" t="s">
        <v>391</v>
      </c>
    </row>
    <row r="541" ht="22.5" customHeight="1">
      <c r="A541" s="2" t="s">
        <v>395</v>
      </c>
      <c r="B541" s="2" t="s">
        <v>396</v>
      </c>
      <c r="C541" s="4" t="s">
        <v>31</v>
      </c>
      <c r="D541" s="4" t="s">
        <v>113</v>
      </c>
      <c r="F541" s="5"/>
      <c r="G541" s="2">
        <v>8500.0</v>
      </c>
      <c r="L541" s="2" t="s">
        <v>359</v>
      </c>
      <c r="M541" s="2" t="s">
        <v>354</v>
      </c>
      <c r="N541" s="2">
        <v>288.0</v>
      </c>
      <c r="O541" s="2" t="s">
        <v>397</v>
      </c>
    </row>
    <row r="542" ht="22.5" customHeight="1">
      <c r="A542" s="4" t="s">
        <v>395</v>
      </c>
      <c r="B542" s="11" t="s">
        <v>398</v>
      </c>
      <c r="C542" s="4" t="s">
        <v>31</v>
      </c>
      <c r="D542" s="4" t="s">
        <v>47</v>
      </c>
      <c r="F542" s="5"/>
      <c r="G542" s="4">
        <v>5500.0</v>
      </c>
      <c r="L542" s="2"/>
      <c r="M542" s="2"/>
      <c r="N542" s="2"/>
      <c r="O542" s="2"/>
    </row>
    <row r="543" ht="22.5" customHeight="1">
      <c r="A543" s="2" t="s">
        <v>395</v>
      </c>
      <c r="B543" s="2" t="s">
        <v>399</v>
      </c>
      <c r="C543" s="4" t="s">
        <v>31</v>
      </c>
      <c r="D543" s="4" t="s">
        <v>47</v>
      </c>
      <c r="F543" s="5"/>
      <c r="G543" s="2">
        <v>2689.66</v>
      </c>
      <c r="L543" s="2" t="s">
        <v>359</v>
      </c>
      <c r="M543" s="2" t="s">
        <v>354</v>
      </c>
      <c r="N543" s="2">
        <v>274.0</v>
      </c>
      <c r="O543" s="2" t="s">
        <v>395</v>
      </c>
    </row>
    <row r="544" ht="22.5" customHeight="1">
      <c r="A544" s="4" t="s">
        <v>391</v>
      </c>
      <c r="B544" s="2" t="s">
        <v>400</v>
      </c>
      <c r="C544" s="16" t="s">
        <v>31</v>
      </c>
      <c r="D544" s="9" t="s">
        <v>47</v>
      </c>
      <c r="F544" s="5"/>
      <c r="G544" s="2">
        <v>344.82</v>
      </c>
      <c r="L544" s="2" t="s">
        <v>359</v>
      </c>
      <c r="M544" s="2" t="s">
        <v>354</v>
      </c>
      <c r="N544" s="2">
        <v>274.0</v>
      </c>
      <c r="O544" s="2" t="s">
        <v>395</v>
      </c>
    </row>
    <row r="545" ht="22.5" customHeight="1">
      <c r="A545" s="2" t="s">
        <v>401</v>
      </c>
      <c r="B545" s="2" t="s">
        <v>402</v>
      </c>
      <c r="C545" s="2" t="s">
        <v>20</v>
      </c>
      <c r="D545" s="4" t="s">
        <v>21</v>
      </c>
      <c r="F545" s="5"/>
      <c r="G545" s="2">
        <f>19833.79*70%</f>
        <v>13883.653</v>
      </c>
      <c r="L545" s="2" t="s">
        <v>359</v>
      </c>
      <c r="M545" s="2" t="s">
        <v>354</v>
      </c>
      <c r="N545" s="2">
        <v>260.0</v>
      </c>
      <c r="O545" s="2" t="s">
        <v>401</v>
      </c>
    </row>
    <row r="546" ht="22.5" customHeight="1">
      <c r="A546" s="2" t="s">
        <v>401</v>
      </c>
      <c r="B546" s="2" t="s">
        <v>402</v>
      </c>
      <c r="C546" s="2" t="s">
        <v>20</v>
      </c>
      <c r="D546" s="4" t="s">
        <v>54</v>
      </c>
      <c r="F546" s="5"/>
      <c r="G546" s="2">
        <f>19833.79*30%</f>
        <v>5950.137</v>
      </c>
      <c r="L546" s="2" t="s">
        <v>359</v>
      </c>
      <c r="M546" s="2" t="s">
        <v>354</v>
      </c>
      <c r="N546" s="2">
        <v>260.0</v>
      </c>
      <c r="O546" s="2" t="s">
        <v>401</v>
      </c>
    </row>
    <row r="547" ht="22.5" customHeight="1">
      <c r="A547" s="4" t="s">
        <v>403</v>
      </c>
      <c r="B547" s="2" t="s">
        <v>404</v>
      </c>
      <c r="C547" s="4" t="s">
        <v>31</v>
      </c>
      <c r="D547" s="4" t="s">
        <v>187</v>
      </c>
      <c r="F547" s="5"/>
      <c r="G547" s="2">
        <v>858.75</v>
      </c>
      <c r="L547" s="2" t="s">
        <v>359</v>
      </c>
      <c r="M547" s="2" t="s">
        <v>354</v>
      </c>
      <c r="N547" s="2">
        <v>295.0</v>
      </c>
      <c r="O547" s="2" t="s">
        <v>405</v>
      </c>
    </row>
    <row r="548" ht="22.5" customHeight="1">
      <c r="A548" s="4" t="s">
        <v>403</v>
      </c>
      <c r="B548" s="2" t="s">
        <v>404</v>
      </c>
      <c r="C548" s="4" t="s">
        <v>31</v>
      </c>
      <c r="D548" s="4" t="s">
        <v>187</v>
      </c>
      <c r="F548" s="5"/>
      <c r="G548" s="2">
        <v>858.75</v>
      </c>
      <c r="L548" s="2" t="s">
        <v>359</v>
      </c>
      <c r="M548" s="2" t="s">
        <v>354</v>
      </c>
      <c r="N548" s="2">
        <v>295.0</v>
      </c>
      <c r="O548" s="2" t="s">
        <v>405</v>
      </c>
    </row>
    <row r="549" ht="22.5" customHeight="1">
      <c r="A549" s="4" t="s">
        <v>403</v>
      </c>
      <c r="B549" s="2" t="s">
        <v>404</v>
      </c>
      <c r="C549" s="4" t="s">
        <v>31</v>
      </c>
      <c r="D549" s="4" t="s">
        <v>187</v>
      </c>
      <c r="F549" s="5"/>
      <c r="G549" s="2">
        <v>1202.25</v>
      </c>
      <c r="L549" s="2" t="s">
        <v>359</v>
      </c>
      <c r="M549" s="2" t="s">
        <v>354</v>
      </c>
      <c r="N549" s="2">
        <v>295.0</v>
      </c>
      <c r="O549" s="2" t="s">
        <v>405</v>
      </c>
    </row>
    <row r="550" ht="22.5" customHeight="1">
      <c r="A550" s="4" t="s">
        <v>403</v>
      </c>
      <c r="B550" s="2" t="s">
        <v>404</v>
      </c>
      <c r="C550" s="4" t="s">
        <v>31</v>
      </c>
      <c r="D550" s="4" t="s">
        <v>187</v>
      </c>
      <c r="F550" s="5"/>
      <c r="G550" s="2">
        <v>1374.0</v>
      </c>
      <c r="L550" s="2" t="s">
        <v>359</v>
      </c>
      <c r="M550" s="2" t="s">
        <v>354</v>
      </c>
      <c r="N550" s="2">
        <v>295.0</v>
      </c>
      <c r="O550" s="2" t="s">
        <v>405</v>
      </c>
    </row>
    <row r="551" ht="22.5" customHeight="1">
      <c r="A551" s="2" t="s">
        <v>403</v>
      </c>
      <c r="B551" s="2" t="s">
        <v>406</v>
      </c>
      <c r="C551" s="4" t="s">
        <v>31</v>
      </c>
      <c r="D551" s="4" t="s">
        <v>187</v>
      </c>
      <c r="F551" s="5"/>
      <c r="G551" s="2">
        <v>3700.28</v>
      </c>
      <c r="L551" s="2" t="s">
        <v>407</v>
      </c>
      <c r="M551" s="2" t="s">
        <v>408</v>
      </c>
      <c r="N551" s="2">
        <v>202.0</v>
      </c>
      <c r="O551" s="2" t="s">
        <v>409</v>
      </c>
    </row>
    <row r="552" ht="22.5" customHeight="1">
      <c r="A552" s="2" t="s">
        <v>403</v>
      </c>
      <c r="B552" s="2" t="s">
        <v>410</v>
      </c>
      <c r="C552" s="4" t="s">
        <v>31</v>
      </c>
      <c r="D552" s="4" t="s">
        <v>187</v>
      </c>
      <c r="F552" s="5"/>
      <c r="G552" s="2">
        <v>524.48</v>
      </c>
      <c r="L552" s="2" t="s">
        <v>411</v>
      </c>
      <c r="M552" s="2" t="s">
        <v>408</v>
      </c>
      <c r="N552" s="2">
        <v>240.0</v>
      </c>
      <c r="O552" s="2" t="s">
        <v>409</v>
      </c>
    </row>
    <row r="553" ht="22.5" customHeight="1">
      <c r="A553" s="2" t="s">
        <v>403</v>
      </c>
      <c r="B553" s="2" t="s">
        <v>412</v>
      </c>
      <c r="C553" s="4" t="s">
        <v>31</v>
      </c>
      <c r="D553" s="4" t="s">
        <v>187</v>
      </c>
      <c r="F553" s="5"/>
      <c r="G553" s="2">
        <v>9948.99</v>
      </c>
      <c r="L553" s="2" t="s">
        <v>411</v>
      </c>
      <c r="M553" s="2" t="s">
        <v>354</v>
      </c>
      <c r="N553" s="2">
        <v>400.0</v>
      </c>
      <c r="O553" s="2" t="s">
        <v>409</v>
      </c>
    </row>
    <row r="554" ht="22.5" customHeight="1">
      <c r="A554" s="2" t="s">
        <v>403</v>
      </c>
      <c r="B554" s="2" t="s">
        <v>413</v>
      </c>
      <c r="C554" s="4" t="s">
        <v>31</v>
      </c>
      <c r="D554" s="4" t="s">
        <v>187</v>
      </c>
      <c r="F554" s="5"/>
      <c r="G554" s="2">
        <v>400.0</v>
      </c>
      <c r="L554" s="2" t="s">
        <v>414</v>
      </c>
      <c r="M554" s="2" t="s">
        <v>408</v>
      </c>
      <c r="N554" s="2">
        <v>243.0</v>
      </c>
      <c r="O554" s="2" t="s">
        <v>409</v>
      </c>
    </row>
    <row r="555" ht="22.5" customHeight="1">
      <c r="A555" s="2" t="s">
        <v>403</v>
      </c>
      <c r="B555" s="2" t="s">
        <v>415</v>
      </c>
      <c r="C555" s="4" t="s">
        <v>31</v>
      </c>
      <c r="D555" s="4" t="s">
        <v>187</v>
      </c>
      <c r="F555" s="5"/>
      <c r="G555" s="2">
        <v>256.55</v>
      </c>
      <c r="L555" s="2" t="s">
        <v>353</v>
      </c>
      <c r="M555" s="2" t="s">
        <v>408</v>
      </c>
      <c r="N555" s="2">
        <v>246.0</v>
      </c>
      <c r="O555" s="2" t="s">
        <v>409</v>
      </c>
    </row>
    <row r="556" ht="22.5" customHeight="1">
      <c r="A556" s="2" t="s">
        <v>403</v>
      </c>
      <c r="B556" s="2" t="s">
        <v>416</v>
      </c>
      <c r="C556" s="4" t="s">
        <v>31</v>
      </c>
      <c r="D556" s="4" t="s">
        <v>187</v>
      </c>
      <c r="F556" s="5"/>
      <c r="G556" s="2">
        <v>620.0</v>
      </c>
      <c r="L556" s="2" t="s">
        <v>353</v>
      </c>
      <c r="M556" s="2" t="s">
        <v>408</v>
      </c>
      <c r="N556" s="2">
        <v>247.0</v>
      </c>
      <c r="O556" s="2" t="s">
        <v>409</v>
      </c>
    </row>
    <row r="557" ht="22.5" customHeight="1">
      <c r="A557" s="2" t="s">
        <v>417</v>
      </c>
      <c r="B557" s="2" t="s">
        <v>418</v>
      </c>
      <c r="C557" s="4" t="s">
        <v>370</v>
      </c>
      <c r="D557" s="4" t="s">
        <v>371</v>
      </c>
      <c r="F557" s="5"/>
      <c r="G557" s="2">
        <v>13833.01</v>
      </c>
      <c r="L557" s="2" t="s">
        <v>359</v>
      </c>
      <c r="M557" s="2" t="s">
        <v>354</v>
      </c>
      <c r="N557" s="2">
        <v>500.0</v>
      </c>
      <c r="O557" s="2" t="s">
        <v>417</v>
      </c>
    </row>
    <row r="558" ht="22.5" customHeight="1">
      <c r="A558" s="2" t="s">
        <v>385</v>
      </c>
      <c r="B558" s="2" t="s">
        <v>419</v>
      </c>
      <c r="C558" s="4" t="s">
        <v>31</v>
      </c>
      <c r="D558" s="4" t="s">
        <v>371</v>
      </c>
      <c r="F558" s="5"/>
      <c r="G558" s="2">
        <v>5244.76</v>
      </c>
      <c r="L558" s="2" t="s">
        <v>359</v>
      </c>
      <c r="M558" s="2" t="s">
        <v>354</v>
      </c>
      <c r="N558" s="2">
        <v>288.0</v>
      </c>
      <c r="O558" s="2" t="s">
        <v>397</v>
      </c>
    </row>
    <row r="559" ht="22.5" customHeight="1">
      <c r="A559" s="4" t="s">
        <v>385</v>
      </c>
      <c r="B559" s="2" t="s">
        <v>420</v>
      </c>
      <c r="C559" s="4" t="s">
        <v>31</v>
      </c>
      <c r="D559" s="4" t="s">
        <v>371</v>
      </c>
      <c r="F559" s="5"/>
      <c r="G559" s="2">
        <v>585.56</v>
      </c>
      <c r="L559" s="2" t="s">
        <v>421</v>
      </c>
      <c r="M559" s="2" t="s">
        <v>408</v>
      </c>
      <c r="N559" s="2">
        <v>148.0</v>
      </c>
      <c r="O559" s="2" t="s">
        <v>422</v>
      </c>
    </row>
    <row r="560" ht="22.5" customHeight="1">
      <c r="A560" s="2" t="s">
        <v>385</v>
      </c>
      <c r="B560" s="2" t="s">
        <v>423</v>
      </c>
      <c r="C560" s="4" t="s">
        <v>31</v>
      </c>
      <c r="D560" s="4" t="s">
        <v>187</v>
      </c>
      <c r="F560" s="5"/>
      <c r="G560" s="2">
        <v>4500.0</v>
      </c>
      <c r="L560" s="2" t="s">
        <v>359</v>
      </c>
      <c r="M560" s="2" t="s">
        <v>354</v>
      </c>
      <c r="N560" s="2">
        <v>276.0</v>
      </c>
      <c r="O560" s="2" t="s">
        <v>385</v>
      </c>
    </row>
    <row r="561" ht="22.5" customHeight="1">
      <c r="A561" s="2" t="s">
        <v>385</v>
      </c>
      <c r="B561" s="2" t="s">
        <v>423</v>
      </c>
      <c r="C561" s="4" t="s">
        <v>31</v>
      </c>
      <c r="D561" s="4" t="s">
        <v>187</v>
      </c>
      <c r="F561" s="5"/>
      <c r="G561" s="2">
        <v>3190.0</v>
      </c>
      <c r="L561" s="2" t="s">
        <v>359</v>
      </c>
      <c r="M561" s="2" t="s">
        <v>354</v>
      </c>
      <c r="N561" s="2">
        <v>276.0</v>
      </c>
      <c r="O561" s="2" t="s">
        <v>385</v>
      </c>
    </row>
    <row r="562" ht="22.5" customHeight="1">
      <c r="A562" s="2" t="s">
        <v>385</v>
      </c>
      <c r="B562" s="2" t="s">
        <v>424</v>
      </c>
      <c r="C562" s="4" t="s">
        <v>31</v>
      </c>
      <c r="D562" s="4" t="s">
        <v>98</v>
      </c>
      <c r="F562" s="5"/>
      <c r="G562" s="2">
        <v>3864.0</v>
      </c>
      <c r="L562" s="2" t="s">
        <v>359</v>
      </c>
      <c r="M562" s="2" t="s">
        <v>354</v>
      </c>
      <c r="N562" s="2">
        <v>276.0</v>
      </c>
      <c r="O562" s="2" t="s">
        <v>385</v>
      </c>
    </row>
    <row r="563" ht="22.5" customHeight="1">
      <c r="A563" s="2" t="s">
        <v>385</v>
      </c>
      <c r="B563" s="2" t="s">
        <v>425</v>
      </c>
      <c r="C563" s="4" t="s">
        <v>31</v>
      </c>
      <c r="D563" s="12" t="s">
        <v>54</v>
      </c>
      <c r="F563" s="5"/>
      <c r="G563" s="4">
        <v>2681.992444</v>
      </c>
      <c r="L563" s="2" t="s">
        <v>359</v>
      </c>
      <c r="M563" s="2" t="s">
        <v>354</v>
      </c>
      <c r="N563" s="2">
        <v>276.0</v>
      </c>
      <c r="O563" s="2" t="s">
        <v>385</v>
      </c>
    </row>
    <row r="564" ht="22.5" customHeight="1">
      <c r="A564" s="2" t="s">
        <v>385</v>
      </c>
      <c r="B564" s="2" t="s">
        <v>425</v>
      </c>
      <c r="C564" s="4" t="s">
        <v>31</v>
      </c>
      <c r="D564" s="12" t="s">
        <v>98</v>
      </c>
      <c r="F564" s="5"/>
      <c r="G564" s="4">
        <v>191.5708889</v>
      </c>
      <c r="L564" s="2" t="s">
        <v>359</v>
      </c>
      <c r="M564" s="2" t="s">
        <v>354</v>
      </c>
      <c r="N564" s="2">
        <v>281.0</v>
      </c>
      <c r="O564" s="2" t="s">
        <v>385</v>
      </c>
    </row>
    <row r="565" ht="22.5" customHeight="1">
      <c r="A565" s="2" t="s">
        <v>385</v>
      </c>
      <c r="B565" s="2" t="s">
        <v>425</v>
      </c>
      <c r="C565" s="4" t="s">
        <v>20</v>
      </c>
      <c r="D565" s="12" t="s">
        <v>21</v>
      </c>
      <c r="F565" s="5"/>
      <c r="G565" s="4">
        <v>3639.846889</v>
      </c>
      <c r="L565" s="2" t="s">
        <v>359</v>
      </c>
      <c r="M565" s="2" t="s">
        <v>354</v>
      </c>
      <c r="N565" s="2">
        <v>281.0</v>
      </c>
      <c r="O565" s="2" t="s">
        <v>385</v>
      </c>
    </row>
    <row r="566" ht="22.5" customHeight="1">
      <c r="A566" s="2" t="s">
        <v>385</v>
      </c>
      <c r="B566" s="2" t="s">
        <v>425</v>
      </c>
      <c r="C566" s="4" t="s">
        <v>31</v>
      </c>
      <c r="D566" s="12" t="s">
        <v>187</v>
      </c>
      <c r="F566" s="5"/>
      <c r="G566" s="4">
        <v>510.8557037</v>
      </c>
      <c r="L566" s="2" t="s">
        <v>359</v>
      </c>
      <c r="M566" s="2" t="s">
        <v>354</v>
      </c>
      <c r="N566" s="2">
        <v>281.0</v>
      </c>
      <c r="O566" s="2" t="s">
        <v>385</v>
      </c>
    </row>
    <row r="567" ht="22.5" customHeight="1">
      <c r="A567" s="2" t="s">
        <v>385</v>
      </c>
      <c r="B567" s="2" t="s">
        <v>425</v>
      </c>
      <c r="C567" s="4" t="s">
        <v>31</v>
      </c>
      <c r="D567" s="12" t="s">
        <v>38</v>
      </c>
      <c r="F567" s="5"/>
      <c r="G567" s="4">
        <v>287.3563333</v>
      </c>
      <c r="L567" s="2" t="s">
        <v>359</v>
      </c>
      <c r="M567" s="2"/>
      <c r="N567" s="2"/>
      <c r="O567" s="2"/>
    </row>
    <row r="568" ht="22.5" customHeight="1">
      <c r="A568" s="2" t="s">
        <v>385</v>
      </c>
      <c r="B568" s="2" t="s">
        <v>425</v>
      </c>
      <c r="C568" s="4" t="s">
        <v>31</v>
      </c>
      <c r="D568" s="12" t="s">
        <v>47</v>
      </c>
      <c r="F568" s="5"/>
      <c r="G568" s="4">
        <v>1021.711407</v>
      </c>
      <c r="L568" s="2" t="s">
        <v>359</v>
      </c>
      <c r="M568" s="2"/>
      <c r="N568" s="2"/>
      <c r="O568" s="2"/>
    </row>
    <row r="569" ht="22.5" customHeight="1">
      <c r="A569" s="2" t="s">
        <v>385</v>
      </c>
      <c r="B569" s="2" t="s">
        <v>425</v>
      </c>
      <c r="C569" s="4" t="s">
        <v>31</v>
      </c>
      <c r="D569" s="12" t="s">
        <v>113</v>
      </c>
      <c r="F569" s="5"/>
      <c r="G569" s="4">
        <v>287.3563333</v>
      </c>
      <c r="L569" s="2" t="s">
        <v>359</v>
      </c>
      <c r="M569" s="2"/>
      <c r="N569" s="2"/>
      <c r="O569" s="2"/>
    </row>
    <row r="570" ht="22.5" customHeight="1">
      <c r="A570" s="4" t="s">
        <v>426</v>
      </c>
      <c r="B570" s="2" t="s">
        <v>427</v>
      </c>
      <c r="C570" s="4" t="s">
        <v>31</v>
      </c>
      <c r="D570" s="4" t="s">
        <v>371</v>
      </c>
      <c r="F570" s="5"/>
      <c r="G570" s="9">
        <v>46093.1</v>
      </c>
      <c r="L570" s="2" t="s">
        <v>359</v>
      </c>
      <c r="M570" s="2" t="s">
        <v>354</v>
      </c>
      <c r="N570" s="2">
        <v>281.0</v>
      </c>
      <c r="O570" s="2" t="s">
        <v>385</v>
      </c>
    </row>
    <row r="571" ht="22.5" customHeight="1">
      <c r="A571" s="4" t="s">
        <v>428</v>
      </c>
      <c r="B571" s="2" t="s">
        <v>429</v>
      </c>
      <c r="C571" s="4" t="s">
        <v>20</v>
      </c>
      <c r="D571" s="4" t="s">
        <v>21</v>
      </c>
      <c r="F571" s="5"/>
      <c r="G571" s="2">
        <v>791.67</v>
      </c>
      <c r="L571" s="2" t="s">
        <v>359</v>
      </c>
      <c r="M571" s="2" t="s">
        <v>354</v>
      </c>
      <c r="N571" s="2">
        <v>502.0</v>
      </c>
      <c r="O571" s="2" t="s">
        <v>428</v>
      </c>
    </row>
    <row r="572" ht="22.5" customHeight="1">
      <c r="A572" s="4" t="s">
        <v>430</v>
      </c>
      <c r="B572" s="2" t="s">
        <v>429</v>
      </c>
      <c r="C572" s="4" t="s">
        <v>31</v>
      </c>
      <c r="D572" s="9" t="s">
        <v>54</v>
      </c>
      <c r="F572" s="5"/>
      <c r="G572" s="4">
        <v>10169.65289</v>
      </c>
      <c r="L572" s="2" t="s">
        <v>359</v>
      </c>
      <c r="M572" s="2" t="s">
        <v>354</v>
      </c>
      <c r="N572" s="2">
        <v>502.0</v>
      </c>
      <c r="O572" s="2" t="s">
        <v>431</v>
      </c>
    </row>
    <row r="573" ht="22.5" customHeight="1">
      <c r="A573" s="4" t="s">
        <v>430</v>
      </c>
      <c r="B573" s="2" t="s">
        <v>429</v>
      </c>
      <c r="C573" s="4" t="s">
        <v>31</v>
      </c>
      <c r="D573" s="9" t="s">
        <v>98</v>
      </c>
      <c r="F573" s="5"/>
      <c r="G573" s="4">
        <v>726.4037778</v>
      </c>
      <c r="L573" s="2" t="s">
        <v>359</v>
      </c>
    </row>
    <row r="574" ht="22.5" customHeight="1">
      <c r="A574" s="4" t="s">
        <v>430</v>
      </c>
      <c r="B574" s="2" t="s">
        <v>429</v>
      </c>
      <c r="C574" s="4" t="s">
        <v>31</v>
      </c>
      <c r="D574" s="9" t="s">
        <v>21</v>
      </c>
      <c r="F574" s="5"/>
      <c r="G574" s="4">
        <v>13801.67178</v>
      </c>
      <c r="L574" s="2" t="s">
        <v>359</v>
      </c>
    </row>
    <row r="575" ht="22.5" customHeight="1">
      <c r="A575" s="4" t="s">
        <v>430</v>
      </c>
      <c r="B575" s="2" t="s">
        <v>429</v>
      </c>
      <c r="C575" s="4" t="s">
        <v>31</v>
      </c>
      <c r="D575" s="9" t="s">
        <v>187</v>
      </c>
      <c r="F575" s="5"/>
      <c r="G575" s="4">
        <v>1937.076741</v>
      </c>
      <c r="L575" s="2" t="s">
        <v>359</v>
      </c>
    </row>
    <row r="576" ht="22.5" customHeight="1">
      <c r="A576" s="4" t="s">
        <v>430</v>
      </c>
      <c r="B576" s="2" t="s">
        <v>429</v>
      </c>
      <c r="C576" s="4" t="s">
        <v>31</v>
      </c>
      <c r="D576" s="9" t="s">
        <v>38</v>
      </c>
      <c r="F576" s="5"/>
      <c r="G576" s="4">
        <v>1089.605667</v>
      </c>
      <c r="L576" s="2" t="s">
        <v>359</v>
      </c>
    </row>
    <row r="577" ht="22.5" customHeight="1">
      <c r="A577" s="4" t="s">
        <v>430</v>
      </c>
      <c r="B577" s="2" t="s">
        <v>429</v>
      </c>
      <c r="C577" s="4" t="s">
        <v>31</v>
      </c>
      <c r="D577" s="9" t="s">
        <v>47</v>
      </c>
      <c r="F577" s="5"/>
      <c r="G577" s="4">
        <v>3874.153481</v>
      </c>
      <c r="L577" s="2" t="s">
        <v>359</v>
      </c>
    </row>
    <row r="578" ht="22.5" customHeight="1">
      <c r="A578" s="4" t="s">
        <v>430</v>
      </c>
      <c r="B578" s="2" t="s">
        <v>429</v>
      </c>
      <c r="C578" s="4" t="s">
        <v>31</v>
      </c>
      <c r="D578" s="9" t="s">
        <v>113</v>
      </c>
      <c r="F578" s="5"/>
      <c r="G578" s="4">
        <v>1089.605667</v>
      </c>
      <c r="L578" s="2" t="s">
        <v>359</v>
      </c>
    </row>
    <row r="579" ht="22.5" customHeight="1">
      <c r="A579" s="4" t="s">
        <v>432</v>
      </c>
      <c r="B579" s="2" t="s">
        <v>429</v>
      </c>
      <c r="C579" s="4" t="s">
        <v>31</v>
      </c>
      <c r="D579" s="9" t="s">
        <v>54</v>
      </c>
      <c r="F579" s="5"/>
      <c r="G579" s="4">
        <v>2908.587111</v>
      </c>
      <c r="L579" s="2" t="s">
        <v>359</v>
      </c>
      <c r="M579" s="2" t="s">
        <v>354</v>
      </c>
      <c r="N579" s="2">
        <v>502.0</v>
      </c>
      <c r="O579" s="2" t="s">
        <v>433</v>
      </c>
    </row>
    <row r="580" ht="22.5" customHeight="1">
      <c r="A580" s="4" t="s">
        <v>432</v>
      </c>
      <c r="B580" s="2" t="s">
        <v>429</v>
      </c>
      <c r="C580" s="4" t="s">
        <v>31</v>
      </c>
      <c r="D580" s="9" t="s">
        <v>98</v>
      </c>
      <c r="F580" s="5"/>
      <c r="G580" s="4">
        <v>207.7562222</v>
      </c>
      <c r="L580" s="2" t="s">
        <v>359</v>
      </c>
    </row>
    <row r="581" ht="22.5" customHeight="1">
      <c r="A581" s="4" t="s">
        <v>432</v>
      </c>
      <c r="B581" s="2" t="s">
        <v>429</v>
      </c>
      <c r="C581" s="4" t="s">
        <v>20</v>
      </c>
      <c r="D581" s="9" t="s">
        <v>21</v>
      </c>
      <c r="F581" s="5"/>
      <c r="G581" s="4">
        <v>3947.368222</v>
      </c>
      <c r="L581" s="2" t="s">
        <v>359</v>
      </c>
    </row>
    <row r="582" ht="22.5" customHeight="1">
      <c r="A582" s="4" t="s">
        <v>432</v>
      </c>
      <c r="B582" s="2" t="s">
        <v>429</v>
      </c>
      <c r="C582" s="4" t="s">
        <v>31</v>
      </c>
      <c r="D582" s="9" t="s">
        <v>187</v>
      </c>
      <c r="F582" s="5"/>
      <c r="G582" s="4">
        <v>554.0165926</v>
      </c>
      <c r="L582" s="2" t="s">
        <v>359</v>
      </c>
    </row>
    <row r="583" ht="22.5" customHeight="1">
      <c r="A583" s="4" t="s">
        <v>432</v>
      </c>
      <c r="B583" s="2" t="s">
        <v>429</v>
      </c>
      <c r="C583" s="4" t="s">
        <v>31</v>
      </c>
      <c r="D583" s="9" t="s">
        <v>38</v>
      </c>
      <c r="F583" s="5"/>
      <c r="G583" s="4">
        <v>311.6343333</v>
      </c>
      <c r="L583" s="2" t="s">
        <v>359</v>
      </c>
    </row>
    <row r="584" ht="22.5" customHeight="1">
      <c r="A584" s="4" t="s">
        <v>432</v>
      </c>
      <c r="B584" s="2" t="s">
        <v>429</v>
      </c>
      <c r="C584" s="4" t="s">
        <v>31</v>
      </c>
      <c r="D584" s="9" t="s">
        <v>47</v>
      </c>
      <c r="F584" s="5"/>
      <c r="G584" s="4">
        <v>1108.033185</v>
      </c>
      <c r="L584" s="2" t="s">
        <v>359</v>
      </c>
    </row>
    <row r="585" ht="22.5" customHeight="1">
      <c r="A585" s="4" t="s">
        <v>432</v>
      </c>
      <c r="B585" s="2" t="s">
        <v>429</v>
      </c>
      <c r="C585" s="4" t="s">
        <v>31</v>
      </c>
      <c r="D585" s="9" t="s">
        <v>113</v>
      </c>
      <c r="F585" s="5"/>
      <c r="G585" s="4">
        <v>311.6343333</v>
      </c>
      <c r="L585" s="2" t="s">
        <v>359</v>
      </c>
    </row>
    <row r="586" ht="22.5" customHeight="1">
      <c r="A586" s="4" t="s">
        <v>434</v>
      </c>
      <c r="B586" s="4" t="s">
        <v>429</v>
      </c>
      <c r="C586" s="4" t="s">
        <v>31</v>
      </c>
      <c r="D586" s="4" t="s">
        <v>371</v>
      </c>
      <c r="E586" s="4"/>
      <c r="F586" s="11"/>
      <c r="G586" s="4">
        <v>5539.44</v>
      </c>
      <c r="H586" s="4"/>
      <c r="I586" s="4"/>
      <c r="J586" s="4"/>
      <c r="K586" s="4"/>
      <c r="L586" s="4" t="s">
        <v>359</v>
      </c>
      <c r="M586" s="4" t="s">
        <v>354</v>
      </c>
      <c r="N586" s="4">
        <v>502.0</v>
      </c>
      <c r="O586" s="4" t="s">
        <v>435</v>
      </c>
      <c r="P586" s="4"/>
      <c r="Q586" s="4"/>
      <c r="R586" s="4"/>
    </row>
    <row r="587" ht="22.5" customHeight="1">
      <c r="A587" s="4" t="s">
        <v>434</v>
      </c>
      <c r="B587" s="4" t="s">
        <v>429</v>
      </c>
      <c r="C587" s="4" t="s">
        <v>31</v>
      </c>
      <c r="D587" s="4" t="s">
        <v>371</v>
      </c>
      <c r="E587" s="4"/>
      <c r="F587" s="11"/>
      <c r="G587" s="4">
        <v>5828.89</v>
      </c>
      <c r="H587" s="4"/>
      <c r="I587" s="4"/>
      <c r="J587" s="4"/>
      <c r="K587" s="4"/>
      <c r="L587" s="4" t="s">
        <v>359</v>
      </c>
      <c r="M587" s="4" t="s">
        <v>354</v>
      </c>
      <c r="N587" s="4">
        <v>502.0</v>
      </c>
      <c r="O587" s="4" t="s">
        <v>436</v>
      </c>
      <c r="P587" s="4"/>
      <c r="Q587" s="4"/>
      <c r="R587" s="4"/>
    </row>
    <row r="588" ht="22.5" customHeight="1">
      <c r="A588" s="2" t="s">
        <v>437</v>
      </c>
      <c r="B588" s="5" t="s">
        <v>438</v>
      </c>
      <c r="C588" s="2" t="s">
        <v>20</v>
      </c>
      <c r="D588" s="4" t="s">
        <v>21</v>
      </c>
      <c r="F588" s="5"/>
      <c r="G588" s="2">
        <v>8000.0</v>
      </c>
      <c r="L588" s="2" t="s">
        <v>359</v>
      </c>
      <c r="M588" s="2" t="s">
        <v>354</v>
      </c>
      <c r="N588" s="2">
        <v>278.0</v>
      </c>
      <c r="O588" s="2" t="s">
        <v>437</v>
      </c>
    </row>
    <row r="589" ht="22.5" customHeight="1">
      <c r="A589" s="2" t="s">
        <v>437</v>
      </c>
      <c r="B589" s="2" t="s">
        <v>439</v>
      </c>
      <c r="C589" s="2" t="s">
        <v>20</v>
      </c>
      <c r="D589" s="4" t="s">
        <v>21</v>
      </c>
      <c r="F589" s="5"/>
      <c r="G589" s="2">
        <v>24124.7</v>
      </c>
      <c r="L589" s="4" t="s">
        <v>359</v>
      </c>
      <c r="M589" s="2"/>
      <c r="N589" s="2"/>
      <c r="O589" s="2"/>
    </row>
    <row r="590" ht="22.5" customHeight="1">
      <c r="A590" s="4" t="s">
        <v>440</v>
      </c>
      <c r="B590" s="2" t="s">
        <v>441</v>
      </c>
      <c r="C590" s="4" t="s">
        <v>31</v>
      </c>
      <c r="D590" s="4" t="s">
        <v>371</v>
      </c>
      <c r="F590" s="5"/>
      <c r="G590" s="4">
        <v>8208.0</v>
      </c>
      <c r="L590" s="2" t="s">
        <v>359</v>
      </c>
      <c r="M590" s="2" t="s">
        <v>354</v>
      </c>
      <c r="N590" s="2">
        <v>278.0</v>
      </c>
      <c r="O590" s="2" t="s">
        <v>437</v>
      </c>
    </row>
    <row r="591" ht="22.5" customHeight="1">
      <c r="A591" s="2" t="s">
        <v>437</v>
      </c>
      <c r="B591" s="2" t="s">
        <v>442</v>
      </c>
      <c r="C591" s="2" t="s">
        <v>20</v>
      </c>
      <c r="D591" s="4" t="s">
        <v>21</v>
      </c>
      <c r="F591" s="5"/>
      <c r="G591" s="2">
        <v>14000.0</v>
      </c>
      <c r="L591" s="2" t="s">
        <v>359</v>
      </c>
      <c r="M591" s="2" t="s">
        <v>354</v>
      </c>
      <c r="N591" s="2">
        <v>278.0</v>
      </c>
      <c r="O591" s="2" t="s">
        <v>437</v>
      </c>
    </row>
    <row r="592" ht="22.5" customHeight="1">
      <c r="A592" s="2" t="s">
        <v>437</v>
      </c>
      <c r="B592" s="2" t="s">
        <v>442</v>
      </c>
      <c r="C592" s="2" t="s">
        <v>20</v>
      </c>
      <c r="D592" s="4" t="s">
        <v>21</v>
      </c>
      <c r="F592" s="5"/>
      <c r="G592" s="2">
        <v>18500.0</v>
      </c>
      <c r="L592" s="2" t="s">
        <v>359</v>
      </c>
      <c r="M592" s="2" t="s">
        <v>354</v>
      </c>
      <c r="N592" s="2">
        <v>278.0</v>
      </c>
      <c r="O592" s="2" t="s">
        <v>437</v>
      </c>
    </row>
    <row r="593" ht="22.5" customHeight="1">
      <c r="A593" s="2" t="s">
        <v>437</v>
      </c>
      <c r="B593" s="2" t="s">
        <v>443</v>
      </c>
      <c r="C593" s="2" t="s">
        <v>20</v>
      </c>
      <c r="D593" s="4" t="s">
        <v>21</v>
      </c>
      <c r="F593" s="5"/>
      <c r="G593" s="2">
        <v>3097.23</v>
      </c>
      <c r="L593" s="2" t="s">
        <v>359</v>
      </c>
      <c r="M593" s="2" t="s">
        <v>354</v>
      </c>
      <c r="N593" s="2">
        <v>278.0</v>
      </c>
      <c r="O593" s="2" t="s">
        <v>437</v>
      </c>
    </row>
    <row r="594" ht="22.5" customHeight="1">
      <c r="A594" s="2" t="s">
        <v>437</v>
      </c>
      <c r="B594" s="2" t="s">
        <v>443</v>
      </c>
      <c r="C594" s="2" t="s">
        <v>20</v>
      </c>
      <c r="D594" s="4" t="s">
        <v>21</v>
      </c>
      <c r="F594" s="5"/>
      <c r="G594" s="2">
        <v>6000.0</v>
      </c>
      <c r="L594" s="2" t="s">
        <v>359</v>
      </c>
      <c r="M594" s="2" t="s">
        <v>354</v>
      </c>
      <c r="N594" s="2">
        <v>278.0</v>
      </c>
      <c r="O594" s="2" t="s">
        <v>437</v>
      </c>
    </row>
    <row r="595" ht="22.5" customHeight="1">
      <c r="A595" s="2" t="s">
        <v>437</v>
      </c>
      <c r="B595" s="2" t="s">
        <v>444</v>
      </c>
      <c r="C595" s="2" t="s">
        <v>20</v>
      </c>
      <c r="D595" s="4" t="s">
        <v>21</v>
      </c>
      <c r="F595" s="5"/>
      <c r="G595" s="2">
        <v>6500.0</v>
      </c>
      <c r="L595" s="2" t="s">
        <v>359</v>
      </c>
      <c r="M595" s="2" t="s">
        <v>354</v>
      </c>
      <c r="N595" s="2">
        <v>278.0</v>
      </c>
      <c r="O595" s="2" t="s">
        <v>437</v>
      </c>
    </row>
    <row r="596" ht="22.5" customHeight="1">
      <c r="A596" s="2" t="s">
        <v>437</v>
      </c>
      <c r="B596" s="2" t="s">
        <v>445</v>
      </c>
      <c r="C596" s="2" t="s">
        <v>20</v>
      </c>
      <c r="D596" s="4" t="s">
        <v>21</v>
      </c>
      <c r="F596" s="5"/>
      <c r="G596" s="2">
        <v>18000.0</v>
      </c>
      <c r="L596" s="2" t="s">
        <v>359</v>
      </c>
      <c r="M596" s="2" t="s">
        <v>354</v>
      </c>
      <c r="N596" s="2">
        <v>278.0</v>
      </c>
      <c r="O596" s="2" t="s">
        <v>437</v>
      </c>
    </row>
    <row r="597" ht="22.5" customHeight="1">
      <c r="A597" s="2" t="s">
        <v>437</v>
      </c>
      <c r="B597" s="2" t="s">
        <v>446</v>
      </c>
      <c r="C597" s="2" t="s">
        <v>20</v>
      </c>
      <c r="D597" s="4" t="s">
        <v>21</v>
      </c>
      <c r="F597" s="5"/>
      <c r="G597" s="2">
        <v>13200.0</v>
      </c>
      <c r="L597" s="2" t="s">
        <v>359</v>
      </c>
      <c r="M597" s="2" t="s">
        <v>354</v>
      </c>
      <c r="N597" s="2">
        <v>278.0</v>
      </c>
      <c r="O597" s="2" t="s">
        <v>437</v>
      </c>
    </row>
    <row r="598" ht="22.5" customHeight="1">
      <c r="A598" s="2" t="s">
        <v>437</v>
      </c>
      <c r="B598" s="2" t="s">
        <v>447</v>
      </c>
      <c r="C598" s="2" t="s">
        <v>20</v>
      </c>
      <c r="D598" s="4" t="s">
        <v>21</v>
      </c>
      <c r="F598" s="5"/>
      <c r="G598" s="2">
        <v>3500.0</v>
      </c>
      <c r="L598" s="2" t="s">
        <v>359</v>
      </c>
      <c r="M598" s="2" t="s">
        <v>354</v>
      </c>
      <c r="N598" s="2">
        <v>278.0</v>
      </c>
      <c r="O598" s="2" t="s">
        <v>437</v>
      </c>
    </row>
    <row r="599" ht="22.5" customHeight="1">
      <c r="A599" s="2" t="s">
        <v>437</v>
      </c>
      <c r="B599" s="2" t="s">
        <v>447</v>
      </c>
      <c r="C599" s="2" t="s">
        <v>20</v>
      </c>
      <c r="D599" s="4" t="s">
        <v>21</v>
      </c>
      <c r="F599" s="5"/>
      <c r="G599" s="2">
        <v>7000.0</v>
      </c>
      <c r="L599" s="2" t="s">
        <v>359</v>
      </c>
      <c r="M599" s="2" t="s">
        <v>354</v>
      </c>
      <c r="N599" s="2">
        <v>278.0</v>
      </c>
      <c r="O599" s="2" t="s">
        <v>437</v>
      </c>
    </row>
    <row r="600" ht="22.5" customHeight="1">
      <c r="A600" s="2" t="s">
        <v>437</v>
      </c>
      <c r="B600" s="2" t="s">
        <v>447</v>
      </c>
      <c r="C600" s="2" t="s">
        <v>20</v>
      </c>
      <c r="D600" s="4" t="s">
        <v>21</v>
      </c>
      <c r="F600" s="5"/>
      <c r="G600" s="2">
        <v>25250.0</v>
      </c>
      <c r="L600" s="2" t="s">
        <v>359</v>
      </c>
      <c r="M600" s="2" t="s">
        <v>354</v>
      </c>
      <c r="N600" s="2">
        <v>278.0</v>
      </c>
      <c r="O600" s="2" t="s">
        <v>437</v>
      </c>
    </row>
    <row r="601" ht="22.5" customHeight="1">
      <c r="A601" s="2" t="s">
        <v>437</v>
      </c>
      <c r="B601" s="2" t="s">
        <v>448</v>
      </c>
      <c r="C601" s="2" t="s">
        <v>20</v>
      </c>
      <c r="D601" s="4" t="s">
        <v>21</v>
      </c>
      <c r="F601" s="5"/>
      <c r="G601" s="2">
        <v>1011.71</v>
      </c>
      <c r="L601" s="2" t="s">
        <v>359</v>
      </c>
      <c r="M601" s="2" t="s">
        <v>354</v>
      </c>
      <c r="N601" s="2">
        <v>278.0</v>
      </c>
      <c r="O601" s="2" t="s">
        <v>437</v>
      </c>
    </row>
    <row r="602" ht="22.5" customHeight="1">
      <c r="A602" s="2" t="s">
        <v>437</v>
      </c>
      <c r="B602" s="2" t="s">
        <v>449</v>
      </c>
      <c r="C602" s="2" t="s">
        <v>20</v>
      </c>
      <c r="D602" s="4" t="s">
        <v>21</v>
      </c>
      <c r="F602" s="5"/>
      <c r="G602" s="2">
        <v>6500.0</v>
      </c>
      <c r="L602" s="2" t="s">
        <v>359</v>
      </c>
      <c r="M602" s="2" t="s">
        <v>354</v>
      </c>
      <c r="N602" s="2">
        <v>278.0</v>
      </c>
      <c r="O602" s="2" t="s">
        <v>437</v>
      </c>
    </row>
    <row r="603" ht="22.5" customHeight="1">
      <c r="A603" s="2" t="s">
        <v>437</v>
      </c>
      <c r="B603" s="2" t="s">
        <v>449</v>
      </c>
      <c r="C603" s="2" t="s">
        <v>20</v>
      </c>
      <c r="D603" s="4" t="s">
        <v>21</v>
      </c>
      <c r="F603" s="5"/>
      <c r="G603" s="2">
        <v>40000.0</v>
      </c>
      <c r="L603" s="2" t="s">
        <v>359</v>
      </c>
      <c r="M603" s="2" t="s">
        <v>354</v>
      </c>
      <c r="N603" s="2">
        <v>278.0</v>
      </c>
      <c r="O603" s="2" t="s">
        <v>437</v>
      </c>
    </row>
    <row r="604" ht="22.5" customHeight="1">
      <c r="A604" s="2" t="s">
        <v>437</v>
      </c>
      <c r="B604" s="2" t="s">
        <v>450</v>
      </c>
      <c r="C604" s="2" t="s">
        <v>20</v>
      </c>
      <c r="D604" s="4" t="s">
        <v>21</v>
      </c>
      <c r="F604" s="5"/>
      <c r="G604" s="2">
        <v>23500.0</v>
      </c>
      <c r="L604" s="2" t="s">
        <v>359</v>
      </c>
      <c r="M604" s="2" t="s">
        <v>354</v>
      </c>
      <c r="N604" s="2">
        <v>278.0</v>
      </c>
      <c r="O604" s="2" t="s">
        <v>437</v>
      </c>
    </row>
    <row r="605" ht="22.5" customHeight="1">
      <c r="A605" s="4" t="s">
        <v>451</v>
      </c>
      <c r="B605" s="17" t="s">
        <v>452</v>
      </c>
      <c r="C605" s="2" t="s">
        <v>20</v>
      </c>
      <c r="D605" s="4" t="s">
        <v>21</v>
      </c>
      <c r="F605" s="5"/>
      <c r="G605" s="4">
        <v>600.0</v>
      </c>
      <c r="L605" s="2" t="s">
        <v>359</v>
      </c>
      <c r="M605" s="2" t="s">
        <v>354</v>
      </c>
      <c r="N605" s="2">
        <v>278.0</v>
      </c>
      <c r="O605" s="2" t="s">
        <v>437</v>
      </c>
    </row>
    <row r="606" ht="22.5" customHeight="1">
      <c r="A606" s="18" t="s">
        <v>453</v>
      </c>
      <c r="B606" s="2" t="s">
        <v>454</v>
      </c>
      <c r="C606" s="2" t="s">
        <v>20</v>
      </c>
      <c r="D606" s="4" t="s">
        <v>21</v>
      </c>
      <c r="F606" s="5"/>
      <c r="G606" s="4">
        <v>690.52</v>
      </c>
      <c r="L606" s="2" t="s">
        <v>359</v>
      </c>
      <c r="M606" s="2" t="s">
        <v>354</v>
      </c>
      <c r="N606" s="2">
        <v>278.0</v>
      </c>
      <c r="O606" s="2" t="s">
        <v>437</v>
      </c>
    </row>
    <row r="607" ht="22.5" customHeight="1">
      <c r="A607" s="2" t="s">
        <v>455</v>
      </c>
      <c r="B607" s="19" t="s">
        <v>456</v>
      </c>
      <c r="C607" s="2" t="s">
        <v>457</v>
      </c>
      <c r="D607" s="4" t="s">
        <v>371</v>
      </c>
      <c r="F607" s="5"/>
      <c r="G607" s="2">
        <v>1849.04</v>
      </c>
      <c r="L607" s="2" t="s">
        <v>458</v>
      </c>
      <c r="M607" s="2" t="s">
        <v>408</v>
      </c>
      <c r="N607" s="2">
        <v>78.0</v>
      </c>
      <c r="O607" s="2" t="s">
        <v>459</v>
      </c>
    </row>
    <row r="608" ht="22.5" customHeight="1">
      <c r="A608" s="2" t="s">
        <v>455</v>
      </c>
      <c r="B608" s="20" t="s">
        <v>456</v>
      </c>
      <c r="C608" s="2" t="s">
        <v>457</v>
      </c>
      <c r="D608" s="4" t="s">
        <v>371</v>
      </c>
      <c r="F608" s="5"/>
      <c r="G608" s="2">
        <v>428.0</v>
      </c>
      <c r="L608" s="2" t="s">
        <v>460</v>
      </c>
      <c r="M608" s="2" t="s">
        <v>408</v>
      </c>
      <c r="N608" s="2">
        <v>95.0</v>
      </c>
      <c r="O608" s="2" t="s">
        <v>459</v>
      </c>
    </row>
    <row r="609" ht="22.5" customHeight="1">
      <c r="A609" s="2" t="s">
        <v>455</v>
      </c>
      <c r="B609" s="19" t="s">
        <v>456</v>
      </c>
      <c r="C609" s="2" t="s">
        <v>457</v>
      </c>
      <c r="D609" s="4" t="s">
        <v>371</v>
      </c>
      <c r="F609" s="5"/>
      <c r="G609" s="2">
        <v>4958.17</v>
      </c>
      <c r="L609" s="2" t="s">
        <v>411</v>
      </c>
      <c r="M609" s="2" t="s">
        <v>408</v>
      </c>
      <c r="N609" s="2">
        <v>222.0</v>
      </c>
      <c r="O609" s="2" t="s">
        <v>459</v>
      </c>
    </row>
    <row r="610" ht="22.5" customHeight="1">
      <c r="A610" s="2" t="s">
        <v>451</v>
      </c>
      <c r="B610" s="2" t="s">
        <v>461</v>
      </c>
      <c r="C610" s="4" t="s">
        <v>20</v>
      </c>
      <c r="D610" s="4" t="s">
        <v>21</v>
      </c>
      <c r="F610" s="5"/>
      <c r="G610" s="2">
        <v>689.66</v>
      </c>
      <c r="L610" s="2" t="s">
        <v>359</v>
      </c>
      <c r="M610" s="2" t="s">
        <v>354</v>
      </c>
      <c r="N610" s="2">
        <v>278.0</v>
      </c>
      <c r="O610" s="2" t="s">
        <v>437</v>
      </c>
    </row>
    <row r="611" ht="22.5" customHeight="1">
      <c r="A611" s="2" t="s">
        <v>451</v>
      </c>
      <c r="B611" s="2" t="s">
        <v>461</v>
      </c>
      <c r="C611" s="4" t="s">
        <v>20</v>
      </c>
      <c r="D611" s="4" t="s">
        <v>21</v>
      </c>
      <c r="F611" s="5"/>
      <c r="G611" s="2">
        <v>900.0</v>
      </c>
      <c r="L611" s="2" t="s">
        <v>359</v>
      </c>
      <c r="M611" s="2" t="s">
        <v>354</v>
      </c>
      <c r="N611" s="2">
        <v>278.0</v>
      </c>
      <c r="O611" s="2" t="s">
        <v>437</v>
      </c>
    </row>
    <row r="612" ht="22.5" customHeight="1">
      <c r="A612" s="2" t="s">
        <v>451</v>
      </c>
      <c r="B612" s="2" t="s">
        <v>461</v>
      </c>
      <c r="C612" s="4" t="s">
        <v>20</v>
      </c>
      <c r="D612" s="4" t="s">
        <v>21</v>
      </c>
      <c r="F612" s="5"/>
      <c r="G612" s="2">
        <v>1000.0</v>
      </c>
      <c r="L612" s="2" t="s">
        <v>359</v>
      </c>
      <c r="M612" s="2" t="s">
        <v>354</v>
      </c>
      <c r="N612" s="2">
        <v>278.0</v>
      </c>
      <c r="O612" s="2" t="s">
        <v>437</v>
      </c>
    </row>
    <row r="613" ht="22.5" customHeight="1">
      <c r="A613" s="2" t="s">
        <v>451</v>
      </c>
      <c r="B613" s="2" t="s">
        <v>452</v>
      </c>
      <c r="C613" s="4" t="s">
        <v>20</v>
      </c>
      <c r="D613" s="4" t="s">
        <v>21</v>
      </c>
      <c r="F613" s="5"/>
      <c r="G613" s="2">
        <v>980.0</v>
      </c>
      <c r="L613" s="2" t="s">
        <v>359</v>
      </c>
      <c r="M613" s="2" t="s">
        <v>354</v>
      </c>
      <c r="N613" s="2">
        <v>278.0</v>
      </c>
      <c r="O613" s="2" t="s">
        <v>437</v>
      </c>
    </row>
    <row r="614" ht="22.5" customHeight="1">
      <c r="A614" s="4" t="s">
        <v>437</v>
      </c>
      <c r="B614" s="2" t="s">
        <v>462</v>
      </c>
      <c r="C614" s="4" t="s">
        <v>20</v>
      </c>
      <c r="D614" s="4" t="s">
        <v>21</v>
      </c>
      <c r="F614" s="5"/>
      <c r="G614" s="9">
        <v>23093.68</v>
      </c>
      <c r="L614" s="2" t="s">
        <v>359</v>
      </c>
      <c r="M614" s="2" t="s">
        <v>354</v>
      </c>
      <c r="N614" s="2">
        <v>278.0</v>
      </c>
      <c r="O614" s="2" t="s">
        <v>437</v>
      </c>
    </row>
    <row r="615" ht="22.5" customHeight="1">
      <c r="A615" s="2" t="s">
        <v>426</v>
      </c>
      <c r="B615" s="2" t="s">
        <v>463</v>
      </c>
      <c r="C615" s="4" t="s">
        <v>31</v>
      </c>
      <c r="D615" s="4" t="s">
        <v>187</v>
      </c>
      <c r="F615" s="5"/>
      <c r="G615" s="2">
        <v>20324.14</v>
      </c>
      <c r="L615" s="2" t="s">
        <v>359</v>
      </c>
      <c r="M615" s="2" t="s">
        <v>354</v>
      </c>
      <c r="N615" s="2">
        <v>288.0</v>
      </c>
      <c r="O615" s="2" t="s">
        <v>397</v>
      </c>
    </row>
    <row r="616" ht="22.5" customHeight="1">
      <c r="A616" s="4" t="s">
        <v>426</v>
      </c>
      <c r="B616" s="2" t="s">
        <v>384</v>
      </c>
      <c r="C616" s="4" t="s">
        <v>31</v>
      </c>
      <c r="D616" s="4" t="s">
        <v>371</v>
      </c>
      <c r="F616" s="5"/>
      <c r="G616" s="2">
        <v>18254.66</v>
      </c>
      <c r="L616" s="2" t="s">
        <v>359</v>
      </c>
      <c r="M616" s="2" t="s">
        <v>354</v>
      </c>
      <c r="N616" s="2">
        <v>262.0</v>
      </c>
      <c r="O616" s="2" t="s">
        <v>385</v>
      </c>
    </row>
    <row r="617" ht="22.5" customHeight="1">
      <c r="A617" s="2" t="s">
        <v>426</v>
      </c>
      <c r="B617" s="2" t="s">
        <v>464</v>
      </c>
      <c r="C617" s="4" t="s">
        <v>31</v>
      </c>
      <c r="D617" s="4" t="s">
        <v>98</v>
      </c>
      <c r="F617" s="5"/>
      <c r="G617" s="2">
        <v>314.69</v>
      </c>
      <c r="L617" s="2" t="s">
        <v>359</v>
      </c>
      <c r="M617" s="2" t="s">
        <v>354</v>
      </c>
      <c r="N617" s="2">
        <v>289.0</v>
      </c>
      <c r="O617" s="2" t="s">
        <v>453</v>
      </c>
    </row>
    <row r="618" ht="22.5" customHeight="1">
      <c r="A618" s="4" t="s">
        <v>465</v>
      </c>
      <c r="B618" s="2" t="s">
        <v>466</v>
      </c>
      <c r="C618" s="4" t="s">
        <v>20</v>
      </c>
      <c r="D618" s="4" t="s">
        <v>21</v>
      </c>
      <c r="F618" s="5"/>
      <c r="G618" s="21">
        <v>583.4</v>
      </c>
      <c r="L618" s="2" t="s">
        <v>359</v>
      </c>
      <c r="M618" s="2" t="s">
        <v>354</v>
      </c>
      <c r="N618" s="2">
        <v>294.0</v>
      </c>
      <c r="O618" s="2" t="s">
        <v>467</v>
      </c>
    </row>
    <row r="619" ht="22.5" customHeight="1">
      <c r="A619" s="2" t="s">
        <v>465</v>
      </c>
      <c r="B619" s="2" t="s">
        <v>466</v>
      </c>
      <c r="C619" s="4" t="s">
        <v>20</v>
      </c>
      <c r="D619" s="4" t="s">
        <v>21</v>
      </c>
      <c r="F619" s="5"/>
      <c r="G619" s="22">
        <v>7029.5</v>
      </c>
      <c r="L619" s="2" t="s">
        <v>359</v>
      </c>
      <c r="M619" s="2" t="s">
        <v>354</v>
      </c>
      <c r="N619" s="2">
        <v>294.0</v>
      </c>
      <c r="O619" s="2" t="s">
        <v>467</v>
      </c>
    </row>
    <row r="620" ht="22.5" customHeight="1">
      <c r="A620" s="18" t="s">
        <v>364</v>
      </c>
      <c r="B620" s="2" t="s">
        <v>468</v>
      </c>
      <c r="C620" s="4" t="s">
        <v>20</v>
      </c>
      <c r="D620" s="4" t="s">
        <v>21</v>
      </c>
      <c r="F620" s="5"/>
      <c r="G620" s="2">
        <v>400.0</v>
      </c>
      <c r="L620" s="2" t="s">
        <v>359</v>
      </c>
      <c r="M620" s="2" t="s">
        <v>354</v>
      </c>
      <c r="N620" s="2">
        <v>294.0</v>
      </c>
      <c r="O620" s="2" t="s">
        <v>467</v>
      </c>
    </row>
    <row r="621" ht="22.5" customHeight="1">
      <c r="A621" s="18" t="s">
        <v>469</v>
      </c>
      <c r="B621" s="2" t="s">
        <v>470</v>
      </c>
      <c r="C621" s="4" t="s">
        <v>31</v>
      </c>
      <c r="D621" s="4" t="s">
        <v>371</v>
      </c>
      <c r="E621" s="4"/>
      <c r="F621" s="11"/>
      <c r="G621" s="16">
        <v>5921.68</v>
      </c>
      <c r="H621" s="4"/>
      <c r="I621" s="4"/>
      <c r="J621" s="4"/>
      <c r="K621" s="4"/>
      <c r="L621" s="4" t="s">
        <v>359</v>
      </c>
      <c r="M621" s="4"/>
      <c r="N621" s="4"/>
      <c r="O621" s="4"/>
      <c r="P621" s="4"/>
      <c r="Q621" s="4"/>
      <c r="R621" s="4"/>
    </row>
    <row r="622" ht="22.5" customHeight="1">
      <c r="A622" s="18" t="s">
        <v>471</v>
      </c>
      <c r="B622" s="23" t="s">
        <v>472</v>
      </c>
      <c r="C622" s="4" t="s">
        <v>31</v>
      </c>
      <c r="D622" s="12" t="s">
        <v>54</v>
      </c>
      <c r="F622" s="5"/>
      <c r="G622" s="4">
        <v>1791.570667</v>
      </c>
      <c r="L622" s="2" t="s">
        <v>359</v>
      </c>
      <c r="M622" s="2" t="s">
        <v>354</v>
      </c>
      <c r="N622" s="2">
        <v>283.0</v>
      </c>
      <c r="O622" s="2" t="s">
        <v>469</v>
      </c>
    </row>
    <row r="623" ht="22.5" customHeight="1">
      <c r="A623" s="18" t="s">
        <v>471</v>
      </c>
      <c r="B623" s="23" t="s">
        <v>472</v>
      </c>
      <c r="C623" s="4" t="s">
        <v>31</v>
      </c>
      <c r="D623" s="12" t="s">
        <v>98</v>
      </c>
      <c r="F623" s="5"/>
      <c r="G623" s="4">
        <v>127.9693333</v>
      </c>
      <c r="L623" s="2" t="s">
        <v>359</v>
      </c>
      <c r="M623" s="2" t="s">
        <v>354</v>
      </c>
      <c r="N623" s="2">
        <v>283.0</v>
      </c>
      <c r="O623" s="2" t="s">
        <v>469</v>
      </c>
    </row>
    <row r="624" ht="22.5" customHeight="1">
      <c r="A624" s="18" t="s">
        <v>471</v>
      </c>
      <c r="B624" s="23" t="s">
        <v>472</v>
      </c>
      <c r="C624" s="4" t="s">
        <v>20</v>
      </c>
      <c r="D624" s="12" t="s">
        <v>21</v>
      </c>
      <c r="F624" s="5"/>
      <c r="G624" s="4">
        <v>2431.417333</v>
      </c>
      <c r="L624" s="2" t="s">
        <v>359</v>
      </c>
      <c r="M624" s="2"/>
      <c r="N624" s="2"/>
      <c r="O624" s="2"/>
    </row>
    <row r="625" ht="22.5" customHeight="1">
      <c r="A625" s="18" t="s">
        <v>471</v>
      </c>
      <c r="B625" s="23" t="s">
        <v>472</v>
      </c>
      <c r="C625" s="4" t="s">
        <v>31</v>
      </c>
      <c r="D625" s="12" t="s">
        <v>187</v>
      </c>
      <c r="F625" s="5"/>
      <c r="G625" s="4">
        <v>341.2515556</v>
      </c>
      <c r="L625" s="2" t="s">
        <v>359</v>
      </c>
      <c r="M625" s="2"/>
      <c r="N625" s="2"/>
      <c r="O625" s="2"/>
    </row>
    <row r="626" ht="22.5" customHeight="1">
      <c r="A626" s="18" t="s">
        <v>471</v>
      </c>
      <c r="B626" s="23" t="s">
        <v>472</v>
      </c>
      <c r="C626" s="4" t="s">
        <v>31</v>
      </c>
      <c r="D626" s="12" t="s">
        <v>38</v>
      </c>
      <c r="F626" s="5"/>
      <c r="G626" s="4">
        <v>191.954</v>
      </c>
      <c r="L626" s="2" t="s">
        <v>359</v>
      </c>
      <c r="M626" s="2"/>
      <c r="N626" s="2"/>
      <c r="O626" s="2"/>
    </row>
    <row r="627" ht="22.5" customHeight="1">
      <c r="A627" s="18" t="s">
        <v>471</v>
      </c>
      <c r="B627" s="23" t="s">
        <v>472</v>
      </c>
      <c r="C627" s="4" t="s">
        <v>31</v>
      </c>
      <c r="D627" s="12" t="s">
        <v>47</v>
      </c>
      <c r="F627" s="5"/>
      <c r="G627" s="4">
        <v>682.5031111</v>
      </c>
      <c r="L627" s="2" t="s">
        <v>359</v>
      </c>
      <c r="M627" s="2"/>
      <c r="N627" s="2"/>
      <c r="O627" s="2"/>
    </row>
    <row r="628" ht="22.5" customHeight="1">
      <c r="A628" s="18" t="s">
        <v>471</v>
      </c>
      <c r="B628" s="23" t="s">
        <v>472</v>
      </c>
      <c r="C628" s="4" t="s">
        <v>31</v>
      </c>
      <c r="D628" s="12" t="s">
        <v>113</v>
      </c>
      <c r="F628" s="5"/>
      <c r="G628" s="4">
        <v>191.954</v>
      </c>
      <c r="L628" s="2" t="s">
        <v>359</v>
      </c>
      <c r="M628" s="2"/>
      <c r="N628" s="2"/>
      <c r="O628" s="2"/>
    </row>
    <row r="629" ht="22.5" customHeight="1">
      <c r="A629" s="18" t="s">
        <v>471</v>
      </c>
      <c r="B629" s="2" t="s">
        <v>473</v>
      </c>
      <c r="C629" s="4" t="s">
        <v>474</v>
      </c>
      <c r="D629" s="4" t="s">
        <v>371</v>
      </c>
      <c r="F629" s="5"/>
      <c r="G629" s="2">
        <v>6425.56</v>
      </c>
      <c r="L629" s="2" t="s">
        <v>359</v>
      </c>
      <c r="M629" s="2" t="s">
        <v>354</v>
      </c>
      <c r="N629" s="2">
        <v>286.0</v>
      </c>
      <c r="O629" s="2" t="s">
        <v>475</v>
      </c>
    </row>
    <row r="630" ht="22.5" customHeight="1">
      <c r="A630" s="2" t="s">
        <v>471</v>
      </c>
      <c r="B630" s="2" t="s">
        <v>476</v>
      </c>
      <c r="C630" s="4" t="s">
        <v>474</v>
      </c>
      <c r="D630" s="4" t="s">
        <v>371</v>
      </c>
      <c r="F630" s="5"/>
      <c r="G630" s="2">
        <v>934.0</v>
      </c>
      <c r="L630" s="2" t="s">
        <v>359</v>
      </c>
      <c r="M630" s="2" t="s">
        <v>354</v>
      </c>
      <c r="N630" s="2">
        <v>264.0</v>
      </c>
      <c r="O630" s="2" t="s">
        <v>393</v>
      </c>
    </row>
    <row r="631" ht="22.5" customHeight="1">
      <c r="A631" s="2" t="s">
        <v>471</v>
      </c>
      <c r="B631" s="2" t="s">
        <v>477</v>
      </c>
      <c r="C631" s="4" t="s">
        <v>20</v>
      </c>
      <c r="D631" s="4" t="s">
        <v>21</v>
      </c>
      <c r="F631" s="5"/>
      <c r="G631" s="2">
        <v>6397.41</v>
      </c>
      <c r="L631" s="2" t="s">
        <v>359</v>
      </c>
      <c r="M631" s="2" t="s">
        <v>354</v>
      </c>
      <c r="N631" s="2">
        <v>284.0</v>
      </c>
      <c r="O631" s="2" t="s">
        <v>393</v>
      </c>
    </row>
    <row r="632" ht="22.5" customHeight="1">
      <c r="A632" s="2" t="s">
        <v>471</v>
      </c>
      <c r="B632" s="2" t="s">
        <v>477</v>
      </c>
      <c r="C632" s="4" t="s">
        <v>20</v>
      </c>
      <c r="D632" s="4" t="s">
        <v>21</v>
      </c>
      <c r="F632" s="5"/>
      <c r="G632" s="2">
        <v>8505.17</v>
      </c>
      <c r="L632" s="2" t="s">
        <v>359</v>
      </c>
      <c r="M632" s="2" t="s">
        <v>354</v>
      </c>
      <c r="N632" s="2">
        <v>284.0</v>
      </c>
      <c r="O632" s="2" t="s">
        <v>393</v>
      </c>
    </row>
    <row r="633" ht="22.5" customHeight="1">
      <c r="A633" s="2" t="s">
        <v>471</v>
      </c>
      <c r="B633" s="2" t="s">
        <v>478</v>
      </c>
      <c r="C633" s="4" t="s">
        <v>20</v>
      </c>
      <c r="D633" s="4" t="s">
        <v>54</v>
      </c>
      <c r="F633" s="5"/>
      <c r="G633" s="9">
        <v>3370.7</v>
      </c>
      <c r="L633" s="2" t="s">
        <v>359</v>
      </c>
      <c r="M633" s="2" t="s">
        <v>354</v>
      </c>
      <c r="N633" s="2">
        <v>284.0</v>
      </c>
      <c r="O633" s="2" t="s">
        <v>393</v>
      </c>
    </row>
    <row r="634" ht="22.5" customHeight="1">
      <c r="A634" s="2" t="s">
        <v>479</v>
      </c>
      <c r="B634" s="2" t="s">
        <v>480</v>
      </c>
      <c r="C634" s="4" t="s">
        <v>20</v>
      </c>
      <c r="D634" s="4" t="s">
        <v>21</v>
      </c>
      <c r="F634" s="5"/>
      <c r="G634" s="22">
        <v>1614.2</v>
      </c>
      <c r="L634" s="2" t="s">
        <v>359</v>
      </c>
      <c r="M634" s="2" t="s">
        <v>354</v>
      </c>
      <c r="N634" s="2">
        <v>285.0</v>
      </c>
      <c r="O634" s="2" t="s">
        <v>479</v>
      </c>
    </row>
    <row r="635" ht="22.5" customHeight="1">
      <c r="A635" s="2" t="s">
        <v>479</v>
      </c>
      <c r="B635" s="2" t="s">
        <v>480</v>
      </c>
      <c r="C635" s="4" t="s">
        <v>20</v>
      </c>
      <c r="D635" s="4" t="s">
        <v>21</v>
      </c>
      <c r="F635" s="5"/>
      <c r="G635" s="21">
        <v>8686.68</v>
      </c>
      <c r="L635" s="2" t="s">
        <v>359</v>
      </c>
      <c r="M635" s="2" t="s">
        <v>354</v>
      </c>
      <c r="N635" s="2">
        <v>285.0</v>
      </c>
      <c r="O635" s="2" t="s">
        <v>479</v>
      </c>
    </row>
    <row r="636" ht="22.5" customHeight="1">
      <c r="A636" s="2" t="s">
        <v>479</v>
      </c>
      <c r="B636" s="2" t="s">
        <v>480</v>
      </c>
      <c r="C636" s="4" t="s">
        <v>20</v>
      </c>
      <c r="D636" s="4" t="s">
        <v>21</v>
      </c>
      <c r="F636" s="5"/>
      <c r="G636" s="22">
        <v>12420.34</v>
      </c>
      <c r="L636" s="2" t="s">
        <v>359</v>
      </c>
      <c r="M636" s="2" t="s">
        <v>354</v>
      </c>
      <c r="N636" s="2">
        <v>285.0</v>
      </c>
      <c r="O636" s="2" t="s">
        <v>479</v>
      </c>
    </row>
    <row r="637" ht="22.5" customHeight="1">
      <c r="A637" s="2" t="s">
        <v>479</v>
      </c>
      <c r="B637" s="2" t="s">
        <v>480</v>
      </c>
      <c r="C637" s="4" t="s">
        <v>20</v>
      </c>
      <c r="D637" s="4" t="s">
        <v>21</v>
      </c>
      <c r="F637" s="5"/>
      <c r="G637" s="21">
        <v>14372.07</v>
      </c>
      <c r="L637" s="2" t="s">
        <v>359</v>
      </c>
      <c r="M637" s="2" t="s">
        <v>354</v>
      </c>
      <c r="N637" s="2">
        <v>285.0</v>
      </c>
      <c r="O637" s="2" t="s">
        <v>479</v>
      </c>
    </row>
    <row r="638" ht="22.5" customHeight="1">
      <c r="A638" s="2" t="s">
        <v>479</v>
      </c>
      <c r="B638" s="2" t="s">
        <v>480</v>
      </c>
      <c r="C638" s="4" t="s">
        <v>20</v>
      </c>
      <c r="D638" s="4" t="s">
        <v>21</v>
      </c>
      <c r="F638" s="5"/>
      <c r="G638" s="22">
        <v>15416.65</v>
      </c>
      <c r="L638" s="2" t="s">
        <v>359</v>
      </c>
      <c r="M638" s="2" t="s">
        <v>354</v>
      </c>
      <c r="N638" s="2">
        <v>285.0</v>
      </c>
      <c r="O638" s="2" t="s">
        <v>479</v>
      </c>
    </row>
    <row r="639" ht="22.5" customHeight="1">
      <c r="A639" s="4" t="s">
        <v>437</v>
      </c>
      <c r="B639" s="2" t="s">
        <v>481</v>
      </c>
      <c r="C639" s="4" t="s">
        <v>20</v>
      </c>
      <c r="D639" s="4" t="s">
        <v>21</v>
      </c>
      <c r="F639" s="5"/>
      <c r="G639" s="2">
        <v>8000.0</v>
      </c>
      <c r="L639" s="2" t="s">
        <v>359</v>
      </c>
      <c r="M639" s="2" t="s">
        <v>354</v>
      </c>
      <c r="N639" s="2">
        <v>285.0</v>
      </c>
      <c r="O639" s="2" t="s">
        <v>479</v>
      </c>
    </row>
    <row r="640" ht="22.5" customHeight="1">
      <c r="A640" s="4" t="s">
        <v>474</v>
      </c>
      <c r="B640" s="2" t="s">
        <v>429</v>
      </c>
      <c r="C640" s="4" t="s">
        <v>474</v>
      </c>
      <c r="D640" s="4" t="s">
        <v>371</v>
      </c>
      <c r="F640" s="5"/>
      <c r="G640" s="2">
        <v>6213.65</v>
      </c>
      <c r="L640" s="2" t="s">
        <v>359</v>
      </c>
      <c r="M640" s="2" t="s">
        <v>354</v>
      </c>
      <c r="N640" s="2">
        <v>502.0</v>
      </c>
      <c r="O640" s="2" t="s">
        <v>482</v>
      </c>
    </row>
    <row r="641" ht="22.5" customHeight="1">
      <c r="A641" s="18" t="s">
        <v>483</v>
      </c>
      <c r="B641" s="4" t="s">
        <v>484</v>
      </c>
      <c r="C641" s="24" t="s">
        <v>66</v>
      </c>
      <c r="D641" s="4" t="s">
        <v>485</v>
      </c>
      <c r="E641" s="4"/>
      <c r="F641" s="11"/>
      <c r="G641" s="4">
        <v>31802.26</v>
      </c>
      <c r="H641" s="4"/>
      <c r="I641" s="4"/>
      <c r="J641" s="4"/>
      <c r="K641" s="4"/>
      <c r="L641" s="4" t="s">
        <v>486</v>
      </c>
      <c r="M641" s="4" t="s">
        <v>408</v>
      </c>
      <c r="N641" s="4">
        <v>7.0</v>
      </c>
      <c r="O641" s="4" t="s">
        <v>487</v>
      </c>
      <c r="P641" s="4"/>
      <c r="Q641" s="4"/>
      <c r="R641" s="4"/>
    </row>
    <row r="642" ht="22.5" customHeight="1">
      <c r="A642" s="18" t="s">
        <v>403</v>
      </c>
      <c r="B642" s="4" t="s">
        <v>484</v>
      </c>
      <c r="C642" s="4" t="s">
        <v>31</v>
      </c>
      <c r="D642" s="4" t="s">
        <v>187</v>
      </c>
      <c r="E642" s="4"/>
      <c r="F642" s="11"/>
      <c r="G642" s="4">
        <v>78740.0</v>
      </c>
      <c r="H642" s="4"/>
      <c r="I642" s="4"/>
      <c r="J642" s="4"/>
      <c r="K642" s="4"/>
      <c r="L642" s="4" t="s">
        <v>486</v>
      </c>
      <c r="M642" s="4" t="s">
        <v>408</v>
      </c>
      <c r="N642" s="4">
        <v>7.0</v>
      </c>
      <c r="O642" s="4" t="s">
        <v>409</v>
      </c>
      <c r="P642" s="4"/>
      <c r="Q642" s="4"/>
      <c r="R642" s="4"/>
    </row>
    <row r="643" ht="22.5" customHeight="1">
      <c r="A643" s="2" t="s">
        <v>483</v>
      </c>
      <c r="B643" s="2" t="s">
        <v>488</v>
      </c>
      <c r="C643" s="2" t="s">
        <v>31</v>
      </c>
      <c r="D643" s="4" t="s">
        <v>371</v>
      </c>
      <c r="F643" s="5"/>
      <c r="G643" s="2">
        <v>86206.9</v>
      </c>
      <c r="L643" s="2" t="s">
        <v>359</v>
      </c>
      <c r="M643" s="2" t="s">
        <v>354</v>
      </c>
      <c r="N643" s="2">
        <v>288.0</v>
      </c>
      <c r="O643" s="2" t="s">
        <v>397</v>
      </c>
    </row>
    <row r="644" ht="22.5" customHeight="1">
      <c r="A644" s="2" t="s">
        <v>483</v>
      </c>
      <c r="B644" s="2" t="s">
        <v>489</v>
      </c>
      <c r="C644" s="2" t="s">
        <v>31</v>
      </c>
      <c r="D644" s="4" t="s">
        <v>371</v>
      </c>
      <c r="F644" s="5"/>
      <c r="G644" s="22">
        <v>7343.97</v>
      </c>
      <c r="L644" s="2" t="s">
        <v>359</v>
      </c>
      <c r="M644" s="2" t="s">
        <v>354</v>
      </c>
      <c r="N644" s="2">
        <v>272.0</v>
      </c>
      <c r="O644" s="2" t="s">
        <v>367</v>
      </c>
    </row>
    <row r="645" ht="22.5" customHeight="1">
      <c r="A645" s="2" t="s">
        <v>483</v>
      </c>
      <c r="B645" s="2" t="s">
        <v>490</v>
      </c>
      <c r="C645" s="2" t="s">
        <v>31</v>
      </c>
      <c r="D645" s="4" t="s">
        <v>371</v>
      </c>
      <c r="F645" s="5"/>
      <c r="G645" s="21">
        <v>8900.0</v>
      </c>
      <c r="L645" s="2" t="s">
        <v>359</v>
      </c>
      <c r="M645" s="2" t="s">
        <v>354</v>
      </c>
      <c r="N645" s="2">
        <v>272.0</v>
      </c>
      <c r="O645" s="2" t="s">
        <v>367</v>
      </c>
    </row>
    <row r="646" ht="22.5" customHeight="1">
      <c r="A646" s="2" t="s">
        <v>483</v>
      </c>
      <c r="B646" s="2" t="s">
        <v>491</v>
      </c>
      <c r="C646" s="2" t="s">
        <v>31</v>
      </c>
      <c r="D646" s="4" t="s">
        <v>371</v>
      </c>
      <c r="F646" s="5"/>
      <c r="G646" s="22">
        <v>114992.67</v>
      </c>
      <c r="L646" s="2" t="s">
        <v>359</v>
      </c>
      <c r="M646" s="2" t="s">
        <v>354</v>
      </c>
      <c r="N646" s="2">
        <v>272.0</v>
      </c>
      <c r="O646" s="2" t="s">
        <v>367</v>
      </c>
    </row>
    <row r="647" ht="22.5" customHeight="1">
      <c r="A647" s="2" t="s">
        <v>483</v>
      </c>
      <c r="B647" s="2" t="s">
        <v>492</v>
      </c>
      <c r="C647" s="2" t="s">
        <v>31</v>
      </c>
      <c r="D647" s="4" t="s">
        <v>371</v>
      </c>
      <c r="F647" s="5"/>
      <c r="G647" s="21">
        <v>17.24</v>
      </c>
      <c r="L647" s="2" t="s">
        <v>359</v>
      </c>
      <c r="M647" s="2" t="s">
        <v>354</v>
      </c>
      <c r="N647" s="2">
        <v>290.0</v>
      </c>
      <c r="O647" s="2" t="s">
        <v>493</v>
      </c>
    </row>
    <row r="648" ht="22.5" customHeight="1">
      <c r="A648" s="4" t="s">
        <v>483</v>
      </c>
      <c r="B648" s="2" t="s">
        <v>494</v>
      </c>
      <c r="C648" s="4" t="s">
        <v>495</v>
      </c>
      <c r="D648" s="4" t="s">
        <v>485</v>
      </c>
      <c r="F648" s="5"/>
      <c r="G648" s="22">
        <v>7067.24</v>
      </c>
      <c r="L648" s="2" t="s">
        <v>359</v>
      </c>
      <c r="M648" s="2" t="s">
        <v>354</v>
      </c>
      <c r="N648" s="2">
        <v>282.0</v>
      </c>
      <c r="O648" s="2" t="s">
        <v>385</v>
      </c>
    </row>
    <row r="649" ht="22.5" customHeight="1">
      <c r="A649" s="2" t="s">
        <v>483</v>
      </c>
      <c r="B649" s="2" t="s">
        <v>496</v>
      </c>
      <c r="C649" s="2" t="s">
        <v>31</v>
      </c>
      <c r="D649" s="4" t="s">
        <v>371</v>
      </c>
      <c r="F649" s="5"/>
      <c r="G649" s="2">
        <v>3052.96</v>
      </c>
      <c r="L649" s="2" t="s">
        <v>497</v>
      </c>
      <c r="M649" s="2" t="s">
        <v>408</v>
      </c>
      <c r="N649" s="2">
        <v>106.0</v>
      </c>
      <c r="O649" s="2" t="s">
        <v>385</v>
      </c>
    </row>
    <row r="650" ht="22.5" customHeight="1">
      <c r="A650" s="2" t="s">
        <v>483</v>
      </c>
      <c r="B650" s="2" t="s">
        <v>496</v>
      </c>
      <c r="C650" s="2" t="s">
        <v>31</v>
      </c>
      <c r="D650" s="4" t="s">
        <v>371</v>
      </c>
      <c r="F650" s="5"/>
      <c r="G650" s="2">
        <v>14460.38</v>
      </c>
      <c r="L650" s="2" t="s">
        <v>498</v>
      </c>
      <c r="M650" s="2" t="s">
        <v>408</v>
      </c>
      <c r="N650" s="2">
        <v>220.0</v>
      </c>
      <c r="O650" s="2" t="s">
        <v>385</v>
      </c>
    </row>
    <row r="651" ht="22.5" customHeight="1">
      <c r="A651" s="2" t="s">
        <v>483</v>
      </c>
      <c r="B651" s="2" t="s">
        <v>496</v>
      </c>
      <c r="C651" s="2" t="s">
        <v>31</v>
      </c>
      <c r="D651" s="4" t="s">
        <v>371</v>
      </c>
      <c r="F651" s="5"/>
      <c r="G651" s="2">
        <v>28237.34</v>
      </c>
      <c r="L651" s="2" t="s">
        <v>498</v>
      </c>
      <c r="M651" s="2" t="s">
        <v>408</v>
      </c>
      <c r="N651" s="2">
        <v>235.0</v>
      </c>
      <c r="O651" s="2" t="s">
        <v>385</v>
      </c>
    </row>
    <row r="652" ht="22.5" customHeight="1">
      <c r="A652" s="2" t="s">
        <v>483</v>
      </c>
      <c r="B652" s="2" t="s">
        <v>496</v>
      </c>
      <c r="C652" s="2" t="s">
        <v>31</v>
      </c>
      <c r="D652" s="4" t="s">
        <v>371</v>
      </c>
      <c r="F652" s="5"/>
      <c r="G652" s="2">
        <v>6454.65</v>
      </c>
      <c r="L652" s="2" t="s">
        <v>498</v>
      </c>
      <c r="M652" s="2" t="s">
        <v>408</v>
      </c>
      <c r="N652" s="2">
        <v>236.0</v>
      </c>
      <c r="O652" s="2" t="s">
        <v>385</v>
      </c>
    </row>
    <row r="653" ht="22.5" customHeight="1">
      <c r="A653" s="2" t="s">
        <v>483</v>
      </c>
      <c r="B653" s="2" t="s">
        <v>496</v>
      </c>
      <c r="C653" s="2" t="s">
        <v>31</v>
      </c>
      <c r="D653" s="4" t="s">
        <v>371</v>
      </c>
      <c r="F653" s="5"/>
      <c r="G653" s="2">
        <v>2422.94</v>
      </c>
      <c r="L653" s="2" t="s">
        <v>411</v>
      </c>
      <c r="M653" s="2" t="s">
        <v>408</v>
      </c>
      <c r="N653" s="2">
        <v>237.0</v>
      </c>
      <c r="O653" s="2" t="s">
        <v>385</v>
      </c>
    </row>
    <row r="654" ht="22.5" customHeight="1">
      <c r="A654" s="2" t="s">
        <v>483</v>
      </c>
      <c r="B654" s="2" t="s">
        <v>499</v>
      </c>
      <c r="C654" s="2" t="s">
        <v>31</v>
      </c>
      <c r="D654" s="4" t="s">
        <v>371</v>
      </c>
      <c r="F654" s="5"/>
      <c r="G654" s="2">
        <v>86195.46</v>
      </c>
      <c r="L654" s="2" t="s">
        <v>411</v>
      </c>
      <c r="M654" s="2" t="s">
        <v>408</v>
      </c>
      <c r="N654" s="2">
        <v>238.0</v>
      </c>
      <c r="O654" s="2" t="s">
        <v>385</v>
      </c>
    </row>
    <row r="655" ht="22.5" customHeight="1">
      <c r="A655" s="18" t="s">
        <v>385</v>
      </c>
      <c r="B655" s="2" t="s">
        <v>500</v>
      </c>
      <c r="C655" s="2" t="s">
        <v>31</v>
      </c>
      <c r="D655" s="4" t="s">
        <v>47</v>
      </c>
      <c r="F655" s="5"/>
      <c r="G655" s="9">
        <v>2478.51</v>
      </c>
      <c r="L655" s="2" t="s">
        <v>501</v>
      </c>
      <c r="M655" s="2" t="s">
        <v>408</v>
      </c>
      <c r="N655" s="2">
        <v>241.0</v>
      </c>
      <c r="O655" s="2" t="s">
        <v>385</v>
      </c>
    </row>
    <row r="656" ht="22.5" customHeight="1">
      <c r="A656" s="2" t="s">
        <v>483</v>
      </c>
      <c r="B656" s="2" t="s">
        <v>491</v>
      </c>
      <c r="C656" s="2" t="s">
        <v>31</v>
      </c>
      <c r="D656" s="4" t="s">
        <v>371</v>
      </c>
      <c r="F656" s="5"/>
      <c r="G656" s="9">
        <v>114992.67</v>
      </c>
      <c r="L656" s="2" t="s">
        <v>486</v>
      </c>
      <c r="M656" s="2" t="s">
        <v>408</v>
      </c>
      <c r="N656" s="2">
        <v>200.0</v>
      </c>
      <c r="O656" s="2" t="s">
        <v>459</v>
      </c>
    </row>
    <row r="657" ht="22.5" customHeight="1">
      <c r="A657" s="18" t="s">
        <v>389</v>
      </c>
      <c r="B657" s="2" t="s">
        <v>502</v>
      </c>
      <c r="C657" s="4" t="s">
        <v>20</v>
      </c>
      <c r="D657" s="4" t="s">
        <v>21</v>
      </c>
      <c r="F657" s="5"/>
      <c r="G657" s="2">
        <v>14252.68</v>
      </c>
      <c r="L657" s="2" t="s">
        <v>407</v>
      </c>
      <c r="M657" s="2" t="s">
        <v>408</v>
      </c>
      <c r="N657" s="2">
        <v>27.0</v>
      </c>
      <c r="O657" s="2" t="s">
        <v>459</v>
      </c>
    </row>
    <row r="658" ht="22.5" customHeight="1">
      <c r="A658" s="2" t="s">
        <v>483</v>
      </c>
      <c r="B658" s="2" t="s">
        <v>503</v>
      </c>
      <c r="C658" s="2" t="s">
        <v>31</v>
      </c>
      <c r="D658" s="4" t="s">
        <v>371</v>
      </c>
      <c r="F658" s="5"/>
      <c r="G658" s="2">
        <v>1256.54</v>
      </c>
      <c r="L658" s="2" t="s">
        <v>498</v>
      </c>
      <c r="M658" s="2" t="s">
        <v>408</v>
      </c>
      <c r="N658" s="2">
        <v>234.0</v>
      </c>
      <c r="O658" s="2" t="s">
        <v>459</v>
      </c>
    </row>
    <row r="659" ht="22.5" customHeight="1">
      <c r="A659" s="2" t="s">
        <v>483</v>
      </c>
      <c r="B659" s="2" t="s">
        <v>480</v>
      </c>
      <c r="C659" s="2" t="s">
        <v>31</v>
      </c>
      <c r="D659" s="4" t="s">
        <v>371</v>
      </c>
      <c r="F659" s="5"/>
      <c r="G659" s="2">
        <v>1121.46</v>
      </c>
      <c r="L659" s="2" t="s">
        <v>414</v>
      </c>
      <c r="M659" s="2" t="s">
        <v>408</v>
      </c>
      <c r="N659" s="2">
        <v>242.0</v>
      </c>
      <c r="O659" s="2" t="s">
        <v>459</v>
      </c>
    </row>
    <row r="660" ht="22.5" customHeight="1">
      <c r="A660" s="4" t="s">
        <v>483</v>
      </c>
      <c r="B660" s="4" t="s">
        <v>504</v>
      </c>
      <c r="C660" s="4" t="s">
        <v>495</v>
      </c>
      <c r="D660" s="4" t="s">
        <v>485</v>
      </c>
      <c r="E660" s="4"/>
      <c r="F660" s="11"/>
      <c r="G660" s="4">
        <v>126798.61</v>
      </c>
      <c r="H660" s="4"/>
      <c r="I660" s="4"/>
      <c r="J660" s="4"/>
      <c r="K660" s="4"/>
      <c r="L660" s="4" t="s">
        <v>486</v>
      </c>
      <c r="M660" s="4" t="s">
        <v>408</v>
      </c>
      <c r="N660" s="4">
        <v>200.0</v>
      </c>
      <c r="O660" s="4" t="s">
        <v>487</v>
      </c>
      <c r="P660" s="4"/>
      <c r="Q660" s="4"/>
      <c r="R660" s="4"/>
    </row>
    <row r="661" ht="22.5" customHeight="1">
      <c r="A661" s="4" t="s">
        <v>483</v>
      </c>
      <c r="B661" s="4" t="s">
        <v>494</v>
      </c>
      <c r="C661" s="4" t="s">
        <v>495</v>
      </c>
      <c r="D661" s="4" t="s">
        <v>485</v>
      </c>
      <c r="E661" s="4"/>
      <c r="F661" s="11"/>
      <c r="G661" s="4">
        <v>44066.6</v>
      </c>
      <c r="H661" s="4"/>
      <c r="I661" s="4"/>
      <c r="J661" s="4"/>
      <c r="K661" s="4"/>
      <c r="L661" s="4" t="s">
        <v>497</v>
      </c>
      <c r="M661" s="4" t="s">
        <v>408</v>
      </c>
      <c r="N661" s="4">
        <v>106.0</v>
      </c>
      <c r="O661" s="4" t="s">
        <v>487</v>
      </c>
      <c r="P661" s="4"/>
      <c r="Q661" s="4"/>
      <c r="R661" s="4"/>
    </row>
    <row r="662" ht="22.5" customHeight="1">
      <c r="A662" s="2" t="s">
        <v>505</v>
      </c>
      <c r="B662" s="2" t="s">
        <v>506</v>
      </c>
      <c r="C662" s="4" t="s">
        <v>20</v>
      </c>
      <c r="D662" s="4" t="s">
        <v>21</v>
      </c>
      <c r="F662" s="5"/>
      <c r="G662" s="2">
        <v>446.09</v>
      </c>
      <c r="L662" s="2" t="s">
        <v>359</v>
      </c>
      <c r="M662" s="2" t="s">
        <v>354</v>
      </c>
      <c r="N662" s="2">
        <v>278.0</v>
      </c>
      <c r="O662" s="2" t="s">
        <v>437</v>
      </c>
    </row>
    <row r="663" ht="22.5" customHeight="1">
      <c r="A663" s="2" t="s">
        <v>505</v>
      </c>
      <c r="B663" s="2" t="s">
        <v>506</v>
      </c>
      <c r="C663" s="4" t="s">
        <v>20</v>
      </c>
      <c r="D663" s="4" t="s">
        <v>21</v>
      </c>
      <c r="F663" s="5"/>
      <c r="G663" s="2">
        <v>446.09</v>
      </c>
      <c r="L663" s="2" t="s">
        <v>359</v>
      </c>
      <c r="M663" s="2" t="s">
        <v>354</v>
      </c>
      <c r="N663" s="2">
        <v>278.0</v>
      </c>
      <c r="O663" s="2" t="s">
        <v>437</v>
      </c>
    </row>
    <row r="664" ht="22.5" customHeight="1">
      <c r="A664" s="4" t="s">
        <v>349</v>
      </c>
      <c r="B664" s="4" t="s">
        <v>507</v>
      </c>
      <c r="C664" s="4" t="s">
        <v>31</v>
      </c>
      <c r="D664" s="4" t="s">
        <v>54</v>
      </c>
      <c r="E664" s="4"/>
      <c r="F664" s="4" t="s">
        <v>507</v>
      </c>
      <c r="G664" s="4">
        <v>1200.0</v>
      </c>
      <c r="H664" s="4"/>
      <c r="I664" s="4"/>
      <c r="J664" s="4"/>
      <c r="K664" s="4"/>
      <c r="L664" s="4">
        <v>46082.0</v>
      </c>
      <c r="M664" s="4"/>
      <c r="N664" s="4"/>
      <c r="O664" s="4"/>
      <c r="P664" s="4"/>
      <c r="Q664" s="4"/>
      <c r="R664" s="4"/>
    </row>
    <row r="665" ht="22.5" customHeight="1">
      <c r="A665" s="4" t="s">
        <v>349</v>
      </c>
      <c r="B665" s="11"/>
      <c r="C665" s="4" t="s">
        <v>31</v>
      </c>
      <c r="D665" s="4" t="s">
        <v>113</v>
      </c>
      <c r="E665" s="4"/>
      <c r="F665" s="11"/>
      <c r="G665" s="4">
        <v>15357.2</v>
      </c>
      <c r="H665" s="4"/>
      <c r="I665" s="4"/>
      <c r="J665" s="4"/>
      <c r="K665" s="4"/>
      <c r="L665" s="4">
        <v>46082.0</v>
      </c>
      <c r="M665" s="4"/>
      <c r="N665" s="4"/>
      <c r="O665" s="4"/>
      <c r="P665" s="4"/>
      <c r="Q665" s="4"/>
      <c r="R665" s="4"/>
    </row>
    <row r="666" ht="22.5" customHeight="1">
      <c r="A666" s="2" t="s">
        <v>508</v>
      </c>
      <c r="B666" s="2" t="s">
        <v>509</v>
      </c>
      <c r="C666" s="4" t="s">
        <v>20</v>
      </c>
      <c r="D666" s="4" t="s">
        <v>21</v>
      </c>
      <c r="F666" s="5"/>
      <c r="G666" s="2">
        <v>14653.38</v>
      </c>
      <c r="L666" s="2" t="s">
        <v>359</v>
      </c>
      <c r="M666" s="2" t="s">
        <v>354</v>
      </c>
      <c r="N666" s="2">
        <v>283.0</v>
      </c>
      <c r="O666" s="2" t="s">
        <v>469</v>
      </c>
    </row>
    <row r="667" ht="22.5" customHeight="1">
      <c r="A667" s="2" t="s">
        <v>508</v>
      </c>
      <c r="B667" s="2" t="s">
        <v>510</v>
      </c>
      <c r="C667" s="4" t="s">
        <v>20</v>
      </c>
      <c r="D667" s="4" t="s">
        <v>21</v>
      </c>
      <c r="F667" s="5"/>
      <c r="G667" s="2">
        <v>3580.45</v>
      </c>
      <c r="L667" s="2" t="s">
        <v>359</v>
      </c>
      <c r="M667" s="2" t="s">
        <v>354</v>
      </c>
      <c r="N667" s="2">
        <v>266.0</v>
      </c>
      <c r="O667" s="2" t="s">
        <v>475</v>
      </c>
    </row>
    <row r="668" ht="22.5" customHeight="1">
      <c r="A668" s="2" t="s">
        <v>508</v>
      </c>
      <c r="B668" s="2" t="s">
        <v>511</v>
      </c>
      <c r="C668" s="4" t="s">
        <v>20</v>
      </c>
      <c r="D668" s="4" t="s">
        <v>21</v>
      </c>
      <c r="F668" s="5"/>
      <c r="G668" s="2">
        <v>13054.18</v>
      </c>
      <c r="L668" s="2" t="s">
        <v>359</v>
      </c>
      <c r="M668" s="2" t="s">
        <v>354</v>
      </c>
      <c r="N668" s="2">
        <v>286.0</v>
      </c>
      <c r="O668" s="2" t="s">
        <v>475</v>
      </c>
    </row>
    <row r="669" ht="22.5" customHeight="1">
      <c r="A669" s="2" t="s">
        <v>508</v>
      </c>
      <c r="B669" s="2" t="s">
        <v>512</v>
      </c>
      <c r="C669" s="4" t="s">
        <v>20</v>
      </c>
      <c r="D669" s="4" t="s">
        <v>21</v>
      </c>
      <c r="F669" s="5"/>
      <c r="G669" s="9">
        <v>1618.88</v>
      </c>
      <c r="L669" s="2" t="s">
        <v>359</v>
      </c>
      <c r="M669" s="2" t="s">
        <v>354</v>
      </c>
      <c r="N669" s="2">
        <v>286.0</v>
      </c>
      <c r="O669" s="2" t="s">
        <v>475</v>
      </c>
    </row>
    <row r="670" ht="22.5" customHeight="1">
      <c r="A670" s="4" t="s">
        <v>513</v>
      </c>
      <c r="B670" s="4" t="s">
        <v>514</v>
      </c>
      <c r="C670" s="4" t="s">
        <v>66</v>
      </c>
      <c r="D670" s="4" t="s">
        <v>485</v>
      </c>
      <c r="E670" s="4"/>
      <c r="F670" s="11"/>
      <c r="G670" s="4">
        <v>5557.72</v>
      </c>
      <c r="H670" s="4"/>
      <c r="I670" s="4"/>
      <c r="J670" s="4"/>
      <c r="K670" s="4"/>
      <c r="L670" s="4" t="s">
        <v>359</v>
      </c>
      <c r="M670" s="4" t="s">
        <v>408</v>
      </c>
      <c r="N670" s="4">
        <v>300.0</v>
      </c>
      <c r="O670" s="4" t="s">
        <v>515</v>
      </c>
      <c r="P670" s="4"/>
      <c r="Q670" s="4"/>
      <c r="R670" s="4"/>
    </row>
    <row r="671" ht="22.5" customHeight="1">
      <c r="A671" s="2" t="s">
        <v>516</v>
      </c>
      <c r="B671" s="2" t="s">
        <v>517</v>
      </c>
      <c r="C671" s="4" t="s">
        <v>31</v>
      </c>
      <c r="D671" s="4" t="s">
        <v>38</v>
      </c>
      <c r="F671" s="5"/>
      <c r="G671" s="2">
        <v>29000.0</v>
      </c>
      <c r="L671" s="2" t="s">
        <v>359</v>
      </c>
      <c r="M671" s="2" t="s">
        <v>354</v>
      </c>
      <c r="N671" s="2">
        <v>288.0</v>
      </c>
      <c r="O671" s="2" t="s">
        <v>397</v>
      </c>
    </row>
    <row r="672" ht="22.5" customHeight="1">
      <c r="A672" s="18" t="s">
        <v>451</v>
      </c>
      <c r="B672" s="2" t="s">
        <v>461</v>
      </c>
      <c r="C672" s="4" t="s">
        <v>20</v>
      </c>
      <c r="D672" s="4" t="s">
        <v>21</v>
      </c>
      <c r="F672" s="5"/>
      <c r="G672" s="4">
        <v>1000.0</v>
      </c>
      <c r="L672" s="2" t="s">
        <v>359</v>
      </c>
      <c r="M672" s="2" t="s">
        <v>354</v>
      </c>
      <c r="N672" s="2">
        <v>278.0</v>
      </c>
      <c r="O672" s="2" t="s">
        <v>437</v>
      </c>
    </row>
    <row r="673" ht="22.5" customHeight="1">
      <c r="A673" s="2" t="s">
        <v>440</v>
      </c>
      <c r="B673" s="2" t="s">
        <v>518</v>
      </c>
      <c r="C673" s="4" t="s">
        <v>31</v>
      </c>
      <c r="D673" s="4" t="s">
        <v>54</v>
      </c>
      <c r="F673" s="5"/>
      <c r="G673" s="2">
        <v>14595.06</v>
      </c>
      <c r="L673" s="2" t="s">
        <v>359</v>
      </c>
      <c r="M673" s="2" t="s">
        <v>354</v>
      </c>
      <c r="N673" s="2">
        <v>278.0</v>
      </c>
      <c r="O673" s="2" t="s">
        <v>437</v>
      </c>
    </row>
    <row r="674" ht="22.5" customHeight="1">
      <c r="A674" s="2" t="s">
        <v>440</v>
      </c>
      <c r="B674" s="2" t="s">
        <v>518</v>
      </c>
      <c r="C674" s="4" t="s">
        <v>31</v>
      </c>
      <c r="D674" s="4" t="s">
        <v>54</v>
      </c>
      <c r="F674" s="5"/>
      <c r="G674" s="2">
        <v>14595.06</v>
      </c>
      <c r="L674" s="2" t="s">
        <v>359</v>
      </c>
      <c r="M674" s="2"/>
      <c r="N674" s="2"/>
      <c r="O674" s="2"/>
    </row>
    <row r="675" ht="22.5" customHeight="1">
      <c r="A675" s="4" t="s">
        <v>437</v>
      </c>
      <c r="B675" s="2" t="s">
        <v>443</v>
      </c>
      <c r="C675" s="4" t="s">
        <v>20</v>
      </c>
      <c r="D675" s="4" t="s">
        <v>21</v>
      </c>
      <c r="F675" s="5"/>
      <c r="G675" s="9">
        <v>4386.83</v>
      </c>
      <c r="L675" s="2" t="s">
        <v>359</v>
      </c>
      <c r="M675" s="2" t="s">
        <v>354</v>
      </c>
      <c r="N675" s="2">
        <v>278.0</v>
      </c>
      <c r="O675" s="2" t="s">
        <v>437</v>
      </c>
    </row>
    <row r="676" ht="22.5" customHeight="1">
      <c r="A676" s="4" t="s">
        <v>349</v>
      </c>
      <c r="B676" s="4" t="s">
        <v>519</v>
      </c>
      <c r="C676" s="4" t="s">
        <v>31</v>
      </c>
      <c r="D676" s="4" t="s">
        <v>47</v>
      </c>
      <c r="E676" s="4"/>
      <c r="F676" s="4" t="s">
        <v>519</v>
      </c>
      <c r="G676" s="4">
        <v>213.95</v>
      </c>
      <c r="H676" s="4"/>
      <c r="I676" s="4"/>
      <c r="J676" s="4"/>
      <c r="K676" s="4"/>
      <c r="L676" s="4">
        <v>46082.0</v>
      </c>
      <c r="M676" s="4"/>
      <c r="N676" s="4"/>
      <c r="O676" s="4"/>
      <c r="P676" s="4"/>
      <c r="Q676" s="4"/>
      <c r="R676" s="4"/>
    </row>
    <row r="677" ht="22.5" customHeight="1">
      <c r="A677" s="2" t="s">
        <v>349</v>
      </c>
      <c r="B677" s="3" t="s">
        <v>520</v>
      </c>
      <c r="C677" s="2" t="s">
        <v>66</v>
      </c>
      <c r="D677" s="9" t="s">
        <v>160</v>
      </c>
      <c r="F677" s="3" t="s">
        <v>520</v>
      </c>
      <c r="G677" s="2">
        <v>17314.97</v>
      </c>
      <c r="L677" s="10">
        <v>46082.0</v>
      </c>
      <c r="M677" s="2"/>
      <c r="N677" s="2"/>
      <c r="O677" s="2"/>
    </row>
    <row r="678" ht="22.5" customHeight="1">
      <c r="A678" s="4" t="s">
        <v>349</v>
      </c>
      <c r="B678" s="4" t="s">
        <v>70</v>
      </c>
      <c r="C678" s="4" t="s">
        <v>66</v>
      </c>
      <c r="D678" s="4" t="s">
        <v>70</v>
      </c>
      <c r="E678" s="4"/>
      <c r="F678" s="4" t="s">
        <v>70</v>
      </c>
      <c r="G678" s="4">
        <v>10000.0</v>
      </c>
      <c r="H678" s="4"/>
      <c r="I678" s="4"/>
      <c r="J678" s="4"/>
      <c r="K678" s="4"/>
      <c r="L678" s="4">
        <v>46082.0</v>
      </c>
      <c r="M678" s="4"/>
      <c r="N678" s="4"/>
      <c r="O678" s="4"/>
      <c r="P678" s="4"/>
      <c r="Q678" s="4"/>
      <c r="R678" s="4"/>
    </row>
    <row r="679" ht="22.5" customHeight="1">
      <c r="A679" s="4" t="s">
        <v>349</v>
      </c>
      <c r="B679" s="4" t="s">
        <v>521</v>
      </c>
      <c r="C679" s="4" t="s">
        <v>20</v>
      </c>
      <c r="D679" s="4" t="s">
        <v>54</v>
      </c>
      <c r="E679" s="4"/>
      <c r="F679" s="4" t="s">
        <v>521</v>
      </c>
      <c r="G679" s="4">
        <v>18699.28</v>
      </c>
      <c r="H679" s="4"/>
      <c r="I679" s="4"/>
      <c r="J679" s="4"/>
      <c r="K679" s="4"/>
      <c r="L679" s="4">
        <v>46082.0</v>
      </c>
      <c r="M679" s="4"/>
      <c r="N679" s="4"/>
      <c r="O679" s="4"/>
      <c r="P679" s="4"/>
      <c r="Q679" s="4"/>
      <c r="R679" s="4"/>
    </row>
    <row r="680" ht="22.5" customHeight="1">
      <c r="A680" s="2" t="s">
        <v>349</v>
      </c>
      <c r="B680" s="5"/>
      <c r="C680" s="2" t="s">
        <v>31</v>
      </c>
      <c r="D680" s="9" t="s">
        <v>98</v>
      </c>
      <c r="F680" s="5"/>
      <c r="G680" s="15">
        <v>19902.05</v>
      </c>
      <c r="L680" s="10">
        <v>46082.0</v>
      </c>
      <c r="M680" s="2"/>
      <c r="N680" s="2"/>
      <c r="O680" s="2"/>
    </row>
    <row r="681" ht="22.5" customHeight="1">
      <c r="A681" s="4" t="s">
        <v>349</v>
      </c>
      <c r="B681" s="4" t="s">
        <v>522</v>
      </c>
      <c r="C681" s="4" t="s">
        <v>20</v>
      </c>
      <c r="D681" s="4" t="s">
        <v>54</v>
      </c>
      <c r="E681" s="4"/>
      <c r="F681" s="4" t="s">
        <v>522</v>
      </c>
      <c r="G681" s="4">
        <v>3192.01</v>
      </c>
      <c r="H681" s="4"/>
      <c r="I681" s="4"/>
      <c r="J681" s="4"/>
      <c r="K681" s="4"/>
      <c r="L681" s="4">
        <v>46082.0</v>
      </c>
      <c r="M681" s="4"/>
      <c r="N681" s="4"/>
      <c r="O681" s="4"/>
      <c r="P681" s="4"/>
      <c r="Q681" s="4"/>
      <c r="R681" s="4"/>
    </row>
    <row r="682" ht="22.5" customHeight="1">
      <c r="A682" s="2" t="s">
        <v>349</v>
      </c>
      <c r="B682" s="2" t="s">
        <v>523</v>
      </c>
      <c r="C682" s="2" t="s">
        <v>20</v>
      </c>
      <c r="D682" s="9" t="s">
        <v>54</v>
      </c>
      <c r="F682" s="5" t="s">
        <v>523</v>
      </c>
      <c r="G682" s="15">
        <v>197713.73</v>
      </c>
      <c r="L682" s="10">
        <v>46082.0</v>
      </c>
      <c r="M682" s="2"/>
      <c r="N682" s="2"/>
      <c r="O682" s="2"/>
    </row>
    <row r="683" ht="22.5" customHeight="1">
      <c r="A683" s="2" t="s">
        <v>440</v>
      </c>
      <c r="B683" s="2" t="s">
        <v>524</v>
      </c>
      <c r="C683" s="4" t="s">
        <v>31</v>
      </c>
      <c r="D683" s="4" t="s">
        <v>54</v>
      </c>
      <c r="F683" s="5"/>
      <c r="G683" s="2">
        <v>67868.64</v>
      </c>
      <c r="L683" s="2" t="s">
        <v>359</v>
      </c>
      <c r="M683" s="2" t="s">
        <v>354</v>
      </c>
      <c r="N683" s="2">
        <v>267.0</v>
      </c>
      <c r="O683" s="2" t="s">
        <v>524</v>
      </c>
    </row>
    <row r="684" ht="22.5" customHeight="1">
      <c r="A684" s="2" t="s">
        <v>440</v>
      </c>
      <c r="B684" s="2" t="s">
        <v>387</v>
      </c>
      <c r="C684" s="4" t="s">
        <v>31</v>
      </c>
      <c r="D684" s="4" t="s">
        <v>54</v>
      </c>
      <c r="F684" s="5"/>
      <c r="G684" s="2">
        <v>64130.0</v>
      </c>
      <c r="L684" s="2" t="s">
        <v>359</v>
      </c>
      <c r="M684" s="2" t="s">
        <v>354</v>
      </c>
      <c r="N684" s="2">
        <v>291.0</v>
      </c>
      <c r="O684" s="2" t="s">
        <v>524</v>
      </c>
    </row>
    <row r="685" ht="22.5" customHeight="1">
      <c r="A685" s="2" t="s">
        <v>422</v>
      </c>
      <c r="B685" s="2" t="s">
        <v>525</v>
      </c>
      <c r="C685" s="2" t="s">
        <v>31</v>
      </c>
      <c r="D685" s="4" t="s">
        <v>371</v>
      </c>
      <c r="F685" s="5"/>
      <c r="G685" s="2">
        <v>3608.33</v>
      </c>
      <c r="L685" s="2" t="s">
        <v>359</v>
      </c>
      <c r="M685" s="2" t="s">
        <v>354</v>
      </c>
      <c r="N685" s="2">
        <v>287.0</v>
      </c>
      <c r="O685" s="2" t="s">
        <v>422</v>
      </c>
    </row>
    <row r="686" ht="22.5" customHeight="1">
      <c r="A686" s="2" t="s">
        <v>422</v>
      </c>
      <c r="B686" s="2" t="s">
        <v>525</v>
      </c>
      <c r="C686" s="4" t="s">
        <v>31</v>
      </c>
      <c r="D686" s="4" t="s">
        <v>371</v>
      </c>
      <c r="F686" s="5"/>
      <c r="G686" s="2">
        <v>53535.0</v>
      </c>
      <c r="L686" s="2" t="s">
        <v>526</v>
      </c>
      <c r="M686" s="2" t="s">
        <v>408</v>
      </c>
      <c r="N686" s="2">
        <v>2.0</v>
      </c>
      <c r="O686" s="2" t="s">
        <v>422</v>
      </c>
    </row>
    <row r="687" ht="22.5" customHeight="1">
      <c r="A687" s="2" t="s">
        <v>422</v>
      </c>
      <c r="B687" s="2" t="s">
        <v>527</v>
      </c>
      <c r="C687" s="4" t="s">
        <v>31</v>
      </c>
      <c r="D687" s="4" t="s">
        <v>371</v>
      </c>
      <c r="F687" s="5"/>
      <c r="G687" s="9">
        <v>5700.83</v>
      </c>
      <c r="L687" s="2" t="s">
        <v>458</v>
      </c>
      <c r="M687" s="2" t="s">
        <v>408</v>
      </c>
      <c r="N687" s="2">
        <v>79.0</v>
      </c>
      <c r="O687" s="2" t="s">
        <v>422</v>
      </c>
    </row>
    <row r="688" ht="22.5" customHeight="1">
      <c r="A688" s="2" t="s">
        <v>528</v>
      </c>
      <c r="B688" s="2" t="s">
        <v>529</v>
      </c>
      <c r="C688" s="4" t="s">
        <v>31</v>
      </c>
      <c r="D688" s="9" t="s">
        <v>54</v>
      </c>
      <c r="F688" s="5"/>
      <c r="G688" s="4">
        <v>42625.90578</v>
      </c>
      <c r="L688" s="2" t="s">
        <v>359</v>
      </c>
      <c r="M688" s="2" t="s">
        <v>354</v>
      </c>
      <c r="N688" s="2">
        <v>290.0</v>
      </c>
      <c r="O688" s="2" t="s">
        <v>493</v>
      </c>
    </row>
    <row r="689" ht="22.5" customHeight="1">
      <c r="A689" s="2" t="s">
        <v>528</v>
      </c>
      <c r="B689" s="2" t="s">
        <v>530</v>
      </c>
      <c r="C689" s="4" t="s">
        <v>31</v>
      </c>
      <c r="D689" s="9" t="s">
        <v>98</v>
      </c>
      <c r="F689" s="5"/>
      <c r="G689" s="4">
        <v>3044.707556</v>
      </c>
      <c r="L689" s="2" t="s">
        <v>359</v>
      </c>
      <c r="M689" s="2" t="s">
        <v>354</v>
      </c>
      <c r="N689" s="2">
        <v>290.0</v>
      </c>
      <c r="O689" s="2" t="s">
        <v>493</v>
      </c>
    </row>
    <row r="690" ht="22.5" customHeight="1">
      <c r="A690" s="2" t="s">
        <v>528</v>
      </c>
      <c r="B690" s="2" t="s">
        <v>531</v>
      </c>
      <c r="C690" s="4" t="s">
        <v>20</v>
      </c>
      <c r="D690" s="9" t="s">
        <v>21</v>
      </c>
      <c r="F690" s="5"/>
      <c r="G690" s="4">
        <v>57849.44356</v>
      </c>
      <c r="L690" s="2" t="s">
        <v>359</v>
      </c>
      <c r="M690" s="2" t="s">
        <v>354</v>
      </c>
      <c r="N690" s="2">
        <v>290.0</v>
      </c>
      <c r="O690" s="2" t="s">
        <v>493</v>
      </c>
    </row>
    <row r="691" ht="22.5" customHeight="1">
      <c r="A691" s="2" t="s">
        <v>528</v>
      </c>
      <c r="B691" s="2" t="s">
        <v>532</v>
      </c>
      <c r="C691" s="4" t="s">
        <v>31</v>
      </c>
      <c r="D691" s="9" t="s">
        <v>187</v>
      </c>
      <c r="F691" s="5"/>
      <c r="G691" s="4">
        <v>8119.220148</v>
      </c>
      <c r="L691" s="2" t="s">
        <v>359</v>
      </c>
      <c r="M691" s="2" t="s">
        <v>354</v>
      </c>
      <c r="N691" s="2">
        <v>290.0</v>
      </c>
      <c r="O691" s="2" t="s">
        <v>493</v>
      </c>
    </row>
    <row r="692" ht="22.5" customHeight="1">
      <c r="A692" s="2" t="s">
        <v>528</v>
      </c>
      <c r="B692" s="2" t="s">
        <v>531</v>
      </c>
      <c r="C692" s="4" t="s">
        <v>31</v>
      </c>
      <c r="D692" s="9" t="s">
        <v>38</v>
      </c>
      <c r="F692" s="5"/>
      <c r="G692" s="4">
        <v>4567.061333</v>
      </c>
      <c r="L692" s="2" t="s">
        <v>359</v>
      </c>
      <c r="M692" s="2" t="s">
        <v>354</v>
      </c>
      <c r="N692" s="2">
        <v>290.0</v>
      </c>
      <c r="O692" s="2" t="s">
        <v>493</v>
      </c>
    </row>
    <row r="693" ht="22.5" customHeight="1">
      <c r="A693" s="2" t="s">
        <v>528</v>
      </c>
      <c r="B693" s="2" t="s">
        <v>533</v>
      </c>
      <c r="C693" s="4" t="s">
        <v>31</v>
      </c>
      <c r="D693" s="9" t="s">
        <v>47</v>
      </c>
      <c r="F693" s="5"/>
      <c r="G693" s="4">
        <v>16238.4403</v>
      </c>
      <c r="L693" s="2" t="s">
        <v>359</v>
      </c>
      <c r="M693" s="2" t="s">
        <v>354</v>
      </c>
      <c r="N693" s="2">
        <v>290.0</v>
      </c>
      <c r="O693" s="2" t="s">
        <v>493</v>
      </c>
    </row>
    <row r="694" ht="22.5" customHeight="1">
      <c r="A694" s="2" t="s">
        <v>528</v>
      </c>
      <c r="B694" s="2" t="s">
        <v>534</v>
      </c>
      <c r="C694" s="4" t="s">
        <v>31</v>
      </c>
      <c r="D694" s="9" t="s">
        <v>113</v>
      </c>
      <c r="F694" s="5"/>
      <c r="G694" s="4">
        <v>4567.061333</v>
      </c>
      <c r="L694" s="2" t="s">
        <v>359</v>
      </c>
      <c r="M694" s="2" t="s">
        <v>354</v>
      </c>
      <c r="N694" s="2">
        <v>290.0</v>
      </c>
      <c r="O694" s="2" t="s">
        <v>493</v>
      </c>
    </row>
    <row r="695" ht="22.5" customHeight="1">
      <c r="A695" s="4" t="s">
        <v>528</v>
      </c>
      <c r="B695" s="2" t="s">
        <v>384</v>
      </c>
      <c r="C695" s="4" t="s">
        <v>31</v>
      </c>
      <c r="D695" s="4" t="s">
        <v>54</v>
      </c>
      <c r="F695" s="5"/>
      <c r="G695" s="2">
        <v>1227.1</v>
      </c>
      <c r="L695" s="2" t="s">
        <v>359</v>
      </c>
      <c r="M695" s="2" t="s">
        <v>354</v>
      </c>
      <c r="N695" s="2">
        <v>276.0</v>
      </c>
      <c r="O695" s="2" t="s">
        <v>385</v>
      </c>
    </row>
    <row r="696" ht="22.5" customHeight="1">
      <c r="A696" s="4" t="s">
        <v>528</v>
      </c>
      <c r="B696" s="2" t="s">
        <v>535</v>
      </c>
      <c r="C696" s="4" t="s">
        <v>31</v>
      </c>
      <c r="D696" s="4" t="s">
        <v>371</v>
      </c>
      <c r="F696" s="5"/>
      <c r="G696" s="22">
        <v>12551.3</v>
      </c>
      <c r="L696" s="2" t="s">
        <v>359</v>
      </c>
      <c r="M696" s="2" t="s">
        <v>354</v>
      </c>
      <c r="N696" s="2">
        <v>273.0</v>
      </c>
      <c r="O696" s="2" t="s">
        <v>391</v>
      </c>
    </row>
    <row r="697" ht="22.5" customHeight="1">
      <c r="A697" s="4" t="s">
        <v>528</v>
      </c>
      <c r="B697" s="2" t="s">
        <v>535</v>
      </c>
      <c r="C697" s="4" t="s">
        <v>31</v>
      </c>
      <c r="D697" s="4" t="s">
        <v>371</v>
      </c>
      <c r="F697" s="5"/>
      <c r="G697" s="21">
        <v>70700.0</v>
      </c>
      <c r="L697" s="2" t="s">
        <v>359</v>
      </c>
      <c r="M697" s="2" t="s">
        <v>354</v>
      </c>
      <c r="N697" s="2">
        <v>273.0</v>
      </c>
      <c r="O697" s="2" t="s">
        <v>391</v>
      </c>
    </row>
    <row r="698" ht="22.5" customHeight="1">
      <c r="A698" s="4" t="s">
        <v>536</v>
      </c>
      <c r="B698" s="2" t="s">
        <v>468</v>
      </c>
      <c r="C698" s="4" t="s">
        <v>20</v>
      </c>
      <c r="D698" s="4" t="s">
        <v>21</v>
      </c>
      <c r="F698" s="5"/>
      <c r="G698" s="2">
        <v>32000.0</v>
      </c>
      <c r="L698" s="2" t="s">
        <v>501</v>
      </c>
      <c r="M698" s="2" t="s">
        <v>408</v>
      </c>
      <c r="N698" s="2">
        <v>252.0</v>
      </c>
      <c r="O698" s="2" t="s">
        <v>385</v>
      </c>
    </row>
    <row r="699" ht="22.5" customHeight="1">
      <c r="A699" s="4" t="s">
        <v>467</v>
      </c>
      <c r="B699" s="2" t="s">
        <v>537</v>
      </c>
      <c r="C699" s="2" t="s">
        <v>20</v>
      </c>
      <c r="D699" s="4" t="s">
        <v>371</v>
      </c>
      <c r="F699" s="5"/>
      <c r="G699" s="2">
        <v>6378.42</v>
      </c>
      <c r="L699" s="2" t="s">
        <v>359</v>
      </c>
      <c r="M699" s="2" t="s">
        <v>354</v>
      </c>
      <c r="N699" s="2">
        <v>292.0</v>
      </c>
      <c r="O699" s="2" t="s">
        <v>538</v>
      </c>
    </row>
    <row r="700" ht="22.5" customHeight="1">
      <c r="A700" s="2" t="s">
        <v>349</v>
      </c>
      <c r="B700" s="2" t="s">
        <v>539</v>
      </c>
      <c r="C700" s="2" t="s">
        <v>31</v>
      </c>
      <c r="D700" s="9" t="s">
        <v>47</v>
      </c>
      <c r="F700" s="5" t="s">
        <v>539</v>
      </c>
      <c r="G700" s="15">
        <v>1000.0</v>
      </c>
      <c r="L700" s="2" t="s">
        <v>359</v>
      </c>
      <c r="M700" s="2"/>
      <c r="N700" s="2"/>
      <c r="O700" s="2"/>
    </row>
    <row r="701" ht="22.5" customHeight="1">
      <c r="A701" s="2" t="s">
        <v>349</v>
      </c>
      <c r="B701" s="2" t="s">
        <v>523</v>
      </c>
      <c r="C701" s="2" t="s">
        <v>20</v>
      </c>
      <c r="D701" s="9" t="s">
        <v>54</v>
      </c>
      <c r="F701" s="5" t="s">
        <v>523</v>
      </c>
      <c r="G701" s="15">
        <v>1613.0</v>
      </c>
      <c r="L701" s="2" t="s">
        <v>359</v>
      </c>
      <c r="M701" s="2"/>
      <c r="N701" s="2"/>
      <c r="O701" s="2"/>
    </row>
    <row r="702" ht="22.5" customHeight="1">
      <c r="A702" s="2" t="s">
        <v>349</v>
      </c>
      <c r="B702" s="5"/>
      <c r="C702" s="2" t="s">
        <v>31</v>
      </c>
      <c r="D702" s="9" t="s">
        <v>98</v>
      </c>
      <c r="F702" s="5"/>
      <c r="G702" s="15">
        <v>27142.31</v>
      </c>
      <c r="L702" s="2" t="s">
        <v>359</v>
      </c>
      <c r="M702" s="2"/>
      <c r="N702" s="2"/>
      <c r="O702" s="2"/>
    </row>
    <row r="703" ht="22.5" customHeight="1">
      <c r="A703" s="2" t="s">
        <v>349</v>
      </c>
      <c r="B703" s="3" t="s">
        <v>520</v>
      </c>
      <c r="C703" s="2" t="s">
        <v>66</v>
      </c>
      <c r="D703" s="9" t="s">
        <v>160</v>
      </c>
      <c r="F703" s="3" t="s">
        <v>520</v>
      </c>
      <c r="G703" s="15">
        <v>21424.02</v>
      </c>
      <c r="L703" s="2" t="s">
        <v>359</v>
      </c>
      <c r="M703" s="2"/>
      <c r="N703" s="2"/>
      <c r="O703" s="2"/>
    </row>
    <row r="704" ht="22.5" customHeight="1">
      <c r="A704" s="2" t="s">
        <v>349</v>
      </c>
      <c r="B704" s="2" t="s">
        <v>350</v>
      </c>
      <c r="C704" s="2" t="s">
        <v>31</v>
      </c>
      <c r="D704" s="9" t="s">
        <v>54</v>
      </c>
      <c r="F704" s="5" t="s">
        <v>350</v>
      </c>
      <c r="G704" s="15">
        <v>21387.44</v>
      </c>
      <c r="L704" s="2" t="s">
        <v>359</v>
      </c>
      <c r="M704" s="2"/>
      <c r="N704" s="2"/>
      <c r="O704" s="2"/>
    </row>
    <row r="705" ht="22.5" customHeight="1">
      <c r="A705" s="2" t="s">
        <v>349</v>
      </c>
      <c r="B705" s="3" t="s">
        <v>507</v>
      </c>
      <c r="C705" s="4" t="s">
        <v>31</v>
      </c>
      <c r="D705" s="4" t="s">
        <v>54</v>
      </c>
      <c r="F705" s="3" t="s">
        <v>507</v>
      </c>
      <c r="G705" s="15">
        <v>1500.0</v>
      </c>
      <c r="L705" s="2" t="s">
        <v>359</v>
      </c>
      <c r="M705" s="2"/>
      <c r="N705" s="2"/>
      <c r="O705" s="2"/>
    </row>
    <row r="706" ht="22.5" customHeight="1">
      <c r="A706" s="2" t="s">
        <v>349</v>
      </c>
      <c r="B706" s="5"/>
      <c r="C706" s="2" t="s">
        <v>31</v>
      </c>
      <c r="D706" s="9" t="s">
        <v>113</v>
      </c>
      <c r="F706" s="5"/>
      <c r="G706" s="15">
        <v>35471.6</v>
      </c>
      <c r="L706" s="2" t="s">
        <v>359</v>
      </c>
      <c r="M706" s="2"/>
      <c r="N706" s="2"/>
      <c r="O706" s="2"/>
    </row>
    <row r="707" ht="22.5" customHeight="1">
      <c r="A707" s="2" t="s">
        <v>349</v>
      </c>
      <c r="B707" s="5"/>
      <c r="C707" s="2" t="s">
        <v>31</v>
      </c>
      <c r="D707" s="9" t="s">
        <v>38</v>
      </c>
      <c r="F707" s="5"/>
      <c r="G707" s="2">
        <v>0.0</v>
      </c>
      <c r="L707" s="2" t="s">
        <v>359</v>
      </c>
      <c r="M707" s="2"/>
      <c r="N707" s="2"/>
      <c r="O707" s="2"/>
    </row>
    <row r="708" ht="22.5" customHeight="1">
      <c r="A708" s="2" t="s">
        <v>349</v>
      </c>
      <c r="B708" s="2" t="s">
        <v>519</v>
      </c>
      <c r="C708" s="2" t="s">
        <v>31</v>
      </c>
      <c r="D708" s="9" t="s">
        <v>47</v>
      </c>
      <c r="F708" s="5" t="s">
        <v>519</v>
      </c>
      <c r="G708" s="15">
        <v>6818.35</v>
      </c>
      <c r="L708" s="2" t="s">
        <v>359</v>
      </c>
      <c r="M708" s="2"/>
      <c r="N708" s="2"/>
      <c r="O708" s="2"/>
    </row>
    <row r="709" ht="22.5" customHeight="1">
      <c r="A709" s="2" t="s">
        <v>349</v>
      </c>
      <c r="B709" s="2" t="s">
        <v>70</v>
      </c>
      <c r="C709" s="2" t="s">
        <v>66</v>
      </c>
      <c r="D709" s="4" t="s">
        <v>70</v>
      </c>
      <c r="F709" s="5" t="s">
        <v>70</v>
      </c>
      <c r="G709" s="15">
        <v>16040.27</v>
      </c>
      <c r="L709" s="2" t="s">
        <v>359</v>
      </c>
      <c r="M709" s="2"/>
      <c r="N709" s="2"/>
      <c r="O709" s="2"/>
    </row>
    <row r="710" ht="22.5" customHeight="1">
      <c r="A710" s="2" t="s">
        <v>349</v>
      </c>
      <c r="B710" s="5"/>
      <c r="C710" s="2" t="s">
        <v>20</v>
      </c>
      <c r="D710" s="9" t="s">
        <v>21</v>
      </c>
      <c r="E710" s="9" t="s">
        <v>22</v>
      </c>
      <c r="F710" s="5"/>
      <c r="G710" s="3">
        <v>202390.83</v>
      </c>
      <c r="L710" s="10">
        <v>46054.0</v>
      </c>
      <c r="M710" s="2"/>
      <c r="N710" s="2"/>
      <c r="O710" s="2"/>
    </row>
    <row r="711" ht="22.5" customHeight="1">
      <c r="A711" s="2" t="s">
        <v>349</v>
      </c>
      <c r="B711" s="5"/>
      <c r="C711" s="2" t="s">
        <v>20</v>
      </c>
      <c r="D711" s="9" t="s">
        <v>21</v>
      </c>
      <c r="E711" s="9" t="s">
        <v>61</v>
      </c>
      <c r="F711" s="5"/>
      <c r="G711" s="15">
        <v>316716.01</v>
      </c>
      <c r="L711" s="10">
        <v>46054.0</v>
      </c>
      <c r="M711" s="2"/>
      <c r="N711" s="2"/>
      <c r="O711" s="2"/>
    </row>
    <row r="712" ht="22.5" customHeight="1">
      <c r="A712" s="2" t="s">
        <v>349</v>
      </c>
      <c r="B712" s="5"/>
      <c r="C712" s="2" t="s">
        <v>20</v>
      </c>
      <c r="D712" s="9" t="s">
        <v>21</v>
      </c>
      <c r="E712" s="9" t="s">
        <v>44</v>
      </c>
      <c r="F712" s="5"/>
      <c r="G712" s="3">
        <v>127369.76</v>
      </c>
      <c r="L712" s="10">
        <v>46054.0</v>
      </c>
      <c r="M712" s="2"/>
      <c r="N712" s="2"/>
      <c r="O712" s="2"/>
    </row>
    <row r="713" ht="22.5" customHeight="1">
      <c r="A713" s="2" t="s">
        <v>349</v>
      </c>
      <c r="B713" s="5"/>
      <c r="C713" s="2" t="s">
        <v>20</v>
      </c>
      <c r="D713" s="9" t="s">
        <v>21</v>
      </c>
      <c r="E713" s="9" t="s">
        <v>386</v>
      </c>
      <c r="F713" s="5"/>
      <c r="G713" s="15">
        <v>40556.6</v>
      </c>
      <c r="L713" s="10">
        <v>46054.0</v>
      </c>
      <c r="M713" s="2"/>
      <c r="N713" s="2"/>
      <c r="O713" s="2"/>
    </row>
    <row r="714" ht="22.5" customHeight="1">
      <c r="A714" s="2" t="s">
        <v>349</v>
      </c>
      <c r="B714" s="2" t="s">
        <v>387</v>
      </c>
      <c r="C714" s="2" t="s">
        <v>31</v>
      </c>
      <c r="D714" s="9" t="s">
        <v>54</v>
      </c>
      <c r="F714" s="5" t="s">
        <v>387</v>
      </c>
      <c r="G714" s="15">
        <v>96311.02</v>
      </c>
      <c r="L714" s="10">
        <v>46054.0</v>
      </c>
      <c r="M714" s="2"/>
      <c r="N714" s="2"/>
      <c r="O714" s="2"/>
    </row>
    <row r="715" ht="22.5" customHeight="1">
      <c r="A715" s="2" t="s">
        <v>349</v>
      </c>
      <c r="B715" s="2" t="s">
        <v>388</v>
      </c>
      <c r="C715" s="2" t="s">
        <v>20</v>
      </c>
      <c r="D715" s="9" t="s">
        <v>54</v>
      </c>
      <c r="F715" s="5" t="s">
        <v>388</v>
      </c>
      <c r="G715" s="15">
        <v>17355.63</v>
      </c>
      <c r="L715" s="10">
        <v>46054.0</v>
      </c>
      <c r="M715" s="2"/>
      <c r="N715" s="2"/>
      <c r="O715" s="2"/>
    </row>
    <row r="716" ht="22.5" customHeight="1">
      <c r="A716" s="2" t="s">
        <v>349</v>
      </c>
      <c r="B716" s="2" t="s">
        <v>539</v>
      </c>
      <c r="C716" s="2" t="s">
        <v>31</v>
      </c>
      <c r="D716" s="9" t="s">
        <v>47</v>
      </c>
      <c r="F716" s="5" t="s">
        <v>539</v>
      </c>
      <c r="G716" s="2">
        <v>678.0</v>
      </c>
      <c r="L716" s="10">
        <v>46054.0</v>
      </c>
      <c r="M716" s="2"/>
      <c r="N716" s="2"/>
      <c r="O716" s="2"/>
    </row>
    <row r="717" ht="22.5" customHeight="1">
      <c r="A717" s="2" t="s">
        <v>349</v>
      </c>
      <c r="B717" s="2" t="s">
        <v>523</v>
      </c>
      <c r="C717" s="2" t="s">
        <v>20</v>
      </c>
      <c r="D717" s="9" t="s">
        <v>54</v>
      </c>
      <c r="F717" s="5" t="s">
        <v>523</v>
      </c>
      <c r="G717" s="15">
        <v>38775.95</v>
      </c>
      <c r="L717" s="10">
        <v>46054.0</v>
      </c>
      <c r="M717" s="2"/>
      <c r="N717" s="2"/>
      <c r="O717" s="2"/>
    </row>
    <row r="718" ht="22.5" customHeight="1">
      <c r="A718" s="2" t="s">
        <v>349</v>
      </c>
      <c r="B718" s="5"/>
      <c r="C718" s="2" t="s">
        <v>31</v>
      </c>
      <c r="D718" s="9" t="s">
        <v>98</v>
      </c>
      <c r="F718" s="5"/>
      <c r="G718" s="15">
        <v>17609.87</v>
      </c>
      <c r="L718" s="10">
        <v>46054.0</v>
      </c>
      <c r="M718" s="2"/>
      <c r="N718" s="2"/>
      <c r="O718" s="2"/>
    </row>
    <row r="719" ht="22.5" customHeight="1">
      <c r="A719" s="2" t="s">
        <v>349</v>
      </c>
      <c r="B719" s="3" t="s">
        <v>520</v>
      </c>
      <c r="C719" s="2" t="s">
        <v>66</v>
      </c>
      <c r="D719" s="9" t="s">
        <v>160</v>
      </c>
      <c r="F719" s="3" t="s">
        <v>520</v>
      </c>
      <c r="G719" s="15">
        <v>16778.89</v>
      </c>
      <c r="L719" s="10">
        <v>46054.0</v>
      </c>
      <c r="M719" s="2"/>
      <c r="N719" s="2"/>
      <c r="O719" s="2"/>
    </row>
    <row r="720" ht="22.5" customHeight="1">
      <c r="A720" s="2" t="s">
        <v>349</v>
      </c>
      <c r="B720" s="2" t="s">
        <v>350</v>
      </c>
      <c r="C720" s="2" t="s">
        <v>31</v>
      </c>
      <c r="D720" s="9" t="s">
        <v>54</v>
      </c>
      <c r="F720" s="5" t="s">
        <v>350</v>
      </c>
      <c r="G720" s="2">
        <v>22187.73</v>
      </c>
      <c r="L720" s="10">
        <v>46054.0</v>
      </c>
      <c r="M720" s="2"/>
      <c r="N720" s="2"/>
      <c r="O720" s="2"/>
    </row>
    <row r="721" ht="22.5" customHeight="1">
      <c r="A721" s="2" t="s">
        <v>349</v>
      </c>
      <c r="B721" s="3" t="s">
        <v>507</v>
      </c>
      <c r="C721" s="4" t="s">
        <v>31</v>
      </c>
      <c r="D721" s="4" t="s">
        <v>54</v>
      </c>
      <c r="F721" s="3" t="s">
        <v>507</v>
      </c>
      <c r="G721" s="2">
        <v>1300.0</v>
      </c>
      <c r="L721" s="10">
        <v>46054.0</v>
      </c>
      <c r="M721" s="2"/>
      <c r="N721" s="2"/>
      <c r="O721" s="2"/>
    </row>
    <row r="722" ht="22.5" customHeight="1">
      <c r="A722" s="2" t="s">
        <v>349</v>
      </c>
      <c r="B722" s="5"/>
      <c r="C722" s="2" t="s">
        <v>31</v>
      </c>
      <c r="D722" s="9" t="s">
        <v>113</v>
      </c>
      <c r="F722" s="5"/>
      <c r="G722" s="15">
        <v>9132.0</v>
      </c>
      <c r="L722" s="10">
        <v>46054.0</v>
      </c>
      <c r="M722" s="2"/>
      <c r="N722" s="2"/>
      <c r="O722" s="2"/>
    </row>
    <row r="723" ht="22.5" customHeight="1">
      <c r="A723" s="2" t="s">
        <v>349</v>
      </c>
      <c r="B723" s="5"/>
      <c r="C723" s="2" t="s">
        <v>31</v>
      </c>
      <c r="D723" s="9" t="s">
        <v>38</v>
      </c>
      <c r="F723" s="5"/>
      <c r="G723" s="2">
        <v>950.0</v>
      </c>
      <c r="L723" s="10">
        <v>46054.0</v>
      </c>
      <c r="M723" s="2"/>
      <c r="N723" s="2"/>
      <c r="O723" s="2"/>
    </row>
    <row r="724" ht="22.5" customHeight="1">
      <c r="A724" s="2" t="s">
        <v>349</v>
      </c>
      <c r="B724" s="2" t="s">
        <v>519</v>
      </c>
      <c r="C724" s="2" t="s">
        <v>31</v>
      </c>
      <c r="D724" s="9" t="s">
        <v>47</v>
      </c>
      <c r="F724" s="5" t="s">
        <v>519</v>
      </c>
      <c r="G724" s="15">
        <v>10200.83</v>
      </c>
      <c r="L724" s="10">
        <v>46054.0</v>
      </c>
      <c r="M724" s="2"/>
      <c r="N724" s="2"/>
      <c r="O724" s="2"/>
    </row>
    <row r="725" ht="22.5" customHeight="1">
      <c r="A725" s="2" t="s">
        <v>349</v>
      </c>
      <c r="B725" s="2" t="s">
        <v>70</v>
      </c>
      <c r="C725" s="2" t="s">
        <v>66</v>
      </c>
      <c r="D725" s="4" t="s">
        <v>70</v>
      </c>
      <c r="F725" s="5" t="s">
        <v>70</v>
      </c>
      <c r="G725" s="15">
        <v>10697.49</v>
      </c>
      <c r="L725" s="10">
        <v>46054.0</v>
      </c>
      <c r="M725" s="2"/>
      <c r="N725" s="2"/>
      <c r="O725" s="2"/>
    </row>
    <row r="726" ht="22.5" customHeight="1">
      <c r="A726" s="2" t="s">
        <v>349</v>
      </c>
      <c r="B726" s="2" t="s">
        <v>540</v>
      </c>
      <c r="C726" s="4" t="s">
        <v>31</v>
      </c>
      <c r="D726" s="9" t="s">
        <v>54</v>
      </c>
      <c r="F726" s="5" t="s">
        <v>540</v>
      </c>
      <c r="G726" s="15">
        <v>8691.08</v>
      </c>
      <c r="L726" s="10">
        <v>46054.0</v>
      </c>
      <c r="M726" s="2"/>
      <c r="N726" s="2"/>
      <c r="O726" s="2"/>
    </row>
    <row r="727" ht="22.5" customHeight="1">
      <c r="A727" s="2" t="s">
        <v>349</v>
      </c>
      <c r="B727" s="2" t="s">
        <v>521</v>
      </c>
      <c r="C727" s="2" t="s">
        <v>20</v>
      </c>
      <c r="D727" s="9" t="s">
        <v>54</v>
      </c>
      <c r="F727" s="5" t="s">
        <v>521</v>
      </c>
      <c r="G727" s="15">
        <v>3280.0</v>
      </c>
      <c r="L727" s="10">
        <v>46054.0</v>
      </c>
      <c r="M727" s="2"/>
      <c r="N727" s="2"/>
      <c r="O727" s="2"/>
    </row>
    <row r="728" ht="22.5" customHeight="1">
      <c r="A728" s="2" t="s">
        <v>349</v>
      </c>
      <c r="B728" s="2" t="s">
        <v>541</v>
      </c>
      <c r="C728" s="2" t="s">
        <v>66</v>
      </c>
      <c r="D728" s="9" t="s">
        <v>371</v>
      </c>
      <c r="F728" s="5" t="s">
        <v>541</v>
      </c>
      <c r="G728" s="15">
        <v>4999.6</v>
      </c>
      <c r="L728" s="10">
        <v>46054.0</v>
      </c>
      <c r="M728" s="2"/>
      <c r="N728" s="2"/>
      <c r="O728" s="2"/>
    </row>
    <row r="729" ht="22.5" customHeight="1">
      <c r="A729" s="2" t="s">
        <v>349</v>
      </c>
      <c r="B729" s="5"/>
      <c r="C729" s="2" t="s">
        <v>20</v>
      </c>
      <c r="D729" s="9" t="s">
        <v>21</v>
      </c>
      <c r="E729" s="9" t="s">
        <v>22</v>
      </c>
      <c r="F729" s="5"/>
      <c r="G729" s="3">
        <v>283775.9</v>
      </c>
      <c r="L729" s="10">
        <v>46082.0</v>
      </c>
      <c r="M729" s="2"/>
      <c r="N729" s="2"/>
      <c r="O729" s="2"/>
    </row>
    <row r="730" ht="22.5" customHeight="1">
      <c r="A730" s="2" t="s">
        <v>349</v>
      </c>
      <c r="B730" s="2" t="s">
        <v>542</v>
      </c>
      <c r="C730" s="2" t="s">
        <v>20</v>
      </c>
      <c r="D730" s="9" t="s">
        <v>21</v>
      </c>
      <c r="E730" s="9" t="s">
        <v>22</v>
      </c>
      <c r="F730" s="5" t="s">
        <v>542</v>
      </c>
      <c r="G730" s="3">
        <v>4455.9</v>
      </c>
      <c r="L730" s="10">
        <v>46082.0</v>
      </c>
      <c r="M730" s="2"/>
      <c r="N730" s="2"/>
      <c r="O730" s="2"/>
    </row>
    <row r="731" ht="22.5" customHeight="1">
      <c r="A731" s="2" t="s">
        <v>349</v>
      </c>
      <c r="B731" s="5"/>
      <c r="C731" s="2" t="s">
        <v>20</v>
      </c>
      <c r="D731" s="9" t="s">
        <v>21</v>
      </c>
      <c r="E731" s="9" t="s">
        <v>61</v>
      </c>
      <c r="F731" s="5"/>
      <c r="G731" s="15">
        <v>378872.83</v>
      </c>
      <c r="L731" s="10">
        <v>46082.0</v>
      </c>
      <c r="M731" s="2"/>
      <c r="N731" s="2"/>
      <c r="O731" s="2"/>
    </row>
    <row r="732" ht="22.5" customHeight="1">
      <c r="A732" s="2" t="s">
        <v>349</v>
      </c>
      <c r="B732" s="5"/>
      <c r="C732" s="2" t="s">
        <v>20</v>
      </c>
      <c r="D732" s="9" t="s">
        <v>21</v>
      </c>
      <c r="E732" s="9" t="s">
        <v>44</v>
      </c>
      <c r="F732" s="5"/>
      <c r="G732" s="3">
        <v>210345.66</v>
      </c>
      <c r="L732" s="10">
        <v>46082.0</v>
      </c>
      <c r="M732" s="2"/>
      <c r="N732" s="2"/>
      <c r="O732" s="2"/>
    </row>
    <row r="733" ht="22.5" customHeight="1">
      <c r="A733" s="2" t="s">
        <v>349</v>
      </c>
      <c r="B733" s="5"/>
      <c r="C733" s="2" t="s">
        <v>20</v>
      </c>
      <c r="D733" s="9" t="s">
        <v>21</v>
      </c>
      <c r="E733" s="9" t="s">
        <v>386</v>
      </c>
      <c r="F733" s="5"/>
      <c r="G733" s="15">
        <v>120956.97</v>
      </c>
      <c r="L733" s="10">
        <v>46082.0</v>
      </c>
      <c r="M733" s="2"/>
      <c r="N733" s="2"/>
      <c r="O733" s="2"/>
    </row>
    <row r="734" ht="22.5" customHeight="1">
      <c r="A734" s="2" t="s">
        <v>349</v>
      </c>
      <c r="B734" s="2" t="s">
        <v>387</v>
      </c>
      <c r="C734" s="2" t="s">
        <v>31</v>
      </c>
      <c r="D734" s="9" t="s">
        <v>54</v>
      </c>
      <c r="F734" s="5" t="s">
        <v>387</v>
      </c>
      <c r="G734" s="15">
        <v>71283.97</v>
      </c>
      <c r="L734" s="10">
        <v>46082.0</v>
      </c>
      <c r="M734" s="2"/>
      <c r="N734" s="2"/>
      <c r="O734" s="2"/>
    </row>
    <row r="735" ht="22.5" customHeight="1">
      <c r="A735" s="2" t="s">
        <v>349</v>
      </c>
      <c r="B735" s="2" t="s">
        <v>388</v>
      </c>
      <c r="C735" s="2" t="s">
        <v>20</v>
      </c>
      <c r="D735" s="9" t="s">
        <v>54</v>
      </c>
      <c r="F735" s="5" t="s">
        <v>388</v>
      </c>
      <c r="G735" s="15">
        <v>122883.41</v>
      </c>
      <c r="L735" s="10">
        <v>46082.0</v>
      </c>
      <c r="M735" s="2"/>
      <c r="N735" s="2"/>
      <c r="O735" s="2"/>
    </row>
    <row r="736" ht="22.5" customHeight="1">
      <c r="A736" s="2" t="s">
        <v>349</v>
      </c>
      <c r="B736" s="2" t="s">
        <v>539</v>
      </c>
      <c r="C736" s="2" t="s">
        <v>31</v>
      </c>
      <c r="D736" s="9" t="s">
        <v>47</v>
      </c>
      <c r="F736" s="5" t="s">
        <v>539</v>
      </c>
      <c r="G736" s="15">
        <v>15305.85</v>
      </c>
      <c r="L736" s="10">
        <v>46082.0</v>
      </c>
      <c r="M736" s="2"/>
      <c r="N736" s="2"/>
      <c r="O736" s="2"/>
    </row>
    <row r="737" ht="22.5" customHeight="1">
      <c r="A737" s="18" t="s">
        <v>483</v>
      </c>
      <c r="B737" s="2" t="s">
        <v>504</v>
      </c>
      <c r="C737" s="4" t="s">
        <v>66</v>
      </c>
      <c r="D737" s="4" t="s">
        <v>371</v>
      </c>
      <c r="F737" s="5"/>
      <c r="G737" s="2">
        <v>272.02</v>
      </c>
      <c r="L737" s="2" t="s">
        <v>486</v>
      </c>
      <c r="M737" s="2" t="s">
        <v>408</v>
      </c>
      <c r="N737" s="2">
        <v>4.0</v>
      </c>
      <c r="O737" s="2" t="s">
        <v>459</v>
      </c>
    </row>
    <row r="738" ht="22.5" customHeight="1">
      <c r="A738" s="2" t="s">
        <v>467</v>
      </c>
      <c r="B738" s="2" t="s">
        <v>543</v>
      </c>
      <c r="C738" s="4" t="s">
        <v>31</v>
      </c>
      <c r="D738" s="4" t="s">
        <v>371</v>
      </c>
      <c r="F738" s="5"/>
      <c r="G738" s="25">
        <v>4212.0</v>
      </c>
      <c r="L738" s="2" t="s">
        <v>359</v>
      </c>
      <c r="M738" s="2" t="s">
        <v>354</v>
      </c>
      <c r="N738" s="2">
        <v>269.0</v>
      </c>
      <c r="O738" s="2" t="s">
        <v>467</v>
      </c>
    </row>
    <row r="739" ht="22.5" customHeight="1">
      <c r="A739" s="2" t="s">
        <v>467</v>
      </c>
      <c r="B739" s="2" t="s">
        <v>543</v>
      </c>
      <c r="C739" s="4" t="s">
        <v>31</v>
      </c>
      <c r="D739" s="4" t="s">
        <v>371</v>
      </c>
      <c r="F739" s="5"/>
      <c r="G739" s="21">
        <v>14762.0</v>
      </c>
      <c r="L739" s="2" t="s">
        <v>359</v>
      </c>
      <c r="M739" s="2" t="s">
        <v>354</v>
      </c>
      <c r="N739" s="2">
        <v>294.0</v>
      </c>
      <c r="O739" s="2" t="s">
        <v>467</v>
      </c>
    </row>
    <row r="740" ht="22.5" customHeight="1">
      <c r="A740" s="2" t="s">
        <v>18</v>
      </c>
      <c r="B740" s="26" t="s">
        <v>53</v>
      </c>
      <c r="C740" s="27" t="s">
        <v>20</v>
      </c>
      <c r="D740" s="4" t="s">
        <v>54</v>
      </c>
      <c r="F740" s="5"/>
      <c r="G740" s="28">
        <v>13179.98627</v>
      </c>
      <c r="H740" s="4" t="s">
        <v>27</v>
      </c>
      <c r="L740" s="2"/>
      <c r="M740" s="2"/>
      <c r="N740" s="2"/>
      <c r="O740" s="2"/>
    </row>
    <row r="741" ht="22.5" customHeight="1">
      <c r="A741" s="2" t="s">
        <v>18</v>
      </c>
      <c r="B741" s="26" t="s">
        <v>288</v>
      </c>
      <c r="C741" s="27" t="s">
        <v>31</v>
      </c>
      <c r="D741" s="4" t="s">
        <v>54</v>
      </c>
      <c r="F741" s="5"/>
      <c r="G741" s="28">
        <v>24266.47266</v>
      </c>
      <c r="H741" s="4" t="s">
        <v>27</v>
      </c>
      <c r="L741" s="2"/>
      <c r="M741" s="2"/>
      <c r="N741" s="2"/>
      <c r="O741" s="2"/>
    </row>
    <row r="742" ht="22.5" customHeight="1">
      <c r="A742" s="2" t="s">
        <v>18</v>
      </c>
      <c r="B742" s="26" t="s">
        <v>170</v>
      </c>
      <c r="C742" s="27" t="s">
        <v>20</v>
      </c>
      <c r="D742" s="4" t="s">
        <v>21</v>
      </c>
      <c r="E742" s="4" t="s">
        <v>41</v>
      </c>
      <c r="F742" s="5"/>
      <c r="G742" s="28">
        <v>4900.0035</v>
      </c>
      <c r="H742" s="4" t="s">
        <v>27</v>
      </c>
      <c r="L742" s="2"/>
      <c r="M742" s="2"/>
      <c r="N742" s="2"/>
      <c r="O742" s="2"/>
    </row>
    <row r="743" ht="22.5" customHeight="1">
      <c r="A743" s="2" t="s">
        <v>18</v>
      </c>
      <c r="B743" s="26" t="s">
        <v>194</v>
      </c>
      <c r="C743" s="27" t="s">
        <v>31</v>
      </c>
      <c r="D743" s="4" t="s">
        <v>47</v>
      </c>
      <c r="F743" s="5"/>
      <c r="G743" s="28">
        <v>19020.19564</v>
      </c>
      <c r="H743" s="4" t="s">
        <v>27</v>
      </c>
      <c r="L743" s="2"/>
      <c r="M743" s="2"/>
      <c r="N743" s="2"/>
      <c r="O743" s="2"/>
    </row>
    <row r="744" ht="22.5" customHeight="1">
      <c r="A744" s="2" t="s">
        <v>18</v>
      </c>
      <c r="B744" s="26" t="s">
        <v>335</v>
      </c>
      <c r="C744" s="27" t="s">
        <v>20</v>
      </c>
      <c r="D744" s="4" t="s">
        <v>21</v>
      </c>
      <c r="E744" s="4" t="s">
        <v>22</v>
      </c>
      <c r="F744" s="5"/>
      <c r="G744" s="28">
        <v>5065.235469</v>
      </c>
      <c r="H744" s="4" t="s">
        <v>27</v>
      </c>
      <c r="L744" s="2"/>
      <c r="M744" s="2"/>
      <c r="N744" s="2"/>
      <c r="O744" s="2"/>
    </row>
    <row r="745" ht="22.5" customHeight="1">
      <c r="A745" s="2" t="s">
        <v>18</v>
      </c>
      <c r="B745" s="26" t="s">
        <v>343</v>
      </c>
      <c r="C745" s="27" t="s">
        <v>20</v>
      </c>
      <c r="D745" s="4" t="s">
        <v>21</v>
      </c>
      <c r="E745" s="4" t="s">
        <v>44</v>
      </c>
      <c r="F745" s="5"/>
      <c r="G745" s="28">
        <v>33761.35325</v>
      </c>
      <c r="H745" s="4" t="s">
        <v>27</v>
      </c>
      <c r="L745" s="2"/>
      <c r="M745" s="2"/>
      <c r="N745" s="2"/>
      <c r="O745" s="2"/>
    </row>
    <row r="746" ht="22.5" customHeight="1">
      <c r="A746" s="2" t="s">
        <v>18</v>
      </c>
      <c r="B746" s="26" t="s">
        <v>218</v>
      </c>
      <c r="C746" s="27" t="s">
        <v>20</v>
      </c>
      <c r="D746" s="4" t="s">
        <v>21</v>
      </c>
      <c r="E746" s="4" t="s">
        <v>44</v>
      </c>
      <c r="F746" s="5"/>
      <c r="G746" s="28">
        <v>1634.445086</v>
      </c>
      <c r="H746" s="4" t="s">
        <v>27</v>
      </c>
      <c r="L746" s="2"/>
      <c r="M746" s="2"/>
      <c r="N746" s="2"/>
      <c r="O746" s="2"/>
    </row>
    <row r="747" ht="22.5" customHeight="1">
      <c r="A747" s="2" t="s">
        <v>18</v>
      </c>
      <c r="B747" s="26" t="s">
        <v>83</v>
      </c>
      <c r="C747" s="27" t="s">
        <v>31</v>
      </c>
      <c r="D747" s="4" t="s">
        <v>38</v>
      </c>
      <c r="F747" s="5"/>
      <c r="G747" s="28">
        <v>14281.22627</v>
      </c>
      <c r="H747" s="4" t="s">
        <v>27</v>
      </c>
      <c r="L747" s="2"/>
      <c r="M747" s="2"/>
      <c r="N747" s="2"/>
      <c r="O747" s="2"/>
    </row>
    <row r="748" ht="22.5" customHeight="1">
      <c r="A748" s="2" t="s">
        <v>18</v>
      </c>
      <c r="B748" s="26" t="s">
        <v>231</v>
      </c>
      <c r="C748" s="27" t="s">
        <v>20</v>
      </c>
      <c r="D748" s="4" t="s">
        <v>21</v>
      </c>
      <c r="E748" s="4" t="s">
        <v>41</v>
      </c>
      <c r="F748" s="5"/>
      <c r="G748" s="28">
        <v>19047.115</v>
      </c>
      <c r="H748" s="4" t="s">
        <v>27</v>
      </c>
      <c r="L748" s="2"/>
      <c r="M748" s="2"/>
      <c r="N748" s="2"/>
      <c r="O748" s="2"/>
    </row>
    <row r="749" ht="22.5" customHeight="1">
      <c r="A749" s="2" t="s">
        <v>18</v>
      </c>
      <c r="B749" s="26" t="s">
        <v>271</v>
      </c>
      <c r="C749" s="27" t="s">
        <v>31</v>
      </c>
      <c r="D749" s="4" t="s">
        <v>54</v>
      </c>
      <c r="E749" s="4"/>
      <c r="F749" s="11"/>
      <c r="G749" s="28">
        <v>21268.65588</v>
      </c>
      <c r="H749" s="4" t="s">
        <v>27</v>
      </c>
      <c r="I749" s="4"/>
      <c r="J749" s="4"/>
      <c r="K749" s="4"/>
      <c r="L749" s="7"/>
      <c r="M749" s="7"/>
      <c r="N749" s="7"/>
      <c r="O749" s="7"/>
      <c r="P749" s="4"/>
      <c r="Q749" s="4"/>
      <c r="R749" s="4"/>
    </row>
    <row r="750" ht="22.5" customHeight="1">
      <c r="A750" s="2" t="s">
        <v>18</v>
      </c>
      <c r="B750" s="26" t="s">
        <v>226</v>
      </c>
      <c r="C750" s="27" t="s">
        <v>66</v>
      </c>
      <c r="D750" s="4" t="s">
        <v>192</v>
      </c>
      <c r="E750" s="4"/>
      <c r="F750" s="11"/>
      <c r="G750" s="28">
        <v>20097.115</v>
      </c>
      <c r="H750" s="4" t="s">
        <v>27</v>
      </c>
      <c r="I750" s="4"/>
      <c r="J750" s="4"/>
      <c r="K750" s="4"/>
      <c r="L750" s="7"/>
      <c r="M750" s="7"/>
      <c r="N750" s="7"/>
      <c r="O750" s="7"/>
      <c r="P750" s="4"/>
      <c r="Q750" s="4"/>
      <c r="R750" s="4"/>
    </row>
    <row r="751" ht="22.5" customHeight="1">
      <c r="A751" s="2" t="s">
        <v>18</v>
      </c>
      <c r="B751" s="26" t="s">
        <v>137</v>
      </c>
      <c r="C751" s="27" t="s">
        <v>20</v>
      </c>
      <c r="D751" s="4" t="s">
        <v>21</v>
      </c>
      <c r="E751" s="4" t="s">
        <v>61</v>
      </c>
      <c r="F751" s="11"/>
      <c r="G751" s="28">
        <v>7425.955916</v>
      </c>
      <c r="H751" s="4" t="s">
        <v>27</v>
      </c>
      <c r="I751" s="4"/>
      <c r="J751" s="4"/>
      <c r="K751" s="4"/>
      <c r="L751" s="7"/>
      <c r="M751" s="7"/>
      <c r="N751" s="7"/>
      <c r="O751" s="7"/>
      <c r="P751" s="4"/>
      <c r="Q751" s="4"/>
      <c r="R751" s="4"/>
    </row>
    <row r="752" ht="22.5" customHeight="1">
      <c r="A752" s="2" t="s">
        <v>18</v>
      </c>
      <c r="B752" s="26" t="s">
        <v>325</v>
      </c>
      <c r="C752" s="27" t="s">
        <v>20</v>
      </c>
      <c r="D752" s="4" t="s">
        <v>21</v>
      </c>
      <c r="E752" s="4" t="s">
        <v>44</v>
      </c>
      <c r="F752" s="11"/>
      <c r="G752" s="28">
        <v>6859.9965</v>
      </c>
      <c r="H752" s="4" t="s">
        <v>27</v>
      </c>
      <c r="I752" s="4"/>
      <c r="J752" s="4"/>
      <c r="K752" s="4"/>
      <c r="L752" s="7"/>
      <c r="M752" s="7"/>
      <c r="N752" s="7"/>
      <c r="O752" s="7"/>
      <c r="P752" s="4"/>
      <c r="Q752" s="4"/>
      <c r="R752" s="4"/>
    </row>
    <row r="753" ht="22.5" customHeight="1">
      <c r="A753" s="2" t="s">
        <v>18</v>
      </c>
      <c r="B753" s="26" t="s">
        <v>245</v>
      </c>
      <c r="C753" s="27" t="s">
        <v>20</v>
      </c>
      <c r="D753" s="4" t="s">
        <v>54</v>
      </c>
      <c r="E753" s="4"/>
      <c r="F753" s="11"/>
      <c r="G753" s="28">
        <v>3675.0</v>
      </c>
      <c r="H753" s="4" t="s">
        <v>27</v>
      </c>
      <c r="I753" s="4"/>
      <c r="J753" s="4"/>
      <c r="K753" s="4"/>
      <c r="L753" s="7"/>
      <c r="M753" s="7"/>
      <c r="N753" s="7"/>
      <c r="O753" s="7"/>
      <c r="P753" s="4"/>
      <c r="Q753" s="4"/>
      <c r="R753" s="4"/>
    </row>
    <row r="754" ht="22.5" customHeight="1">
      <c r="A754" s="2" t="s">
        <v>18</v>
      </c>
      <c r="B754" s="26" t="s">
        <v>261</v>
      </c>
      <c r="C754" s="27" t="s">
        <v>20</v>
      </c>
      <c r="D754" s="4" t="s">
        <v>21</v>
      </c>
      <c r="E754" s="4" t="s">
        <v>22</v>
      </c>
      <c r="F754" s="11"/>
      <c r="G754" s="28">
        <v>3675.0</v>
      </c>
      <c r="H754" s="4" t="s">
        <v>27</v>
      </c>
      <c r="I754" s="4"/>
      <c r="J754" s="4"/>
      <c r="K754" s="4"/>
      <c r="L754" s="7"/>
      <c r="M754" s="7"/>
      <c r="N754" s="7"/>
      <c r="O754" s="7"/>
      <c r="P754" s="4"/>
      <c r="Q754" s="4"/>
      <c r="R754" s="4"/>
    </row>
    <row r="755" ht="22.5" customHeight="1">
      <c r="A755" s="2" t="s">
        <v>18</v>
      </c>
      <c r="B755" s="26" t="s">
        <v>300</v>
      </c>
      <c r="C755" s="27" t="s">
        <v>20</v>
      </c>
      <c r="D755" s="4" t="s">
        <v>54</v>
      </c>
      <c r="E755" s="4"/>
      <c r="F755" s="11"/>
      <c r="G755" s="28">
        <v>13179.98627</v>
      </c>
      <c r="H755" s="4" t="s">
        <v>27</v>
      </c>
      <c r="I755" s="4"/>
      <c r="J755" s="4"/>
      <c r="K755" s="4"/>
      <c r="L755" s="7"/>
      <c r="M755" s="7"/>
      <c r="N755" s="7"/>
      <c r="O755" s="7"/>
      <c r="P755" s="4"/>
      <c r="Q755" s="4"/>
      <c r="R755" s="4"/>
    </row>
    <row r="756" ht="22.5" customHeight="1">
      <c r="A756" s="2" t="s">
        <v>18</v>
      </c>
      <c r="B756" s="26" t="s">
        <v>176</v>
      </c>
      <c r="C756" s="27" t="s">
        <v>20</v>
      </c>
      <c r="D756" s="4" t="s">
        <v>21</v>
      </c>
      <c r="E756" s="4" t="s">
        <v>41</v>
      </c>
      <c r="F756" s="11"/>
      <c r="G756" s="28">
        <v>15861.895</v>
      </c>
      <c r="H756" s="4" t="s">
        <v>27</v>
      </c>
      <c r="I756" s="4"/>
      <c r="J756" s="4"/>
      <c r="K756" s="4"/>
      <c r="L756" s="7"/>
      <c r="M756" s="7"/>
      <c r="N756" s="7"/>
      <c r="O756" s="7"/>
      <c r="P756" s="4"/>
      <c r="Q756" s="4"/>
      <c r="R756" s="4"/>
    </row>
    <row r="757" ht="22.5" customHeight="1">
      <c r="A757" s="2" t="s">
        <v>18</v>
      </c>
      <c r="B757" s="26" t="s">
        <v>40</v>
      </c>
      <c r="C757" s="27" t="s">
        <v>20</v>
      </c>
      <c r="D757" s="4" t="s">
        <v>21</v>
      </c>
      <c r="E757" s="4" t="s">
        <v>41</v>
      </c>
      <c r="F757" s="11"/>
      <c r="G757" s="28">
        <v>17970.19564</v>
      </c>
      <c r="H757" s="4" t="s">
        <v>27</v>
      </c>
      <c r="I757" s="4"/>
      <c r="J757" s="4"/>
      <c r="K757" s="4"/>
      <c r="L757" s="7"/>
      <c r="M757" s="7"/>
      <c r="N757" s="7"/>
      <c r="O757" s="7"/>
      <c r="P757" s="4"/>
      <c r="Q757" s="4"/>
      <c r="R757" s="4"/>
    </row>
    <row r="758" ht="22.5" customHeight="1">
      <c r="A758" s="2" t="s">
        <v>18</v>
      </c>
      <c r="B758" s="26" t="s">
        <v>149</v>
      </c>
      <c r="C758" s="27" t="s">
        <v>31</v>
      </c>
      <c r="D758" s="4" t="s">
        <v>47</v>
      </c>
      <c r="E758" s="4"/>
      <c r="F758" s="11"/>
      <c r="G758" s="28">
        <v>19969.39564</v>
      </c>
      <c r="H758" s="4" t="s">
        <v>27</v>
      </c>
      <c r="I758" s="4"/>
      <c r="J758" s="4"/>
      <c r="K758" s="4"/>
      <c r="L758" s="7"/>
      <c r="M758" s="7"/>
      <c r="N758" s="7"/>
      <c r="O758" s="7"/>
      <c r="P758" s="4"/>
      <c r="Q758" s="4"/>
      <c r="R758" s="4"/>
    </row>
    <row r="759" ht="22.5" customHeight="1">
      <c r="A759" s="2" t="s">
        <v>18</v>
      </c>
      <c r="B759" s="26" t="s">
        <v>117</v>
      </c>
      <c r="C759" s="27" t="s">
        <v>31</v>
      </c>
      <c r="D759" s="4" t="s">
        <v>47</v>
      </c>
      <c r="E759" s="4"/>
      <c r="F759" s="11"/>
      <c r="G759" s="28">
        <v>17967.36127</v>
      </c>
      <c r="H759" s="4" t="s">
        <v>27</v>
      </c>
      <c r="I759" s="4"/>
      <c r="J759" s="4"/>
      <c r="K759" s="4"/>
      <c r="L759" s="7"/>
      <c r="M759" s="7"/>
      <c r="N759" s="7"/>
      <c r="O759" s="7"/>
      <c r="P759" s="4"/>
      <c r="Q759" s="4"/>
      <c r="R759" s="4"/>
    </row>
    <row r="760" ht="22.5" customHeight="1">
      <c r="A760" s="2" t="s">
        <v>18</v>
      </c>
      <c r="B760" s="7" t="s">
        <v>166</v>
      </c>
      <c r="C760" s="27" t="s">
        <v>20</v>
      </c>
      <c r="D760" s="4" t="s">
        <v>21</v>
      </c>
      <c r="E760" s="4" t="s">
        <v>41</v>
      </c>
      <c r="F760" s="2" t="s">
        <v>167</v>
      </c>
      <c r="G760" s="28">
        <f t="shared" ref="G760:G762" si="10">15859.06063/3</f>
        <v>5286.353543</v>
      </c>
      <c r="H760" s="4" t="s">
        <v>27</v>
      </c>
      <c r="I760" s="4"/>
      <c r="J760" s="4"/>
      <c r="K760" s="4"/>
      <c r="L760" s="7"/>
      <c r="M760" s="7"/>
      <c r="N760" s="7"/>
      <c r="O760" s="7"/>
      <c r="P760" s="4"/>
      <c r="Q760" s="4"/>
      <c r="R760" s="4"/>
    </row>
    <row r="761" ht="22.5" customHeight="1">
      <c r="A761" s="2" t="s">
        <v>18</v>
      </c>
      <c r="B761" s="7" t="s">
        <v>166</v>
      </c>
      <c r="C761" s="27" t="s">
        <v>20</v>
      </c>
      <c r="D761" s="4" t="s">
        <v>21</v>
      </c>
      <c r="E761" s="4" t="s">
        <v>35</v>
      </c>
      <c r="F761" s="2" t="s">
        <v>167</v>
      </c>
      <c r="G761" s="28">
        <f t="shared" si="10"/>
        <v>5286.353543</v>
      </c>
      <c r="H761" s="4" t="s">
        <v>27</v>
      </c>
      <c r="I761" s="4"/>
      <c r="J761" s="4"/>
      <c r="K761" s="4"/>
      <c r="L761" s="7"/>
      <c r="M761" s="7"/>
      <c r="N761" s="7"/>
      <c r="O761" s="7"/>
      <c r="P761" s="4"/>
      <c r="Q761" s="4"/>
      <c r="R761" s="4"/>
    </row>
    <row r="762" ht="22.5" customHeight="1">
      <c r="A762" s="2" t="s">
        <v>18</v>
      </c>
      <c r="B762" s="7" t="s">
        <v>166</v>
      </c>
      <c r="C762" s="27" t="s">
        <v>20</v>
      </c>
      <c r="D762" s="4" t="s">
        <v>21</v>
      </c>
      <c r="E762" s="4" t="s">
        <v>44</v>
      </c>
      <c r="F762" s="2" t="s">
        <v>167</v>
      </c>
      <c r="G762" s="28">
        <f t="shared" si="10"/>
        <v>5286.353543</v>
      </c>
      <c r="H762" s="4" t="s">
        <v>27</v>
      </c>
      <c r="I762" s="4"/>
      <c r="J762" s="4"/>
      <c r="K762" s="4"/>
      <c r="L762" s="7"/>
      <c r="M762" s="7"/>
      <c r="N762" s="7"/>
      <c r="O762" s="7"/>
      <c r="P762" s="4"/>
      <c r="Q762" s="4"/>
      <c r="R762" s="4"/>
    </row>
    <row r="763" ht="22.5" customHeight="1">
      <c r="A763" s="2" t="s">
        <v>18</v>
      </c>
      <c r="B763" s="26" t="s">
        <v>274</v>
      </c>
      <c r="C763" s="27" t="s">
        <v>31</v>
      </c>
      <c r="D763" s="4" t="s">
        <v>187</v>
      </c>
      <c r="E763" s="4" t="s">
        <v>22</v>
      </c>
      <c r="F763" s="11"/>
      <c r="G763" s="28">
        <v>16384.06063</v>
      </c>
      <c r="H763" s="4" t="s">
        <v>27</v>
      </c>
      <c r="I763" s="4"/>
      <c r="J763" s="4"/>
      <c r="K763" s="4"/>
      <c r="L763" s="7"/>
      <c r="M763" s="7"/>
      <c r="N763" s="7"/>
      <c r="O763" s="7"/>
      <c r="P763" s="4"/>
      <c r="Q763" s="4"/>
      <c r="R763" s="4"/>
    </row>
    <row r="764" ht="22.5" customHeight="1">
      <c r="A764" s="2" t="s">
        <v>18</v>
      </c>
      <c r="B764" s="26" t="s">
        <v>34</v>
      </c>
      <c r="C764" s="27" t="s">
        <v>20</v>
      </c>
      <c r="D764" s="4" t="s">
        <v>21</v>
      </c>
      <c r="E764" s="4" t="s">
        <v>35</v>
      </c>
      <c r="F764" s="11"/>
      <c r="G764" s="28">
        <v>13756.22627</v>
      </c>
      <c r="H764" s="4" t="s">
        <v>27</v>
      </c>
      <c r="I764" s="4"/>
      <c r="J764" s="4"/>
      <c r="K764" s="4"/>
      <c r="L764" s="7"/>
      <c r="M764" s="7"/>
      <c r="N764" s="7"/>
      <c r="O764" s="7"/>
      <c r="P764" s="4"/>
      <c r="Q764" s="4"/>
      <c r="R764" s="4"/>
    </row>
    <row r="765" ht="22.5" customHeight="1">
      <c r="A765" s="2" t="s">
        <v>18</v>
      </c>
      <c r="B765" s="26" t="s">
        <v>294</v>
      </c>
      <c r="C765" s="27" t="s">
        <v>31</v>
      </c>
      <c r="D765" s="4" t="s">
        <v>54</v>
      </c>
      <c r="E765" s="4"/>
      <c r="F765" s="11"/>
      <c r="G765" s="28">
        <v>21034.58997</v>
      </c>
      <c r="H765" s="4" t="s">
        <v>27</v>
      </c>
      <c r="I765" s="4"/>
      <c r="J765" s="4"/>
      <c r="K765" s="4"/>
      <c r="L765" s="7"/>
      <c r="M765" s="7"/>
      <c r="N765" s="7"/>
      <c r="O765" s="7"/>
      <c r="P765" s="4"/>
      <c r="Q765" s="4"/>
      <c r="R765" s="4"/>
    </row>
    <row r="766" ht="22.5" customHeight="1">
      <c r="A766" s="2" t="s">
        <v>18</v>
      </c>
      <c r="B766" s="26" t="s">
        <v>79</v>
      </c>
      <c r="C766" s="27" t="s">
        <v>20</v>
      </c>
      <c r="D766" s="4" t="s">
        <v>54</v>
      </c>
      <c r="E766" s="4"/>
      <c r="F766" s="11"/>
      <c r="G766" s="28">
        <v>16490.24789</v>
      </c>
      <c r="H766" s="4" t="s">
        <v>27</v>
      </c>
      <c r="I766" s="4"/>
      <c r="J766" s="4"/>
      <c r="K766" s="4"/>
      <c r="L766" s="7"/>
      <c r="M766" s="7"/>
      <c r="N766" s="7"/>
      <c r="O766" s="7"/>
      <c r="P766" s="4"/>
      <c r="Q766" s="4"/>
      <c r="R766" s="4"/>
    </row>
    <row r="767" ht="22.5" customHeight="1">
      <c r="A767" s="2" t="s">
        <v>18</v>
      </c>
      <c r="B767" s="26" t="s">
        <v>298</v>
      </c>
      <c r="C767" s="27" t="s">
        <v>20</v>
      </c>
      <c r="D767" s="4" t="s">
        <v>54</v>
      </c>
      <c r="E767" s="4"/>
      <c r="F767" s="11"/>
      <c r="G767" s="28">
        <v>19014.52691</v>
      </c>
      <c r="H767" s="4" t="s">
        <v>27</v>
      </c>
      <c r="I767" s="4"/>
      <c r="J767" s="4"/>
      <c r="K767" s="4"/>
      <c r="L767" s="7"/>
      <c r="M767" s="7"/>
      <c r="N767" s="7"/>
      <c r="O767" s="7"/>
      <c r="P767" s="4"/>
      <c r="Q767" s="4"/>
      <c r="R767" s="4"/>
    </row>
    <row r="768" ht="22.5" customHeight="1">
      <c r="A768" s="2" t="s">
        <v>18</v>
      </c>
      <c r="B768" s="26" t="s">
        <v>28</v>
      </c>
      <c r="C768" s="27" t="s">
        <v>20</v>
      </c>
      <c r="D768" s="4" t="s">
        <v>21</v>
      </c>
      <c r="E768" s="4" t="s">
        <v>22</v>
      </c>
      <c r="F768" s="11"/>
      <c r="G768" s="28">
        <v>23946.415</v>
      </c>
      <c r="H768" s="4" t="s">
        <v>27</v>
      </c>
      <c r="I768" s="4"/>
      <c r="J768" s="4"/>
      <c r="K768" s="4"/>
      <c r="L768" s="7"/>
      <c r="M768" s="7"/>
      <c r="N768" s="7"/>
      <c r="O768" s="7"/>
      <c r="P768" s="4"/>
      <c r="Q768" s="4"/>
      <c r="R768" s="4"/>
    </row>
    <row r="769" ht="22.5" customHeight="1">
      <c r="A769" s="2" t="s">
        <v>18</v>
      </c>
      <c r="B769" s="26" t="s">
        <v>174</v>
      </c>
      <c r="C769" s="27" t="s">
        <v>31</v>
      </c>
      <c r="D769" s="4" t="s">
        <v>47</v>
      </c>
      <c r="E769" s="4"/>
      <c r="F769" s="11"/>
      <c r="G769" s="28">
        <v>32670.19564</v>
      </c>
      <c r="H769" s="4" t="s">
        <v>27</v>
      </c>
      <c r="I769" s="4"/>
      <c r="J769" s="4"/>
      <c r="K769" s="4"/>
      <c r="L769" s="7"/>
      <c r="M769" s="7"/>
      <c r="N769" s="7"/>
      <c r="O769" s="7"/>
      <c r="P769" s="4"/>
      <c r="Q769" s="4"/>
      <c r="R769" s="4"/>
    </row>
    <row r="770" ht="22.5" customHeight="1">
      <c r="A770" s="2" t="s">
        <v>18</v>
      </c>
      <c r="B770" s="26" t="s">
        <v>135</v>
      </c>
      <c r="C770" s="27" t="s">
        <v>20</v>
      </c>
      <c r="D770" s="4" t="s">
        <v>54</v>
      </c>
      <c r="E770" s="4"/>
      <c r="F770" s="11"/>
      <c r="G770" s="28">
        <v>13179.98627</v>
      </c>
      <c r="H770" s="4" t="s">
        <v>27</v>
      </c>
      <c r="I770" s="4"/>
      <c r="J770" s="4"/>
      <c r="K770" s="4"/>
      <c r="L770" s="7"/>
      <c r="M770" s="7"/>
      <c r="N770" s="7"/>
      <c r="O770" s="7"/>
      <c r="P770" s="4"/>
      <c r="Q770" s="4"/>
      <c r="R770" s="4"/>
    </row>
    <row r="771" ht="22.5" customHeight="1">
      <c r="A771" s="2" t="s">
        <v>18</v>
      </c>
      <c r="B771" s="26" t="s">
        <v>286</v>
      </c>
      <c r="C771" s="27" t="s">
        <v>66</v>
      </c>
      <c r="D771" s="4" t="s">
        <v>192</v>
      </c>
      <c r="E771" s="4"/>
      <c r="F771" s="11"/>
      <c r="G771" s="28">
        <v>20070.19564</v>
      </c>
      <c r="H771" s="4" t="s">
        <v>27</v>
      </c>
      <c r="I771" s="4"/>
      <c r="J771" s="4"/>
      <c r="K771" s="4"/>
      <c r="L771" s="7"/>
      <c r="M771" s="7"/>
      <c r="N771" s="7"/>
      <c r="O771" s="7"/>
      <c r="P771" s="4"/>
      <c r="Q771" s="4"/>
      <c r="R771" s="4"/>
    </row>
    <row r="772" ht="22.5" customHeight="1">
      <c r="A772" s="2" t="s">
        <v>18</v>
      </c>
      <c r="B772" s="26" t="s">
        <v>318</v>
      </c>
      <c r="C772" s="27" t="s">
        <v>31</v>
      </c>
      <c r="D772" s="4" t="s">
        <v>113</v>
      </c>
      <c r="E772" s="4"/>
      <c r="F772" s="11"/>
      <c r="G772" s="28">
        <v>66259.06063</v>
      </c>
      <c r="H772" s="4" t="s">
        <v>27</v>
      </c>
      <c r="I772" s="4"/>
      <c r="J772" s="4"/>
      <c r="K772" s="4"/>
      <c r="L772" s="7"/>
      <c r="M772" s="7"/>
      <c r="N772" s="7"/>
      <c r="O772" s="7"/>
      <c r="P772" s="4"/>
      <c r="Q772" s="4"/>
      <c r="R772" s="4"/>
    </row>
    <row r="773" ht="22.5" customHeight="1">
      <c r="A773" s="2" t="s">
        <v>18</v>
      </c>
      <c r="B773" s="26" t="s">
        <v>145</v>
      </c>
      <c r="C773" s="27" t="s">
        <v>20</v>
      </c>
      <c r="D773" s="4" t="s">
        <v>21</v>
      </c>
      <c r="E773" s="4" t="s">
        <v>35</v>
      </c>
      <c r="F773" s="11"/>
      <c r="G773" s="28">
        <v>24267.36127</v>
      </c>
      <c r="H773" s="4" t="s">
        <v>27</v>
      </c>
      <c r="I773" s="4"/>
      <c r="J773" s="4"/>
      <c r="K773" s="4"/>
      <c r="L773" s="7"/>
      <c r="M773" s="7"/>
      <c r="N773" s="7"/>
      <c r="O773" s="7"/>
      <c r="P773" s="4"/>
      <c r="Q773" s="4"/>
      <c r="R773" s="4"/>
    </row>
    <row r="774" ht="22.5" customHeight="1">
      <c r="A774" s="2" t="s">
        <v>18</v>
      </c>
      <c r="B774" s="26" t="s">
        <v>259</v>
      </c>
      <c r="C774" s="27" t="s">
        <v>31</v>
      </c>
      <c r="D774" s="4" t="s">
        <v>187</v>
      </c>
      <c r="E774" s="4" t="s">
        <v>22</v>
      </c>
      <c r="F774" s="11"/>
      <c r="G774" s="28">
        <v>22167.36127</v>
      </c>
      <c r="H774" s="4" t="s">
        <v>27</v>
      </c>
      <c r="I774" s="4"/>
      <c r="J774" s="4"/>
      <c r="K774" s="4"/>
      <c r="L774" s="7"/>
      <c r="M774" s="7"/>
      <c r="N774" s="7"/>
      <c r="O774" s="7"/>
      <c r="P774" s="4"/>
      <c r="Q774" s="4"/>
      <c r="R774" s="4"/>
    </row>
    <row r="775" ht="22.5" customHeight="1">
      <c r="A775" s="2" t="s">
        <v>18</v>
      </c>
      <c r="B775" s="26" t="s">
        <v>212</v>
      </c>
      <c r="C775" s="27" t="s">
        <v>20</v>
      </c>
      <c r="D775" s="4" t="s">
        <v>21</v>
      </c>
      <c r="E775" s="4" t="s">
        <v>61</v>
      </c>
      <c r="F775" s="11"/>
      <c r="G775" s="28">
        <v>15859.06063</v>
      </c>
      <c r="H775" s="4" t="s">
        <v>27</v>
      </c>
      <c r="I775" s="4"/>
      <c r="J775" s="4"/>
      <c r="K775" s="4"/>
      <c r="L775" s="7"/>
      <c r="M775" s="7"/>
      <c r="N775" s="7"/>
      <c r="O775" s="7"/>
      <c r="P775" s="4"/>
      <c r="Q775" s="4"/>
      <c r="R775" s="4"/>
    </row>
    <row r="776" ht="22.5" customHeight="1">
      <c r="A776" s="2" t="s">
        <v>18</v>
      </c>
      <c r="B776" s="26" t="s">
        <v>74</v>
      </c>
      <c r="C776" s="27" t="s">
        <v>31</v>
      </c>
      <c r="D776" s="4" t="s">
        <v>75</v>
      </c>
      <c r="E776" s="4"/>
      <c r="F776" s="11"/>
      <c r="G776" s="28">
        <v>30450.0</v>
      </c>
      <c r="H776" s="4" t="s">
        <v>27</v>
      </c>
      <c r="I776" s="4"/>
      <c r="J776" s="4"/>
      <c r="K776" s="4"/>
      <c r="L776" s="7"/>
      <c r="M776" s="7"/>
      <c r="N776" s="7"/>
      <c r="O776" s="7"/>
      <c r="P776" s="4"/>
      <c r="Q776" s="4"/>
      <c r="R776" s="4"/>
    </row>
    <row r="777" ht="22.5" customHeight="1">
      <c r="A777" s="2" t="s">
        <v>18</v>
      </c>
      <c r="B777" s="26" t="s">
        <v>37</v>
      </c>
      <c r="C777" s="27" t="s">
        <v>31</v>
      </c>
      <c r="D777" s="4" t="s">
        <v>38</v>
      </c>
      <c r="E777" s="4"/>
      <c r="F777" s="11"/>
      <c r="G777" s="28">
        <v>23250.00392</v>
      </c>
      <c r="H777" s="4" t="s">
        <v>27</v>
      </c>
      <c r="I777" s="4"/>
      <c r="J777" s="4"/>
      <c r="K777" s="4"/>
      <c r="L777" s="7"/>
      <c r="M777" s="7"/>
      <c r="N777" s="7"/>
      <c r="O777" s="7"/>
      <c r="P777" s="4"/>
      <c r="Q777" s="4"/>
      <c r="R777" s="4"/>
    </row>
    <row r="778" ht="22.5" customHeight="1">
      <c r="A778" s="2" t="s">
        <v>18</v>
      </c>
      <c r="B778" s="26" t="s">
        <v>189</v>
      </c>
      <c r="C778" s="27" t="s">
        <v>31</v>
      </c>
      <c r="D778" s="4" t="s">
        <v>54</v>
      </c>
      <c r="E778" s="4"/>
      <c r="F778" s="11"/>
      <c r="G778" s="28">
        <v>20070.19564</v>
      </c>
      <c r="H778" s="4" t="s">
        <v>27</v>
      </c>
      <c r="I778" s="4"/>
      <c r="J778" s="4"/>
      <c r="K778" s="4"/>
      <c r="L778" s="7"/>
      <c r="M778" s="7"/>
      <c r="N778" s="7"/>
      <c r="O778" s="7"/>
      <c r="P778" s="4"/>
      <c r="Q778" s="4"/>
      <c r="R778" s="4"/>
    </row>
    <row r="779" ht="22.5" customHeight="1">
      <c r="A779" s="2" t="s">
        <v>18</v>
      </c>
      <c r="B779" s="26" t="s">
        <v>251</v>
      </c>
      <c r="C779" s="27" t="s">
        <v>31</v>
      </c>
      <c r="D779" s="4" t="s">
        <v>38</v>
      </c>
      <c r="E779" s="4"/>
      <c r="F779" s="11"/>
      <c r="G779" s="28">
        <v>14806.22627</v>
      </c>
      <c r="H779" s="4" t="s">
        <v>27</v>
      </c>
      <c r="I779" s="4"/>
      <c r="J779" s="4"/>
      <c r="K779" s="4"/>
      <c r="L779" s="7"/>
      <c r="M779" s="7"/>
      <c r="N779" s="7"/>
      <c r="O779" s="7"/>
      <c r="P779" s="4"/>
      <c r="Q779" s="4"/>
      <c r="R779" s="4"/>
    </row>
    <row r="780" ht="22.5" customHeight="1">
      <c r="A780" s="2" t="s">
        <v>18</v>
      </c>
      <c r="B780" s="26" t="s">
        <v>141</v>
      </c>
      <c r="C780" s="27" t="s">
        <v>20</v>
      </c>
      <c r="D780" s="4" t="s">
        <v>21</v>
      </c>
      <c r="E780" s="4" t="s">
        <v>22</v>
      </c>
      <c r="F780" s="11"/>
      <c r="G780" s="28">
        <v>21147.115</v>
      </c>
      <c r="H780" s="4" t="s">
        <v>27</v>
      </c>
      <c r="I780" s="4"/>
      <c r="J780" s="4"/>
      <c r="K780" s="4"/>
      <c r="L780" s="7"/>
      <c r="M780" s="7"/>
      <c r="N780" s="7"/>
      <c r="O780" s="7"/>
      <c r="P780" s="4"/>
      <c r="Q780" s="4"/>
      <c r="R780" s="4"/>
    </row>
    <row r="781" ht="22.5" customHeight="1">
      <c r="A781" s="2" t="s">
        <v>18</v>
      </c>
      <c r="B781" s="26" t="s">
        <v>159</v>
      </c>
      <c r="C781" s="27" t="s">
        <v>66</v>
      </c>
      <c r="D781" s="4" t="s">
        <v>160</v>
      </c>
      <c r="E781" s="4"/>
      <c r="F781" s="11"/>
      <c r="G781" s="28">
        <v>27422.16873</v>
      </c>
      <c r="H781" s="4" t="s">
        <v>27</v>
      </c>
      <c r="I781" s="4"/>
      <c r="J781" s="4"/>
      <c r="K781" s="4"/>
      <c r="L781" s="7"/>
      <c r="M781" s="7"/>
      <c r="N781" s="7"/>
      <c r="O781" s="7"/>
      <c r="P781" s="4"/>
      <c r="Q781" s="4"/>
      <c r="R781" s="4"/>
    </row>
    <row r="782" ht="22.5" customHeight="1">
      <c r="A782" s="2" t="s">
        <v>18</v>
      </c>
      <c r="B782" s="26" t="s">
        <v>253</v>
      </c>
      <c r="C782" s="27" t="s">
        <v>20</v>
      </c>
      <c r="D782" s="4" t="s">
        <v>21</v>
      </c>
      <c r="E782" s="4" t="s">
        <v>61</v>
      </c>
      <c r="F782" s="11"/>
      <c r="G782" s="28">
        <v>20070.19564</v>
      </c>
      <c r="H782" s="4" t="s">
        <v>27</v>
      </c>
      <c r="I782" s="4"/>
      <c r="J782" s="4"/>
      <c r="K782" s="4"/>
      <c r="L782" s="7"/>
      <c r="M782" s="7"/>
      <c r="N782" s="7"/>
      <c r="O782" s="7"/>
      <c r="P782" s="4"/>
      <c r="Q782" s="4"/>
      <c r="R782" s="4"/>
    </row>
    <row r="783" ht="22.5" customHeight="1">
      <c r="A783" s="2" t="s">
        <v>18</v>
      </c>
      <c r="B783" s="26" t="s">
        <v>243</v>
      </c>
      <c r="C783" s="27" t="s">
        <v>20</v>
      </c>
      <c r="D783" s="4" t="s">
        <v>54</v>
      </c>
      <c r="E783" s="4"/>
      <c r="F783" s="11"/>
      <c r="G783" s="28">
        <v>13179.98627</v>
      </c>
      <c r="H783" s="4" t="s">
        <v>27</v>
      </c>
      <c r="I783" s="4"/>
      <c r="J783" s="4"/>
      <c r="K783" s="4"/>
      <c r="L783" s="7"/>
      <c r="M783" s="7"/>
      <c r="N783" s="7"/>
      <c r="O783" s="7"/>
      <c r="P783" s="4"/>
      <c r="Q783" s="4"/>
      <c r="R783" s="4"/>
    </row>
    <row r="784" ht="22.5" customHeight="1">
      <c r="A784" s="2" t="s">
        <v>18</v>
      </c>
      <c r="B784" s="26" t="s">
        <v>237</v>
      </c>
      <c r="C784" s="27" t="s">
        <v>20</v>
      </c>
      <c r="D784" s="4" t="s">
        <v>54</v>
      </c>
      <c r="E784" s="4"/>
      <c r="F784" s="11"/>
      <c r="G784" s="28">
        <v>25704.62268</v>
      </c>
      <c r="H784" s="4" t="s">
        <v>27</v>
      </c>
      <c r="I784" s="4"/>
      <c r="J784" s="4"/>
      <c r="K784" s="4"/>
      <c r="L784" s="7"/>
      <c r="M784" s="7"/>
      <c r="N784" s="7"/>
      <c r="O784" s="7"/>
      <c r="P784" s="4"/>
      <c r="Q784" s="4"/>
      <c r="R784" s="4"/>
    </row>
    <row r="785" ht="22.5" customHeight="1">
      <c r="A785" s="2" t="s">
        <v>18</v>
      </c>
      <c r="B785" s="26" t="s">
        <v>129</v>
      </c>
      <c r="C785" s="27" t="s">
        <v>20</v>
      </c>
      <c r="D785" s="4" t="s">
        <v>54</v>
      </c>
      <c r="E785" s="4"/>
      <c r="F785" s="11"/>
      <c r="G785" s="28">
        <v>24270.19564</v>
      </c>
      <c r="H785" s="4" t="s">
        <v>27</v>
      </c>
      <c r="I785" s="4"/>
      <c r="J785" s="4"/>
      <c r="K785" s="4"/>
      <c r="L785" s="7"/>
      <c r="M785" s="7"/>
      <c r="N785" s="7"/>
      <c r="O785" s="7"/>
      <c r="P785" s="4"/>
      <c r="Q785" s="4"/>
      <c r="R785" s="4"/>
    </row>
    <row r="786" ht="22.5" customHeight="1">
      <c r="A786" s="2" t="s">
        <v>18</v>
      </c>
      <c r="B786" s="26" t="s">
        <v>323</v>
      </c>
      <c r="C786" s="27" t="s">
        <v>20</v>
      </c>
      <c r="D786" s="4" t="s">
        <v>21</v>
      </c>
      <c r="E786" s="4" t="s">
        <v>44</v>
      </c>
      <c r="F786" s="11"/>
      <c r="G786" s="28">
        <v>18011.35325</v>
      </c>
      <c r="H786" s="4" t="s">
        <v>27</v>
      </c>
      <c r="I786" s="4"/>
      <c r="J786" s="4"/>
      <c r="K786" s="4"/>
      <c r="L786" s="7"/>
      <c r="M786" s="7"/>
      <c r="N786" s="7"/>
      <c r="O786" s="7"/>
      <c r="P786" s="4"/>
      <c r="Q786" s="4"/>
      <c r="R786" s="4"/>
    </row>
    <row r="787" ht="22.5" customHeight="1">
      <c r="A787" s="2" t="s">
        <v>18</v>
      </c>
      <c r="B787" s="26" t="s">
        <v>304</v>
      </c>
      <c r="C787" s="27" t="s">
        <v>20</v>
      </c>
      <c r="D787" s="4" t="s">
        <v>21</v>
      </c>
      <c r="E787" s="4" t="s">
        <v>44</v>
      </c>
      <c r="F787" s="11"/>
      <c r="G787" s="28">
        <v>15018.265</v>
      </c>
      <c r="H787" s="4" t="s">
        <v>27</v>
      </c>
      <c r="I787" s="4"/>
      <c r="J787" s="4"/>
      <c r="K787" s="4"/>
      <c r="L787" s="7"/>
      <c r="M787" s="7"/>
      <c r="N787" s="7"/>
      <c r="O787" s="7"/>
      <c r="P787" s="4"/>
      <c r="Q787" s="4"/>
      <c r="R787" s="4"/>
    </row>
    <row r="788" ht="22.5" customHeight="1">
      <c r="A788" s="2" t="s">
        <v>18</v>
      </c>
      <c r="B788" s="26" t="s">
        <v>186</v>
      </c>
      <c r="C788" s="27" t="s">
        <v>31</v>
      </c>
      <c r="D788" s="4" t="s">
        <v>187</v>
      </c>
      <c r="E788" s="4" t="s">
        <v>22</v>
      </c>
      <c r="F788" s="11"/>
      <c r="G788" s="28">
        <v>16911.895</v>
      </c>
      <c r="H788" s="4" t="s">
        <v>27</v>
      </c>
      <c r="I788" s="4"/>
      <c r="J788" s="4"/>
      <c r="K788" s="4"/>
      <c r="L788" s="7"/>
      <c r="M788" s="7"/>
      <c r="N788" s="7"/>
      <c r="O788" s="7"/>
      <c r="P788" s="4"/>
      <c r="Q788" s="4"/>
      <c r="R788" s="4"/>
    </row>
    <row r="789" ht="22.5" customHeight="1">
      <c r="A789" s="2" t="s">
        <v>18</v>
      </c>
      <c r="B789" s="26" t="s">
        <v>247</v>
      </c>
      <c r="C789" s="27" t="s">
        <v>31</v>
      </c>
      <c r="D789" s="4" t="s">
        <v>54</v>
      </c>
      <c r="E789" s="4"/>
      <c r="F789" s="11"/>
      <c r="G789" s="28">
        <v>21116.47266</v>
      </c>
      <c r="H789" s="4" t="s">
        <v>27</v>
      </c>
      <c r="I789" s="4"/>
      <c r="J789" s="4"/>
      <c r="K789" s="4"/>
      <c r="L789" s="7"/>
      <c r="M789" s="7"/>
      <c r="N789" s="7"/>
      <c r="O789" s="7"/>
      <c r="P789" s="4"/>
      <c r="Q789" s="4"/>
      <c r="R789" s="4"/>
    </row>
    <row r="790" ht="22.5" customHeight="1">
      <c r="A790" s="2" t="s">
        <v>18</v>
      </c>
      <c r="B790" s="26" t="s">
        <v>97</v>
      </c>
      <c r="C790" s="27" t="s">
        <v>31</v>
      </c>
      <c r="D790" s="4" t="s">
        <v>98</v>
      </c>
      <c r="E790" s="4"/>
      <c r="F790" s="11"/>
      <c r="G790" s="28">
        <v>19009.06063</v>
      </c>
      <c r="H790" s="4" t="s">
        <v>27</v>
      </c>
      <c r="I790" s="4"/>
      <c r="J790" s="4"/>
      <c r="K790" s="4"/>
      <c r="L790" s="7"/>
      <c r="M790" s="7"/>
      <c r="N790" s="7"/>
      <c r="O790" s="7"/>
      <c r="P790" s="4"/>
      <c r="Q790" s="4"/>
      <c r="R790" s="4"/>
    </row>
    <row r="791" ht="22.5" customHeight="1">
      <c r="A791" s="2" t="s">
        <v>18</v>
      </c>
      <c r="B791" s="26" t="s">
        <v>241</v>
      </c>
      <c r="C791" s="27" t="s">
        <v>20</v>
      </c>
      <c r="D791" s="4" t="s">
        <v>21</v>
      </c>
      <c r="E791" s="4" t="s">
        <v>22</v>
      </c>
      <c r="F791" s="11"/>
      <c r="G791" s="28">
        <v>3675.0</v>
      </c>
      <c r="H791" s="4" t="s">
        <v>27</v>
      </c>
      <c r="I791" s="4"/>
      <c r="J791" s="4"/>
      <c r="K791" s="4"/>
      <c r="L791" s="7"/>
      <c r="M791" s="7"/>
      <c r="N791" s="7"/>
      <c r="O791" s="7"/>
      <c r="P791" s="4"/>
      <c r="Q791" s="4"/>
      <c r="R791" s="4"/>
    </row>
    <row r="792" ht="22.5" customHeight="1">
      <c r="A792" s="2" t="s">
        <v>18</v>
      </c>
      <c r="B792" s="26" t="s">
        <v>284</v>
      </c>
      <c r="C792" s="27" t="s">
        <v>31</v>
      </c>
      <c r="D792" s="4" t="s">
        <v>54</v>
      </c>
      <c r="E792" s="4"/>
      <c r="F792" s="11"/>
      <c r="G792" s="28">
        <v>13188.28691</v>
      </c>
      <c r="H792" s="4" t="s">
        <v>27</v>
      </c>
      <c r="I792" s="4"/>
      <c r="J792" s="4"/>
      <c r="K792" s="4"/>
      <c r="L792" s="7"/>
      <c r="M792" s="7"/>
      <c r="N792" s="7"/>
      <c r="O792" s="7"/>
      <c r="P792" s="4"/>
      <c r="Q792" s="4"/>
      <c r="R792" s="4"/>
    </row>
    <row r="793" ht="22.5" customHeight="1">
      <c r="A793" s="2" t="s">
        <v>18</v>
      </c>
      <c r="B793" s="26" t="s">
        <v>196</v>
      </c>
      <c r="C793" s="27" t="s">
        <v>20</v>
      </c>
      <c r="D793" s="4" t="s">
        <v>54</v>
      </c>
      <c r="E793" s="4"/>
      <c r="F793" s="11"/>
      <c r="G793" s="28">
        <v>40647.60847</v>
      </c>
      <c r="H793" s="4" t="s">
        <v>27</v>
      </c>
      <c r="I793" s="4"/>
      <c r="J793" s="4"/>
      <c r="K793" s="4"/>
      <c r="L793" s="7"/>
      <c r="M793" s="7"/>
      <c r="N793" s="7"/>
      <c r="O793" s="7"/>
      <c r="P793" s="4"/>
      <c r="Q793" s="4"/>
      <c r="R793" s="4"/>
    </row>
    <row r="794" ht="22.5" customHeight="1">
      <c r="A794" s="2" t="s">
        <v>18</v>
      </c>
      <c r="B794" s="26" t="s">
        <v>316</v>
      </c>
      <c r="C794" s="27" t="s">
        <v>20</v>
      </c>
      <c r="D794" s="4" t="s">
        <v>54</v>
      </c>
      <c r="E794" s="4"/>
      <c r="F794" s="11"/>
      <c r="G794" s="28">
        <v>16490.24789</v>
      </c>
      <c r="H794" s="4" t="s">
        <v>27</v>
      </c>
      <c r="I794" s="4"/>
      <c r="J794" s="4"/>
      <c r="K794" s="4"/>
      <c r="L794" s="7"/>
      <c r="M794" s="7"/>
      <c r="N794" s="7"/>
      <c r="O794" s="7"/>
      <c r="P794" s="4"/>
      <c r="Q794" s="4"/>
      <c r="R794" s="4"/>
    </row>
    <row r="795" ht="22.5" customHeight="1">
      <c r="A795" s="2" t="s">
        <v>18</v>
      </c>
      <c r="B795" s="26" t="s">
        <v>157</v>
      </c>
      <c r="C795" s="27" t="s">
        <v>20</v>
      </c>
      <c r="D795" s="4" t="s">
        <v>21</v>
      </c>
      <c r="E795" s="4" t="s">
        <v>44</v>
      </c>
      <c r="F795" s="11"/>
      <c r="G795" s="28">
        <v>15897.115</v>
      </c>
      <c r="H795" s="4" t="s">
        <v>27</v>
      </c>
      <c r="I795" s="4"/>
      <c r="J795" s="4"/>
      <c r="K795" s="4"/>
      <c r="L795" s="7"/>
      <c r="M795" s="7"/>
      <c r="N795" s="7"/>
      <c r="O795" s="7"/>
      <c r="P795" s="4"/>
      <c r="Q795" s="4"/>
      <c r="R795" s="4"/>
    </row>
    <row r="796" ht="22.5" customHeight="1">
      <c r="A796" s="2" t="s">
        <v>18</v>
      </c>
      <c r="B796" s="26" t="s">
        <v>278</v>
      </c>
      <c r="C796" s="27" t="s">
        <v>20</v>
      </c>
      <c r="D796" s="4" t="s">
        <v>21</v>
      </c>
      <c r="E796" s="4" t="s">
        <v>22</v>
      </c>
      <c r="F796" s="11"/>
      <c r="G796" s="28">
        <v>17961.895</v>
      </c>
      <c r="H796" s="4" t="s">
        <v>27</v>
      </c>
      <c r="I796" s="4"/>
      <c r="J796" s="4"/>
      <c r="K796" s="4"/>
      <c r="L796" s="7"/>
      <c r="M796" s="7"/>
      <c r="N796" s="7"/>
      <c r="O796" s="7"/>
      <c r="P796" s="4"/>
      <c r="Q796" s="4"/>
      <c r="R796" s="4"/>
    </row>
    <row r="797" ht="22.5" customHeight="1">
      <c r="A797" s="2" t="s">
        <v>18</v>
      </c>
      <c r="B797" s="26" t="s">
        <v>95</v>
      </c>
      <c r="C797" s="27" t="s">
        <v>20</v>
      </c>
      <c r="D797" s="4" t="s">
        <v>21</v>
      </c>
      <c r="E797" s="4" t="s">
        <v>41</v>
      </c>
      <c r="F797" s="11"/>
      <c r="G797" s="28">
        <v>16906.22627</v>
      </c>
      <c r="H797" s="4" t="s">
        <v>27</v>
      </c>
      <c r="I797" s="4"/>
      <c r="J797" s="4"/>
      <c r="K797" s="4"/>
      <c r="L797" s="7"/>
      <c r="M797" s="7"/>
      <c r="N797" s="7"/>
      <c r="O797" s="7"/>
      <c r="P797" s="4"/>
      <c r="Q797" s="4"/>
      <c r="R797" s="4"/>
    </row>
    <row r="798" ht="22.5" customHeight="1">
      <c r="A798" s="2" t="s">
        <v>18</v>
      </c>
      <c r="B798" s="26" t="s">
        <v>314</v>
      </c>
      <c r="C798" s="27" t="s">
        <v>31</v>
      </c>
      <c r="D798" s="4" t="s">
        <v>187</v>
      </c>
      <c r="E798" s="4" t="s">
        <v>22</v>
      </c>
      <c r="F798" s="11"/>
      <c r="G798" s="28">
        <v>16384.06063</v>
      </c>
      <c r="H798" s="4" t="s">
        <v>27</v>
      </c>
      <c r="I798" s="4"/>
      <c r="J798" s="4"/>
      <c r="K798" s="4"/>
      <c r="L798" s="7"/>
      <c r="M798" s="7"/>
      <c r="N798" s="7"/>
      <c r="O798" s="7"/>
      <c r="P798" s="4"/>
      <c r="Q798" s="4"/>
      <c r="R798" s="4"/>
    </row>
    <row r="799" ht="22.5" customHeight="1">
      <c r="A799" s="2" t="s">
        <v>18</v>
      </c>
      <c r="B799" s="26" t="s">
        <v>63</v>
      </c>
      <c r="C799" s="27" t="s">
        <v>20</v>
      </c>
      <c r="D799" s="4" t="s">
        <v>21</v>
      </c>
      <c r="E799" s="4" t="s">
        <v>22</v>
      </c>
      <c r="F799" s="11"/>
      <c r="G799" s="28">
        <v>16961.35325</v>
      </c>
      <c r="H799" s="4" t="s">
        <v>27</v>
      </c>
      <c r="I799" s="4"/>
      <c r="J799" s="4"/>
      <c r="K799" s="4"/>
      <c r="L799" s="7"/>
      <c r="M799" s="7"/>
      <c r="N799" s="7"/>
      <c r="O799" s="7"/>
      <c r="P799" s="4"/>
      <c r="Q799" s="4"/>
      <c r="R799" s="4"/>
    </row>
    <row r="800" ht="22.5" customHeight="1">
      <c r="A800" s="2" t="s">
        <v>18</v>
      </c>
      <c r="B800" s="26" t="s">
        <v>121</v>
      </c>
      <c r="C800" s="27" t="s">
        <v>31</v>
      </c>
      <c r="D800" s="4" t="s">
        <v>47</v>
      </c>
      <c r="E800" s="4"/>
      <c r="F800" s="11"/>
      <c r="G800" s="28">
        <v>15856.22627</v>
      </c>
      <c r="H800" s="4" t="s">
        <v>27</v>
      </c>
      <c r="I800" s="4"/>
      <c r="J800" s="4"/>
      <c r="K800" s="4"/>
      <c r="L800" s="7"/>
      <c r="M800" s="7"/>
      <c r="N800" s="7"/>
      <c r="O800" s="7"/>
      <c r="P800" s="4"/>
      <c r="Q800" s="4"/>
      <c r="R800" s="4"/>
    </row>
    <row r="801" ht="22.5" customHeight="1">
      <c r="A801" s="2" t="s">
        <v>18</v>
      </c>
      <c r="B801" s="26" t="s">
        <v>151</v>
      </c>
      <c r="C801" s="27" t="s">
        <v>20</v>
      </c>
      <c r="D801" s="4" t="s">
        <v>21</v>
      </c>
      <c r="E801" s="4" t="s">
        <v>44</v>
      </c>
      <c r="F801" s="11"/>
      <c r="G801" s="28">
        <v>13756.22627</v>
      </c>
      <c r="H801" s="4" t="s">
        <v>27</v>
      </c>
      <c r="I801" s="4"/>
      <c r="J801" s="4"/>
      <c r="K801" s="4"/>
      <c r="L801" s="7"/>
      <c r="M801" s="7"/>
      <c r="N801" s="7"/>
      <c r="O801" s="7"/>
      <c r="P801" s="4"/>
      <c r="Q801" s="4"/>
      <c r="R801" s="4"/>
    </row>
    <row r="802" ht="22.5" customHeight="1">
      <c r="A802" s="2" t="s">
        <v>18</v>
      </c>
      <c r="B802" s="26" t="s">
        <v>276</v>
      </c>
      <c r="C802" s="27" t="s">
        <v>20</v>
      </c>
      <c r="D802" s="4" t="s">
        <v>54</v>
      </c>
      <c r="E802" s="4"/>
      <c r="F802" s="11"/>
      <c r="G802" s="28">
        <v>13912.24257</v>
      </c>
      <c r="H802" s="4" t="s">
        <v>27</v>
      </c>
      <c r="I802" s="4"/>
      <c r="J802" s="4"/>
      <c r="K802" s="4"/>
      <c r="L802" s="7"/>
      <c r="M802" s="7"/>
      <c r="N802" s="7"/>
      <c r="O802" s="7"/>
      <c r="P802" s="4"/>
      <c r="Q802" s="4"/>
      <c r="R802" s="4"/>
    </row>
    <row r="803" ht="22.5" customHeight="1">
      <c r="A803" s="2" t="s">
        <v>18</v>
      </c>
      <c r="B803" s="26" t="s">
        <v>321</v>
      </c>
      <c r="C803" s="27" t="s">
        <v>20</v>
      </c>
      <c r="D803" s="4" t="s">
        <v>21</v>
      </c>
      <c r="E803" s="4" t="s">
        <v>44</v>
      </c>
      <c r="F803" s="11"/>
      <c r="G803" s="28">
        <v>16947.115</v>
      </c>
      <c r="H803" s="4" t="s">
        <v>27</v>
      </c>
      <c r="I803" s="4"/>
      <c r="J803" s="4"/>
      <c r="K803" s="4"/>
      <c r="L803" s="7"/>
      <c r="M803" s="7"/>
      <c r="N803" s="7"/>
      <c r="O803" s="7"/>
      <c r="P803" s="4"/>
      <c r="Q803" s="4"/>
      <c r="R803" s="4"/>
    </row>
    <row r="804" ht="22.5" customHeight="1">
      <c r="A804" s="2" t="s">
        <v>18</v>
      </c>
      <c r="B804" s="26" t="s">
        <v>180</v>
      </c>
      <c r="C804" s="27" t="s">
        <v>20</v>
      </c>
      <c r="D804" s="4" t="s">
        <v>54</v>
      </c>
      <c r="E804" s="4"/>
      <c r="F804" s="11"/>
      <c r="G804" s="28">
        <v>15856.22627</v>
      </c>
      <c r="H804" s="4" t="s">
        <v>27</v>
      </c>
      <c r="I804" s="4"/>
      <c r="J804" s="4"/>
      <c r="K804" s="4"/>
      <c r="L804" s="7"/>
      <c r="M804" s="7"/>
      <c r="N804" s="7"/>
      <c r="O804" s="7"/>
      <c r="P804" s="4"/>
      <c r="Q804" s="4"/>
      <c r="R804" s="4"/>
    </row>
    <row r="805" ht="22.5" customHeight="1">
      <c r="A805" s="2" t="s">
        <v>18</v>
      </c>
      <c r="B805" s="26" t="s">
        <v>85</v>
      </c>
      <c r="C805" s="27" t="s">
        <v>20</v>
      </c>
      <c r="D805" s="4" t="s">
        <v>21</v>
      </c>
      <c r="E805" s="4" t="s">
        <v>44</v>
      </c>
      <c r="F805" s="11"/>
      <c r="G805" s="28">
        <v>15856.22627</v>
      </c>
      <c r="H805" s="4" t="s">
        <v>27</v>
      </c>
      <c r="I805" s="4"/>
      <c r="J805" s="4"/>
      <c r="K805" s="4"/>
      <c r="L805" s="7"/>
      <c r="M805" s="7"/>
      <c r="N805" s="7"/>
      <c r="O805" s="7"/>
      <c r="P805" s="4"/>
      <c r="Q805" s="4"/>
      <c r="R805" s="4"/>
    </row>
    <row r="806" ht="22.5" customHeight="1">
      <c r="A806" s="2" t="s">
        <v>18</v>
      </c>
      <c r="B806" s="26" t="s">
        <v>191</v>
      </c>
      <c r="C806" s="27" t="s">
        <v>66</v>
      </c>
      <c r="D806" s="4" t="s">
        <v>192</v>
      </c>
      <c r="E806" s="4"/>
      <c r="F806" s="11"/>
      <c r="G806" s="28">
        <v>16911.895</v>
      </c>
      <c r="H806" s="4" t="s">
        <v>27</v>
      </c>
      <c r="I806" s="4"/>
      <c r="J806" s="4"/>
      <c r="K806" s="4"/>
      <c r="L806" s="7"/>
      <c r="M806" s="7"/>
      <c r="N806" s="7"/>
      <c r="O806" s="7"/>
      <c r="P806" s="4"/>
      <c r="Q806" s="4"/>
      <c r="R806" s="4"/>
    </row>
    <row r="807" ht="22.5" customHeight="1">
      <c r="A807" s="2" t="s">
        <v>18</v>
      </c>
      <c r="B807" s="26" t="s">
        <v>106</v>
      </c>
      <c r="C807" s="27" t="s">
        <v>20</v>
      </c>
      <c r="D807" s="4" t="s">
        <v>21</v>
      </c>
      <c r="E807" s="4" t="s">
        <v>35</v>
      </c>
      <c r="F807" s="11"/>
      <c r="G807" s="28">
        <v>15859.06063</v>
      </c>
      <c r="H807" s="4" t="s">
        <v>27</v>
      </c>
      <c r="I807" s="4"/>
      <c r="J807" s="4"/>
      <c r="K807" s="4"/>
      <c r="L807" s="7"/>
      <c r="M807" s="7"/>
      <c r="N807" s="7"/>
      <c r="O807" s="7"/>
      <c r="P807" s="4"/>
      <c r="Q807" s="4"/>
      <c r="R807" s="4"/>
    </row>
    <row r="808" ht="22.5" customHeight="1">
      <c r="A808" s="2" t="s">
        <v>18</v>
      </c>
      <c r="B808" s="26" t="s">
        <v>143</v>
      </c>
      <c r="C808" s="27" t="s">
        <v>20</v>
      </c>
      <c r="D808" s="4" t="s">
        <v>21</v>
      </c>
      <c r="E808" s="4" t="s">
        <v>22</v>
      </c>
      <c r="F808" s="11"/>
      <c r="G808" s="28">
        <v>26895.19564</v>
      </c>
      <c r="H808" s="4" t="s">
        <v>27</v>
      </c>
      <c r="I808" s="4"/>
      <c r="J808" s="4"/>
      <c r="K808" s="4"/>
      <c r="L808" s="7"/>
      <c r="M808" s="7"/>
      <c r="N808" s="7"/>
      <c r="O808" s="7"/>
      <c r="P808" s="4"/>
      <c r="Q808" s="4"/>
      <c r="R808" s="4"/>
    </row>
    <row r="809" ht="22.5" customHeight="1">
      <c r="A809" s="2" t="s">
        <v>18</v>
      </c>
      <c r="B809" s="26" t="s">
        <v>222</v>
      </c>
      <c r="C809" s="27" t="s">
        <v>31</v>
      </c>
      <c r="D809" s="4" t="s">
        <v>113</v>
      </c>
      <c r="E809" s="4"/>
      <c r="F809" s="11"/>
      <c r="G809" s="28">
        <v>76759.06063</v>
      </c>
      <c r="H809" s="4" t="s">
        <v>27</v>
      </c>
      <c r="I809" s="4"/>
      <c r="J809" s="4"/>
      <c r="K809" s="4"/>
      <c r="L809" s="7"/>
      <c r="M809" s="7"/>
      <c r="N809" s="7"/>
      <c r="O809" s="7"/>
      <c r="P809" s="4"/>
      <c r="Q809" s="4"/>
      <c r="R809" s="4"/>
    </row>
    <row r="810" ht="22.5" customHeight="1">
      <c r="A810" s="2" t="s">
        <v>18</v>
      </c>
      <c r="B810" s="7" t="s">
        <v>93</v>
      </c>
      <c r="C810" s="27" t="s">
        <v>20</v>
      </c>
      <c r="D810" s="4" t="s">
        <v>21</v>
      </c>
      <c r="E810" s="4" t="s">
        <v>41</v>
      </c>
      <c r="F810" s="2" t="s">
        <v>94</v>
      </c>
      <c r="G810" s="28">
        <f t="shared" ref="G810:G812" si="11">11760.28673/3</f>
        <v>3920.095577</v>
      </c>
      <c r="H810" s="4" t="s">
        <v>27</v>
      </c>
      <c r="I810" s="4"/>
      <c r="J810" s="4"/>
      <c r="K810" s="4"/>
      <c r="L810" s="7"/>
      <c r="M810" s="7"/>
      <c r="N810" s="7"/>
      <c r="O810" s="7"/>
      <c r="P810" s="4"/>
      <c r="Q810" s="4"/>
      <c r="R810" s="4"/>
    </row>
    <row r="811" ht="22.5" customHeight="1">
      <c r="A811" s="2" t="s">
        <v>18</v>
      </c>
      <c r="B811" s="7" t="s">
        <v>93</v>
      </c>
      <c r="C811" s="27" t="s">
        <v>20</v>
      </c>
      <c r="D811" s="4" t="s">
        <v>21</v>
      </c>
      <c r="E811" s="4" t="s">
        <v>35</v>
      </c>
      <c r="F811" s="2" t="s">
        <v>94</v>
      </c>
      <c r="G811" s="28">
        <f t="shared" si="11"/>
        <v>3920.095577</v>
      </c>
      <c r="H811" s="4" t="s">
        <v>27</v>
      </c>
      <c r="I811" s="4"/>
      <c r="J811" s="4"/>
      <c r="K811" s="4"/>
      <c r="L811" s="7"/>
      <c r="M811" s="7"/>
      <c r="N811" s="7"/>
      <c r="O811" s="7"/>
      <c r="P811" s="4"/>
      <c r="Q811" s="4"/>
      <c r="R811" s="4"/>
    </row>
    <row r="812" ht="22.5" customHeight="1">
      <c r="A812" s="2" t="s">
        <v>18</v>
      </c>
      <c r="B812" s="7" t="s">
        <v>93</v>
      </c>
      <c r="C812" s="27" t="s">
        <v>20</v>
      </c>
      <c r="D812" s="4" t="s">
        <v>21</v>
      </c>
      <c r="E812" s="4" t="s">
        <v>44</v>
      </c>
      <c r="F812" s="2" t="s">
        <v>94</v>
      </c>
      <c r="G812" s="28">
        <f t="shared" si="11"/>
        <v>3920.095577</v>
      </c>
      <c r="H812" s="4" t="s">
        <v>27</v>
      </c>
      <c r="I812" s="4"/>
      <c r="J812" s="4"/>
      <c r="K812" s="4"/>
      <c r="L812" s="7"/>
      <c r="M812" s="7"/>
      <c r="N812" s="7"/>
      <c r="O812" s="7"/>
      <c r="P812" s="4"/>
      <c r="Q812" s="4"/>
      <c r="R812" s="4"/>
    </row>
    <row r="813" ht="22.5" customHeight="1">
      <c r="A813" s="2" t="s">
        <v>18</v>
      </c>
      <c r="B813" s="26" t="s">
        <v>208</v>
      </c>
      <c r="C813" s="27" t="s">
        <v>20</v>
      </c>
      <c r="D813" s="4" t="s">
        <v>54</v>
      </c>
      <c r="E813" s="4"/>
      <c r="F813" s="11"/>
      <c r="G813" s="28">
        <v>13179.98627</v>
      </c>
      <c r="H813" s="4" t="s">
        <v>27</v>
      </c>
      <c r="I813" s="4"/>
      <c r="J813" s="4"/>
      <c r="K813" s="4"/>
      <c r="L813" s="7"/>
      <c r="M813" s="7"/>
      <c r="N813" s="7"/>
      <c r="O813" s="7"/>
      <c r="P813" s="4"/>
      <c r="Q813" s="4"/>
      <c r="R813" s="4"/>
    </row>
    <row r="814" ht="22.5" customHeight="1">
      <c r="A814" s="2" t="s">
        <v>18</v>
      </c>
      <c r="B814" s="26" t="s">
        <v>49</v>
      </c>
      <c r="C814" s="27" t="s">
        <v>31</v>
      </c>
      <c r="D814" s="4" t="s">
        <v>38</v>
      </c>
      <c r="E814" s="4"/>
      <c r="F814" s="11"/>
      <c r="G814" s="28">
        <v>20056.22627</v>
      </c>
      <c r="H814" s="4" t="s">
        <v>27</v>
      </c>
      <c r="I814" s="4"/>
      <c r="J814" s="4"/>
      <c r="K814" s="4"/>
      <c r="L814" s="7"/>
      <c r="M814" s="7"/>
      <c r="N814" s="7"/>
      <c r="O814" s="7"/>
      <c r="P814" s="4"/>
      <c r="Q814" s="4"/>
      <c r="R814" s="4"/>
    </row>
    <row r="815" ht="22.5" customHeight="1">
      <c r="A815" s="2" t="s">
        <v>18</v>
      </c>
      <c r="B815" s="26" t="s">
        <v>30</v>
      </c>
      <c r="C815" s="27" t="s">
        <v>31</v>
      </c>
      <c r="D815" s="4" t="s">
        <v>54</v>
      </c>
      <c r="E815" s="4"/>
      <c r="F815" s="11"/>
      <c r="G815" s="28">
        <v>15856.22627</v>
      </c>
      <c r="H815" s="4" t="s">
        <v>27</v>
      </c>
      <c r="I815" s="4"/>
      <c r="J815" s="4"/>
      <c r="K815" s="4"/>
      <c r="L815" s="7"/>
      <c r="M815" s="7"/>
      <c r="N815" s="7"/>
      <c r="O815" s="7"/>
      <c r="P815" s="4"/>
      <c r="Q815" s="4"/>
      <c r="R815" s="4"/>
    </row>
    <row r="816" ht="22.5" customHeight="1">
      <c r="A816" s="2" t="s">
        <v>18</v>
      </c>
      <c r="B816" s="26" t="s">
        <v>282</v>
      </c>
      <c r="C816" s="27" t="s">
        <v>31</v>
      </c>
      <c r="D816" s="4" t="s">
        <v>47</v>
      </c>
      <c r="E816" s="4"/>
      <c r="F816" s="11"/>
      <c r="G816" s="28">
        <v>19006.22627</v>
      </c>
      <c r="H816" s="4" t="s">
        <v>27</v>
      </c>
      <c r="I816" s="4"/>
      <c r="J816" s="4"/>
      <c r="K816" s="4"/>
      <c r="L816" s="7"/>
      <c r="M816" s="7"/>
      <c r="N816" s="7"/>
      <c r="O816" s="7"/>
      <c r="P816" s="4"/>
      <c r="Q816" s="4"/>
      <c r="R816" s="4"/>
    </row>
    <row r="817" ht="22.5" customHeight="1">
      <c r="A817" s="2" t="s">
        <v>18</v>
      </c>
      <c r="B817" s="26" t="s">
        <v>290</v>
      </c>
      <c r="C817" s="27" t="s">
        <v>20</v>
      </c>
      <c r="D817" s="4" t="s">
        <v>21</v>
      </c>
      <c r="E817" s="4" t="s">
        <v>44</v>
      </c>
      <c r="F817" s="11"/>
      <c r="G817" s="28">
        <v>19047.115</v>
      </c>
      <c r="H817" s="4" t="s">
        <v>27</v>
      </c>
      <c r="I817" s="4"/>
      <c r="J817" s="4"/>
      <c r="K817" s="4"/>
      <c r="L817" s="7"/>
      <c r="M817" s="7"/>
      <c r="N817" s="7"/>
      <c r="O817" s="7"/>
      <c r="P817" s="4"/>
      <c r="Q817" s="4"/>
      <c r="R817" s="4"/>
    </row>
    <row r="818" ht="22.5" customHeight="1">
      <c r="A818" s="2" t="s">
        <v>18</v>
      </c>
      <c r="B818" s="26" t="s">
        <v>81</v>
      </c>
      <c r="C818" s="27" t="s">
        <v>31</v>
      </c>
      <c r="D818" s="4" t="s">
        <v>47</v>
      </c>
      <c r="E818" s="4"/>
      <c r="F818" s="11"/>
      <c r="G818" s="28">
        <v>19006.22627</v>
      </c>
      <c r="H818" s="4" t="s">
        <v>27</v>
      </c>
      <c r="I818" s="4"/>
      <c r="J818" s="4"/>
      <c r="K818" s="4"/>
      <c r="L818" s="7"/>
      <c r="M818" s="7"/>
      <c r="N818" s="7"/>
      <c r="O818" s="7"/>
      <c r="P818" s="4"/>
      <c r="Q818" s="4"/>
      <c r="R818" s="4"/>
    </row>
    <row r="819" ht="22.5" customHeight="1">
      <c r="A819" s="2" t="s">
        <v>18</v>
      </c>
      <c r="B819" s="26" t="s">
        <v>265</v>
      </c>
      <c r="C819" s="27" t="s">
        <v>31</v>
      </c>
      <c r="D819" s="4" t="s">
        <v>47</v>
      </c>
      <c r="E819" s="4"/>
      <c r="F819" s="11"/>
      <c r="G819" s="28">
        <v>29400.0</v>
      </c>
      <c r="H819" s="4" t="s">
        <v>27</v>
      </c>
      <c r="I819" s="4"/>
      <c r="J819" s="4"/>
      <c r="K819" s="4"/>
      <c r="L819" s="7"/>
      <c r="M819" s="7"/>
      <c r="N819" s="7"/>
      <c r="O819" s="7"/>
      <c r="P819" s="4"/>
      <c r="Q819" s="4"/>
      <c r="R819" s="4"/>
    </row>
    <row r="820" ht="22.5" customHeight="1">
      <c r="A820" s="2" t="s">
        <v>18</v>
      </c>
      <c r="B820" s="26" t="s">
        <v>206</v>
      </c>
      <c r="C820" s="27" t="s">
        <v>31</v>
      </c>
      <c r="D820" s="4" t="s">
        <v>38</v>
      </c>
      <c r="E820" s="4"/>
      <c r="F820" s="11"/>
      <c r="G820" s="28">
        <v>7350.0</v>
      </c>
      <c r="H820" s="4" t="s">
        <v>27</v>
      </c>
      <c r="I820" s="4"/>
      <c r="J820" s="4"/>
      <c r="K820" s="4"/>
      <c r="L820" s="7"/>
      <c r="M820" s="7"/>
      <c r="N820" s="7"/>
      <c r="O820" s="7"/>
      <c r="P820" s="4"/>
      <c r="Q820" s="4"/>
      <c r="R820" s="4"/>
    </row>
    <row r="821" ht="22.5" customHeight="1">
      <c r="A821" s="2" t="s">
        <v>18</v>
      </c>
      <c r="B821" s="26" t="s">
        <v>202</v>
      </c>
      <c r="C821" s="27" t="s">
        <v>31</v>
      </c>
      <c r="D821" s="4" t="s">
        <v>98</v>
      </c>
      <c r="E821" s="4"/>
      <c r="F821" s="11"/>
      <c r="G821" s="28">
        <v>19006.22627</v>
      </c>
      <c r="H821" s="4" t="s">
        <v>27</v>
      </c>
      <c r="I821" s="4"/>
      <c r="J821" s="4"/>
      <c r="K821" s="4"/>
      <c r="L821" s="7"/>
      <c r="M821" s="7"/>
      <c r="N821" s="7"/>
      <c r="O821" s="7"/>
      <c r="P821" s="4"/>
      <c r="Q821" s="4"/>
      <c r="R821" s="4"/>
    </row>
    <row r="822" ht="22.5" customHeight="1">
      <c r="A822" s="2" t="s">
        <v>18</v>
      </c>
      <c r="B822" s="26" t="s">
        <v>292</v>
      </c>
      <c r="C822" s="27" t="s">
        <v>31</v>
      </c>
      <c r="D822" s="4" t="s">
        <v>187</v>
      </c>
      <c r="E822" s="4" t="s">
        <v>22</v>
      </c>
      <c r="F822" s="11"/>
      <c r="G822" s="28">
        <v>17956.22627</v>
      </c>
      <c r="H822" s="4" t="s">
        <v>27</v>
      </c>
      <c r="I822" s="4"/>
      <c r="J822" s="4"/>
      <c r="K822" s="4"/>
      <c r="L822" s="7"/>
      <c r="M822" s="7"/>
      <c r="N822" s="7"/>
      <c r="O822" s="7"/>
      <c r="P822" s="4"/>
      <c r="Q822" s="4"/>
      <c r="R822" s="4"/>
    </row>
    <row r="823" ht="22.5" customHeight="1">
      <c r="A823" s="2" t="s">
        <v>18</v>
      </c>
      <c r="B823" s="26" t="s">
        <v>198</v>
      </c>
      <c r="C823" s="27" t="s">
        <v>31</v>
      </c>
      <c r="D823" s="4" t="s">
        <v>98</v>
      </c>
      <c r="E823" s="4"/>
      <c r="F823" s="11"/>
      <c r="G823" s="28">
        <v>19009.06063</v>
      </c>
      <c r="H823" s="4" t="s">
        <v>27</v>
      </c>
      <c r="I823" s="4"/>
      <c r="J823" s="4"/>
      <c r="K823" s="4"/>
      <c r="L823" s="7"/>
      <c r="M823" s="7"/>
      <c r="N823" s="7"/>
      <c r="O823" s="7"/>
      <c r="P823" s="4"/>
      <c r="Q823" s="4"/>
      <c r="R823" s="4"/>
    </row>
    <row r="824" ht="22.5" customHeight="1">
      <c r="A824" s="2" t="s">
        <v>18</v>
      </c>
      <c r="B824" s="26" t="s">
        <v>104</v>
      </c>
      <c r="C824" s="27" t="s">
        <v>20</v>
      </c>
      <c r="D824" s="4" t="s">
        <v>21</v>
      </c>
      <c r="E824" s="4" t="s">
        <v>35</v>
      </c>
      <c r="F824" s="11"/>
      <c r="G824" s="28">
        <v>16906.22627</v>
      </c>
      <c r="H824" s="4" t="s">
        <v>27</v>
      </c>
      <c r="I824" s="4"/>
      <c r="J824" s="4"/>
      <c r="K824" s="4"/>
      <c r="L824" s="7"/>
      <c r="M824" s="7"/>
      <c r="N824" s="7"/>
      <c r="O824" s="7"/>
      <c r="P824" s="4"/>
      <c r="Q824" s="4"/>
      <c r="R824" s="4"/>
    </row>
    <row r="825" ht="22.5" customHeight="1">
      <c r="A825" s="2" t="s">
        <v>18</v>
      </c>
      <c r="B825" s="26" t="s">
        <v>60</v>
      </c>
      <c r="C825" s="27" t="s">
        <v>20</v>
      </c>
      <c r="D825" s="4" t="s">
        <v>21</v>
      </c>
      <c r="E825" s="4" t="s">
        <v>61</v>
      </c>
      <c r="F825" s="11"/>
      <c r="G825" s="28">
        <v>15900.00392</v>
      </c>
      <c r="H825" s="4" t="s">
        <v>27</v>
      </c>
      <c r="I825" s="4"/>
      <c r="J825" s="4"/>
      <c r="K825" s="4"/>
      <c r="L825" s="7"/>
      <c r="M825" s="7"/>
      <c r="N825" s="7"/>
      <c r="O825" s="7"/>
      <c r="P825" s="4"/>
      <c r="Q825" s="4"/>
      <c r="R825" s="4"/>
    </row>
    <row r="826" ht="22.5" customHeight="1">
      <c r="A826" s="2" t="s">
        <v>18</v>
      </c>
      <c r="B826" s="26" t="s">
        <v>178</v>
      </c>
      <c r="C826" s="27" t="s">
        <v>31</v>
      </c>
      <c r="D826" s="4" t="s">
        <v>54</v>
      </c>
      <c r="E826" s="4"/>
      <c r="F826" s="11"/>
      <c r="G826" s="28">
        <v>13185.655</v>
      </c>
      <c r="H826" s="4" t="s">
        <v>27</v>
      </c>
      <c r="I826" s="4"/>
      <c r="J826" s="4"/>
      <c r="K826" s="4"/>
      <c r="L826" s="7"/>
      <c r="M826" s="7"/>
      <c r="N826" s="7"/>
      <c r="O826" s="7"/>
      <c r="P826" s="4"/>
      <c r="Q826" s="4"/>
      <c r="R826" s="4"/>
    </row>
    <row r="827" ht="22.5" customHeight="1">
      <c r="A827" s="2" t="s">
        <v>18</v>
      </c>
      <c r="B827" s="26" t="s">
        <v>139</v>
      </c>
      <c r="C827" s="27" t="s">
        <v>20</v>
      </c>
      <c r="D827" s="4" t="s">
        <v>21</v>
      </c>
      <c r="E827" s="4" t="s">
        <v>22</v>
      </c>
      <c r="F827" s="11"/>
      <c r="G827" s="28">
        <v>16906.22627</v>
      </c>
      <c r="H827" s="4" t="s">
        <v>27</v>
      </c>
      <c r="I827" s="4"/>
      <c r="J827" s="4"/>
      <c r="K827" s="4"/>
      <c r="L827" s="7"/>
      <c r="M827" s="7"/>
      <c r="N827" s="7"/>
      <c r="O827" s="7"/>
      <c r="P827" s="4"/>
      <c r="Q827" s="4"/>
      <c r="R827" s="4"/>
    </row>
    <row r="828" ht="22.5" customHeight="1">
      <c r="A828" s="2" t="s">
        <v>18</v>
      </c>
      <c r="B828" s="26" t="s">
        <v>77</v>
      </c>
      <c r="C828" s="27" t="s">
        <v>31</v>
      </c>
      <c r="D828" s="4" t="s">
        <v>54</v>
      </c>
      <c r="E828" s="4"/>
      <c r="F828" s="11"/>
      <c r="G828" s="28">
        <v>33709.27063</v>
      </c>
      <c r="H828" s="4" t="s">
        <v>27</v>
      </c>
      <c r="I828" s="4"/>
      <c r="J828" s="4"/>
      <c r="K828" s="4"/>
      <c r="L828" s="7"/>
      <c r="M828" s="7"/>
      <c r="N828" s="7"/>
      <c r="O828" s="7"/>
      <c r="P828" s="4"/>
      <c r="Q828" s="4"/>
      <c r="R828" s="4"/>
    </row>
    <row r="829" ht="22.5" customHeight="1">
      <c r="A829" s="2" t="s">
        <v>18</v>
      </c>
      <c r="B829" s="26" t="s">
        <v>306</v>
      </c>
      <c r="C829" s="27" t="s">
        <v>20</v>
      </c>
      <c r="D829" s="4" t="s">
        <v>21</v>
      </c>
      <c r="E829" s="4" t="s">
        <v>22</v>
      </c>
      <c r="F829" s="11"/>
      <c r="G829" s="28">
        <v>15859.06063</v>
      </c>
      <c r="H829" s="4" t="s">
        <v>27</v>
      </c>
      <c r="I829" s="4"/>
      <c r="J829" s="4"/>
      <c r="K829" s="4"/>
      <c r="L829" s="7"/>
      <c r="M829" s="7"/>
      <c r="N829" s="7"/>
      <c r="O829" s="7"/>
      <c r="P829" s="4"/>
      <c r="Q829" s="4"/>
      <c r="R829" s="4"/>
    </row>
    <row r="830" ht="22.5" customHeight="1">
      <c r="A830" s="2" t="s">
        <v>18</v>
      </c>
      <c r="B830" s="26" t="s">
        <v>102</v>
      </c>
      <c r="C830" s="27" t="s">
        <v>31</v>
      </c>
      <c r="D830" s="4" t="s">
        <v>47</v>
      </c>
      <c r="E830" s="4"/>
      <c r="F830" s="11"/>
      <c r="G830" s="28">
        <v>20061.895</v>
      </c>
      <c r="H830" s="4" t="s">
        <v>27</v>
      </c>
      <c r="I830" s="4"/>
      <c r="J830" s="4"/>
      <c r="K830" s="4"/>
      <c r="L830" s="7"/>
      <c r="M830" s="7"/>
      <c r="N830" s="7"/>
      <c r="O830" s="7"/>
      <c r="P830" s="4"/>
      <c r="Q830" s="4"/>
      <c r="R830" s="4"/>
    </row>
    <row r="831" ht="22.5" customHeight="1">
      <c r="A831" s="2" t="s">
        <v>18</v>
      </c>
      <c r="B831" s="26" t="s">
        <v>46</v>
      </c>
      <c r="C831" s="27" t="s">
        <v>31</v>
      </c>
      <c r="D831" s="4" t="s">
        <v>47</v>
      </c>
      <c r="E831" s="4"/>
      <c r="F831" s="11"/>
      <c r="G831" s="28">
        <v>19011.895</v>
      </c>
      <c r="H831" s="4" t="s">
        <v>27</v>
      </c>
      <c r="I831" s="4"/>
      <c r="J831" s="4"/>
      <c r="K831" s="4"/>
      <c r="L831" s="7"/>
      <c r="M831" s="7"/>
      <c r="N831" s="7"/>
      <c r="O831" s="7"/>
      <c r="P831" s="4"/>
      <c r="Q831" s="4"/>
      <c r="R831" s="4"/>
    </row>
    <row r="832" ht="22.5" customHeight="1">
      <c r="A832" s="2" t="s">
        <v>18</v>
      </c>
      <c r="B832" s="26" t="s">
        <v>345</v>
      </c>
      <c r="C832" s="27" t="s">
        <v>20</v>
      </c>
      <c r="D832" s="4" t="s">
        <v>21</v>
      </c>
      <c r="E832" s="4" t="s">
        <v>35</v>
      </c>
      <c r="F832" s="11"/>
      <c r="G832" s="28">
        <v>22197.115</v>
      </c>
      <c r="H832" s="4" t="s">
        <v>27</v>
      </c>
      <c r="I832" s="4"/>
      <c r="J832" s="4"/>
      <c r="K832" s="4"/>
      <c r="L832" s="7"/>
      <c r="M832" s="7"/>
      <c r="N832" s="7"/>
      <c r="O832" s="7"/>
      <c r="P832" s="4"/>
      <c r="Q832" s="4"/>
      <c r="R832" s="4"/>
    </row>
    <row r="833" ht="22.5" customHeight="1">
      <c r="A833" s="2" t="s">
        <v>18</v>
      </c>
      <c r="B833" s="26" t="s">
        <v>220</v>
      </c>
      <c r="C833" s="27" t="s">
        <v>20</v>
      </c>
      <c r="D833" s="4" t="s">
        <v>21</v>
      </c>
      <c r="E833" s="4" t="s">
        <v>41</v>
      </c>
      <c r="F833" s="11"/>
      <c r="G833" s="28">
        <v>23983.86127</v>
      </c>
      <c r="H833" s="4" t="s">
        <v>27</v>
      </c>
      <c r="I833" s="4"/>
      <c r="J833" s="4"/>
      <c r="K833" s="4"/>
      <c r="L833" s="7"/>
      <c r="M833" s="7"/>
      <c r="N833" s="7"/>
      <c r="O833" s="7"/>
      <c r="P833" s="4"/>
      <c r="Q833" s="4"/>
      <c r="R833" s="4"/>
    </row>
    <row r="834" ht="22.5" customHeight="1">
      <c r="A834" s="2" t="s">
        <v>18</v>
      </c>
      <c r="B834" s="26" t="s">
        <v>269</v>
      </c>
      <c r="C834" s="27" t="s">
        <v>20</v>
      </c>
      <c r="D834" s="4" t="s">
        <v>21</v>
      </c>
      <c r="E834" s="4" t="s">
        <v>22</v>
      </c>
      <c r="F834" s="11"/>
      <c r="G834" s="28">
        <v>16906.22627</v>
      </c>
      <c r="H834" s="4" t="s">
        <v>27</v>
      </c>
      <c r="I834" s="4"/>
      <c r="J834" s="4"/>
      <c r="K834" s="4"/>
      <c r="L834" s="7"/>
      <c r="M834" s="7"/>
      <c r="N834" s="7"/>
      <c r="O834" s="7"/>
      <c r="P834" s="4"/>
      <c r="Q834" s="4"/>
      <c r="R834" s="4"/>
    </row>
    <row r="835" ht="22.5" customHeight="1">
      <c r="A835" s="2" t="s">
        <v>18</v>
      </c>
      <c r="B835" s="26" t="s">
        <v>263</v>
      </c>
      <c r="C835" s="27" t="s">
        <v>20</v>
      </c>
      <c r="D835" s="4" t="s">
        <v>21</v>
      </c>
      <c r="E835" s="4" t="s">
        <v>35</v>
      </c>
      <c r="F835" s="11"/>
      <c r="G835" s="28">
        <v>15859.06063</v>
      </c>
      <c r="H835" s="4" t="s">
        <v>27</v>
      </c>
      <c r="I835" s="4"/>
      <c r="J835" s="4"/>
      <c r="K835" s="4"/>
      <c r="L835" s="7"/>
      <c r="M835" s="7"/>
      <c r="N835" s="7"/>
      <c r="O835" s="7"/>
      <c r="P835" s="4"/>
      <c r="Q835" s="4"/>
      <c r="R835" s="4"/>
    </row>
    <row r="836" ht="22.5" customHeight="1">
      <c r="A836" s="2" t="s">
        <v>18</v>
      </c>
      <c r="B836" s="26" t="s">
        <v>312</v>
      </c>
      <c r="C836" s="27" t="s">
        <v>31</v>
      </c>
      <c r="D836" s="4" t="s">
        <v>98</v>
      </c>
      <c r="E836" s="4"/>
      <c r="F836" s="11"/>
      <c r="G836" s="28">
        <v>21106.22627</v>
      </c>
      <c r="H836" s="4" t="s">
        <v>27</v>
      </c>
      <c r="I836" s="4"/>
      <c r="J836" s="4"/>
      <c r="K836" s="4"/>
      <c r="L836" s="7"/>
      <c r="M836" s="7"/>
      <c r="N836" s="7"/>
      <c r="O836" s="7"/>
      <c r="P836" s="4"/>
      <c r="Q836" s="4"/>
      <c r="R836" s="4"/>
    </row>
    <row r="837" ht="22.5" customHeight="1">
      <c r="A837" s="7"/>
      <c r="B837" s="11"/>
      <c r="C837" s="4"/>
      <c r="D837" s="4"/>
      <c r="E837" s="4"/>
      <c r="F837" s="11"/>
      <c r="G837" s="29"/>
      <c r="H837" s="4"/>
      <c r="I837" s="4"/>
      <c r="J837" s="4"/>
      <c r="K837" s="4"/>
      <c r="L837" s="7"/>
      <c r="M837" s="7"/>
      <c r="N837" s="7"/>
      <c r="O837" s="7"/>
      <c r="P837" s="4"/>
      <c r="Q837" s="4"/>
      <c r="R837" s="4"/>
    </row>
    <row r="838" ht="22.5" customHeight="1">
      <c r="A838" s="7"/>
      <c r="B838" s="11"/>
      <c r="C838" s="4"/>
      <c r="D838" s="4"/>
      <c r="E838" s="4"/>
      <c r="F838" s="11"/>
      <c r="G838" s="29"/>
      <c r="H838" s="4"/>
      <c r="I838" s="4"/>
      <c r="J838" s="4"/>
      <c r="K838" s="4"/>
      <c r="L838" s="7"/>
      <c r="M838" s="7"/>
      <c r="N838" s="7"/>
      <c r="O838" s="7"/>
      <c r="P838" s="4"/>
      <c r="Q838" s="4"/>
      <c r="R838" s="4"/>
    </row>
    <row r="839">
      <c r="A839" s="30"/>
      <c r="B839" s="30"/>
      <c r="C839" s="30"/>
      <c r="D839" s="31"/>
      <c r="E839" s="32"/>
      <c r="F839" s="30"/>
      <c r="G839" s="33"/>
      <c r="H839" s="30"/>
      <c r="I839" s="30"/>
      <c r="J839" s="30"/>
      <c r="K839" s="30"/>
      <c r="L839" s="30"/>
      <c r="M839" s="30"/>
      <c r="N839" s="33"/>
      <c r="O839" s="30"/>
    </row>
    <row r="840">
      <c r="A840" s="30"/>
      <c r="B840" s="30"/>
      <c r="C840" s="30"/>
      <c r="D840" s="31"/>
      <c r="E840" s="32"/>
      <c r="F840" s="30"/>
      <c r="G840" s="33"/>
      <c r="H840" s="30"/>
      <c r="I840" s="30"/>
      <c r="J840" s="30"/>
      <c r="K840" s="30"/>
      <c r="L840" s="30"/>
      <c r="M840" s="30"/>
      <c r="N840" s="33"/>
      <c r="O840" s="30"/>
    </row>
    <row r="841">
      <c r="A841" s="30"/>
      <c r="B841" s="30"/>
      <c r="E841" s="34"/>
      <c r="F841" s="30"/>
      <c r="G841" s="33"/>
      <c r="H841" s="30"/>
      <c r="I841" s="30"/>
      <c r="J841" s="30"/>
      <c r="K841" s="30"/>
      <c r="L841" s="30"/>
      <c r="M841" s="30"/>
      <c r="N841" s="33"/>
      <c r="O841" s="30"/>
    </row>
    <row r="842">
      <c r="A842" s="30"/>
      <c r="B842" s="30"/>
      <c r="E842" s="32"/>
      <c r="F842" s="30"/>
      <c r="G842" s="33"/>
      <c r="H842" s="30"/>
      <c r="I842" s="30"/>
      <c r="J842" s="30"/>
      <c r="K842" s="30"/>
      <c r="L842" s="30"/>
      <c r="M842" s="30"/>
      <c r="N842" s="33"/>
      <c r="O842" s="30"/>
    </row>
    <row r="843">
      <c r="A843" s="30"/>
      <c r="B843" s="30"/>
      <c r="E843" s="34"/>
      <c r="F843" s="30"/>
      <c r="G843" s="33"/>
      <c r="H843" s="30"/>
      <c r="I843" s="30"/>
      <c r="J843" s="30"/>
      <c r="K843" s="30"/>
      <c r="L843" s="30"/>
      <c r="M843" s="30"/>
      <c r="N843" s="33"/>
      <c r="O843" s="30"/>
    </row>
    <row r="844">
      <c r="A844" s="30"/>
      <c r="B844" s="30"/>
      <c r="E844" s="32"/>
      <c r="F844" s="30"/>
      <c r="G844" s="33"/>
      <c r="H844" s="30"/>
      <c r="I844" s="30"/>
      <c r="J844" s="30"/>
      <c r="K844" s="30"/>
      <c r="L844" s="30"/>
      <c r="M844" s="30"/>
      <c r="N844" s="33"/>
      <c r="O844" s="30"/>
    </row>
    <row r="845">
      <c r="A845" s="30"/>
      <c r="B845" s="30"/>
      <c r="C845" s="30"/>
      <c r="D845" s="35"/>
      <c r="E845" s="34"/>
      <c r="F845" s="30"/>
      <c r="G845" s="33"/>
      <c r="H845" s="30"/>
      <c r="I845" s="30"/>
      <c r="J845" s="30"/>
      <c r="K845" s="30"/>
      <c r="L845" s="30"/>
      <c r="M845" s="30"/>
      <c r="N845" s="33"/>
      <c r="O845" s="30"/>
    </row>
    <row r="846">
      <c r="A846" s="30"/>
      <c r="B846" s="30"/>
      <c r="D846" s="36"/>
      <c r="E846" s="34"/>
      <c r="F846" s="30"/>
      <c r="G846" s="37"/>
      <c r="H846" s="30"/>
      <c r="I846" s="30"/>
      <c r="J846" s="30"/>
      <c r="K846" s="30"/>
      <c r="L846" s="30"/>
      <c r="M846" s="30"/>
      <c r="N846" s="33"/>
      <c r="O846" s="30"/>
    </row>
    <row r="847">
      <c r="A847" s="30"/>
      <c r="B847" s="30"/>
      <c r="D847" s="36"/>
      <c r="F847" s="30"/>
      <c r="H847" s="30"/>
      <c r="I847" s="30"/>
      <c r="J847" s="30"/>
      <c r="K847" s="30"/>
      <c r="L847" s="30"/>
      <c r="M847" s="30"/>
      <c r="N847" s="33"/>
    </row>
    <row r="848">
      <c r="A848" s="30"/>
      <c r="B848" s="30"/>
      <c r="E848" s="34"/>
      <c r="F848" s="30"/>
      <c r="G848" s="33"/>
      <c r="H848" s="30"/>
      <c r="I848" s="30"/>
      <c r="J848" s="30"/>
      <c r="K848" s="30"/>
      <c r="L848" s="30"/>
      <c r="M848" s="30"/>
      <c r="N848" s="33"/>
      <c r="O848" s="30"/>
    </row>
    <row r="849">
      <c r="A849" s="30"/>
      <c r="B849" s="30"/>
      <c r="E849" s="32"/>
      <c r="F849" s="30"/>
      <c r="G849" s="33"/>
      <c r="H849" s="30"/>
      <c r="I849" s="30"/>
      <c r="J849" s="30"/>
      <c r="K849" s="30"/>
      <c r="L849" s="30"/>
      <c r="M849" s="30"/>
      <c r="N849" s="33"/>
      <c r="O849" s="30"/>
    </row>
    <row r="850">
      <c r="A850" s="38"/>
      <c r="B850" s="30"/>
      <c r="C850" s="30"/>
      <c r="D850" s="39"/>
      <c r="E850" s="32"/>
      <c r="F850" s="30"/>
      <c r="G850" s="33"/>
      <c r="H850" s="30"/>
      <c r="I850" s="30"/>
      <c r="J850" s="30"/>
      <c r="K850" s="30"/>
      <c r="L850" s="30"/>
      <c r="M850" s="30"/>
      <c r="N850" s="33"/>
      <c r="O850" s="30"/>
    </row>
    <row r="851">
      <c r="A851" s="30"/>
      <c r="B851" s="30"/>
      <c r="C851" s="40"/>
      <c r="E851" s="32"/>
      <c r="F851" s="30"/>
      <c r="G851" s="33"/>
      <c r="H851" s="30"/>
      <c r="I851" s="30"/>
      <c r="J851" s="30"/>
      <c r="K851" s="30"/>
      <c r="L851" s="30"/>
      <c r="M851" s="30"/>
      <c r="N851" s="33"/>
      <c r="O851" s="30"/>
    </row>
    <row r="852">
      <c r="A852" s="30"/>
      <c r="B852" s="30"/>
      <c r="C852" s="30"/>
      <c r="D852" s="35"/>
      <c r="E852" s="34"/>
      <c r="F852" s="30"/>
      <c r="G852" s="33"/>
      <c r="H852" s="30"/>
      <c r="I852" s="30"/>
      <c r="J852" s="30"/>
      <c r="K852" s="30"/>
      <c r="L852" s="30"/>
      <c r="M852" s="30"/>
      <c r="N852" s="33"/>
      <c r="O852" s="30"/>
    </row>
    <row r="853">
      <c r="A853" s="30"/>
      <c r="B853" s="30"/>
      <c r="C853" s="30"/>
      <c r="D853" s="41"/>
      <c r="E853" s="34"/>
      <c r="F853" s="30"/>
      <c r="G853" s="33"/>
      <c r="H853" s="30"/>
      <c r="I853" s="30"/>
      <c r="J853" s="30"/>
      <c r="K853" s="30"/>
      <c r="L853" s="30"/>
      <c r="M853" s="30"/>
      <c r="N853" s="33"/>
      <c r="O853" s="30"/>
    </row>
    <row r="854">
      <c r="A854" s="30"/>
      <c r="B854" s="30"/>
      <c r="C854" s="30"/>
      <c r="D854" s="39"/>
      <c r="E854" s="32"/>
      <c r="F854" s="30"/>
      <c r="G854" s="33"/>
      <c r="H854" s="30"/>
      <c r="I854" s="30"/>
      <c r="J854" s="30"/>
      <c r="K854" s="30"/>
      <c r="L854" s="30"/>
      <c r="M854" s="30"/>
      <c r="N854" s="33"/>
      <c r="O854" s="30"/>
    </row>
    <row r="855">
      <c r="A855" s="30"/>
      <c r="B855" s="30"/>
      <c r="C855" s="30"/>
      <c r="D855" s="42"/>
      <c r="E855" s="32"/>
      <c r="F855" s="30"/>
      <c r="G855" s="33"/>
      <c r="H855" s="30"/>
      <c r="I855" s="30"/>
      <c r="J855" s="30"/>
      <c r="K855" s="30"/>
      <c r="L855" s="30"/>
      <c r="M855" s="30"/>
      <c r="N855" s="33"/>
      <c r="O855" s="30"/>
    </row>
    <row r="856">
      <c r="A856" s="30"/>
      <c r="B856" s="30"/>
      <c r="C856" s="30"/>
      <c r="D856" s="35"/>
      <c r="E856" s="34"/>
      <c r="F856" s="30"/>
      <c r="G856" s="33"/>
      <c r="H856" s="30"/>
      <c r="I856" s="30"/>
      <c r="J856" s="30"/>
      <c r="K856" s="30"/>
      <c r="L856" s="30"/>
      <c r="M856" s="30"/>
      <c r="N856" s="33"/>
      <c r="O856" s="30"/>
    </row>
    <row r="857">
      <c r="A857" s="30"/>
      <c r="B857" s="30"/>
      <c r="C857" s="30"/>
      <c r="D857" s="41"/>
      <c r="E857" s="34"/>
      <c r="F857" s="30"/>
      <c r="G857" s="33"/>
      <c r="H857" s="30"/>
      <c r="I857" s="30"/>
      <c r="J857" s="30"/>
      <c r="K857" s="30"/>
      <c r="L857" s="30"/>
      <c r="M857" s="30"/>
      <c r="N857" s="33"/>
      <c r="O857" s="30"/>
    </row>
    <row r="858">
      <c r="A858" s="30"/>
      <c r="B858" s="30"/>
      <c r="C858" s="30"/>
      <c r="D858" s="39"/>
      <c r="E858" s="32"/>
      <c r="F858" s="30"/>
      <c r="G858" s="33"/>
      <c r="H858" s="30"/>
      <c r="I858" s="30"/>
      <c r="J858" s="30"/>
      <c r="K858" s="30"/>
      <c r="L858" s="30"/>
      <c r="M858" s="30"/>
      <c r="N858" s="33"/>
      <c r="O858" s="30"/>
    </row>
    <row r="859">
      <c r="A859" s="30"/>
      <c r="B859" s="30"/>
      <c r="C859" s="30"/>
      <c r="D859" s="43"/>
      <c r="E859" s="34"/>
      <c r="F859" s="30"/>
      <c r="G859" s="33"/>
      <c r="H859" s="30"/>
      <c r="I859" s="30"/>
      <c r="J859" s="30"/>
      <c r="K859" s="30"/>
      <c r="L859" s="30"/>
      <c r="M859" s="30"/>
      <c r="N859" s="33"/>
      <c r="O859" s="30"/>
    </row>
    <row r="860">
      <c r="A860" s="30"/>
      <c r="B860" s="30"/>
      <c r="C860" s="30"/>
      <c r="D860" s="44"/>
      <c r="E860" s="34"/>
      <c r="F860" s="30"/>
      <c r="G860" s="33"/>
      <c r="H860" s="30"/>
      <c r="I860" s="30"/>
      <c r="J860" s="30"/>
      <c r="K860" s="30"/>
      <c r="L860" s="30"/>
      <c r="M860" s="30"/>
      <c r="N860" s="33"/>
      <c r="O860" s="30"/>
    </row>
    <row r="861">
      <c r="A861" s="30"/>
      <c r="B861" s="30"/>
      <c r="C861" s="30"/>
      <c r="D861" s="35"/>
      <c r="E861" s="34"/>
      <c r="F861" s="30"/>
      <c r="G861" s="33"/>
      <c r="H861" s="30"/>
      <c r="I861" s="30"/>
      <c r="J861" s="30"/>
      <c r="K861" s="30"/>
      <c r="L861" s="30"/>
      <c r="M861" s="30"/>
      <c r="N861" s="33"/>
      <c r="O861" s="30"/>
    </row>
    <row r="862">
      <c r="A862" s="30"/>
      <c r="B862" s="30"/>
      <c r="C862" s="30"/>
      <c r="D862" s="41"/>
      <c r="E862" s="34"/>
      <c r="F862" s="30"/>
      <c r="G862" s="33"/>
      <c r="H862" s="30"/>
      <c r="I862" s="30"/>
      <c r="J862" s="30"/>
      <c r="K862" s="30"/>
      <c r="L862" s="30"/>
      <c r="M862" s="30"/>
      <c r="N862" s="33"/>
      <c r="O862" s="30"/>
    </row>
    <row r="863">
      <c r="A863" s="30"/>
      <c r="B863" s="30"/>
      <c r="E863" s="34"/>
      <c r="F863" s="30"/>
      <c r="G863" s="33"/>
      <c r="H863" s="30"/>
      <c r="I863" s="30"/>
      <c r="J863" s="30"/>
      <c r="K863" s="30"/>
      <c r="L863" s="30"/>
      <c r="M863" s="30"/>
      <c r="N863" s="33"/>
      <c r="O863" s="30"/>
    </row>
    <row r="864">
      <c r="A864" s="30"/>
      <c r="B864" s="30"/>
      <c r="C864" s="30"/>
      <c r="D864" s="42"/>
      <c r="E864" s="32"/>
      <c r="F864" s="30"/>
      <c r="G864" s="33"/>
      <c r="H864" s="30"/>
      <c r="I864" s="30"/>
      <c r="J864" s="30"/>
      <c r="K864" s="30"/>
      <c r="L864" s="30"/>
      <c r="M864" s="30"/>
      <c r="N864" s="33"/>
      <c r="O864" s="30"/>
    </row>
    <row r="865">
      <c r="A865" s="30"/>
      <c r="B865" s="30"/>
      <c r="C865" s="30"/>
      <c r="E865" s="32"/>
      <c r="F865" s="30"/>
      <c r="G865" s="33"/>
      <c r="H865" s="30"/>
      <c r="I865" s="30"/>
      <c r="J865" s="30"/>
      <c r="K865" s="30"/>
      <c r="L865" s="30"/>
      <c r="M865" s="30"/>
      <c r="N865" s="33"/>
      <c r="O865" s="30"/>
    </row>
    <row r="866">
      <c r="A866" s="30"/>
      <c r="B866" s="30"/>
      <c r="C866" s="30"/>
      <c r="E866" s="32"/>
      <c r="F866" s="30"/>
      <c r="G866" s="33"/>
      <c r="H866" s="30"/>
      <c r="I866" s="30"/>
      <c r="J866" s="30"/>
      <c r="K866" s="30"/>
      <c r="L866" s="30"/>
      <c r="M866" s="30"/>
      <c r="N866" s="33"/>
      <c r="O866" s="30"/>
    </row>
    <row r="867">
      <c r="A867" s="30"/>
      <c r="B867" s="30"/>
      <c r="C867" s="30"/>
      <c r="E867" s="34"/>
      <c r="F867" s="30"/>
      <c r="G867" s="33"/>
      <c r="H867" s="30"/>
      <c r="I867" s="30"/>
      <c r="J867" s="30"/>
      <c r="K867" s="30"/>
      <c r="L867" s="30"/>
      <c r="M867" s="30"/>
      <c r="N867" s="33"/>
      <c r="O867" s="30"/>
    </row>
    <row r="868">
      <c r="A868" s="30"/>
      <c r="B868" s="30"/>
      <c r="C868" s="30"/>
      <c r="E868" s="34"/>
      <c r="F868" s="30"/>
      <c r="G868" s="33"/>
      <c r="H868" s="30"/>
      <c r="I868" s="30"/>
      <c r="J868" s="30"/>
      <c r="K868" s="30"/>
      <c r="L868" s="30"/>
      <c r="M868" s="30"/>
      <c r="N868" s="33"/>
      <c r="O868" s="30"/>
    </row>
    <row r="869">
      <c r="A869" s="30"/>
      <c r="B869" s="30"/>
      <c r="C869" s="30"/>
      <c r="D869" s="43"/>
      <c r="E869" s="34"/>
      <c r="F869" s="30"/>
      <c r="G869" s="33"/>
      <c r="H869" s="30"/>
      <c r="I869" s="30"/>
      <c r="J869" s="30"/>
      <c r="K869" s="30"/>
      <c r="L869" s="30"/>
      <c r="M869" s="30"/>
      <c r="N869" s="33"/>
      <c r="O869" s="30"/>
    </row>
    <row r="870">
      <c r="A870" s="45" t="s">
        <v>349</v>
      </c>
      <c r="B870" s="46" t="s">
        <v>544</v>
      </c>
      <c r="C870" s="47"/>
      <c r="D870" s="48"/>
      <c r="E870" s="49"/>
      <c r="F870" s="49"/>
      <c r="G870" s="50" t="s">
        <v>545</v>
      </c>
      <c r="J870" s="30"/>
      <c r="K870" s="30"/>
      <c r="L870" s="51">
        <v>45658.0</v>
      </c>
      <c r="M870" s="52" t="s">
        <v>546</v>
      </c>
      <c r="N870" s="33"/>
      <c r="O870" s="30"/>
    </row>
    <row r="871">
      <c r="A871" s="53" t="s">
        <v>403</v>
      </c>
      <c r="B871" s="54" t="s">
        <v>547</v>
      </c>
      <c r="C871" s="55" t="s">
        <v>31</v>
      </c>
      <c r="D871" s="56" t="s">
        <v>187</v>
      </c>
      <c r="E871" s="57"/>
      <c r="F871" s="57"/>
      <c r="G871" s="58" t="s">
        <v>548</v>
      </c>
      <c r="J871" s="30"/>
      <c r="K871" s="30"/>
      <c r="L871" s="59">
        <v>45658.0</v>
      </c>
      <c r="M871" s="60" t="s">
        <v>549</v>
      </c>
      <c r="N871" s="33"/>
      <c r="O871" s="30"/>
    </row>
    <row r="872">
      <c r="A872" s="45" t="s">
        <v>403</v>
      </c>
      <c r="B872" s="46" t="s">
        <v>550</v>
      </c>
      <c r="C872" s="61" t="s">
        <v>31</v>
      </c>
      <c r="D872" s="46" t="s">
        <v>187</v>
      </c>
      <c r="E872" s="49"/>
      <c r="F872" s="49"/>
      <c r="G872" s="50" t="s">
        <v>551</v>
      </c>
      <c r="J872" s="30"/>
      <c r="K872" s="30"/>
      <c r="L872" s="51">
        <v>45658.0</v>
      </c>
      <c r="M872" s="52" t="s">
        <v>549</v>
      </c>
      <c r="N872" s="33"/>
      <c r="O872" s="30"/>
    </row>
    <row r="873">
      <c r="A873" s="53" t="s">
        <v>508</v>
      </c>
      <c r="B873" s="54" t="s">
        <v>552</v>
      </c>
      <c r="C873" s="62" t="s">
        <v>20</v>
      </c>
      <c r="D873" s="62" t="s">
        <v>21</v>
      </c>
      <c r="E873" s="57"/>
      <c r="F873" s="57"/>
      <c r="G873" s="58" t="s">
        <v>553</v>
      </c>
      <c r="J873" s="30"/>
      <c r="K873" s="30"/>
      <c r="L873" s="59">
        <v>45658.0</v>
      </c>
      <c r="M873" s="60" t="s">
        <v>509</v>
      </c>
      <c r="N873" s="33"/>
      <c r="O873" s="30"/>
    </row>
    <row r="874">
      <c r="A874" s="45" t="s">
        <v>403</v>
      </c>
      <c r="B874" s="46" t="s">
        <v>547</v>
      </c>
      <c r="C874" s="61" t="s">
        <v>31</v>
      </c>
      <c r="D874" s="46" t="s">
        <v>187</v>
      </c>
      <c r="E874" s="49"/>
      <c r="F874" s="49"/>
      <c r="G874" s="50" t="s">
        <v>548</v>
      </c>
      <c r="J874" s="30"/>
      <c r="K874" s="30"/>
      <c r="L874" s="51">
        <v>45658.0</v>
      </c>
      <c r="M874" s="52" t="s">
        <v>549</v>
      </c>
      <c r="N874" s="33"/>
      <c r="O874" s="30"/>
    </row>
    <row r="875">
      <c r="A875" s="53" t="s">
        <v>403</v>
      </c>
      <c r="B875" s="54" t="s">
        <v>550</v>
      </c>
      <c r="C875" s="55" t="s">
        <v>31</v>
      </c>
      <c r="D875" s="56" t="s">
        <v>187</v>
      </c>
      <c r="E875" s="57"/>
      <c r="F875" s="57"/>
      <c r="G875" s="58" t="s">
        <v>551</v>
      </c>
      <c r="J875" s="30"/>
      <c r="K875" s="30"/>
      <c r="L875" s="59">
        <v>45658.0</v>
      </c>
      <c r="M875" s="60" t="s">
        <v>549</v>
      </c>
      <c r="N875" s="33"/>
      <c r="O875" s="30"/>
    </row>
    <row r="876">
      <c r="A876" s="45" t="s">
        <v>389</v>
      </c>
      <c r="B876" s="46" t="s">
        <v>554</v>
      </c>
      <c r="C876" s="61" t="s">
        <v>20</v>
      </c>
      <c r="D876" s="46" t="s">
        <v>21</v>
      </c>
      <c r="E876" s="49"/>
      <c r="F876" s="49"/>
      <c r="G876" s="63" t="s">
        <v>555</v>
      </c>
      <c r="J876" s="30"/>
      <c r="K876" s="30"/>
      <c r="L876" s="51">
        <v>45658.0</v>
      </c>
      <c r="M876" s="52" t="s">
        <v>556</v>
      </c>
      <c r="N876" s="33"/>
      <c r="O876" s="30"/>
    </row>
    <row r="877">
      <c r="A877" s="64" t="s">
        <v>389</v>
      </c>
      <c r="B877" s="56" t="s">
        <v>554</v>
      </c>
      <c r="C877" s="55" t="s">
        <v>20</v>
      </c>
      <c r="D877" s="56" t="s">
        <v>54</v>
      </c>
      <c r="E877" s="57"/>
      <c r="F877" s="57"/>
      <c r="G877" s="65" t="s">
        <v>557</v>
      </c>
      <c r="J877" s="30"/>
      <c r="K877" s="30"/>
      <c r="L877" s="66"/>
      <c r="M877" s="67"/>
      <c r="N877" s="33"/>
      <c r="O877" s="30"/>
    </row>
    <row r="878">
      <c r="A878" s="68" t="s">
        <v>528</v>
      </c>
      <c r="B878" s="69" t="s">
        <v>558</v>
      </c>
      <c r="C878" s="47"/>
      <c r="D878" s="70"/>
      <c r="E878" s="71"/>
      <c r="F878" s="71"/>
      <c r="G878" s="72">
        <v>17400.0</v>
      </c>
      <c r="J878" s="30"/>
      <c r="K878" s="30"/>
      <c r="L878" s="73">
        <v>45658.0</v>
      </c>
      <c r="M878" s="74" t="s">
        <v>559</v>
      </c>
      <c r="N878" s="33"/>
      <c r="O878" s="30"/>
    </row>
    <row r="879">
      <c r="A879" s="64" t="s">
        <v>378</v>
      </c>
      <c r="B879" s="56" t="s">
        <v>560</v>
      </c>
      <c r="C879" s="75"/>
      <c r="D879" s="76"/>
      <c r="E879" s="77"/>
      <c r="F879" s="77"/>
      <c r="G879" s="65" t="s">
        <v>561</v>
      </c>
      <c r="J879" s="30"/>
      <c r="K879" s="30"/>
      <c r="L879" s="78">
        <v>45658.0</v>
      </c>
      <c r="M879" s="79" t="s">
        <v>562</v>
      </c>
      <c r="N879" s="33"/>
      <c r="O879" s="30"/>
    </row>
    <row r="880">
      <c r="A880" s="68" t="s">
        <v>403</v>
      </c>
      <c r="B880" s="69" t="s">
        <v>563</v>
      </c>
      <c r="C880" s="61" t="s">
        <v>31</v>
      </c>
      <c r="D880" s="46" t="s">
        <v>187</v>
      </c>
      <c r="E880" s="71"/>
      <c r="F880" s="71"/>
      <c r="G880" s="72">
        <v>5.0</v>
      </c>
      <c r="J880" s="30"/>
      <c r="K880" s="30"/>
      <c r="L880" s="73">
        <v>45658.0</v>
      </c>
      <c r="M880" s="74" t="s">
        <v>549</v>
      </c>
      <c r="N880" s="33"/>
      <c r="O880" s="30"/>
    </row>
    <row r="881">
      <c r="A881" s="64" t="s">
        <v>403</v>
      </c>
      <c r="B881" s="56" t="s">
        <v>564</v>
      </c>
      <c r="C881" s="55" t="s">
        <v>31</v>
      </c>
      <c r="D881" s="56" t="s">
        <v>187</v>
      </c>
      <c r="E881" s="77"/>
      <c r="F881" s="77"/>
      <c r="G881" s="65" t="s">
        <v>565</v>
      </c>
      <c r="J881" s="30"/>
      <c r="K881" s="30"/>
      <c r="L881" s="78">
        <v>45658.0</v>
      </c>
      <c r="M881" s="79" t="s">
        <v>549</v>
      </c>
      <c r="N881" s="33"/>
      <c r="O881" s="30"/>
    </row>
    <row r="882">
      <c r="A882" s="68" t="s">
        <v>349</v>
      </c>
      <c r="B882" s="69" t="s">
        <v>566</v>
      </c>
      <c r="C882" s="47"/>
      <c r="D882" s="70"/>
      <c r="E882" s="71"/>
      <c r="F882" s="71"/>
      <c r="G882" s="72" t="s">
        <v>567</v>
      </c>
      <c r="J882" s="30"/>
      <c r="K882" s="30"/>
      <c r="L882" s="73">
        <v>45658.0</v>
      </c>
      <c r="M882" s="74" t="s">
        <v>568</v>
      </c>
      <c r="N882" s="33"/>
      <c r="O882" s="30"/>
    </row>
    <row r="883">
      <c r="A883" s="64" t="s">
        <v>403</v>
      </c>
      <c r="B883" s="56" t="s">
        <v>563</v>
      </c>
      <c r="C883" s="55" t="s">
        <v>31</v>
      </c>
      <c r="D883" s="56" t="s">
        <v>187</v>
      </c>
      <c r="E883" s="77"/>
      <c r="F883" s="77"/>
      <c r="G883" s="65">
        <v>5.0</v>
      </c>
      <c r="J883" s="30"/>
      <c r="K883" s="30"/>
      <c r="L883" s="78">
        <v>45658.0</v>
      </c>
      <c r="M883" s="79" t="s">
        <v>549</v>
      </c>
      <c r="N883" s="33"/>
      <c r="O883" s="30"/>
    </row>
    <row r="884">
      <c r="A884" s="68" t="s">
        <v>403</v>
      </c>
      <c r="B884" s="69" t="s">
        <v>569</v>
      </c>
      <c r="C884" s="61" t="s">
        <v>31</v>
      </c>
      <c r="D884" s="46" t="s">
        <v>187</v>
      </c>
      <c r="E884" s="71"/>
      <c r="F884" s="71"/>
      <c r="G884" s="72" t="s">
        <v>565</v>
      </c>
      <c r="J884" s="30"/>
      <c r="K884" s="30"/>
      <c r="L884" s="73">
        <v>45658.0</v>
      </c>
      <c r="M884" s="74" t="s">
        <v>549</v>
      </c>
      <c r="N884" s="33"/>
      <c r="O884" s="30"/>
    </row>
    <row r="885">
      <c r="A885" s="64" t="s">
        <v>367</v>
      </c>
      <c r="B885" s="56" t="s">
        <v>570</v>
      </c>
      <c r="C885" s="75"/>
      <c r="D885" s="77"/>
      <c r="E885" s="77"/>
      <c r="F885" s="77"/>
      <c r="G885" s="65" t="s">
        <v>571</v>
      </c>
      <c r="J885" s="30"/>
      <c r="K885" s="30"/>
      <c r="L885" s="78">
        <v>45658.0</v>
      </c>
      <c r="M885" s="79" t="s">
        <v>572</v>
      </c>
      <c r="N885" s="33"/>
      <c r="O885" s="30"/>
    </row>
    <row r="886">
      <c r="A886" s="68" t="s">
        <v>403</v>
      </c>
      <c r="B886" s="69" t="s">
        <v>563</v>
      </c>
      <c r="C886" s="61" t="s">
        <v>31</v>
      </c>
      <c r="D886" s="46" t="s">
        <v>187</v>
      </c>
      <c r="E886" s="71"/>
      <c r="F886" s="71"/>
      <c r="G886" s="72">
        <v>5.0</v>
      </c>
      <c r="J886" s="30"/>
      <c r="K886" s="30"/>
      <c r="L886" s="73">
        <v>45658.0</v>
      </c>
      <c r="M886" s="74" t="s">
        <v>549</v>
      </c>
      <c r="N886" s="33"/>
      <c r="O886" s="30"/>
    </row>
    <row r="887">
      <c r="A887" s="64" t="s">
        <v>403</v>
      </c>
      <c r="B887" s="56" t="s">
        <v>569</v>
      </c>
      <c r="C887" s="55" t="s">
        <v>31</v>
      </c>
      <c r="D887" s="56" t="s">
        <v>187</v>
      </c>
      <c r="E887" s="77"/>
      <c r="F887" s="77"/>
      <c r="G887" s="65" t="s">
        <v>565</v>
      </c>
      <c r="J887" s="30"/>
      <c r="K887" s="30"/>
      <c r="L887" s="78">
        <v>45658.0</v>
      </c>
      <c r="M887" s="79" t="s">
        <v>549</v>
      </c>
      <c r="N887" s="33"/>
      <c r="O887" s="30"/>
    </row>
    <row r="888">
      <c r="A888" s="68" t="s">
        <v>573</v>
      </c>
      <c r="B888" s="69" t="s">
        <v>574</v>
      </c>
      <c r="C888" s="47"/>
      <c r="D888" s="49"/>
      <c r="E888" s="71"/>
      <c r="F888" s="71"/>
      <c r="G888" s="72" t="s">
        <v>575</v>
      </c>
      <c r="J888" s="30"/>
      <c r="K888" s="30"/>
      <c r="L888" s="73">
        <v>45658.0</v>
      </c>
      <c r="M888" s="74" t="s">
        <v>576</v>
      </c>
      <c r="N888" s="33"/>
      <c r="O888" s="30"/>
    </row>
    <row r="889">
      <c r="A889" s="64" t="s">
        <v>403</v>
      </c>
      <c r="B889" s="56" t="s">
        <v>563</v>
      </c>
      <c r="C889" s="55" t="s">
        <v>31</v>
      </c>
      <c r="D889" s="56" t="s">
        <v>187</v>
      </c>
      <c r="E889" s="77"/>
      <c r="F889" s="77"/>
      <c r="G889" s="65">
        <v>5.0</v>
      </c>
      <c r="J889" s="30"/>
      <c r="K889" s="30"/>
      <c r="L889" s="78">
        <v>45658.0</v>
      </c>
      <c r="M889" s="79" t="s">
        <v>549</v>
      </c>
      <c r="N889" s="33"/>
      <c r="O889" s="30"/>
    </row>
    <row r="890">
      <c r="A890" s="68" t="s">
        <v>403</v>
      </c>
      <c r="B890" s="69" t="s">
        <v>569</v>
      </c>
      <c r="C890" s="61" t="s">
        <v>31</v>
      </c>
      <c r="D890" s="46" t="s">
        <v>187</v>
      </c>
      <c r="E890" s="71"/>
      <c r="F890" s="71"/>
      <c r="G890" s="72" t="s">
        <v>565</v>
      </c>
      <c r="J890" s="30"/>
      <c r="K890" s="30"/>
      <c r="L890" s="73">
        <v>45658.0</v>
      </c>
      <c r="M890" s="74" t="s">
        <v>549</v>
      </c>
      <c r="N890" s="33"/>
      <c r="O890" s="30"/>
    </row>
    <row r="891">
      <c r="A891" s="80"/>
      <c r="B891" s="56" t="s">
        <v>577</v>
      </c>
      <c r="C891" s="75"/>
      <c r="D891" s="76"/>
      <c r="E891" s="77"/>
      <c r="F891" s="77"/>
      <c r="G891" s="65" t="s">
        <v>578</v>
      </c>
      <c r="J891" s="30"/>
      <c r="K891" s="30"/>
      <c r="L891" s="78">
        <v>45658.0</v>
      </c>
      <c r="M891" s="81"/>
      <c r="N891" s="33"/>
      <c r="O891" s="30"/>
    </row>
    <row r="892">
      <c r="A892" s="68" t="s">
        <v>349</v>
      </c>
      <c r="B892" s="69" t="s">
        <v>579</v>
      </c>
      <c r="C892" s="47"/>
      <c r="D892" s="70"/>
      <c r="E892" s="71"/>
      <c r="F892" s="71"/>
      <c r="G892" s="72" t="s">
        <v>580</v>
      </c>
      <c r="J892" s="30"/>
      <c r="K892" s="30"/>
      <c r="L892" s="73">
        <v>45658.0</v>
      </c>
      <c r="M892" s="74" t="s">
        <v>581</v>
      </c>
      <c r="N892" s="33"/>
      <c r="O892" s="30"/>
    </row>
    <row r="893">
      <c r="A893" s="64" t="s">
        <v>403</v>
      </c>
      <c r="B893" s="56" t="s">
        <v>563</v>
      </c>
      <c r="C893" s="55" t="s">
        <v>31</v>
      </c>
      <c r="D893" s="56" t="s">
        <v>187</v>
      </c>
      <c r="E893" s="77"/>
      <c r="F893" s="77"/>
      <c r="G893" s="65">
        <v>5.0</v>
      </c>
      <c r="J893" s="30"/>
      <c r="K893" s="30"/>
      <c r="L893" s="78">
        <v>45658.0</v>
      </c>
      <c r="M893" s="79" t="s">
        <v>549</v>
      </c>
      <c r="N893" s="33"/>
      <c r="O893" s="30"/>
    </row>
    <row r="894">
      <c r="A894" s="68" t="s">
        <v>403</v>
      </c>
      <c r="B894" s="69" t="s">
        <v>569</v>
      </c>
      <c r="C894" s="61" t="s">
        <v>31</v>
      </c>
      <c r="D894" s="46" t="s">
        <v>187</v>
      </c>
      <c r="E894" s="71"/>
      <c r="F894" s="71"/>
      <c r="G894" s="72" t="s">
        <v>565</v>
      </c>
      <c r="J894" s="30"/>
      <c r="K894" s="30"/>
      <c r="L894" s="73">
        <v>45658.0</v>
      </c>
      <c r="M894" s="74" t="s">
        <v>549</v>
      </c>
      <c r="N894" s="33"/>
      <c r="O894" s="30"/>
    </row>
    <row r="895">
      <c r="A895" s="64" t="s">
        <v>349</v>
      </c>
      <c r="B895" s="56" t="s">
        <v>582</v>
      </c>
      <c r="C895" s="75"/>
      <c r="D895" s="77"/>
      <c r="E895" s="77"/>
      <c r="F895" s="77"/>
      <c r="G895" s="65" t="s">
        <v>583</v>
      </c>
      <c r="J895" s="30"/>
      <c r="K895" s="30"/>
      <c r="L895" s="78">
        <v>45658.0</v>
      </c>
      <c r="M895" s="79" t="s">
        <v>581</v>
      </c>
      <c r="N895" s="33"/>
      <c r="O895" s="30"/>
    </row>
    <row r="896">
      <c r="A896" s="68" t="s">
        <v>403</v>
      </c>
      <c r="B896" s="69" t="s">
        <v>563</v>
      </c>
      <c r="C896" s="61" t="s">
        <v>31</v>
      </c>
      <c r="D896" s="46" t="s">
        <v>187</v>
      </c>
      <c r="E896" s="71"/>
      <c r="F896" s="71"/>
      <c r="G896" s="72">
        <v>5.0</v>
      </c>
      <c r="J896" s="30"/>
      <c r="K896" s="30"/>
      <c r="L896" s="73">
        <v>45658.0</v>
      </c>
      <c r="M896" s="74" t="s">
        <v>549</v>
      </c>
      <c r="N896" s="33"/>
      <c r="O896" s="30"/>
    </row>
    <row r="897">
      <c r="A897" s="64" t="s">
        <v>403</v>
      </c>
      <c r="B897" s="56" t="s">
        <v>569</v>
      </c>
      <c r="C897" s="55" t="s">
        <v>31</v>
      </c>
      <c r="D897" s="56" t="s">
        <v>187</v>
      </c>
      <c r="E897" s="77"/>
      <c r="F897" s="77"/>
      <c r="G897" s="65" t="s">
        <v>565</v>
      </c>
      <c r="J897" s="30"/>
      <c r="K897" s="30"/>
      <c r="L897" s="78">
        <v>45658.0</v>
      </c>
      <c r="M897" s="79" t="s">
        <v>549</v>
      </c>
      <c r="N897" s="33"/>
      <c r="O897" s="30"/>
    </row>
    <row r="898">
      <c r="A898" s="68" t="s">
        <v>18</v>
      </c>
      <c r="B898" s="69" t="s">
        <v>584</v>
      </c>
      <c r="C898" s="47"/>
      <c r="D898" s="49"/>
      <c r="E898" s="71"/>
      <c r="F898" s="71"/>
      <c r="G898" s="72" t="s">
        <v>585</v>
      </c>
      <c r="J898" s="30"/>
      <c r="K898" s="30"/>
      <c r="L898" s="73">
        <v>45658.0</v>
      </c>
      <c r="M898" s="74" t="s">
        <v>586</v>
      </c>
      <c r="N898" s="33"/>
      <c r="O898" s="30"/>
    </row>
    <row r="899">
      <c r="A899" s="64" t="s">
        <v>403</v>
      </c>
      <c r="B899" s="56" t="s">
        <v>563</v>
      </c>
      <c r="C899" s="55" t="s">
        <v>31</v>
      </c>
      <c r="D899" s="56" t="s">
        <v>187</v>
      </c>
      <c r="E899" s="77"/>
      <c r="F899" s="77"/>
      <c r="G899" s="65">
        <v>5.0</v>
      </c>
      <c r="J899" s="30"/>
      <c r="K899" s="30"/>
      <c r="L899" s="78">
        <v>45658.0</v>
      </c>
      <c r="M899" s="79" t="s">
        <v>549</v>
      </c>
      <c r="N899" s="33"/>
      <c r="O899" s="30"/>
    </row>
    <row r="900">
      <c r="A900" s="68" t="s">
        <v>403</v>
      </c>
      <c r="B900" s="69" t="s">
        <v>569</v>
      </c>
      <c r="C900" s="61" t="s">
        <v>31</v>
      </c>
      <c r="D900" s="46" t="s">
        <v>187</v>
      </c>
      <c r="E900" s="71"/>
      <c r="F900" s="71"/>
      <c r="G900" s="72" t="s">
        <v>565</v>
      </c>
      <c r="J900" s="30"/>
      <c r="K900" s="30"/>
      <c r="L900" s="73">
        <v>45658.0</v>
      </c>
      <c r="M900" s="74" t="s">
        <v>549</v>
      </c>
      <c r="N900" s="33"/>
      <c r="O900" s="30"/>
    </row>
    <row r="901">
      <c r="A901" s="64" t="s">
        <v>18</v>
      </c>
      <c r="B901" s="56" t="s">
        <v>587</v>
      </c>
      <c r="C901" s="75"/>
      <c r="D901" s="77"/>
      <c r="E901" s="77"/>
      <c r="F901" s="77"/>
      <c r="G901" s="65" t="s">
        <v>588</v>
      </c>
      <c r="J901" s="30"/>
      <c r="K901" s="30"/>
      <c r="L901" s="78">
        <v>45658.0</v>
      </c>
      <c r="M901" s="79" t="s">
        <v>586</v>
      </c>
      <c r="N901" s="33"/>
      <c r="O901" s="30"/>
    </row>
    <row r="902">
      <c r="A902" s="68" t="s">
        <v>403</v>
      </c>
      <c r="B902" s="69" t="s">
        <v>563</v>
      </c>
      <c r="C902" s="61" t="s">
        <v>31</v>
      </c>
      <c r="D902" s="46" t="s">
        <v>187</v>
      </c>
      <c r="E902" s="71"/>
      <c r="F902" s="71"/>
      <c r="G902" s="72">
        <v>5.0</v>
      </c>
      <c r="J902" s="30"/>
      <c r="K902" s="30"/>
      <c r="L902" s="73">
        <v>45658.0</v>
      </c>
      <c r="M902" s="74" t="s">
        <v>549</v>
      </c>
      <c r="N902" s="33"/>
      <c r="O902" s="30"/>
    </row>
    <row r="903">
      <c r="A903" s="64" t="s">
        <v>403</v>
      </c>
      <c r="B903" s="56" t="s">
        <v>569</v>
      </c>
      <c r="C903" s="55" t="s">
        <v>31</v>
      </c>
      <c r="D903" s="56" t="s">
        <v>187</v>
      </c>
      <c r="E903" s="77"/>
      <c r="F903" s="77"/>
      <c r="G903" s="65" t="s">
        <v>565</v>
      </c>
      <c r="J903" s="30"/>
      <c r="K903" s="30"/>
      <c r="L903" s="78">
        <v>45658.0</v>
      </c>
      <c r="M903" s="79" t="s">
        <v>549</v>
      </c>
      <c r="N903" s="33"/>
      <c r="O903" s="30"/>
    </row>
    <row r="904">
      <c r="A904" s="68" t="s">
        <v>18</v>
      </c>
      <c r="B904" s="69" t="s">
        <v>589</v>
      </c>
      <c r="C904" s="47"/>
      <c r="D904" s="49"/>
      <c r="E904" s="71"/>
      <c r="F904" s="71"/>
      <c r="G904" s="72" t="s">
        <v>590</v>
      </c>
      <c r="J904" s="30"/>
      <c r="K904" s="30"/>
      <c r="L904" s="73">
        <v>45658.0</v>
      </c>
      <c r="M904" s="74" t="s">
        <v>586</v>
      </c>
      <c r="N904" s="33"/>
      <c r="O904" s="30"/>
    </row>
    <row r="905">
      <c r="A905" s="64" t="s">
        <v>403</v>
      </c>
      <c r="B905" s="56" t="s">
        <v>591</v>
      </c>
      <c r="C905" s="55" t="s">
        <v>31</v>
      </c>
      <c r="D905" s="56" t="s">
        <v>187</v>
      </c>
      <c r="E905" s="77"/>
      <c r="F905" s="77"/>
      <c r="G905" s="65">
        <v>5.0</v>
      </c>
      <c r="J905" s="30"/>
      <c r="K905" s="30"/>
      <c r="L905" s="78">
        <v>45658.0</v>
      </c>
      <c r="M905" s="79" t="s">
        <v>549</v>
      </c>
      <c r="N905" s="33"/>
      <c r="O905" s="30"/>
    </row>
    <row r="906">
      <c r="A906" s="68" t="s">
        <v>403</v>
      </c>
      <c r="B906" s="69" t="s">
        <v>592</v>
      </c>
      <c r="C906" s="61" t="s">
        <v>31</v>
      </c>
      <c r="D906" s="46" t="s">
        <v>187</v>
      </c>
      <c r="E906" s="71"/>
      <c r="F906" s="71"/>
      <c r="G906" s="72" t="s">
        <v>565</v>
      </c>
      <c r="J906" s="30"/>
      <c r="K906" s="30"/>
      <c r="L906" s="73">
        <v>45658.0</v>
      </c>
      <c r="M906" s="74" t="s">
        <v>549</v>
      </c>
      <c r="N906" s="33"/>
      <c r="O906" s="30"/>
    </row>
    <row r="907">
      <c r="A907" s="64" t="s">
        <v>18</v>
      </c>
      <c r="B907" s="56" t="s">
        <v>593</v>
      </c>
      <c r="C907" s="75"/>
      <c r="D907" s="76"/>
      <c r="E907" s="77"/>
      <c r="F907" s="77"/>
      <c r="G907" s="65" t="s">
        <v>594</v>
      </c>
      <c r="J907" s="30"/>
      <c r="K907" s="30"/>
      <c r="L907" s="78">
        <v>45658.0</v>
      </c>
      <c r="M907" s="79" t="s">
        <v>586</v>
      </c>
      <c r="N907" s="33"/>
      <c r="O907" s="30"/>
    </row>
    <row r="908">
      <c r="A908" s="68" t="s">
        <v>18</v>
      </c>
      <c r="B908" s="69" t="s">
        <v>595</v>
      </c>
      <c r="C908" s="47"/>
      <c r="D908" s="49"/>
      <c r="E908" s="71"/>
      <c r="F908" s="71"/>
      <c r="G908" s="72" t="s">
        <v>596</v>
      </c>
      <c r="J908" s="30"/>
      <c r="K908" s="30"/>
      <c r="L908" s="73">
        <v>45658.0</v>
      </c>
      <c r="M908" s="74" t="s">
        <v>586</v>
      </c>
      <c r="N908" s="33"/>
      <c r="O908" s="30"/>
    </row>
    <row r="909">
      <c r="A909" s="64" t="s">
        <v>403</v>
      </c>
      <c r="B909" s="56" t="s">
        <v>591</v>
      </c>
      <c r="C909" s="55" t="s">
        <v>31</v>
      </c>
      <c r="D909" s="56" t="s">
        <v>187</v>
      </c>
      <c r="E909" s="77"/>
      <c r="F909" s="77"/>
      <c r="G909" s="65">
        <v>5.0</v>
      </c>
      <c r="J909" s="30"/>
      <c r="K909" s="30"/>
      <c r="L909" s="78">
        <v>45658.0</v>
      </c>
      <c r="M909" s="79" t="s">
        <v>549</v>
      </c>
      <c r="N909" s="33"/>
      <c r="O909" s="30"/>
    </row>
    <row r="910">
      <c r="A910" s="68" t="s">
        <v>403</v>
      </c>
      <c r="B910" s="69" t="s">
        <v>592</v>
      </c>
      <c r="C910" s="61" t="s">
        <v>31</v>
      </c>
      <c r="D910" s="46" t="s">
        <v>187</v>
      </c>
      <c r="E910" s="71"/>
      <c r="F910" s="71"/>
      <c r="G910" s="72" t="s">
        <v>565</v>
      </c>
      <c r="J910" s="30"/>
      <c r="K910" s="30"/>
      <c r="L910" s="73">
        <v>45658.0</v>
      </c>
      <c r="M910" s="74" t="s">
        <v>549</v>
      </c>
      <c r="N910" s="33"/>
      <c r="O910" s="30"/>
    </row>
    <row r="911">
      <c r="A911" s="64" t="s">
        <v>18</v>
      </c>
      <c r="B911" s="56" t="s">
        <v>597</v>
      </c>
      <c r="C911" s="75"/>
      <c r="D911" s="77"/>
      <c r="E911" s="77"/>
      <c r="F911" s="77"/>
      <c r="G911" s="65" t="s">
        <v>598</v>
      </c>
      <c r="J911" s="30"/>
      <c r="K911" s="30"/>
      <c r="L911" s="78">
        <v>45658.0</v>
      </c>
      <c r="M911" s="79" t="s">
        <v>586</v>
      </c>
      <c r="N911" s="33"/>
      <c r="O911" s="30"/>
    </row>
    <row r="912">
      <c r="A912" s="68" t="s">
        <v>403</v>
      </c>
      <c r="B912" s="69" t="s">
        <v>591</v>
      </c>
      <c r="C912" s="61" t="s">
        <v>31</v>
      </c>
      <c r="D912" s="46" t="s">
        <v>187</v>
      </c>
      <c r="E912" s="71"/>
      <c r="F912" s="71"/>
      <c r="G912" s="72">
        <v>5.0</v>
      </c>
      <c r="J912" s="30"/>
      <c r="K912" s="30"/>
      <c r="L912" s="73">
        <v>45658.0</v>
      </c>
      <c r="M912" s="74" t="s">
        <v>549</v>
      </c>
      <c r="N912" s="33"/>
      <c r="O912" s="30"/>
    </row>
    <row r="913">
      <c r="A913" s="64" t="s">
        <v>403</v>
      </c>
      <c r="B913" s="56" t="s">
        <v>592</v>
      </c>
      <c r="C913" s="55" t="s">
        <v>31</v>
      </c>
      <c r="D913" s="56" t="s">
        <v>187</v>
      </c>
      <c r="E913" s="77"/>
      <c r="F913" s="77"/>
      <c r="G913" s="65" t="s">
        <v>565</v>
      </c>
      <c r="J913" s="30"/>
      <c r="K913" s="30"/>
      <c r="L913" s="78">
        <v>45658.0</v>
      </c>
      <c r="M913" s="79" t="s">
        <v>549</v>
      </c>
      <c r="N913" s="33"/>
      <c r="O913" s="30"/>
    </row>
    <row r="914">
      <c r="A914" s="68" t="s">
        <v>18</v>
      </c>
      <c r="B914" s="69" t="s">
        <v>599</v>
      </c>
      <c r="C914" s="47"/>
      <c r="D914" s="49"/>
      <c r="E914" s="71"/>
      <c r="F914" s="71"/>
      <c r="G914" s="72" t="s">
        <v>600</v>
      </c>
      <c r="J914" s="30"/>
      <c r="K914" s="30"/>
      <c r="L914" s="73">
        <v>45658.0</v>
      </c>
      <c r="M914" s="74" t="s">
        <v>586</v>
      </c>
      <c r="N914" s="33"/>
      <c r="O914" s="30"/>
    </row>
    <row r="915">
      <c r="A915" s="64" t="s">
        <v>403</v>
      </c>
      <c r="B915" s="56" t="s">
        <v>591</v>
      </c>
      <c r="C915" s="55" t="s">
        <v>31</v>
      </c>
      <c r="D915" s="56" t="s">
        <v>187</v>
      </c>
      <c r="E915" s="77"/>
      <c r="F915" s="77"/>
      <c r="G915" s="65">
        <v>5.0</v>
      </c>
      <c r="J915" s="30"/>
      <c r="K915" s="30"/>
      <c r="L915" s="78">
        <v>45658.0</v>
      </c>
      <c r="M915" s="79" t="s">
        <v>549</v>
      </c>
      <c r="N915" s="33"/>
      <c r="O915" s="30"/>
    </row>
    <row r="916">
      <c r="A916" s="68" t="s">
        <v>403</v>
      </c>
      <c r="B916" s="69" t="s">
        <v>592</v>
      </c>
      <c r="C916" s="61" t="s">
        <v>31</v>
      </c>
      <c r="D916" s="46" t="s">
        <v>187</v>
      </c>
      <c r="E916" s="71"/>
      <c r="F916" s="71"/>
      <c r="G916" s="72" t="s">
        <v>565</v>
      </c>
      <c r="J916" s="30"/>
      <c r="K916" s="30"/>
      <c r="L916" s="73">
        <v>45658.0</v>
      </c>
      <c r="M916" s="74" t="s">
        <v>549</v>
      </c>
      <c r="N916" s="33"/>
      <c r="O916" s="30"/>
    </row>
    <row r="917">
      <c r="A917" s="64" t="s">
        <v>483</v>
      </c>
      <c r="B917" s="82" t="s">
        <v>601</v>
      </c>
      <c r="C917" s="75"/>
      <c r="D917" s="77"/>
      <c r="E917" s="77"/>
      <c r="F917" s="77"/>
      <c r="G917" s="65" t="s">
        <v>602</v>
      </c>
      <c r="J917" s="30"/>
      <c r="K917" s="30"/>
      <c r="L917" s="78">
        <v>45658.0</v>
      </c>
      <c r="M917" s="79" t="s">
        <v>603</v>
      </c>
      <c r="N917" s="33"/>
      <c r="O917" s="30"/>
    </row>
    <row r="918">
      <c r="A918" s="68" t="s">
        <v>483</v>
      </c>
      <c r="B918" s="69" t="s">
        <v>604</v>
      </c>
      <c r="C918" s="61" t="s">
        <v>66</v>
      </c>
      <c r="D918" s="61" t="s">
        <v>485</v>
      </c>
      <c r="E918" s="71"/>
      <c r="F918" s="71"/>
      <c r="G918" s="72" t="s">
        <v>605</v>
      </c>
      <c r="J918" s="30"/>
      <c r="K918" s="30"/>
      <c r="L918" s="73">
        <v>45658.0</v>
      </c>
      <c r="M918" s="74" t="s">
        <v>606</v>
      </c>
      <c r="N918" s="33"/>
      <c r="O918" s="30"/>
    </row>
    <row r="919">
      <c r="A919" s="64" t="s">
        <v>483</v>
      </c>
      <c r="B919" s="56" t="s">
        <v>607</v>
      </c>
      <c r="C919" s="62" t="s">
        <v>66</v>
      </c>
      <c r="D919" s="62" t="s">
        <v>485</v>
      </c>
      <c r="E919" s="77"/>
      <c r="F919" s="77"/>
      <c r="G919" s="65" t="s">
        <v>608</v>
      </c>
      <c r="J919" s="30"/>
      <c r="K919" s="30"/>
      <c r="L919" s="78">
        <v>45658.0</v>
      </c>
      <c r="M919" s="79" t="s">
        <v>609</v>
      </c>
      <c r="N919" s="33"/>
      <c r="O919" s="30"/>
    </row>
    <row r="920">
      <c r="A920" s="45" t="s">
        <v>389</v>
      </c>
      <c r="B920" s="69" t="s">
        <v>610</v>
      </c>
      <c r="C920" s="61" t="s">
        <v>20</v>
      </c>
      <c r="D920" s="46" t="s">
        <v>21</v>
      </c>
      <c r="E920" s="71"/>
      <c r="F920" s="71"/>
      <c r="G920" s="72">
        <v>5162.0</v>
      </c>
      <c r="J920" s="30"/>
      <c r="K920" s="30"/>
      <c r="L920" s="73">
        <v>45658.0</v>
      </c>
      <c r="M920" s="74" t="s">
        <v>556</v>
      </c>
      <c r="N920" s="33"/>
      <c r="O920" s="30"/>
    </row>
    <row r="921">
      <c r="A921" s="64" t="s">
        <v>389</v>
      </c>
      <c r="B921" s="54" t="s">
        <v>610</v>
      </c>
      <c r="C921" s="55" t="s">
        <v>20</v>
      </c>
      <c r="D921" s="56" t="s">
        <v>54</v>
      </c>
      <c r="E921" s="57"/>
      <c r="F921" s="57"/>
      <c r="G921" s="83">
        <v>5162.0</v>
      </c>
      <c r="J921" s="30"/>
      <c r="K921" s="30"/>
      <c r="L921" s="66"/>
      <c r="M921" s="67"/>
      <c r="N921" s="33"/>
      <c r="O921" s="30"/>
    </row>
    <row r="922">
      <c r="A922" s="45" t="s">
        <v>437</v>
      </c>
      <c r="B922" s="46" t="s">
        <v>611</v>
      </c>
      <c r="C922" s="61" t="s">
        <v>20</v>
      </c>
      <c r="D922" s="46" t="s">
        <v>21</v>
      </c>
      <c r="E922" s="49"/>
      <c r="F922" s="49"/>
      <c r="G922" s="84" t="s">
        <v>612</v>
      </c>
      <c r="J922" s="30"/>
      <c r="K922" s="30"/>
      <c r="L922" s="51">
        <v>45658.0</v>
      </c>
      <c r="M922" s="52" t="s">
        <v>613</v>
      </c>
      <c r="N922" s="33"/>
      <c r="O922" s="30"/>
    </row>
    <row r="923">
      <c r="A923" s="53" t="s">
        <v>403</v>
      </c>
      <c r="B923" s="54" t="s">
        <v>614</v>
      </c>
      <c r="C923" s="55" t="s">
        <v>31</v>
      </c>
      <c r="D923" s="56" t="s">
        <v>187</v>
      </c>
      <c r="E923" s="57"/>
      <c r="F923" s="57"/>
      <c r="G923" s="83">
        <v>5.0</v>
      </c>
      <c r="J923" s="30"/>
      <c r="K923" s="30"/>
      <c r="L923" s="59">
        <v>45658.0</v>
      </c>
      <c r="M923" s="60" t="s">
        <v>549</v>
      </c>
      <c r="N923" s="33"/>
      <c r="O923" s="30"/>
    </row>
    <row r="924">
      <c r="A924" s="45" t="s">
        <v>403</v>
      </c>
      <c r="B924" s="46" t="s">
        <v>615</v>
      </c>
      <c r="C924" s="61" t="s">
        <v>31</v>
      </c>
      <c r="D924" s="46" t="s">
        <v>187</v>
      </c>
      <c r="E924" s="49"/>
      <c r="F924" s="49"/>
      <c r="G924" s="84" t="s">
        <v>565</v>
      </c>
      <c r="J924" s="30"/>
      <c r="K924" s="30"/>
      <c r="L924" s="51">
        <v>45658.0</v>
      </c>
      <c r="M924" s="52" t="s">
        <v>549</v>
      </c>
      <c r="N924" s="33"/>
      <c r="O924" s="30"/>
    </row>
    <row r="925">
      <c r="A925" s="64" t="s">
        <v>389</v>
      </c>
      <c r="B925" s="54" t="s">
        <v>616</v>
      </c>
      <c r="C925" s="55" t="s">
        <v>20</v>
      </c>
      <c r="D925" s="56" t="s">
        <v>21</v>
      </c>
      <c r="E925" s="57"/>
      <c r="F925" s="57"/>
      <c r="G925" s="83">
        <v>4.1243055E7</v>
      </c>
      <c r="J925" s="30"/>
      <c r="K925" s="30"/>
      <c r="L925" s="59">
        <v>45658.0</v>
      </c>
      <c r="M925" s="60" t="s">
        <v>617</v>
      </c>
      <c r="N925" s="33"/>
      <c r="O925" s="30"/>
    </row>
    <row r="926">
      <c r="A926" s="45" t="s">
        <v>389</v>
      </c>
      <c r="B926" s="69" t="s">
        <v>616</v>
      </c>
      <c r="C926" s="61" t="s">
        <v>20</v>
      </c>
      <c r="D926" s="46" t="s">
        <v>54</v>
      </c>
      <c r="E926" s="49"/>
      <c r="F926" s="49"/>
      <c r="G926" s="72">
        <v>4.1243055E7</v>
      </c>
      <c r="J926" s="30"/>
      <c r="K926" s="30"/>
      <c r="L926" s="85"/>
      <c r="M926" s="86"/>
      <c r="N926" s="33"/>
      <c r="O926" s="30"/>
    </row>
    <row r="927">
      <c r="A927" s="64" t="s">
        <v>403</v>
      </c>
      <c r="B927" s="56" t="s">
        <v>614</v>
      </c>
      <c r="C927" s="55" t="s">
        <v>31</v>
      </c>
      <c r="D927" s="56" t="s">
        <v>187</v>
      </c>
      <c r="E927" s="77"/>
      <c r="F927" s="77"/>
      <c r="G927" s="65">
        <v>5.0</v>
      </c>
      <c r="J927" s="30"/>
      <c r="K927" s="30"/>
      <c r="L927" s="78">
        <v>45658.0</v>
      </c>
      <c r="M927" s="79" t="s">
        <v>549</v>
      </c>
      <c r="N927" s="33"/>
      <c r="O927" s="30"/>
    </row>
    <row r="928">
      <c r="A928" s="68" t="s">
        <v>403</v>
      </c>
      <c r="B928" s="69" t="s">
        <v>615</v>
      </c>
      <c r="C928" s="61" t="s">
        <v>31</v>
      </c>
      <c r="D928" s="46" t="s">
        <v>187</v>
      </c>
      <c r="E928" s="71"/>
      <c r="F928" s="71"/>
      <c r="G928" s="72" t="s">
        <v>565</v>
      </c>
      <c r="J928" s="30"/>
      <c r="K928" s="30"/>
      <c r="L928" s="73">
        <v>45658.0</v>
      </c>
      <c r="M928" s="74" t="s">
        <v>549</v>
      </c>
      <c r="N928" s="33"/>
      <c r="O928" s="30"/>
    </row>
    <row r="929">
      <c r="A929" s="64" t="s">
        <v>389</v>
      </c>
      <c r="B929" s="56" t="s">
        <v>618</v>
      </c>
      <c r="C929" s="55" t="s">
        <v>20</v>
      </c>
      <c r="D929" s="56" t="s">
        <v>21</v>
      </c>
      <c r="E929" s="77"/>
      <c r="F929" s="77"/>
      <c r="G929" s="65" t="s">
        <v>619</v>
      </c>
      <c r="J929" s="30"/>
      <c r="K929" s="30"/>
      <c r="L929" s="78">
        <v>45658.0</v>
      </c>
      <c r="M929" s="79" t="s">
        <v>556</v>
      </c>
      <c r="N929" s="33"/>
      <c r="O929" s="30"/>
    </row>
    <row r="930">
      <c r="A930" s="45" t="s">
        <v>389</v>
      </c>
      <c r="B930" s="46" t="s">
        <v>618</v>
      </c>
      <c r="C930" s="61" t="s">
        <v>20</v>
      </c>
      <c r="D930" s="46" t="s">
        <v>54</v>
      </c>
      <c r="E930" s="49"/>
      <c r="F930" s="49"/>
      <c r="G930" s="84" t="s">
        <v>619</v>
      </c>
      <c r="J930" s="30"/>
      <c r="K930" s="30"/>
      <c r="L930" s="85"/>
      <c r="M930" s="86"/>
      <c r="N930" s="33"/>
      <c r="O930" s="30"/>
    </row>
    <row r="931">
      <c r="A931" s="53" t="s">
        <v>403</v>
      </c>
      <c r="B931" s="54" t="s">
        <v>614</v>
      </c>
      <c r="C931" s="55" t="s">
        <v>31</v>
      </c>
      <c r="D931" s="56" t="s">
        <v>187</v>
      </c>
      <c r="E931" s="57"/>
      <c r="F931" s="57"/>
      <c r="G931" s="83">
        <v>5.0</v>
      </c>
      <c r="J931" s="30"/>
      <c r="K931" s="30"/>
      <c r="L931" s="59">
        <v>45658.0</v>
      </c>
      <c r="M931" s="60" t="s">
        <v>549</v>
      </c>
      <c r="N931" s="33"/>
      <c r="O931" s="30"/>
    </row>
    <row r="932">
      <c r="A932" s="45" t="s">
        <v>403</v>
      </c>
      <c r="B932" s="46" t="s">
        <v>615</v>
      </c>
      <c r="C932" s="61" t="s">
        <v>31</v>
      </c>
      <c r="D932" s="46" t="s">
        <v>187</v>
      </c>
      <c r="E932" s="49"/>
      <c r="F932" s="49"/>
      <c r="G932" s="84" t="s">
        <v>565</v>
      </c>
      <c r="J932" s="30"/>
      <c r="K932" s="30"/>
      <c r="L932" s="51">
        <v>45658.0</v>
      </c>
      <c r="M932" s="52" t="s">
        <v>549</v>
      </c>
      <c r="N932" s="33"/>
      <c r="O932" s="30"/>
    </row>
    <row r="933">
      <c r="A933" s="64" t="s">
        <v>389</v>
      </c>
      <c r="B933" s="54" t="s">
        <v>620</v>
      </c>
      <c r="C933" s="55" t="s">
        <v>20</v>
      </c>
      <c r="D933" s="56" t="s">
        <v>21</v>
      </c>
      <c r="E933" s="57"/>
      <c r="F933" s="57"/>
      <c r="G933" s="83">
        <v>17659.0</v>
      </c>
      <c r="J933" s="30"/>
      <c r="K933" s="30"/>
      <c r="L933" s="59">
        <v>45658.0</v>
      </c>
      <c r="M933" s="60" t="s">
        <v>556</v>
      </c>
      <c r="N933" s="33"/>
      <c r="O933" s="30"/>
    </row>
    <row r="934">
      <c r="A934" s="45" t="s">
        <v>389</v>
      </c>
      <c r="B934" s="69" t="s">
        <v>620</v>
      </c>
      <c r="C934" s="61" t="s">
        <v>20</v>
      </c>
      <c r="D934" s="46" t="s">
        <v>54</v>
      </c>
      <c r="E934" s="49"/>
      <c r="F934" s="49"/>
      <c r="G934" s="72">
        <v>17659.0</v>
      </c>
      <c r="J934" s="30"/>
      <c r="K934" s="30"/>
      <c r="L934" s="85"/>
      <c r="M934" s="86"/>
      <c r="N934" s="33"/>
      <c r="O934" s="30"/>
    </row>
    <row r="935">
      <c r="A935" s="64" t="s">
        <v>403</v>
      </c>
      <c r="B935" s="56" t="s">
        <v>614</v>
      </c>
      <c r="C935" s="55" t="s">
        <v>31</v>
      </c>
      <c r="D935" s="56" t="s">
        <v>187</v>
      </c>
      <c r="E935" s="77"/>
      <c r="F935" s="77"/>
      <c r="G935" s="65">
        <v>5.0</v>
      </c>
      <c r="J935" s="30"/>
      <c r="K935" s="30"/>
      <c r="L935" s="78">
        <v>45658.0</v>
      </c>
      <c r="M935" s="79" t="s">
        <v>549</v>
      </c>
      <c r="N935" s="33"/>
      <c r="O935" s="30"/>
    </row>
    <row r="936">
      <c r="A936" s="68" t="s">
        <v>403</v>
      </c>
      <c r="B936" s="69" t="s">
        <v>621</v>
      </c>
      <c r="C936" s="61" t="s">
        <v>31</v>
      </c>
      <c r="D936" s="46" t="s">
        <v>187</v>
      </c>
      <c r="E936" s="71"/>
      <c r="F936" s="71"/>
      <c r="G936" s="72" t="s">
        <v>565</v>
      </c>
      <c r="J936" s="30"/>
      <c r="K936" s="30"/>
      <c r="L936" s="73">
        <v>45658.0</v>
      </c>
      <c r="M936" s="74" t="s">
        <v>549</v>
      </c>
      <c r="N936" s="33"/>
      <c r="O936" s="30"/>
    </row>
    <row r="937">
      <c r="A937" s="64" t="s">
        <v>378</v>
      </c>
      <c r="B937" s="56" t="s">
        <v>622</v>
      </c>
      <c r="C937" s="75"/>
      <c r="D937" s="76"/>
      <c r="E937" s="77"/>
      <c r="F937" s="77"/>
      <c r="G937" s="65">
        <v>15000.0</v>
      </c>
      <c r="J937" s="30"/>
      <c r="K937" s="30"/>
      <c r="L937" s="78">
        <v>45658.0</v>
      </c>
      <c r="M937" s="79" t="s">
        <v>623</v>
      </c>
      <c r="N937" s="33"/>
      <c r="O937" s="30"/>
    </row>
    <row r="938">
      <c r="A938" s="68" t="s">
        <v>403</v>
      </c>
      <c r="B938" s="69" t="s">
        <v>614</v>
      </c>
      <c r="C938" s="61" t="s">
        <v>31</v>
      </c>
      <c r="D938" s="46" t="s">
        <v>187</v>
      </c>
      <c r="E938" s="71"/>
      <c r="F938" s="71"/>
      <c r="G938" s="72">
        <v>5.0</v>
      </c>
      <c r="J938" s="30"/>
      <c r="K938" s="30"/>
      <c r="L938" s="73">
        <v>45658.0</v>
      </c>
      <c r="M938" s="74" t="s">
        <v>549</v>
      </c>
      <c r="N938" s="33"/>
      <c r="O938" s="30"/>
    </row>
    <row r="939">
      <c r="A939" s="64" t="s">
        <v>403</v>
      </c>
      <c r="B939" s="56" t="s">
        <v>615</v>
      </c>
      <c r="C939" s="55" t="s">
        <v>31</v>
      </c>
      <c r="D939" s="56" t="s">
        <v>187</v>
      </c>
      <c r="E939" s="77"/>
      <c r="F939" s="77"/>
      <c r="G939" s="65" t="s">
        <v>565</v>
      </c>
      <c r="J939" s="30"/>
      <c r="K939" s="30"/>
      <c r="L939" s="78">
        <v>45658.0</v>
      </c>
      <c r="M939" s="79" t="s">
        <v>549</v>
      </c>
      <c r="N939" s="33"/>
      <c r="O939" s="30"/>
    </row>
    <row r="940">
      <c r="A940" s="68" t="s">
        <v>528</v>
      </c>
      <c r="B940" s="69" t="s">
        <v>624</v>
      </c>
      <c r="C940" s="47"/>
      <c r="D940" s="49"/>
      <c r="E940" s="71"/>
      <c r="F940" s="71"/>
      <c r="G940" s="72">
        <v>914.0</v>
      </c>
      <c r="J940" s="30"/>
      <c r="K940" s="30"/>
      <c r="L940" s="73">
        <v>45658.0</v>
      </c>
      <c r="M940" s="74" t="s">
        <v>625</v>
      </c>
      <c r="N940" s="33"/>
      <c r="O940" s="30"/>
    </row>
    <row r="941">
      <c r="A941" s="64" t="s">
        <v>528</v>
      </c>
      <c r="B941" s="56" t="s">
        <v>626</v>
      </c>
      <c r="C941" s="75"/>
      <c r="D941" s="77"/>
      <c r="E941" s="77"/>
      <c r="F941" s="77"/>
      <c r="G941" s="65">
        <v>549.0</v>
      </c>
      <c r="J941" s="30"/>
      <c r="K941" s="30"/>
      <c r="L941" s="78">
        <v>45658.0</v>
      </c>
      <c r="M941" s="79" t="s">
        <v>625</v>
      </c>
      <c r="N941" s="33"/>
      <c r="O941" s="30"/>
    </row>
    <row r="942">
      <c r="A942" s="68" t="s">
        <v>573</v>
      </c>
      <c r="B942" s="69" t="s">
        <v>627</v>
      </c>
      <c r="C942" s="47"/>
      <c r="D942" s="49"/>
      <c r="E942" s="71"/>
      <c r="F942" s="71"/>
      <c r="G942" s="87">
        <v>411781.0</v>
      </c>
      <c r="J942" s="30"/>
      <c r="K942" s="30"/>
      <c r="L942" s="73">
        <v>45658.0</v>
      </c>
      <c r="M942" s="74" t="s">
        <v>628</v>
      </c>
      <c r="N942" s="33"/>
      <c r="O942" s="30"/>
    </row>
    <row r="943">
      <c r="A943" s="64" t="s">
        <v>403</v>
      </c>
      <c r="B943" s="56" t="s">
        <v>614</v>
      </c>
      <c r="C943" s="55" t="s">
        <v>31</v>
      </c>
      <c r="D943" s="56" t="s">
        <v>187</v>
      </c>
      <c r="E943" s="77"/>
      <c r="F943" s="77"/>
      <c r="G943" s="65">
        <v>5.0</v>
      </c>
      <c r="J943" s="30"/>
      <c r="K943" s="30"/>
      <c r="L943" s="78">
        <v>45658.0</v>
      </c>
      <c r="M943" s="79" t="s">
        <v>549</v>
      </c>
      <c r="N943" s="33"/>
      <c r="O943" s="30"/>
    </row>
    <row r="944">
      <c r="A944" s="68" t="s">
        <v>403</v>
      </c>
      <c r="B944" s="69" t="s">
        <v>615</v>
      </c>
      <c r="C944" s="61" t="s">
        <v>31</v>
      </c>
      <c r="D944" s="46" t="s">
        <v>187</v>
      </c>
      <c r="E944" s="71"/>
      <c r="F944" s="71"/>
      <c r="G944" s="72" t="s">
        <v>565</v>
      </c>
      <c r="J944" s="30"/>
      <c r="K944" s="30"/>
      <c r="L944" s="73">
        <v>45658.0</v>
      </c>
      <c r="M944" s="74" t="s">
        <v>549</v>
      </c>
      <c r="N944" s="33"/>
      <c r="O944" s="30"/>
    </row>
    <row r="945">
      <c r="A945" s="64" t="s">
        <v>479</v>
      </c>
      <c r="B945" s="56" t="s">
        <v>629</v>
      </c>
      <c r="C945" s="62" t="s">
        <v>20</v>
      </c>
      <c r="D945" s="62" t="s">
        <v>21</v>
      </c>
      <c r="E945" s="77"/>
      <c r="F945" s="77"/>
      <c r="G945" s="65" t="s">
        <v>630</v>
      </c>
      <c r="J945" s="30"/>
      <c r="K945" s="30"/>
      <c r="L945" s="78">
        <v>45658.0</v>
      </c>
      <c r="M945" s="79" t="s">
        <v>631</v>
      </c>
      <c r="N945" s="33"/>
      <c r="O945" s="30"/>
    </row>
    <row r="946">
      <c r="A946" s="68" t="s">
        <v>403</v>
      </c>
      <c r="B946" s="69" t="s">
        <v>614</v>
      </c>
      <c r="C946" s="61" t="s">
        <v>31</v>
      </c>
      <c r="D946" s="46" t="s">
        <v>187</v>
      </c>
      <c r="E946" s="71"/>
      <c r="F946" s="71"/>
      <c r="G946" s="72">
        <v>5.0</v>
      </c>
      <c r="J946" s="30"/>
      <c r="K946" s="30"/>
      <c r="L946" s="73">
        <v>45658.0</v>
      </c>
      <c r="M946" s="74" t="s">
        <v>549</v>
      </c>
      <c r="N946" s="33"/>
      <c r="O946" s="30"/>
    </row>
    <row r="947">
      <c r="A947" s="64" t="s">
        <v>403</v>
      </c>
      <c r="B947" s="56" t="s">
        <v>615</v>
      </c>
      <c r="C947" s="55" t="s">
        <v>31</v>
      </c>
      <c r="D947" s="56" t="s">
        <v>187</v>
      </c>
      <c r="E947" s="77"/>
      <c r="F947" s="77"/>
      <c r="G947" s="65" t="s">
        <v>565</v>
      </c>
      <c r="J947" s="30"/>
      <c r="K947" s="30"/>
      <c r="L947" s="78">
        <v>45658.0</v>
      </c>
      <c r="M947" s="79" t="s">
        <v>549</v>
      </c>
      <c r="N947" s="33"/>
      <c r="O947" s="30"/>
    </row>
    <row r="948">
      <c r="A948" s="68" t="s">
        <v>508</v>
      </c>
      <c r="B948" s="69" t="s">
        <v>632</v>
      </c>
      <c r="C948" s="61" t="s">
        <v>20</v>
      </c>
      <c r="D948" s="61" t="s">
        <v>21</v>
      </c>
      <c r="E948" s="71"/>
      <c r="F948" s="71"/>
      <c r="G948" s="72" t="s">
        <v>633</v>
      </c>
      <c r="J948" s="30"/>
      <c r="K948" s="30"/>
      <c r="L948" s="73">
        <v>45658.0</v>
      </c>
      <c r="M948" s="74" t="s">
        <v>509</v>
      </c>
      <c r="N948" s="33"/>
      <c r="O948" s="30"/>
    </row>
    <row r="949">
      <c r="A949" s="64" t="s">
        <v>403</v>
      </c>
      <c r="B949" s="56" t="s">
        <v>634</v>
      </c>
      <c r="C949" s="55" t="s">
        <v>31</v>
      </c>
      <c r="D949" s="56" t="s">
        <v>187</v>
      </c>
      <c r="E949" s="77"/>
      <c r="F949" s="77"/>
      <c r="G949" s="65">
        <v>5.0</v>
      </c>
      <c r="J949" s="30"/>
      <c r="K949" s="30"/>
      <c r="L949" s="78">
        <v>45658.0</v>
      </c>
      <c r="M949" s="79" t="s">
        <v>549</v>
      </c>
      <c r="N949" s="33"/>
      <c r="O949" s="30"/>
    </row>
    <row r="950">
      <c r="A950" s="68" t="s">
        <v>403</v>
      </c>
      <c r="B950" s="69" t="s">
        <v>635</v>
      </c>
      <c r="C950" s="61" t="s">
        <v>31</v>
      </c>
      <c r="D950" s="46" t="s">
        <v>187</v>
      </c>
      <c r="E950" s="71"/>
      <c r="F950" s="71"/>
      <c r="G950" s="72" t="s">
        <v>565</v>
      </c>
      <c r="J950" s="30"/>
      <c r="K950" s="30"/>
      <c r="L950" s="73">
        <v>45658.0</v>
      </c>
      <c r="M950" s="74" t="s">
        <v>549</v>
      </c>
      <c r="N950" s="33"/>
      <c r="O950" s="30"/>
    </row>
    <row r="951">
      <c r="A951" s="64" t="s">
        <v>367</v>
      </c>
      <c r="B951" s="56" t="s">
        <v>636</v>
      </c>
      <c r="C951" s="75"/>
      <c r="D951" s="77"/>
      <c r="E951" s="77"/>
      <c r="F951" s="77"/>
      <c r="G951" s="65" t="s">
        <v>637</v>
      </c>
      <c r="J951" s="30"/>
      <c r="K951" s="30"/>
      <c r="L951" s="78">
        <v>45658.0</v>
      </c>
      <c r="M951" s="79" t="s">
        <v>638</v>
      </c>
      <c r="N951" s="33"/>
      <c r="O951" s="30"/>
    </row>
    <row r="952">
      <c r="A952" s="68" t="s">
        <v>403</v>
      </c>
      <c r="B952" s="69" t="s">
        <v>634</v>
      </c>
      <c r="C952" s="61" t="s">
        <v>31</v>
      </c>
      <c r="D952" s="46" t="s">
        <v>187</v>
      </c>
      <c r="E952" s="71"/>
      <c r="F952" s="71"/>
      <c r="G952" s="72">
        <v>5.0</v>
      </c>
      <c r="J952" s="30"/>
      <c r="K952" s="30"/>
      <c r="L952" s="73">
        <v>45658.0</v>
      </c>
      <c r="M952" s="74" t="s">
        <v>549</v>
      </c>
      <c r="N952" s="33"/>
      <c r="O952" s="30"/>
    </row>
    <row r="953">
      <c r="A953" s="64" t="s">
        <v>403</v>
      </c>
      <c r="B953" s="56" t="s">
        <v>635</v>
      </c>
      <c r="C953" s="55" t="s">
        <v>31</v>
      </c>
      <c r="D953" s="56" t="s">
        <v>187</v>
      </c>
      <c r="E953" s="77"/>
      <c r="F953" s="77"/>
      <c r="G953" s="65" t="s">
        <v>565</v>
      </c>
      <c r="J953" s="30"/>
      <c r="K953" s="30"/>
      <c r="L953" s="78">
        <v>45658.0</v>
      </c>
      <c r="M953" s="79" t="s">
        <v>549</v>
      </c>
      <c r="N953" s="33"/>
      <c r="O953" s="30"/>
    </row>
    <row r="954">
      <c r="A954" s="68" t="s">
        <v>18</v>
      </c>
      <c r="B954" s="69" t="s">
        <v>639</v>
      </c>
      <c r="C954" s="47"/>
      <c r="D954" s="49"/>
      <c r="E954" s="71"/>
      <c r="F954" s="71"/>
      <c r="G954" s="87">
        <v>2149940.0</v>
      </c>
      <c r="J954" s="30"/>
      <c r="K954" s="30"/>
      <c r="L954" s="73">
        <v>45658.0</v>
      </c>
      <c r="M954" s="74" t="s">
        <v>586</v>
      </c>
      <c r="N954" s="33"/>
      <c r="O954" s="30"/>
    </row>
    <row r="955">
      <c r="A955" s="64" t="s">
        <v>403</v>
      </c>
      <c r="B955" s="56" t="s">
        <v>634</v>
      </c>
      <c r="C955" s="55" t="s">
        <v>31</v>
      </c>
      <c r="D955" s="56" t="s">
        <v>187</v>
      </c>
      <c r="E955" s="77"/>
      <c r="F955" s="77"/>
      <c r="G955" s="65">
        <v>5.0</v>
      </c>
      <c r="J955" s="30"/>
      <c r="K955" s="30"/>
      <c r="L955" s="78">
        <v>45658.0</v>
      </c>
      <c r="M955" s="79" t="s">
        <v>549</v>
      </c>
      <c r="N955" s="33"/>
      <c r="O955" s="30"/>
    </row>
    <row r="956">
      <c r="A956" s="68" t="s">
        <v>403</v>
      </c>
      <c r="B956" s="69" t="s">
        <v>635</v>
      </c>
      <c r="C956" s="61" t="s">
        <v>31</v>
      </c>
      <c r="D956" s="46" t="s">
        <v>187</v>
      </c>
      <c r="E956" s="71"/>
      <c r="F956" s="71"/>
      <c r="G956" s="72" t="s">
        <v>565</v>
      </c>
      <c r="J956" s="30"/>
      <c r="K956" s="30"/>
      <c r="L956" s="73">
        <v>45658.0</v>
      </c>
      <c r="M956" s="74" t="s">
        <v>549</v>
      </c>
      <c r="N956" s="33"/>
      <c r="O956" s="30"/>
    </row>
    <row r="957">
      <c r="A957" s="64" t="s">
        <v>18</v>
      </c>
      <c r="B957" s="56" t="s">
        <v>640</v>
      </c>
      <c r="C957" s="75"/>
      <c r="D957" s="77"/>
      <c r="E957" s="77"/>
      <c r="F957" s="77"/>
      <c r="G957" s="65" t="s">
        <v>641</v>
      </c>
      <c r="J957" s="30"/>
      <c r="K957" s="30"/>
      <c r="L957" s="78">
        <v>45658.0</v>
      </c>
      <c r="M957" s="79" t="s">
        <v>586</v>
      </c>
      <c r="N957" s="33"/>
      <c r="O957" s="30"/>
    </row>
    <row r="958">
      <c r="A958" s="68" t="s">
        <v>451</v>
      </c>
      <c r="B958" s="69" t="s">
        <v>642</v>
      </c>
      <c r="C958" s="47"/>
      <c r="D958" s="49"/>
      <c r="E958" s="71"/>
      <c r="F958" s="71"/>
      <c r="G958" s="72">
        <v>34160.0</v>
      </c>
      <c r="J958" s="30"/>
      <c r="K958" s="30"/>
      <c r="L958" s="73">
        <v>45658.0</v>
      </c>
      <c r="M958" s="74" t="s">
        <v>643</v>
      </c>
      <c r="N958" s="33"/>
      <c r="O958" s="30"/>
    </row>
    <row r="959">
      <c r="A959" s="64" t="s">
        <v>403</v>
      </c>
      <c r="B959" s="56" t="s">
        <v>644</v>
      </c>
      <c r="C959" s="55" t="s">
        <v>31</v>
      </c>
      <c r="D959" s="56" t="s">
        <v>187</v>
      </c>
      <c r="E959" s="77"/>
      <c r="F959" s="77"/>
      <c r="G959" s="65">
        <v>5.0</v>
      </c>
      <c r="J959" s="30"/>
      <c r="K959" s="30"/>
      <c r="L959" s="78">
        <v>45658.0</v>
      </c>
      <c r="M959" s="79" t="s">
        <v>549</v>
      </c>
      <c r="N959" s="33"/>
      <c r="O959" s="30"/>
    </row>
    <row r="960">
      <c r="A960" s="68" t="s">
        <v>403</v>
      </c>
      <c r="B960" s="69" t="s">
        <v>645</v>
      </c>
      <c r="C960" s="61" t="s">
        <v>31</v>
      </c>
      <c r="D960" s="46" t="s">
        <v>187</v>
      </c>
      <c r="E960" s="71"/>
      <c r="F960" s="71"/>
      <c r="G960" s="72" t="s">
        <v>565</v>
      </c>
      <c r="J960" s="30"/>
      <c r="K960" s="30"/>
      <c r="L960" s="73">
        <v>45658.0</v>
      </c>
      <c r="M960" s="74" t="s">
        <v>549</v>
      </c>
      <c r="N960" s="33"/>
      <c r="O960" s="30"/>
    </row>
    <row r="961">
      <c r="A961" s="80"/>
      <c r="B961" s="56" t="s">
        <v>646</v>
      </c>
      <c r="C961" s="75"/>
      <c r="D961" s="77"/>
      <c r="E961" s="77"/>
      <c r="F961" s="77"/>
      <c r="G961" s="65" t="s">
        <v>647</v>
      </c>
      <c r="J961" s="30"/>
      <c r="K961" s="30"/>
      <c r="L961" s="78">
        <v>45658.0</v>
      </c>
      <c r="M961" s="79" t="s">
        <v>648</v>
      </c>
      <c r="N961" s="33"/>
      <c r="O961" s="30"/>
    </row>
    <row r="962">
      <c r="A962" s="68" t="s">
        <v>18</v>
      </c>
      <c r="B962" s="69" t="s">
        <v>649</v>
      </c>
      <c r="C962" s="47"/>
      <c r="D962" s="70"/>
      <c r="E962" s="71"/>
      <c r="F962" s="71"/>
      <c r="G962" s="72" t="s">
        <v>650</v>
      </c>
      <c r="J962" s="30"/>
      <c r="K962" s="30"/>
      <c r="L962" s="73">
        <v>45658.0</v>
      </c>
      <c r="M962" s="74" t="s">
        <v>586</v>
      </c>
      <c r="N962" s="33"/>
      <c r="O962" s="30"/>
    </row>
    <row r="963">
      <c r="A963" s="64" t="s">
        <v>403</v>
      </c>
      <c r="B963" s="56" t="s">
        <v>644</v>
      </c>
      <c r="C963" s="55" t="s">
        <v>31</v>
      </c>
      <c r="D963" s="56" t="s">
        <v>187</v>
      </c>
      <c r="E963" s="77"/>
      <c r="F963" s="77"/>
      <c r="G963" s="65">
        <v>5.0</v>
      </c>
      <c r="J963" s="30"/>
      <c r="K963" s="30"/>
      <c r="L963" s="78">
        <v>45658.0</v>
      </c>
      <c r="M963" s="79" t="s">
        <v>549</v>
      </c>
      <c r="N963" s="33"/>
      <c r="O963" s="30"/>
    </row>
    <row r="964">
      <c r="A964" s="68" t="s">
        <v>403</v>
      </c>
      <c r="B964" s="69" t="s">
        <v>645</v>
      </c>
      <c r="C964" s="61" t="s">
        <v>31</v>
      </c>
      <c r="D964" s="46" t="s">
        <v>187</v>
      </c>
      <c r="E964" s="71"/>
      <c r="F964" s="71"/>
      <c r="G964" s="72" t="s">
        <v>565</v>
      </c>
      <c r="J964" s="30"/>
      <c r="K964" s="30"/>
      <c r="L964" s="73">
        <v>45658.0</v>
      </c>
      <c r="M964" s="74" t="s">
        <v>549</v>
      </c>
      <c r="N964" s="33"/>
      <c r="O964" s="30"/>
    </row>
    <row r="965">
      <c r="A965" s="64" t="s">
        <v>18</v>
      </c>
      <c r="B965" s="56" t="s">
        <v>651</v>
      </c>
      <c r="C965" s="75"/>
      <c r="D965" s="77"/>
      <c r="E965" s="77"/>
      <c r="F965" s="77"/>
      <c r="G965" s="65" t="s">
        <v>652</v>
      </c>
      <c r="J965" s="30"/>
      <c r="K965" s="30"/>
      <c r="L965" s="78">
        <v>45658.0</v>
      </c>
      <c r="M965" s="79" t="s">
        <v>586</v>
      </c>
      <c r="N965" s="33"/>
      <c r="O965" s="30"/>
    </row>
    <row r="966">
      <c r="A966" s="68" t="s">
        <v>403</v>
      </c>
      <c r="B966" s="69" t="s">
        <v>644</v>
      </c>
      <c r="C966" s="61" t="s">
        <v>31</v>
      </c>
      <c r="D966" s="46" t="s">
        <v>187</v>
      </c>
      <c r="E966" s="71"/>
      <c r="F966" s="71"/>
      <c r="G966" s="72">
        <v>5.0</v>
      </c>
      <c r="J966" s="30"/>
      <c r="K966" s="30"/>
      <c r="L966" s="73">
        <v>45658.0</v>
      </c>
      <c r="M966" s="74" t="s">
        <v>549</v>
      </c>
      <c r="N966" s="33"/>
      <c r="O966" s="30"/>
    </row>
    <row r="967">
      <c r="A967" s="64" t="s">
        <v>403</v>
      </c>
      <c r="B967" s="56" t="s">
        <v>645</v>
      </c>
      <c r="C967" s="55" t="s">
        <v>31</v>
      </c>
      <c r="D967" s="56" t="s">
        <v>187</v>
      </c>
      <c r="E967" s="77"/>
      <c r="F967" s="77"/>
      <c r="G967" s="65" t="s">
        <v>565</v>
      </c>
      <c r="J967" s="30"/>
      <c r="K967" s="30"/>
      <c r="L967" s="78">
        <v>45658.0</v>
      </c>
      <c r="M967" s="79" t="s">
        <v>549</v>
      </c>
      <c r="N967" s="33"/>
      <c r="O967" s="30"/>
    </row>
    <row r="968">
      <c r="A968" s="68" t="s">
        <v>437</v>
      </c>
      <c r="B968" s="69" t="s">
        <v>653</v>
      </c>
      <c r="C968" s="61" t="s">
        <v>20</v>
      </c>
      <c r="D968" s="46" t="s">
        <v>21</v>
      </c>
      <c r="E968" s="71"/>
      <c r="F968" s="71"/>
      <c r="G968" s="72" t="s">
        <v>654</v>
      </c>
      <c r="J968" s="30"/>
      <c r="K968" s="30"/>
      <c r="L968" s="73">
        <v>45658.0</v>
      </c>
      <c r="M968" s="74" t="s">
        <v>613</v>
      </c>
      <c r="N968" s="33"/>
      <c r="O968" s="30"/>
    </row>
    <row r="969">
      <c r="A969" s="64" t="s">
        <v>403</v>
      </c>
      <c r="B969" s="56" t="s">
        <v>644</v>
      </c>
      <c r="C969" s="55" t="s">
        <v>31</v>
      </c>
      <c r="D969" s="56" t="s">
        <v>187</v>
      </c>
      <c r="E969" s="77"/>
      <c r="F969" s="77"/>
      <c r="G969" s="65">
        <v>5.0</v>
      </c>
      <c r="J969" s="30"/>
      <c r="K969" s="30"/>
      <c r="L969" s="78">
        <v>45658.0</v>
      </c>
      <c r="M969" s="79" t="s">
        <v>549</v>
      </c>
      <c r="N969" s="33"/>
      <c r="O969" s="30"/>
    </row>
    <row r="970">
      <c r="A970" s="68" t="s">
        <v>403</v>
      </c>
      <c r="B970" s="69" t="s">
        <v>645</v>
      </c>
      <c r="C970" s="61" t="s">
        <v>31</v>
      </c>
      <c r="D970" s="46" t="s">
        <v>187</v>
      </c>
      <c r="E970" s="71"/>
      <c r="F970" s="71"/>
      <c r="G970" s="72" t="s">
        <v>565</v>
      </c>
      <c r="J970" s="30"/>
      <c r="K970" s="30"/>
      <c r="L970" s="73">
        <v>45658.0</v>
      </c>
      <c r="M970" s="74" t="s">
        <v>549</v>
      </c>
      <c r="N970" s="33"/>
      <c r="O970" s="30"/>
    </row>
    <row r="971">
      <c r="A971" s="64" t="s">
        <v>437</v>
      </c>
      <c r="B971" s="56" t="s">
        <v>655</v>
      </c>
      <c r="C971" s="55" t="s">
        <v>20</v>
      </c>
      <c r="D971" s="56" t="s">
        <v>21</v>
      </c>
      <c r="E971" s="77"/>
      <c r="F971" s="77"/>
      <c r="G971" s="65" t="s">
        <v>656</v>
      </c>
      <c r="J971" s="30"/>
      <c r="K971" s="30"/>
      <c r="L971" s="78">
        <v>45658.0</v>
      </c>
      <c r="M971" s="79" t="s">
        <v>613</v>
      </c>
      <c r="N971" s="33"/>
      <c r="O971" s="30"/>
    </row>
    <row r="972">
      <c r="A972" s="68" t="s">
        <v>403</v>
      </c>
      <c r="B972" s="69" t="s">
        <v>644</v>
      </c>
      <c r="C972" s="61" t="s">
        <v>31</v>
      </c>
      <c r="D972" s="46" t="s">
        <v>187</v>
      </c>
      <c r="E972" s="71"/>
      <c r="F972" s="71"/>
      <c r="G972" s="72">
        <v>5.0</v>
      </c>
      <c r="J972" s="30"/>
      <c r="K972" s="30"/>
      <c r="L972" s="73">
        <v>45658.0</v>
      </c>
      <c r="M972" s="74" t="s">
        <v>549</v>
      </c>
      <c r="N972" s="33"/>
      <c r="O972" s="30"/>
    </row>
    <row r="973">
      <c r="A973" s="64" t="s">
        <v>403</v>
      </c>
      <c r="B973" s="56" t="s">
        <v>645</v>
      </c>
      <c r="C973" s="55" t="s">
        <v>31</v>
      </c>
      <c r="D973" s="56" t="s">
        <v>187</v>
      </c>
      <c r="E973" s="77"/>
      <c r="F973" s="77"/>
      <c r="G973" s="65" t="s">
        <v>565</v>
      </c>
      <c r="J973" s="30"/>
      <c r="K973" s="30"/>
      <c r="L973" s="78">
        <v>45658.0</v>
      </c>
      <c r="M973" s="79" t="s">
        <v>549</v>
      </c>
      <c r="N973" s="33"/>
      <c r="O973" s="30"/>
    </row>
    <row r="974">
      <c r="A974" s="68" t="s">
        <v>395</v>
      </c>
      <c r="B974" s="69" t="s">
        <v>657</v>
      </c>
      <c r="C974" s="47"/>
      <c r="D974" s="49"/>
      <c r="E974" s="71"/>
      <c r="F974" s="71"/>
      <c r="G974" s="72">
        <v>5336.0</v>
      </c>
      <c r="J974" s="30"/>
      <c r="K974" s="30"/>
      <c r="L974" s="73">
        <v>45658.0</v>
      </c>
      <c r="M974" s="74" t="s">
        <v>658</v>
      </c>
      <c r="N974" s="33"/>
      <c r="O974" s="30"/>
    </row>
    <row r="975">
      <c r="A975" s="64" t="s">
        <v>395</v>
      </c>
      <c r="B975" s="56" t="s">
        <v>659</v>
      </c>
      <c r="C975" s="75"/>
      <c r="D975" s="77"/>
      <c r="E975" s="77"/>
      <c r="F975" s="77"/>
      <c r="G975" s="65">
        <v>5760.0</v>
      </c>
      <c r="J975" s="30"/>
      <c r="K975" s="30"/>
      <c r="L975" s="78">
        <v>45658.0</v>
      </c>
      <c r="M975" s="79" t="s">
        <v>658</v>
      </c>
      <c r="N975" s="33"/>
      <c r="O975" s="30"/>
    </row>
    <row r="976">
      <c r="A976" s="68" t="s">
        <v>18</v>
      </c>
      <c r="B976" s="69" t="s">
        <v>660</v>
      </c>
      <c r="C976" s="47"/>
      <c r="D976" s="49"/>
      <c r="E976" s="71"/>
      <c r="F976" s="71"/>
      <c r="G976" s="87">
        <v>297399.0</v>
      </c>
      <c r="J976" s="30"/>
      <c r="K976" s="30"/>
      <c r="L976" s="73">
        <v>45658.0</v>
      </c>
      <c r="M976" s="74" t="s">
        <v>586</v>
      </c>
      <c r="N976" s="33"/>
      <c r="O976" s="30"/>
    </row>
    <row r="977">
      <c r="A977" s="64" t="s">
        <v>403</v>
      </c>
      <c r="B977" s="56" t="s">
        <v>644</v>
      </c>
      <c r="C977" s="55" t="s">
        <v>31</v>
      </c>
      <c r="D977" s="56" t="s">
        <v>187</v>
      </c>
      <c r="E977" s="77"/>
      <c r="F977" s="77"/>
      <c r="G977" s="65">
        <v>5.0</v>
      </c>
      <c r="J977" s="30"/>
      <c r="K977" s="30"/>
      <c r="L977" s="78">
        <v>45658.0</v>
      </c>
      <c r="M977" s="79" t="s">
        <v>549</v>
      </c>
      <c r="N977" s="33"/>
      <c r="O977" s="30"/>
    </row>
    <row r="978">
      <c r="A978" s="68" t="s">
        <v>403</v>
      </c>
      <c r="B978" s="69" t="s">
        <v>645</v>
      </c>
      <c r="C978" s="61" t="s">
        <v>31</v>
      </c>
      <c r="D978" s="46" t="s">
        <v>187</v>
      </c>
      <c r="E978" s="71"/>
      <c r="F978" s="71"/>
      <c r="G978" s="72" t="s">
        <v>565</v>
      </c>
      <c r="J978" s="30"/>
      <c r="K978" s="30"/>
      <c r="L978" s="73">
        <v>45658.0</v>
      </c>
      <c r="M978" s="74" t="s">
        <v>549</v>
      </c>
      <c r="N978" s="33"/>
      <c r="O978" s="30"/>
    </row>
    <row r="979">
      <c r="A979" s="64" t="s">
        <v>440</v>
      </c>
      <c r="B979" s="56" t="s">
        <v>661</v>
      </c>
      <c r="C979" s="88" t="s">
        <v>20</v>
      </c>
      <c r="D979" s="56" t="s">
        <v>21</v>
      </c>
      <c r="E979" s="77"/>
      <c r="F979" s="77"/>
      <c r="G979" s="89">
        <v>892136.0</v>
      </c>
      <c r="J979" s="30"/>
      <c r="K979" s="30"/>
      <c r="L979" s="78">
        <v>45658.0</v>
      </c>
      <c r="M979" s="79" t="s">
        <v>662</v>
      </c>
      <c r="N979" s="33"/>
      <c r="O979" s="30"/>
    </row>
    <row r="980">
      <c r="A980" s="68" t="s">
        <v>403</v>
      </c>
      <c r="B980" s="69" t="s">
        <v>644</v>
      </c>
      <c r="C980" s="61" t="s">
        <v>31</v>
      </c>
      <c r="D980" s="46" t="s">
        <v>187</v>
      </c>
      <c r="E980" s="71"/>
      <c r="F980" s="71"/>
      <c r="G980" s="72">
        <v>5.0</v>
      </c>
      <c r="J980" s="30"/>
      <c r="K980" s="30"/>
      <c r="L980" s="73">
        <v>45658.0</v>
      </c>
      <c r="M980" s="74" t="s">
        <v>549</v>
      </c>
      <c r="N980" s="33"/>
      <c r="O980" s="30"/>
    </row>
    <row r="981">
      <c r="A981" s="64" t="s">
        <v>403</v>
      </c>
      <c r="B981" s="56" t="s">
        <v>645</v>
      </c>
      <c r="C981" s="55" t="s">
        <v>31</v>
      </c>
      <c r="D981" s="56" t="s">
        <v>187</v>
      </c>
      <c r="E981" s="77"/>
      <c r="F981" s="77"/>
      <c r="G981" s="65" t="s">
        <v>565</v>
      </c>
      <c r="J981" s="30"/>
      <c r="K981" s="30"/>
      <c r="L981" s="78">
        <v>45658.0</v>
      </c>
      <c r="M981" s="79" t="s">
        <v>549</v>
      </c>
      <c r="N981" s="33"/>
      <c r="O981" s="30"/>
    </row>
    <row r="982">
      <c r="A982" s="68" t="s">
        <v>508</v>
      </c>
      <c r="B982" s="69" t="s">
        <v>663</v>
      </c>
      <c r="C982" s="61" t="s">
        <v>20</v>
      </c>
      <c r="D982" s="61" t="s">
        <v>21</v>
      </c>
      <c r="E982" s="71"/>
      <c r="F982" s="71"/>
      <c r="G982" s="72" t="s">
        <v>664</v>
      </c>
      <c r="J982" s="30"/>
      <c r="K982" s="30"/>
      <c r="L982" s="73">
        <v>45658.0</v>
      </c>
      <c r="M982" s="74" t="s">
        <v>665</v>
      </c>
      <c r="N982" s="33"/>
      <c r="O982" s="30"/>
    </row>
    <row r="983">
      <c r="A983" s="64" t="s">
        <v>403</v>
      </c>
      <c r="B983" s="56" t="s">
        <v>644</v>
      </c>
      <c r="C983" s="55" t="s">
        <v>31</v>
      </c>
      <c r="D983" s="56" t="s">
        <v>187</v>
      </c>
      <c r="E983" s="77"/>
      <c r="F983" s="77"/>
      <c r="G983" s="65">
        <v>5.0</v>
      </c>
      <c r="J983" s="30"/>
      <c r="K983" s="30"/>
      <c r="L983" s="78">
        <v>45658.0</v>
      </c>
      <c r="M983" s="79" t="s">
        <v>549</v>
      </c>
      <c r="N983" s="33"/>
      <c r="O983" s="30"/>
    </row>
    <row r="984">
      <c r="A984" s="68" t="s">
        <v>403</v>
      </c>
      <c r="B984" s="69" t="s">
        <v>666</v>
      </c>
      <c r="C984" s="61" t="s">
        <v>31</v>
      </c>
      <c r="D984" s="46" t="s">
        <v>187</v>
      </c>
      <c r="E984" s="71"/>
      <c r="F984" s="71"/>
      <c r="G984" s="72" t="s">
        <v>565</v>
      </c>
      <c r="J984" s="30"/>
      <c r="K984" s="30"/>
      <c r="L984" s="73">
        <v>45658.0</v>
      </c>
      <c r="M984" s="74" t="s">
        <v>549</v>
      </c>
      <c r="N984" s="33"/>
      <c r="O984" s="30"/>
    </row>
    <row r="985">
      <c r="A985" s="80"/>
      <c r="B985" s="56" t="s">
        <v>667</v>
      </c>
      <c r="C985" s="75"/>
      <c r="D985" s="77"/>
      <c r="E985" s="77"/>
      <c r="F985" s="77"/>
      <c r="G985" s="89">
        <v>204204.0</v>
      </c>
      <c r="J985" s="30"/>
      <c r="K985" s="30"/>
      <c r="L985" s="78">
        <v>45658.0</v>
      </c>
      <c r="M985" s="81"/>
      <c r="N985" s="33"/>
      <c r="O985" s="30"/>
    </row>
    <row r="986">
      <c r="A986" s="68" t="s">
        <v>403</v>
      </c>
      <c r="B986" s="69" t="s">
        <v>644</v>
      </c>
      <c r="C986" s="61" t="s">
        <v>31</v>
      </c>
      <c r="D986" s="46" t="s">
        <v>187</v>
      </c>
      <c r="E986" s="71"/>
      <c r="F986" s="71"/>
      <c r="G986" s="72">
        <v>5.0</v>
      </c>
      <c r="J986" s="30"/>
      <c r="K986" s="30"/>
      <c r="L986" s="73">
        <v>45658.0</v>
      </c>
      <c r="M986" s="74" t="s">
        <v>549</v>
      </c>
      <c r="N986" s="33"/>
      <c r="O986" s="30"/>
    </row>
    <row r="987">
      <c r="A987" s="64" t="s">
        <v>403</v>
      </c>
      <c r="B987" s="56" t="s">
        <v>645</v>
      </c>
      <c r="C987" s="55" t="s">
        <v>31</v>
      </c>
      <c r="D987" s="56" t="s">
        <v>187</v>
      </c>
      <c r="E987" s="77"/>
      <c r="F987" s="77"/>
      <c r="G987" s="65" t="s">
        <v>565</v>
      </c>
      <c r="J987" s="30"/>
      <c r="K987" s="30"/>
      <c r="L987" s="78">
        <v>45658.0</v>
      </c>
      <c r="M987" s="79" t="s">
        <v>549</v>
      </c>
      <c r="N987" s="33"/>
      <c r="O987" s="30"/>
    </row>
    <row r="988">
      <c r="A988" s="68" t="s">
        <v>349</v>
      </c>
      <c r="B988" s="69" t="s">
        <v>668</v>
      </c>
      <c r="C988" s="47"/>
      <c r="D988" s="49"/>
      <c r="E988" s="71"/>
      <c r="F988" s="71"/>
      <c r="G988" s="87">
        <v>1538800.0</v>
      </c>
      <c r="J988" s="30"/>
      <c r="K988" s="30"/>
      <c r="L988" s="73">
        <v>45658.0</v>
      </c>
      <c r="M988" s="74" t="s">
        <v>568</v>
      </c>
      <c r="N988" s="33"/>
      <c r="O988" s="30"/>
    </row>
    <row r="989">
      <c r="A989" s="64" t="s">
        <v>403</v>
      </c>
      <c r="B989" s="56" t="s">
        <v>644</v>
      </c>
      <c r="C989" s="55" t="s">
        <v>31</v>
      </c>
      <c r="D989" s="56" t="s">
        <v>187</v>
      </c>
      <c r="E989" s="77"/>
      <c r="F989" s="77"/>
      <c r="G989" s="65">
        <v>5.0</v>
      </c>
      <c r="J989" s="30"/>
      <c r="K989" s="30"/>
      <c r="L989" s="78">
        <v>45658.0</v>
      </c>
      <c r="M989" s="79" t="s">
        <v>549</v>
      </c>
      <c r="N989" s="33"/>
      <c r="O989" s="30"/>
    </row>
    <row r="990">
      <c r="A990" s="68" t="s">
        <v>403</v>
      </c>
      <c r="B990" s="69" t="s">
        <v>645</v>
      </c>
      <c r="C990" s="61" t="s">
        <v>31</v>
      </c>
      <c r="D990" s="46" t="s">
        <v>187</v>
      </c>
      <c r="E990" s="71"/>
      <c r="F990" s="71"/>
      <c r="G990" s="72" t="s">
        <v>565</v>
      </c>
      <c r="J990" s="30"/>
      <c r="K990" s="30"/>
      <c r="L990" s="73">
        <v>45658.0</v>
      </c>
      <c r="M990" s="74" t="s">
        <v>549</v>
      </c>
      <c r="N990" s="33"/>
      <c r="O990" s="30"/>
    </row>
    <row r="991">
      <c r="A991" s="64" t="s">
        <v>479</v>
      </c>
      <c r="B991" s="56" t="s">
        <v>669</v>
      </c>
      <c r="C991" s="62" t="s">
        <v>20</v>
      </c>
      <c r="D991" s="62" t="s">
        <v>21</v>
      </c>
      <c r="E991" s="77"/>
      <c r="F991" s="77"/>
      <c r="G991" s="89">
        <v>448519.0</v>
      </c>
      <c r="J991" s="30"/>
      <c r="K991" s="30"/>
      <c r="L991" s="78">
        <v>45658.0</v>
      </c>
      <c r="M991" s="79" t="s">
        <v>631</v>
      </c>
      <c r="N991" s="33"/>
      <c r="O991" s="30"/>
    </row>
    <row r="992">
      <c r="A992" s="68" t="s">
        <v>403</v>
      </c>
      <c r="B992" s="69" t="s">
        <v>644</v>
      </c>
      <c r="C992" s="61" t="s">
        <v>31</v>
      </c>
      <c r="D992" s="46" t="s">
        <v>187</v>
      </c>
      <c r="E992" s="71"/>
      <c r="F992" s="71"/>
      <c r="G992" s="72">
        <v>5.0</v>
      </c>
      <c r="J992" s="30"/>
      <c r="K992" s="30"/>
      <c r="L992" s="73">
        <v>45658.0</v>
      </c>
      <c r="M992" s="74" t="s">
        <v>549</v>
      </c>
      <c r="N992" s="33"/>
      <c r="O992" s="30"/>
    </row>
    <row r="993">
      <c r="A993" s="64" t="s">
        <v>403</v>
      </c>
      <c r="B993" s="56" t="s">
        <v>645</v>
      </c>
      <c r="C993" s="55" t="s">
        <v>31</v>
      </c>
      <c r="D993" s="56" t="s">
        <v>187</v>
      </c>
      <c r="E993" s="77"/>
      <c r="F993" s="77"/>
      <c r="G993" s="65" t="s">
        <v>565</v>
      </c>
      <c r="J993" s="30"/>
      <c r="K993" s="30"/>
      <c r="L993" s="78">
        <v>45658.0</v>
      </c>
      <c r="M993" s="79" t="s">
        <v>549</v>
      </c>
      <c r="N993" s="33"/>
      <c r="O993" s="30"/>
    </row>
    <row r="994">
      <c r="A994" s="68" t="s">
        <v>508</v>
      </c>
      <c r="B994" s="69" t="s">
        <v>670</v>
      </c>
      <c r="C994" s="61" t="s">
        <v>20</v>
      </c>
      <c r="D994" s="61" t="s">
        <v>21</v>
      </c>
      <c r="E994" s="71"/>
      <c r="F994" s="71"/>
      <c r="G994" s="72" t="s">
        <v>671</v>
      </c>
      <c r="J994" s="30"/>
      <c r="K994" s="30"/>
      <c r="L994" s="73">
        <v>45658.0</v>
      </c>
      <c r="M994" s="74" t="s">
        <v>665</v>
      </c>
      <c r="N994" s="33"/>
      <c r="O994" s="30"/>
    </row>
    <row r="995">
      <c r="A995" s="64" t="s">
        <v>403</v>
      </c>
      <c r="B995" s="56" t="s">
        <v>644</v>
      </c>
      <c r="C995" s="55" t="s">
        <v>31</v>
      </c>
      <c r="D995" s="56" t="s">
        <v>187</v>
      </c>
      <c r="E995" s="77"/>
      <c r="F995" s="77"/>
      <c r="G995" s="65">
        <v>5.0</v>
      </c>
      <c r="J995" s="30"/>
      <c r="K995" s="30"/>
      <c r="L995" s="78">
        <v>45658.0</v>
      </c>
      <c r="M995" s="79" t="s">
        <v>549</v>
      </c>
      <c r="N995" s="33"/>
      <c r="O995" s="30"/>
    </row>
    <row r="996">
      <c r="A996" s="68" t="s">
        <v>403</v>
      </c>
      <c r="B996" s="69" t="s">
        <v>645</v>
      </c>
      <c r="C996" s="61" t="s">
        <v>31</v>
      </c>
      <c r="D996" s="46" t="s">
        <v>187</v>
      </c>
      <c r="E996" s="71"/>
      <c r="F996" s="71"/>
      <c r="G996" s="72" t="s">
        <v>565</v>
      </c>
      <c r="J996" s="30"/>
      <c r="K996" s="30"/>
      <c r="L996" s="73">
        <v>45658.0</v>
      </c>
      <c r="M996" s="74" t="s">
        <v>549</v>
      </c>
      <c r="N996" s="33"/>
      <c r="O996" s="30"/>
    </row>
    <row r="997">
      <c r="A997" s="64" t="s">
        <v>18</v>
      </c>
      <c r="B997" s="56" t="s">
        <v>672</v>
      </c>
      <c r="C997" s="75"/>
      <c r="D997" s="77"/>
      <c r="E997" s="77"/>
      <c r="F997" s="77"/>
      <c r="G997" s="65" t="s">
        <v>673</v>
      </c>
      <c r="J997" s="30"/>
      <c r="K997" s="30"/>
      <c r="L997" s="78">
        <v>45658.0</v>
      </c>
      <c r="M997" s="79" t="s">
        <v>586</v>
      </c>
      <c r="N997" s="33"/>
      <c r="O997" s="30"/>
    </row>
    <row r="998">
      <c r="A998" s="68" t="s">
        <v>403</v>
      </c>
      <c r="B998" s="69" t="s">
        <v>674</v>
      </c>
      <c r="C998" s="61" t="s">
        <v>31</v>
      </c>
      <c r="D998" s="46" t="s">
        <v>187</v>
      </c>
      <c r="E998" s="71"/>
      <c r="F998" s="71"/>
      <c r="G998" s="72">
        <v>5.0</v>
      </c>
      <c r="J998" s="30"/>
      <c r="K998" s="30"/>
      <c r="L998" s="73">
        <v>45658.0</v>
      </c>
      <c r="M998" s="74" t="s">
        <v>549</v>
      </c>
      <c r="N998" s="33"/>
      <c r="O998" s="30"/>
    </row>
    <row r="999">
      <c r="A999" s="64" t="s">
        <v>403</v>
      </c>
      <c r="B999" s="56" t="s">
        <v>675</v>
      </c>
      <c r="C999" s="55" t="s">
        <v>31</v>
      </c>
      <c r="D999" s="56" t="s">
        <v>187</v>
      </c>
      <c r="E999" s="77"/>
      <c r="F999" s="77"/>
      <c r="G999" s="65" t="s">
        <v>565</v>
      </c>
      <c r="J999" s="30"/>
      <c r="K999" s="30"/>
      <c r="L999" s="78">
        <v>45658.0</v>
      </c>
      <c r="M999" s="79" t="s">
        <v>549</v>
      </c>
      <c r="N999" s="33"/>
      <c r="O999" s="30"/>
    </row>
    <row r="1000">
      <c r="A1000" s="68" t="s">
        <v>18</v>
      </c>
      <c r="B1000" s="69" t="s">
        <v>676</v>
      </c>
      <c r="C1000" s="47"/>
      <c r="D1000" s="49"/>
      <c r="E1000" s="71"/>
      <c r="F1000" s="71"/>
      <c r="G1000" s="72" t="s">
        <v>677</v>
      </c>
      <c r="J1000" s="30"/>
      <c r="K1000" s="30"/>
      <c r="L1000" s="73">
        <v>45658.0</v>
      </c>
      <c r="M1000" s="74" t="s">
        <v>586</v>
      </c>
      <c r="N1000" s="33"/>
      <c r="O1000" s="30"/>
    </row>
    <row r="1001">
      <c r="A1001" s="64" t="s">
        <v>403</v>
      </c>
      <c r="B1001" s="56" t="s">
        <v>674</v>
      </c>
      <c r="C1001" s="55" t="s">
        <v>31</v>
      </c>
      <c r="D1001" s="56" t="s">
        <v>187</v>
      </c>
      <c r="E1001" s="77"/>
      <c r="F1001" s="77"/>
      <c r="G1001" s="65">
        <v>5.0</v>
      </c>
      <c r="J1001" s="30"/>
      <c r="K1001" s="30"/>
      <c r="L1001" s="78">
        <v>45658.0</v>
      </c>
      <c r="M1001" s="79" t="s">
        <v>549</v>
      </c>
      <c r="N1001" s="33"/>
      <c r="O1001" s="30"/>
    </row>
    <row r="1002">
      <c r="A1002" s="68" t="s">
        <v>403</v>
      </c>
      <c r="B1002" s="69" t="s">
        <v>675</v>
      </c>
      <c r="C1002" s="61" t="s">
        <v>31</v>
      </c>
      <c r="D1002" s="46" t="s">
        <v>187</v>
      </c>
      <c r="E1002" s="71"/>
      <c r="F1002" s="71"/>
      <c r="G1002" s="72" t="s">
        <v>565</v>
      </c>
      <c r="J1002" s="30"/>
      <c r="K1002" s="30"/>
      <c r="L1002" s="73">
        <v>45658.0</v>
      </c>
      <c r="M1002" s="74" t="s">
        <v>549</v>
      </c>
      <c r="N1002" s="33"/>
      <c r="O1002" s="30"/>
    </row>
    <row r="1003">
      <c r="A1003" s="64" t="s">
        <v>349</v>
      </c>
      <c r="B1003" s="56" t="s">
        <v>678</v>
      </c>
      <c r="C1003" s="75"/>
      <c r="D1003" s="77"/>
      <c r="E1003" s="77"/>
      <c r="F1003" s="77"/>
      <c r="G1003" s="65" t="s">
        <v>679</v>
      </c>
      <c r="J1003" s="30"/>
      <c r="K1003" s="30"/>
      <c r="L1003" s="78">
        <v>45658.0</v>
      </c>
      <c r="M1003" s="79" t="s">
        <v>581</v>
      </c>
      <c r="N1003" s="33"/>
      <c r="O1003" s="30"/>
    </row>
    <row r="1004">
      <c r="A1004" s="68" t="s">
        <v>403</v>
      </c>
      <c r="B1004" s="69" t="s">
        <v>674</v>
      </c>
      <c r="C1004" s="61" t="s">
        <v>31</v>
      </c>
      <c r="D1004" s="46" t="s">
        <v>187</v>
      </c>
      <c r="E1004" s="71"/>
      <c r="F1004" s="71"/>
      <c r="G1004" s="72">
        <v>5.0</v>
      </c>
      <c r="J1004" s="30"/>
      <c r="K1004" s="30"/>
      <c r="L1004" s="73">
        <v>45658.0</v>
      </c>
      <c r="M1004" s="74" t="s">
        <v>549</v>
      </c>
      <c r="N1004" s="33"/>
      <c r="O1004" s="30"/>
    </row>
    <row r="1005">
      <c r="A1005" s="64" t="s">
        <v>403</v>
      </c>
      <c r="B1005" s="56" t="s">
        <v>675</v>
      </c>
      <c r="C1005" s="55" t="s">
        <v>31</v>
      </c>
      <c r="D1005" s="56" t="s">
        <v>187</v>
      </c>
      <c r="E1005" s="77"/>
      <c r="F1005" s="77"/>
      <c r="G1005" s="65" t="s">
        <v>565</v>
      </c>
      <c r="J1005" s="30"/>
      <c r="K1005" s="30"/>
      <c r="L1005" s="78">
        <v>45658.0</v>
      </c>
      <c r="M1005" s="79" t="s">
        <v>549</v>
      </c>
      <c r="N1005" s="33"/>
      <c r="O1005" s="30"/>
    </row>
    <row r="1006">
      <c r="A1006" s="68" t="s">
        <v>349</v>
      </c>
      <c r="B1006" s="69" t="s">
        <v>680</v>
      </c>
      <c r="C1006" s="47"/>
      <c r="D1006" s="49"/>
      <c r="E1006" s="71"/>
      <c r="F1006" s="71"/>
      <c r="G1006" s="72" t="s">
        <v>681</v>
      </c>
      <c r="J1006" s="30"/>
      <c r="K1006" s="30"/>
      <c r="L1006" s="73">
        <v>45658.0</v>
      </c>
      <c r="M1006" s="74" t="s">
        <v>581</v>
      </c>
      <c r="N1006" s="33"/>
      <c r="O1006" s="30"/>
    </row>
    <row r="1007">
      <c r="A1007" s="64" t="s">
        <v>403</v>
      </c>
      <c r="B1007" s="56" t="s">
        <v>674</v>
      </c>
      <c r="C1007" s="55" t="s">
        <v>31</v>
      </c>
      <c r="D1007" s="56" t="s">
        <v>187</v>
      </c>
      <c r="E1007" s="77"/>
      <c r="F1007" s="77"/>
      <c r="G1007" s="65">
        <v>5.0</v>
      </c>
      <c r="J1007" s="30"/>
      <c r="K1007" s="30"/>
      <c r="L1007" s="78">
        <v>45658.0</v>
      </c>
      <c r="M1007" s="79" t="s">
        <v>549</v>
      </c>
      <c r="N1007" s="33"/>
      <c r="O1007" s="30"/>
    </row>
    <row r="1008">
      <c r="A1008" s="68" t="s">
        <v>403</v>
      </c>
      <c r="B1008" s="69" t="s">
        <v>675</v>
      </c>
      <c r="C1008" s="61" t="s">
        <v>31</v>
      </c>
      <c r="D1008" s="46" t="s">
        <v>187</v>
      </c>
      <c r="E1008" s="71"/>
      <c r="F1008" s="71"/>
      <c r="G1008" s="72" t="s">
        <v>565</v>
      </c>
      <c r="J1008" s="30"/>
      <c r="K1008" s="30"/>
      <c r="L1008" s="73">
        <v>45658.0</v>
      </c>
      <c r="M1008" s="74" t="s">
        <v>549</v>
      </c>
      <c r="N1008" s="33"/>
      <c r="O1008" s="30"/>
    </row>
    <row r="1009">
      <c r="A1009" s="64" t="s">
        <v>349</v>
      </c>
      <c r="B1009" s="56" t="s">
        <v>682</v>
      </c>
      <c r="C1009" s="75"/>
      <c r="D1009" s="77"/>
      <c r="E1009" s="77"/>
      <c r="F1009" s="77"/>
      <c r="G1009" s="65">
        <v>780.0</v>
      </c>
      <c r="J1009" s="30"/>
      <c r="K1009" s="30"/>
      <c r="L1009" s="78">
        <v>45658.0</v>
      </c>
      <c r="M1009" s="79" t="s">
        <v>568</v>
      </c>
      <c r="N1009" s="33"/>
      <c r="O1009" s="30"/>
    </row>
    <row r="1010">
      <c r="A1010" s="68" t="s">
        <v>403</v>
      </c>
      <c r="B1010" s="69" t="s">
        <v>674</v>
      </c>
      <c r="C1010" s="61" t="s">
        <v>31</v>
      </c>
      <c r="D1010" s="46" t="s">
        <v>187</v>
      </c>
      <c r="E1010" s="71"/>
      <c r="F1010" s="71"/>
      <c r="G1010" s="72">
        <v>5.0</v>
      </c>
      <c r="J1010" s="30"/>
      <c r="K1010" s="30"/>
      <c r="L1010" s="73">
        <v>45658.0</v>
      </c>
      <c r="M1010" s="74" t="s">
        <v>549</v>
      </c>
      <c r="N1010" s="33"/>
      <c r="O1010" s="30"/>
    </row>
    <row r="1011">
      <c r="A1011" s="64" t="s">
        <v>403</v>
      </c>
      <c r="B1011" s="56" t="s">
        <v>675</v>
      </c>
      <c r="C1011" s="55" t="s">
        <v>31</v>
      </c>
      <c r="D1011" s="56" t="s">
        <v>187</v>
      </c>
      <c r="E1011" s="77"/>
      <c r="F1011" s="77"/>
      <c r="G1011" s="65" t="s">
        <v>565</v>
      </c>
      <c r="J1011" s="30"/>
      <c r="K1011" s="30"/>
      <c r="L1011" s="78">
        <v>45658.0</v>
      </c>
      <c r="M1011" s="79" t="s">
        <v>549</v>
      </c>
      <c r="N1011" s="33"/>
      <c r="O1011" s="30"/>
    </row>
    <row r="1012">
      <c r="A1012" s="68" t="s">
        <v>437</v>
      </c>
      <c r="B1012" s="69" t="s">
        <v>683</v>
      </c>
      <c r="C1012" s="61" t="s">
        <v>20</v>
      </c>
      <c r="D1012" s="46" t="s">
        <v>21</v>
      </c>
      <c r="E1012" s="71"/>
      <c r="F1012" s="71"/>
      <c r="G1012" s="87">
        <v>998330.0</v>
      </c>
      <c r="J1012" s="30"/>
      <c r="K1012" s="30"/>
      <c r="L1012" s="73">
        <v>45658.0</v>
      </c>
      <c r="M1012" s="74" t="s">
        <v>613</v>
      </c>
      <c r="N1012" s="33"/>
      <c r="O1012" s="30"/>
    </row>
    <row r="1013">
      <c r="A1013" s="64" t="s">
        <v>349</v>
      </c>
      <c r="B1013" s="56" t="s">
        <v>684</v>
      </c>
      <c r="C1013" s="75"/>
      <c r="D1013" s="77"/>
      <c r="E1013" s="77"/>
      <c r="F1013" s="77"/>
      <c r="G1013" s="89" t="s">
        <v>685</v>
      </c>
      <c r="J1013" s="30"/>
      <c r="K1013" s="30"/>
      <c r="L1013" s="78">
        <v>45658.0</v>
      </c>
      <c r="M1013" s="79" t="s">
        <v>568</v>
      </c>
      <c r="N1013" s="33"/>
      <c r="O1013" s="30"/>
    </row>
    <row r="1014">
      <c r="A1014" s="68" t="s">
        <v>403</v>
      </c>
      <c r="B1014" s="69" t="s">
        <v>674</v>
      </c>
      <c r="C1014" s="61" t="s">
        <v>31</v>
      </c>
      <c r="D1014" s="46" t="s">
        <v>187</v>
      </c>
      <c r="E1014" s="71"/>
      <c r="F1014" s="71"/>
      <c r="G1014" s="72">
        <v>5.0</v>
      </c>
      <c r="J1014" s="30"/>
      <c r="K1014" s="30"/>
      <c r="L1014" s="73">
        <v>45658.0</v>
      </c>
      <c r="M1014" s="74" t="s">
        <v>549</v>
      </c>
      <c r="N1014" s="33"/>
      <c r="O1014" s="30"/>
    </row>
    <row r="1015">
      <c r="A1015" s="64" t="s">
        <v>403</v>
      </c>
      <c r="B1015" s="56" t="s">
        <v>675</v>
      </c>
      <c r="C1015" s="55" t="s">
        <v>31</v>
      </c>
      <c r="D1015" s="56" t="s">
        <v>187</v>
      </c>
      <c r="E1015" s="77"/>
      <c r="F1015" s="77"/>
      <c r="G1015" s="65" t="s">
        <v>565</v>
      </c>
      <c r="J1015" s="30"/>
      <c r="K1015" s="30"/>
      <c r="L1015" s="78">
        <v>45658.0</v>
      </c>
      <c r="M1015" s="79" t="s">
        <v>549</v>
      </c>
      <c r="N1015" s="33"/>
      <c r="O1015" s="30"/>
    </row>
    <row r="1016">
      <c r="A1016" s="68" t="s">
        <v>18</v>
      </c>
      <c r="B1016" s="69" t="s">
        <v>686</v>
      </c>
      <c r="C1016" s="47"/>
      <c r="D1016" s="49"/>
      <c r="E1016" s="71"/>
      <c r="F1016" s="71"/>
      <c r="G1016" s="72" t="s">
        <v>687</v>
      </c>
      <c r="J1016" s="30"/>
      <c r="K1016" s="30"/>
      <c r="L1016" s="73">
        <v>45658.0</v>
      </c>
      <c r="M1016" s="74" t="s">
        <v>586</v>
      </c>
      <c r="N1016" s="33"/>
      <c r="O1016" s="30"/>
    </row>
    <row r="1017">
      <c r="A1017" s="64" t="s">
        <v>403</v>
      </c>
      <c r="B1017" s="56" t="s">
        <v>688</v>
      </c>
      <c r="C1017" s="55" t="s">
        <v>31</v>
      </c>
      <c r="D1017" s="56" t="s">
        <v>187</v>
      </c>
      <c r="E1017" s="77"/>
      <c r="F1017" s="77"/>
      <c r="G1017" s="65">
        <v>5.0</v>
      </c>
      <c r="J1017" s="30"/>
      <c r="K1017" s="30"/>
      <c r="L1017" s="78">
        <v>45658.0</v>
      </c>
      <c r="M1017" s="79" t="s">
        <v>549</v>
      </c>
      <c r="N1017" s="33"/>
      <c r="O1017" s="30"/>
    </row>
    <row r="1018">
      <c r="A1018" s="68" t="s">
        <v>403</v>
      </c>
      <c r="B1018" s="69" t="s">
        <v>689</v>
      </c>
      <c r="C1018" s="61" t="s">
        <v>31</v>
      </c>
      <c r="D1018" s="46" t="s">
        <v>187</v>
      </c>
      <c r="E1018" s="71"/>
      <c r="F1018" s="71"/>
      <c r="G1018" s="72" t="s">
        <v>565</v>
      </c>
      <c r="J1018" s="30"/>
      <c r="K1018" s="30"/>
      <c r="L1018" s="73">
        <v>45658.0</v>
      </c>
      <c r="M1018" s="74" t="s">
        <v>549</v>
      </c>
      <c r="N1018" s="33"/>
      <c r="O1018" s="30"/>
    </row>
    <row r="1019">
      <c r="A1019" s="64" t="s">
        <v>18</v>
      </c>
      <c r="B1019" s="56" t="s">
        <v>690</v>
      </c>
      <c r="C1019" s="75"/>
      <c r="D1019" s="77"/>
      <c r="E1019" s="77"/>
      <c r="F1019" s="77"/>
      <c r="G1019" s="65" t="s">
        <v>691</v>
      </c>
      <c r="J1019" s="30"/>
      <c r="K1019" s="30"/>
      <c r="L1019" s="78">
        <v>45658.0</v>
      </c>
      <c r="M1019" s="79" t="s">
        <v>586</v>
      </c>
      <c r="N1019" s="33"/>
      <c r="O1019" s="30"/>
    </row>
    <row r="1020">
      <c r="A1020" s="68" t="s">
        <v>367</v>
      </c>
      <c r="B1020" s="69" t="s">
        <v>692</v>
      </c>
      <c r="C1020" s="47"/>
      <c r="D1020" s="49"/>
      <c r="E1020" s="71"/>
      <c r="F1020" s="71"/>
      <c r="G1020" s="87">
        <v>1050499.0</v>
      </c>
      <c r="J1020" s="30"/>
      <c r="K1020" s="30"/>
      <c r="L1020" s="73">
        <v>45658.0</v>
      </c>
      <c r="M1020" s="74" t="s">
        <v>623</v>
      </c>
      <c r="N1020" s="33"/>
      <c r="O1020" s="30"/>
    </row>
    <row r="1021">
      <c r="A1021" s="64" t="s">
        <v>403</v>
      </c>
      <c r="B1021" s="56" t="s">
        <v>688</v>
      </c>
      <c r="C1021" s="55" t="s">
        <v>31</v>
      </c>
      <c r="D1021" s="56" t="s">
        <v>187</v>
      </c>
      <c r="E1021" s="77"/>
      <c r="F1021" s="77"/>
      <c r="G1021" s="65">
        <v>5.0</v>
      </c>
      <c r="J1021" s="30"/>
      <c r="K1021" s="30"/>
      <c r="L1021" s="78">
        <v>45658.0</v>
      </c>
      <c r="M1021" s="79" t="s">
        <v>549</v>
      </c>
      <c r="N1021" s="33"/>
      <c r="O1021" s="30"/>
    </row>
    <row r="1022">
      <c r="A1022" s="68" t="s">
        <v>403</v>
      </c>
      <c r="B1022" s="69" t="s">
        <v>693</v>
      </c>
      <c r="C1022" s="61" t="s">
        <v>31</v>
      </c>
      <c r="D1022" s="46" t="s">
        <v>187</v>
      </c>
      <c r="E1022" s="71"/>
      <c r="F1022" s="71"/>
      <c r="G1022" s="72" t="s">
        <v>565</v>
      </c>
      <c r="J1022" s="30"/>
      <c r="K1022" s="30"/>
      <c r="L1022" s="73">
        <v>45658.0</v>
      </c>
      <c r="M1022" s="74" t="s">
        <v>549</v>
      </c>
      <c r="N1022" s="33"/>
      <c r="O1022" s="30"/>
    </row>
    <row r="1023">
      <c r="A1023" s="64" t="s">
        <v>378</v>
      </c>
      <c r="B1023" s="56" t="s">
        <v>694</v>
      </c>
      <c r="C1023" s="56" t="s">
        <v>31</v>
      </c>
      <c r="D1023" s="56" t="s">
        <v>54</v>
      </c>
      <c r="E1023" s="77"/>
      <c r="F1023" s="77"/>
      <c r="G1023" s="65" t="s">
        <v>695</v>
      </c>
      <c r="J1023" s="30"/>
      <c r="K1023" s="30"/>
      <c r="L1023" s="78">
        <v>45658.0</v>
      </c>
      <c r="M1023" s="79" t="s">
        <v>696</v>
      </c>
      <c r="N1023" s="33"/>
      <c r="O1023" s="30"/>
    </row>
    <row r="1024">
      <c r="A1024" s="68" t="s">
        <v>403</v>
      </c>
      <c r="B1024" s="69" t="s">
        <v>688</v>
      </c>
      <c r="C1024" s="61" t="s">
        <v>31</v>
      </c>
      <c r="D1024" s="46" t="s">
        <v>187</v>
      </c>
      <c r="E1024" s="71"/>
      <c r="F1024" s="71"/>
      <c r="G1024" s="72">
        <v>5.0</v>
      </c>
      <c r="J1024" s="30"/>
      <c r="K1024" s="30"/>
      <c r="L1024" s="73">
        <v>45658.0</v>
      </c>
      <c r="M1024" s="74" t="s">
        <v>549</v>
      </c>
      <c r="N1024" s="33"/>
      <c r="O1024" s="30"/>
    </row>
    <row r="1025">
      <c r="A1025" s="64" t="s">
        <v>403</v>
      </c>
      <c r="B1025" s="56" t="s">
        <v>693</v>
      </c>
      <c r="C1025" s="55" t="s">
        <v>31</v>
      </c>
      <c r="D1025" s="56" t="s">
        <v>187</v>
      </c>
      <c r="E1025" s="77"/>
      <c r="F1025" s="77"/>
      <c r="G1025" s="65" t="s">
        <v>565</v>
      </c>
      <c r="J1025" s="30"/>
      <c r="K1025" s="30"/>
      <c r="L1025" s="78">
        <v>45658.0</v>
      </c>
      <c r="M1025" s="79" t="s">
        <v>549</v>
      </c>
      <c r="N1025" s="33"/>
      <c r="O1025" s="30"/>
    </row>
    <row r="1026">
      <c r="A1026" s="68" t="s">
        <v>378</v>
      </c>
      <c r="B1026" s="69" t="s">
        <v>697</v>
      </c>
      <c r="C1026" s="69" t="s">
        <v>31</v>
      </c>
      <c r="D1026" s="46" t="s">
        <v>54</v>
      </c>
      <c r="E1026" s="71"/>
      <c r="F1026" s="71"/>
      <c r="G1026" s="72" t="s">
        <v>698</v>
      </c>
      <c r="J1026" s="30"/>
      <c r="K1026" s="30"/>
      <c r="L1026" s="73">
        <v>45658.0</v>
      </c>
      <c r="M1026" s="74" t="s">
        <v>696</v>
      </c>
      <c r="N1026" s="33"/>
      <c r="O1026" s="30"/>
    </row>
    <row r="1027">
      <c r="A1027" s="64" t="s">
        <v>403</v>
      </c>
      <c r="B1027" s="56" t="s">
        <v>688</v>
      </c>
      <c r="C1027" s="55" t="s">
        <v>31</v>
      </c>
      <c r="D1027" s="56" t="s">
        <v>187</v>
      </c>
      <c r="E1027" s="77"/>
      <c r="F1027" s="77"/>
      <c r="G1027" s="65">
        <v>5.0</v>
      </c>
      <c r="J1027" s="30"/>
      <c r="K1027" s="30"/>
      <c r="L1027" s="78">
        <v>45658.0</v>
      </c>
      <c r="M1027" s="79" t="s">
        <v>549</v>
      </c>
      <c r="N1027" s="33"/>
      <c r="O1027" s="30"/>
    </row>
    <row r="1028">
      <c r="A1028" s="68" t="s">
        <v>403</v>
      </c>
      <c r="B1028" s="69" t="s">
        <v>693</v>
      </c>
      <c r="C1028" s="61" t="s">
        <v>31</v>
      </c>
      <c r="D1028" s="46" t="s">
        <v>187</v>
      </c>
      <c r="E1028" s="71"/>
      <c r="F1028" s="71"/>
      <c r="G1028" s="72" t="s">
        <v>565</v>
      </c>
      <c r="J1028" s="30"/>
      <c r="K1028" s="30"/>
      <c r="L1028" s="73">
        <v>45658.0</v>
      </c>
      <c r="M1028" s="74" t="s">
        <v>549</v>
      </c>
      <c r="N1028" s="33"/>
      <c r="O1028" s="30"/>
    </row>
    <row r="1029">
      <c r="A1029" s="64" t="s">
        <v>483</v>
      </c>
      <c r="B1029" s="56" t="s">
        <v>699</v>
      </c>
      <c r="C1029" s="56" t="s">
        <v>31</v>
      </c>
      <c r="D1029" s="56" t="s">
        <v>54</v>
      </c>
      <c r="E1029" s="77"/>
      <c r="F1029" s="77"/>
      <c r="G1029" s="65" t="s">
        <v>700</v>
      </c>
      <c r="J1029" s="30"/>
      <c r="K1029" s="30"/>
      <c r="L1029" s="78">
        <v>45658.0</v>
      </c>
      <c r="M1029" s="79" t="s">
        <v>701</v>
      </c>
      <c r="N1029" s="33"/>
      <c r="O1029" s="30"/>
    </row>
    <row r="1030">
      <c r="A1030" s="68" t="s">
        <v>403</v>
      </c>
      <c r="B1030" s="69" t="s">
        <v>688</v>
      </c>
      <c r="C1030" s="61" t="s">
        <v>31</v>
      </c>
      <c r="D1030" s="46" t="s">
        <v>187</v>
      </c>
      <c r="E1030" s="71"/>
      <c r="F1030" s="71"/>
      <c r="G1030" s="72">
        <v>5.0</v>
      </c>
      <c r="J1030" s="30"/>
      <c r="K1030" s="30"/>
      <c r="L1030" s="73">
        <v>45658.0</v>
      </c>
      <c r="M1030" s="74" t="s">
        <v>549</v>
      </c>
      <c r="N1030" s="33"/>
      <c r="O1030" s="30"/>
    </row>
    <row r="1031">
      <c r="A1031" s="64" t="s">
        <v>403</v>
      </c>
      <c r="B1031" s="56" t="s">
        <v>693</v>
      </c>
      <c r="C1031" s="55" t="s">
        <v>31</v>
      </c>
      <c r="D1031" s="56" t="s">
        <v>187</v>
      </c>
      <c r="E1031" s="77"/>
      <c r="F1031" s="77"/>
      <c r="G1031" s="65" t="s">
        <v>565</v>
      </c>
      <c r="J1031" s="30"/>
      <c r="K1031" s="30"/>
      <c r="L1031" s="78">
        <v>45658.0</v>
      </c>
      <c r="M1031" s="79" t="s">
        <v>549</v>
      </c>
      <c r="N1031" s="33"/>
      <c r="O1031" s="30"/>
    </row>
    <row r="1032">
      <c r="A1032" s="68" t="s">
        <v>405</v>
      </c>
      <c r="B1032" s="69" t="s">
        <v>702</v>
      </c>
      <c r="C1032" s="47"/>
      <c r="D1032" s="49"/>
      <c r="E1032" s="71"/>
      <c r="F1032" s="71"/>
      <c r="G1032" s="72" t="s">
        <v>703</v>
      </c>
      <c r="J1032" s="30"/>
      <c r="K1032" s="30"/>
      <c r="L1032" s="73">
        <v>45658.0</v>
      </c>
      <c r="M1032" s="74" t="s">
        <v>704</v>
      </c>
      <c r="N1032" s="33"/>
      <c r="O1032" s="30"/>
    </row>
    <row r="1033">
      <c r="A1033" s="64" t="s">
        <v>403</v>
      </c>
      <c r="B1033" s="56" t="s">
        <v>688</v>
      </c>
      <c r="C1033" s="55" t="s">
        <v>31</v>
      </c>
      <c r="D1033" s="56" t="s">
        <v>187</v>
      </c>
      <c r="E1033" s="77"/>
      <c r="F1033" s="77"/>
      <c r="G1033" s="65">
        <v>5.0</v>
      </c>
      <c r="J1033" s="30"/>
      <c r="K1033" s="30"/>
      <c r="L1033" s="78">
        <v>45658.0</v>
      </c>
      <c r="M1033" s="79" t="s">
        <v>549</v>
      </c>
      <c r="N1033" s="33"/>
      <c r="O1033" s="30"/>
    </row>
    <row r="1034">
      <c r="A1034" s="68" t="s">
        <v>403</v>
      </c>
      <c r="B1034" s="69" t="s">
        <v>693</v>
      </c>
      <c r="C1034" s="61" t="s">
        <v>31</v>
      </c>
      <c r="D1034" s="46" t="s">
        <v>187</v>
      </c>
      <c r="E1034" s="71"/>
      <c r="F1034" s="71"/>
      <c r="G1034" s="72" t="s">
        <v>565</v>
      </c>
      <c r="J1034" s="30"/>
      <c r="K1034" s="30"/>
      <c r="L1034" s="73">
        <v>45658.0</v>
      </c>
      <c r="M1034" s="74" t="s">
        <v>549</v>
      </c>
      <c r="N1034" s="33"/>
      <c r="O1034" s="30"/>
    </row>
    <row r="1035">
      <c r="A1035" s="64" t="s">
        <v>18</v>
      </c>
      <c r="B1035" s="56" t="s">
        <v>705</v>
      </c>
      <c r="C1035" s="75"/>
      <c r="D1035" s="77"/>
      <c r="E1035" s="77"/>
      <c r="F1035" s="77"/>
      <c r="G1035" s="89">
        <v>2770913.0</v>
      </c>
      <c r="J1035" s="30"/>
      <c r="K1035" s="30"/>
      <c r="L1035" s="78">
        <v>45658.0</v>
      </c>
      <c r="M1035" s="79" t="s">
        <v>586</v>
      </c>
      <c r="N1035" s="33"/>
      <c r="O1035" s="30"/>
    </row>
    <row r="1036">
      <c r="A1036" s="68" t="s">
        <v>403</v>
      </c>
      <c r="B1036" s="69" t="s">
        <v>706</v>
      </c>
      <c r="C1036" s="61" t="s">
        <v>31</v>
      </c>
      <c r="D1036" s="46" t="s">
        <v>187</v>
      </c>
      <c r="E1036" s="71"/>
      <c r="F1036" s="71"/>
      <c r="G1036" s="72">
        <v>5.0</v>
      </c>
      <c r="J1036" s="30"/>
      <c r="K1036" s="30"/>
      <c r="L1036" s="73">
        <v>45658.0</v>
      </c>
      <c r="M1036" s="74" t="s">
        <v>549</v>
      </c>
      <c r="N1036" s="33"/>
      <c r="O1036" s="30"/>
    </row>
    <row r="1037">
      <c r="A1037" s="64" t="s">
        <v>403</v>
      </c>
      <c r="B1037" s="56" t="s">
        <v>689</v>
      </c>
      <c r="C1037" s="55" t="s">
        <v>31</v>
      </c>
      <c r="D1037" s="56" t="s">
        <v>187</v>
      </c>
      <c r="E1037" s="77"/>
      <c r="F1037" s="77"/>
      <c r="G1037" s="65" t="s">
        <v>565</v>
      </c>
      <c r="J1037" s="30"/>
      <c r="K1037" s="30"/>
      <c r="L1037" s="78">
        <v>45658.0</v>
      </c>
      <c r="M1037" s="79" t="s">
        <v>549</v>
      </c>
      <c r="N1037" s="33"/>
      <c r="O1037" s="30"/>
    </row>
    <row r="1038">
      <c r="A1038" s="68" t="s">
        <v>471</v>
      </c>
      <c r="B1038" s="69" t="s">
        <v>707</v>
      </c>
      <c r="C1038" s="47"/>
      <c r="D1038" s="70"/>
      <c r="E1038" s="71"/>
      <c r="F1038" s="71"/>
      <c r="G1038" s="87">
        <v>1127019.0</v>
      </c>
      <c r="J1038" s="30"/>
      <c r="K1038" s="30"/>
      <c r="L1038" s="73">
        <v>45658.0</v>
      </c>
      <c r="M1038" s="74" t="s">
        <v>708</v>
      </c>
      <c r="N1038" s="33"/>
      <c r="O1038" s="30"/>
    </row>
    <row r="1039">
      <c r="A1039" s="64" t="s">
        <v>471</v>
      </c>
      <c r="B1039" s="56" t="s">
        <v>709</v>
      </c>
      <c r="C1039" s="75"/>
      <c r="D1039" s="77"/>
      <c r="E1039" s="77"/>
      <c r="F1039" s="77"/>
      <c r="G1039" s="65">
        <v>5240.0</v>
      </c>
      <c r="J1039" s="30"/>
      <c r="K1039" s="30"/>
      <c r="L1039" s="78">
        <v>45658.0</v>
      </c>
      <c r="M1039" s="79" t="s">
        <v>708</v>
      </c>
      <c r="N1039" s="33"/>
      <c r="O1039" s="30"/>
    </row>
    <row r="1040">
      <c r="A1040" s="90"/>
      <c r="B1040" s="69" t="s">
        <v>710</v>
      </c>
      <c r="C1040" s="47"/>
      <c r="D1040" s="49"/>
      <c r="E1040" s="71"/>
      <c r="F1040" s="71"/>
      <c r="G1040" s="72">
        <v>383.0</v>
      </c>
      <c r="J1040" s="30"/>
      <c r="K1040" s="30"/>
      <c r="L1040" s="73">
        <v>45658.0</v>
      </c>
      <c r="M1040" s="74" t="s">
        <v>711</v>
      </c>
      <c r="N1040" s="33"/>
      <c r="O1040" s="30"/>
    </row>
    <row r="1041">
      <c r="A1041" s="64" t="s">
        <v>508</v>
      </c>
      <c r="B1041" s="56" t="s">
        <v>712</v>
      </c>
      <c r="C1041" s="62" t="s">
        <v>20</v>
      </c>
      <c r="D1041" s="62" t="s">
        <v>21</v>
      </c>
      <c r="E1041" s="77"/>
      <c r="F1041" s="77"/>
      <c r="G1041" s="65" t="s">
        <v>713</v>
      </c>
      <c r="J1041" s="30"/>
      <c r="K1041" s="30"/>
      <c r="L1041" s="78">
        <v>45658.0</v>
      </c>
      <c r="M1041" s="79" t="s">
        <v>509</v>
      </c>
      <c r="N1041" s="33"/>
      <c r="O1041" s="30"/>
    </row>
    <row r="1042">
      <c r="A1042" s="68" t="s">
        <v>403</v>
      </c>
      <c r="B1042" s="69" t="s">
        <v>714</v>
      </c>
      <c r="C1042" s="61" t="s">
        <v>31</v>
      </c>
      <c r="D1042" s="46" t="s">
        <v>187</v>
      </c>
      <c r="E1042" s="71"/>
      <c r="F1042" s="71"/>
      <c r="G1042" s="72">
        <v>5.0</v>
      </c>
      <c r="J1042" s="30"/>
      <c r="K1042" s="30"/>
      <c r="L1042" s="73">
        <v>45658.0</v>
      </c>
      <c r="M1042" s="74" t="s">
        <v>549</v>
      </c>
      <c r="N1042" s="33"/>
      <c r="O1042" s="30"/>
    </row>
    <row r="1043">
      <c r="A1043" s="64" t="s">
        <v>403</v>
      </c>
      <c r="B1043" s="56" t="s">
        <v>715</v>
      </c>
      <c r="C1043" s="55" t="s">
        <v>31</v>
      </c>
      <c r="D1043" s="56" t="s">
        <v>187</v>
      </c>
      <c r="E1043" s="77"/>
      <c r="F1043" s="77"/>
      <c r="G1043" s="65" t="s">
        <v>565</v>
      </c>
      <c r="J1043" s="30"/>
      <c r="K1043" s="30"/>
      <c r="L1043" s="78">
        <v>45658.0</v>
      </c>
      <c r="M1043" s="79" t="s">
        <v>549</v>
      </c>
      <c r="N1043" s="33"/>
      <c r="O1043" s="30"/>
    </row>
    <row r="1044">
      <c r="A1044" s="68" t="s">
        <v>508</v>
      </c>
      <c r="B1044" s="69" t="s">
        <v>716</v>
      </c>
      <c r="C1044" s="61" t="s">
        <v>20</v>
      </c>
      <c r="D1044" s="61" t="s">
        <v>21</v>
      </c>
      <c r="E1044" s="71"/>
      <c r="F1044" s="71"/>
      <c r="G1044" s="72" t="s">
        <v>713</v>
      </c>
      <c r="J1044" s="30"/>
      <c r="K1044" s="30"/>
      <c r="L1044" s="73">
        <v>45658.0</v>
      </c>
      <c r="M1044" s="74" t="s">
        <v>509</v>
      </c>
      <c r="N1044" s="33"/>
      <c r="O1044" s="30"/>
    </row>
    <row r="1045">
      <c r="A1045" s="64" t="s">
        <v>403</v>
      </c>
      <c r="B1045" s="56" t="s">
        <v>717</v>
      </c>
      <c r="C1045" s="55" t="s">
        <v>31</v>
      </c>
      <c r="D1045" s="56" t="s">
        <v>187</v>
      </c>
      <c r="E1045" s="77"/>
      <c r="F1045" s="77"/>
      <c r="G1045" s="65">
        <v>5.0</v>
      </c>
      <c r="J1045" s="30"/>
      <c r="K1045" s="30"/>
      <c r="L1045" s="78">
        <v>45658.0</v>
      </c>
      <c r="M1045" s="79" t="s">
        <v>549</v>
      </c>
      <c r="N1045" s="33"/>
      <c r="O1045" s="30"/>
    </row>
    <row r="1046">
      <c r="A1046" s="68" t="s">
        <v>403</v>
      </c>
      <c r="B1046" s="69" t="s">
        <v>718</v>
      </c>
      <c r="C1046" s="61" t="s">
        <v>31</v>
      </c>
      <c r="D1046" s="46" t="s">
        <v>187</v>
      </c>
      <c r="E1046" s="71"/>
      <c r="F1046" s="71"/>
      <c r="G1046" s="72" t="s">
        <v>565</v>
      </c>
      <c r="J1046" s="30"/>
      <c r="K1046" s="30"/>
      <c r="L1046" s="73">
        <v>45658.0</v>
      </c>
      <c r="M1046" s="74" t="s">
        <v>549</v>
      </c>
      <c r="N1046" s="33"/>
      <c r="O1046" s="30"/>
    </row>
    <row r="1047">
      <c r="A1047" s="80"/>
      <c r="B1047" s="56" t="s">
        <v>719</v>
      </c>
      <c r="C1047" s="75"/>
      <c r="D1047" s="77"/>
      <c r="E1047" s="77"/>
      <c r="F1047" s="77"/>
      <c r="G1047" s="65" t="s">
        <v>720</v>
      </c>
      <c r="J1047" s="30"/>
      <c r="K1047" s="30"/>
      <c r="L1047" s="78">
        <v>45658.0</v>
      </c>
      <c r="M1047" s="81"/>
      <c r="N1047" s="33"/>
      <c r="O1047" s="30"/>
    </row>
    <row r="1048">
      <c r="A1048" s="68" t="s">
        <v>357</v>
      </c>
      <c r="B1048" s="69" t="s">
        <v>721</v>
      </c>
      <c r="C1048" s="47"/>
      <c r="D1048" s="49"/>
      <c r="E1048" s="71"/>
      <c r="F1048" s="71"/>
      <c r="G1048" s="72">
        <v>5413.0</v>
      </c>
      <c r="J1048" s="30"/>
      <c r="K1048" s="30"/>
      <c r="L1048" s="73">
        <v>45658.0</v>
      </c>
      <c r="M1048" s="74" t="s">
        <v>722</v>
      </c>
      <c r="N1048" s="33"/>
      <c r="O1048" s="30"/>
    </row>
    <row r="1049">
      <c r="A1049" s="64" t="s">
        <v>403</v>
      </c>
      <c r="B1049" s="56" t="s">
        <v>723</v>
      </c>
      <c r="C1049" s="55" t="s">
        <v>31</v>
      </c>
      <c r="D1049" s="56" t="s">
        <v>187</v>
      </c>
      <c r="E1049" s="77"/>
      <c r="F1049" s="77"/>
      <c r="G1049" s="65">
        <v>5.0</v>
      </c>
      <c r="J1049" s="30"/>
      <c r="K1049" s="30"/>
      <c r="L1049" s="78">
        <v>45658.0</v>
      </c>
      <c r="M1049" s="79" t="s">
        <v>549</v>
      </c>
      <c r="N1049" s="33"/>
      <c r="O1049" s="30"/>
    </row>
    <row r="1050">
      <c r="A1050" s="68" t="s">
        <v>403</v>
      </c>
      <c r="B1050" s="69" t="s">
        <v>724</v>
      </c>
      <c r="C1050" s="61" t="s">
        <v>31</v>
      </c>
      <c r="D1050" s="46" t="s">
        <v>187</v>
      </c>
      <c r="E1050" s="71"/>
      <c r="F1050" s="71"/>
      <c r="G1050" s="72" t="s">
        <v>565</v>
      </c>
      <c r="J1050" s="30"/>
      <c r="K1050" s="30"/>
      <c r="L1050" s="73">
        <v>45658.0</v>
      </c>
      <c r="M1050" s="74" t="s">
        <v>549</v>
      </c>
      <c r="N1050" s="33"/>
      <c r="O1050" s="30"/>
    </row>
    <row r="1051">
      <c r="A1051" s="64" t="s">
        <v>479</v>
      </c>
      <c r="B1051" s="56" t="s">
        <v>725</v>
      </c>
      <c r="C1051" s="62" t="s">
        <v>20</v>
      </c>
      <c r="D1051" s="62" t="s">
        <v>21</v>
      </c>
      <c r="E1051" s="77"/>
      <c r="F1051" s="77"/>
      <c r="G1051" s="65" t="s">
        <v>726</v>
      </c>
      <c r="J1051" s="30"/>
      <c r="K1051" s="30"/>
      <c r="L1051" s="78">
        <v>45658.0</v>
      </c>
      <c r="M1051" s="79" t="s">
        <v>631</v>
      </c>
      <c r="N1051" s="33"/>
      <c r="O1051" s="30"/>
    </row>
    <row r="1052">
      <c r="A1052" s="68" t="s">
        <v>403</v>
      </c>
      <c r="B1052" s="69" t="s">
        <v>723</v>
      </c>
      <c r="C1052" s="61" t="s">
        <v>31</v>
      </c>
      <c r="D1052" s="46" t="s">
        <v>187</v>
      </c>
      <c r="E1052" s="71"/>
      <c r="F1052" s="71"/>
      <c r="G1052" s="72">
        <v>5.0</v>
      </c>
      <c r="J1052" s="30"/>
      <c r="K1052" s="30"/>
      <c r="L1052" s="73">
        <v>45658.0</v>
      </c>
      <c r="M1052" s="74" t="s">
        <v>549</v>
      </c>
      <c r="N1052" s="33"/>
      <c r="O1052" s="30"/>
    </row>
    <row r="1053">
      <c r="A1053" s="64" t="s">
        <v>403</v>
      </c>
      <c r="B1053" s="56" t="s">
        <v>724</v>
      </c>
      <c r="C1053" s="55" t="s">
        <v>31</v>
      </c>
      <c r="D1053" s="56" t="s">
        <v>187</v>
      </c>
      <c r="E1053" s="77"/>
      <c r="F1053" s="77"/>
      <c r="G1053" s="65" t="s">
        <v>565</v>
      </c>
      <c r="J1053" s="30"/>
      <c r="K1053" s="30"/>
      <c r="L1053" s="78">
        <v>45658.0</v>
      </c>
      <c r="M1053" s="79" t="s">
        <v>549</v>
      </c>
      <c r="N1053" s="33"/>
      <c r="O1053" s="30"/>
    </row>
    <row r="1054">
      <c r="A1054" s="68" t="s">
        <v>18</v>
      </c>
      <c r="B1054" s="69" t="s">
        <v>727</v>
      </c>
      <c r="C1054" s="47"/>
      <c r="D1054" s="49"/>
      <c r="E1054" s="71"/>
      <c r="F1054" s="71"/>
      <c r="G1054" s="72" t="s">
        <v>728</v>
      </c>
      <c r="J1054" s="30"/>
      <c r="K1054" s="30"/>
      <c r="L1054" s="73">
        <v>45658.0</v>
      </c>
      <c r="M1054" s="74" t="s">
        <v>586</v>
      </c>
      <c r="N1054" s="33"/>
      <c r="O1054" s="30"/>
    </row>
    <row r="1055">
      <c r="A1055" s="64" t="s">
        <v>403</v>
      </c>
      <c r="B1055" s="56" t="s">
        <v>723</v>
      </c>
      <c r="C1055" s="55" t="s">
        <v>31</v>
      </c>
      <c r="D1055" s="56" t="s">
        <v>187</v>
      </c>
      <c r="E1055" s="77"/>
      <c r="F1055" s="77"/>
      <c r="G1055" s="65">
        <v>5.0</v>
      </c>
      <c r="J1055" s="30"/>
      <c r="K1055" s="30"/>
      <c r="L1055" s="78">
        <v>45658.0</v>
      </c>
      <c r="M1055" s="79" t="s">
        <v>549</v>
      </c>
      <c r="N1055" s="33"/>
      <c r="O1055" s="30"/>
    </row>
    <row r="1056">
      <c r="A1056" s="68" t="s">
        <v>403</v>
      </c>
      <c r="B1056" s="69" t="s">
        <v>724</v>
      </c>
      <c r="C1056" s="61" t="s">
        <v>31</v>
      </c>
      <c r="D1056" s="46" t="s">
        <v>187</v>
      </c>
      <c r="E1056" s="71"/>
      <c r="F1056" s="71"/>
      <c r="G1056" s="72" t="s">
        <v>565</v>
      </c>
      <c r="J1056" s="30"/>
      <c r="K1056" s="30"/>
      <c r="L1056" s="73">
        <v>45658.0</v>
      </c>
      <c r="M1056" s="74" t="s">
        <v>549</v>
      </c>
      <c r="N1056" s="33"/>
      <c r="O1056" s="30"/>
    </row>
    <row r="1057">
      <c r="A1057" s="64" t="s">
        <v>403</v>
      </c>
      <c r="B1057" s="56" t="s">
        <v>723</v>
      </c>
      <c r="C1057" s="55" t="s">
        <v>31</v>
      </c>
      <c r="D1057" s="56" t="s">
        <v>187</v>
      </c>
      <c r="E1057" s="77"/>
      <c r="F1057" s="77"/>
      <c r="G1057" s="65">
        <v>5.0</v>
      </c>
      <c r="J1057" s="30"/>
      <c r="K1057" s="30"/>
      <c r="L1057" s="78">
        <v>45658.0</v>
      </c>
      <c r="M1057" s="79" t="s">
        <v>549</v>
      </c>
      <c r="N1057" s="33"/>
      <c r="O1057" s="30"/>
    </row>
    <row r="1058">
      <c r="A1058" s="68" t="s">
        <v>403</v>
      </c>
      <c r="B1058" s="69" t="s">
        <v>724</v>
      </c>
      <c r="C1058" s="61" t="s">
        <v>31</v>
      </c>
      <c r="D1058" s="46" t="s">
        <v>187</v>
      </c>
      <c r="E1058" s="71"/>
      <c r="F1058" s="71"/>
      <c r="G1058" s="72" t="s">
        <v>565</v>
      </c>
      <c r="J1058" s="30"/>
      <c r="K1058" s="30"/>
      <c r="L1058" s="73">
        <v>45658.0</v>
      </c>
      <c r="M1058" s="74" t="s">
        <v>549</v>
      </c>
      <c r="N1058" s="33"/>
      <c r="O1058" s="30"/>
    </row>
    <row r="1059">
      <c r="A1059" s="64" t="s">
        <v>18</v>
      </c>
      <c r="B1059" s="56" t="s">
        <v>729</v>
      </c>
      <c r="C1059" s="75"/>
      <c r="D1059" s="77"/>
      <c r="E1059" s="77"/>
      <c r="F1059" s="77"/>
      <c r="G1059" s="65" t="s">
        <v>730</v>
      </c>
      <c r="J1059" s="30"/>
      <c r="K1059" s="30"/>
      <c r="L1059" s="78">
        <v>45658.0</v>
      </c>
      <c r="M1059" s="79" t="s">
        <v>586</v>
      </c>
      <c r="N1059" s="33"/>
      <c r="O1059" s="30"/>
    </row>
    <row r="1060">
      <c r="A1060" s="68" t="s">
        <v>403</v>
      </c>
      <c r="B1060" s="69" t="s">
        <v>731</v>
      </c>
      <c r="C1060" s="61" t="s">
        <v>31</v>
      </c>
      <c r="D1060" s="46" t="s">
        <v>187</v>
      </c>
      <c r="E1060" s="71"/>
      <c r="F1060" s="71"/>
      <c r="G1060" s="72">
        <v>5.0</v>
      </c>
      <c r="J1060" s="30"/>
      <c r="K1060" s="30"/>
      <c r="L1060" s="73">
        <v>45658.0</v>
      </c>
      <c r="M1060" s="74" t="s">
        <v>549</v>
      </c>
      <c r="N1060" s="33"/>
      <c r="O1060" s="30"/>
    </row>
    <row r="1061">
      <c r="A1061" s="64" t="s">
        <v>403</v>
      </c>
      <c r="B1061" s="56" t="s">
        <v>732</v>
      </c>
      <c r="C1061" s="55" t="s">
        <v>31</v>
      </c>
      <c r="D1061" s="56" t="s">
        <v>187</v>
      </c>
      <c r="E1061" s="77"/>
      <c r="F1061" s="77"/>
      <c r="G1061" s="65" t="s">
        <v>565</v>
      </c>
      <c r="J1061" s="30"/>
      <c r="K1061" s="30"/>
      <c r="L1061" s="78">
        <v>45658.0</v>
      </c>
      <c r="M1061" s="79" t="s">
        <v>549</v>
      </c>
      <c r="N1061" s="33"/>
      <c r="O1061" s="30"/>
    </row>
    <row r="1062">
      <c r="A1062" s="68" t="s">
        <v>18</v>
      </c>
      <c r="B1062" s="69" t="s">
        <v>733</v>
      </c>
      <c r="C1062" s="47"/>
      <c r="D1062" s="49"/>
      <c r="E1062" s="71"/>
      <c r="F1062" s="71"/>
      <c r="G1062" s="72" t="s">
        <v>734</v>
      </c>
      <c r="J1062" s="30"/>
      <c r="K1062" s="30"/>
      <c r="L1062" s="73">
        <v>45658.0</v>
      </c>
      <c r="M1062" s="74" t="s">
        <v>586</v>
      </c>
      <c r="N1062" s="33"/>
      <c r="O1062" s="30"/>
    </row>
    <row r="1063">
      <c r="A1063" s="64" t="s">
        <v>403</v>
      </c>
      <c r="B1063" s="56" t="s">
        <v>731</v>
      </c>
      <c r="C1063" s="55" t="s">
        <v>31</v>
      </c>
      <c r="D1063" s="56" t="s">
        <v>187</v>
      </c>
      <c r="E1063" s="77"/>
      <c r="F1063" s="77"/>
      <c r="G1063" s="65">
        <v>5.0</v>
      </c>
      <c r="J1063" s="30"/>
      <c r="K1063" s="30"/>
      <c r="L1063" s="78">
        <v>45658.0</v>
      </c>
      <c r="M1063" s="79" t="s">
        <v>549</v>
      </c>
      <c r="N1063" s="33"/>
      <c r="O1063" s="30"/>
    </row>
    <row r="1064">
      <c r="A1064" s="68" t="s">
        <v>403</v>
      </c>
      <c r="B1064" s="69" t="s">
        <v>735</v>
      </c>
      <c r="C1064" s="61" t="s">
        <v>31</v>
      </c>
      <c r="D1064" s="46" t="s">
        <v>187</v>
      </c>
      <c r="E1064" s="71"/>
      <c r="F1064" s="71"/>
      <c r="G1064" s="72" t="s">
        <v>565</v>
      </c>
      <c r="J1064" s="30"/>
      <c r="K1064" s="30"/>
      <c r="L1064" s="73">
        <v>45658.0</v>
      </c>
      <c r="M1064" s="74" t="s">
        <v>549</v>
      </c>
      <c r="N1064" s="33"/>
      <c r="O1064" s="30"/>
    </row>
    <row r="1065">
      <c r="A1065" s="64" t="s">
        <v>440</v>
      </c>
      <c r="B1065" s="56" t="s">
        <v>736</v>
      </c>
      <c r="C1065" s="88" t="s">
        <v>20</v>
      </c>
      <c r="D1065" s="56" t="s">
        <v>21</v>
      </c>
      <c r="E1065" s="77"/>
      <c r="F1065" s="77"/>
      <c r="G1065" s="65" t="s">
        <v>737</v>
      </c>
      <c r="J1065" s="30"/>
      <c r="K1065" s="30"/>
      <c r="L1065" s="78">
        <v>45658.0</v>
      </c>
      <c r="M1065" s="79" t="s">
        <v>738</v>
      </c>
      <c r="N1065" s="33"/>
      <c r="O1065" s="30"/>
    </row>
    <row r="1066">
      <c r="A1066" s="68" t="s">
        <v>391</v>
      </c>
      <c r="B1066" s="69" t="s">
        <v>739</v>
      </c>
      <c r="C1066" s="47"/>
      <c r="D1066" s="49"/>
      <c r="E1066" s="71"/>
      <c r="F1066" s="71"/>
      <c r="G1066" s="72" t="s">
        <v>740</v>
      </c>
      <c r="J1066" s="30"/>
      <c r="K1066" s="30"/>
      <c r="L1066" s="73">
        <v>45658.0</v>
      </c>
      <c r="M1066" s="74" t="s">
        <v>741</v>
      </c>
      <c r="N1066" s="33"/>
      <c r="O1066" s="30"/>
    </row>
    <row r="1067">
      <c r="A1067" s="64" t="s">
        <v>403</v>
      </c>
      <c r="B1067" s="56" t="s">
        <v>731</v>
      </c>
      <c r="C1067" s="55" t="s">
        <v>31</v>
      </c>
      <c r="D1067" s="56" t="s">
        <v>187</v>
      </c>
      <c r="E1067" s="77"/>
      <c r="F1067" s="77"/>
      <c r="G1067" s="65">
        <v>5.0</v>
      </c>
      <c r="J1067" s="30"/>
      <c r="K1067" s="30"/>
      <c r="L1067" s="78">
        <v>45658.0</v>
      </c>
      <c r="M1067" s="79" t="s">
        <v>549</v>
      </c>
      <c r="N1067" s="33"/>
      <c r="O1067" s="30"/>
    </row>
    <row r="1068">
      <c r="A1068" s="68" t="s">
        <v>403</v>
      </c>
      <c r="B1068" s="69" t="s">
        <v>735</v>
      </c>
      <c r="C1068" s="61" t="s">
        <v>31</v>
      </c>
      <c r="D1068" s="46" t="s">
        <v>187</v>
      </c>
      <c r="E1068" s="71"/>
      <c r="F1068" s="71"/>
      <c r="G1068" s="72" t="s">
        <v>565</v>
      </c>
      <c r="J1068" s="30"/>
      <c r="K1068" s="30"/>
      <c r="L1068" s="73">
        <v>45658.0</v>
      </c>
      <c r="M1068" s="74" t="s">
        <v>549</v>
      </c>
      <c r="N1068" s="33"/>
      <c r="O1068" s="30"/>
    </row>
    <row r="1069">
      <c r="A1069" s="64" t="s">
        <v>528</v>
      </c>
      <c r="B1069" s="56" t="s">
        <v>742</v>
      </c>
      <c r="C1069" s="75"/>
      <c r="D1069" s="76"/>
      <c r="E1069" s="77"/>
      <c r="F1069" s="77"/>
      <c r="G1069" s="65" t="s">
        <v>743</v>
      </c>
      <c r="J1069" s="30"/>
      <c r="K1069" s="30"/>
      <c r="L1069" s="78">
        <v>45658.0</v>
      </c>
      <c r="M1069" s="79" t="s">
        <v>559</v>
      </c>
      <c r="N1069" s="33"/>
      <c r="O1069" s="30"/>
    </row>
    <row r="1070">
      <c r="A1070" s="68" t="s">
        <v>378</v>
      </c>
      <c r="B1070" s="69" t="s">
        <v>744</v>
      </c>
      <c r="C1070" s="91" t="s">
        <v>20</v>
      </c>
      <c r="D1070" s="69" t="s">
        <v>21</v>
      </c>
      <c r="E1070" s="71"/>
      <c r="F1070" s="71"/>
      <c r="G1070" s="72" t="s">
        <v>745</v>
      </c>
      <c r="J1070" s="30"/>
      <c r="K1070" s="30"/>
      <c r="L1070" s="73">
        <v>45658.0</v>
      </c>
      <c r="M1070" s="74" t="s">
        <v>562</v>
      </c>
      <c r="N1070" s="33"/>
      <c r="O1070" s="30"/>
    </row>
    <row r="1071">
      <c r="A1071" s="64" t="s">
        <v>403</v>
      </c>
      <c r="B1071" s="56" t="s">
        <v>731</v>
      </c>
      <c r="C1071" s="55" t="s">
        <v>31</v>
      </c>
      <c r="D1071" s="56" t="s">
        <v>187</v>
      </c>
      <c r="E1071" s="77"/>
      <c r="F1071" s="77"/>
      <c r="G1071" s="65">
        <v>5.0</v>
      </c>
      <c r="J1071" s="30"/>
      <c r="K1071" s="30"/>
      <c r="L1071" s="78">
        <v>45658.0</v>
      </c>
      <c r="M1071" s="79" t="s">
        <v>549</v>
      </c>
      <c r="N1071" s="33"/>
      <c r="O1071" s="30"/>
    </row>
    <row r="1072">
      <c r="A1072" s="68" t="s">
        <v>403</v>
      </c>
      <c r="B1072" s="69" t="s">
        <v>735</v>
      </c>
      <c r="C1072" s="61" t="s">
        <v>31</v>
      </c>
      <c r="D1072" s="46" t="s">
        <v>187</v>
      </c>
      <c r="E1072" s="71"/>
      <c r="F1072" s="71"/>
      <c r="G1072" s="72" t="s">
        <v>565</v>
      </c>
      <c r="J1072" s="30"/>
      <c r="K1072" s="30"/>
      <c r="L1072" s="73">
        <v>45658.0</v>
      </c>
      <c r="M1072" s="74" t="s">
        <v>549</v>
      </c>
      <c r="N1072" s="33"/>
      <c r="O1072" s="30"/>
    </row>
    <row r="1073">
      <c r="A1073" s="64" t="s">
        <v>18</v>
      </c>
      <c r="B1073" s="56" t="s">
        <v>746</v>
      </c>
      <c r="C1073" s="75"/>
      <c r="D1073" s="76"/>
      <c r="E1073" s="77"/>
      <c r="F1073" s="77"/>
      <c r="G1073" s="92" t="s">
        <v>747</v>
      </c>
      <c r="J1073" s="30"/>
      <c r="K1073" s="30"/>
      <c r="L1073" s="78">
        <v>45658.0</v>
      </c>
      <c r="M1073" s="79" t="s">
        <v>586</v>
      </c>
      <c r="N1073" s="33"/>
      <c r="O1073" s="30"/>
    </row>
    <row r="1074">
      <c r="A1074" s="68" t="s">
        <v>403</v>
      </c>
      <c r="B1074" s="69" t="s">
        <v>731</v>
      </c>
      <c r="C1074" s="61" t="s">
        <v>31</v>
      </c>
      <c r="D1074" s="46" t="s">
        <v>187</v>
      </c>
      <c r="E1074" s="71"/>
      <c r="F1074" s="71"/>
      <c r="G1074" s="72">
        <v>5.0</v>
      </c>
      <c r="J1074" s="30"/>
      <c r="K1074" s="30"/>
      <c r="L1074" s="73">
        <v>45658.0</v>
      </c>
      <c r="M1074" s="74" t="s">
        <v>549</v>
      </c>
      <c r="N1074" s="33"/>
      <c r="O1074" s="30"/>
    </row>
    <row r="1075">
      <c r="A1075" s="64" t="s">
        <v>403</v>
      </c>
      <c r="B1075" s="56" t="s">
        <v>735</v>
      </c>
      <c r="C1075" s="55" t="s">
        <v>31</v>
      </c>
      <c r="D1075" s="56" t="s">
        <v>187</v>
      </c>
      <c r="E1075" s="77"/>
      <c r="F1075" s="77"/>
      <c r="G1075" s="65" t="s">
        <v>565</v>
      </c>
      <c r="J1075" s="30"/>
      <c r="K1075" s="30"/>
      <c r="L1075" s="78">
        <v>45658.0</v>
      </c>
      <c r="M1075" s="79" t="s">
        <v>549</v>
      </c>
      <c r="N1075" s="33"/>
      <c r="O1075" s="30"/>
    </row>
    <row r="1076">
      <c r="A1076" s="68" t="s">
        <v>18</v>
      </c>
      <c r="B1076" s="69" t="s">
        <v>748</v>
      </c>
      <c r="C1076" s="47"/>
      <c r="D1076" s="49"/>
      <c r="E1076" s="71"/>
      <c r="F1076" s="71"/>
      <c r="G1076" s="93">
        <v>1340108.0</v>
      </c>
      <c r="J1076" s="30"/>
      <c r="K1076" s="30"/>
      <c r="L1076" s="73">
        <v>45658.0</v>
      </c>
      <c r="M1076" s="74" t="s">
        <v>586</v>
      </c>
      <c r="N1076" s="33"/>
      <c r="O1076" s="30"/>
    </row>
    <row r="1077">
      <c r="A1077" s="64" t="s">
        <v>18</v>
      </c>
      <c r="B1077" s="56" t="s">
        <v>748</v>
      </c>
      <c r="C1077" s="75"/>
      <c r="D1077" s="77"/>
      <c r="E1077" s="77"/>
      <c r="F1077" s="77"/>
      <c r="G1077" s="65" t="s">
        <v>749</v>
      </c>
      <c r="J1077" s="30"/>
      <c r="K1077" s="30"/>
      <c r="L1077" s="78">
        <v>45658.0</v>
      </c>
      <c r="M1077" s="79" t="s">
        <v>586</v>
      </c>
      <c r="N1077" s="33"/>
      <c r="O1077" s="30"/>
    </row>
    <row r="1078">
      <c r="A1078" s="68" t="s">
        <v>18</v>
      </c>
      <c r="B1078" s="69" t="s">
        <v>748</v>
      </c>
      <c r="C1078" s="47"/>
      <c r="D1078" s="49"/>
      <c r="E1078" s="71"/>
      <c r="F1078" s="71"/>
      <c r="G1078" s="72" t="s">
        <v>749</v>
      </c>
      <c r="J1078" s="30"/>
      <c r="K1078" s="30"/>
      <c r="L1078" s="73">
        <v>45658.0</v>
      </c>
      <c r="M1078" s="74" t="s">
        <v>586</v>
      </c>
      <c r="N1078" s="33"/>
      <c r="O1078" s="30"/>
    </row>
    <row r="1079">
      <c r="A1079" s="64" t="s">
        <v>18</v>
      </c>
      <c r="B1079" s="56" t="s">
        <v>750</v>
      </c>
      <c r="C1079" s="75"/>
      <c r="D1079" s="77"/>
      <c r="E1079" s="77"/>
      <c r="F1079" s="77"/>
      <c r="G1079" s="65" t="s">
        <v>751</v>
      </c>
      <c r="J1079" s="30"/>
      <c r="K1079" s="30"/>
      <c r="L1079" s="78">
        <v>45658.0</v>
      </c>
      <c r="M1079" s="79" t="s">
        <v>752</v>
      </c>
      <c r="N1079" s="33"/>
      <c r="O1079" s="30"/>
    </row>
    <row r="1080">
      <c r="A1080" s="68" t="s">
        <v>403</v>
      </c>
      <c r="B1080" s="69" t="s">
        <v>753</v>
      </c>
      <c r="C1080" s="61" t="s">
        <v>31</v>
      </c>
      <c r="D1080" s="46" t="s">
        <v>187</v>
      </c>
      <c r="E1080" s="71"/>
      <c r="F1080" s="71"/>
      <c r="G1080" s="72">
        <v>5.0</v>
      </c>
      <c r="J1080" s="30"/>
      <c r="K1080" s="30"/>
      <c r="L1080" s="73">
        <v>45658.0</v>
      </c>
      <c r="M1080" s="74" t="s">
        <v>549</v>
      </c>
      <c r="N1080" s="33"/>
      <c r="O1080" s="30"/>
    </row>
    <row r="1081">
      <c r="A1081" s="64" t="s">
        <v>403</v>
      </c>
      <c r="B1081" s="56" t="s">
        <v>754</v>
      </c>
      <c r="C1081" s="55" t="s">
        <v>31</v>
      </c>
      <c r="D1081" s="56" t="s">
        <v>187</v>
      </c>
      <c r="E1081" s="77"/>
      <c r="F1081" s="77"/>
      <c r="G1081" s="65" t="s">
        <v>565</v>
      </c>
      <c r="J1081" s="30"/>
      <c r="K1081" s="30"/>
      <c r="L1081" s="78">
        <v>45658.0</v>
      </c>
      <c r="M1081" s="79" t="s">
        <v>549</v>
      </c>
      <c r="N1081" s="33"/>
      <c r="O1081" s="30"/>
    </row>
    <row r="1082">
      <c r="A1082" s="68" t="s">
        <v>18</v>
      </c>
      <c r="B1082" s="69" t="s">
        <v>755</v>
      </c>
      <c r="C1082" s="47"/>
      <c r="D1082" s="49"/>
      <c r="E1082" s="71"/>
      <c r="F1082" s="71"/>
      <c r="G1082" s="72" t="s">
        <v>756</v>
      </c>
      <c r="J1082" s="30"/>
      <c r="K1082" s="30"/>
      <c r="L1082" s="73">
        <v>45658.0</v>
      </c>
      <c r="M1082" s="74" t="s">
        <v>752</v>
      </c>
      <c r="N1082" s="33"/>
      <c r="O1082" s="30"/>
    </row>
    <row r="1083">
      <c r="A1083" s="64" t="s">
        <v>403</v>
      </c>
      <c r="B1083" s="56" t="s">
        <v>753</v>
      </c>
      <c r="C1083" s="55" t="s">
        <v>31</v>
      </c>
      <c r="D1083" s="56" t="s">
        <v>187</v>
      </c>
      <c r="E1083" s="77"/>
      <c r="F1083" s="77"/>
      <c r="G1083" s="65">
        <v>5.0</v>
      </c>
      <c r="J1083" s="30"/>
      <c r="K1083" s="30"/>
      <c r="L1083" s="78">
        <v>45658.0</v>
      </c>
      <c r="M1083" s="79" t="s">
        <v>549</v>
      </c>
      <c r="N1083" s="33"/>
      <c r="O1083" s="30"/>
    </row>
    <row r="1084">
      <c r="A1084" s="68" t="s">
        <v>403</v>
      </c>
      <c r="B1084" s="69" t="s">
        <v>754</v>
      </c>
      <c r="C1084" s="61" t="s">
        <v>31</v>
      </c>
      <c r="D1084" s="46" t="s">
        <v>187</v>
      </c>
      <c r="E1084" s="71"/>
      <c r="F1084" s="71"/>
      <c r="G1084" s="72" t="s">
        <v>565</v>
      </c>
      <c r="J1084" s="30"/>
      <c r="K1084" s="30"/>
      <c r="L1084" s="73">
        <v>45658.0</v>
      </c>
      <c r="M1084" s="74" t="s">
        <v>549</v>
      </c>
      <c r="N1084" s="33"/>
      <c r="O1084" s="30"/>
    </row>
    <row r="1085">
      <c r="A1085" s="64" t="s">
        <v>18</v>
      </c>
      <c r="B1085" s="56" t="s">
        <v>757</v>
      </c>
      <c r="C1085" s="75"/>
      <c r="D1085" s="77"/>
      <c r="E1085" s="77"/>
      <c r="F1085" s="77"/>
      <c r="G1085" s="65" t="s">
        <v>758</v>
      </c>
      <c r="J1085" s="30"/>
      <c r="K1085" s="30"/>
      <c r="L1085" s="78">
        <v>45658.0</v>
      </c>
      <c r="M1085" s="79" t="s">
        <v>586</v>
      </c>
      <c r="N1085" s="33"/>
      <c r="O1085" s="30"/>
    </row>
    <row r="1086">
      <c r="A1086" s="68" t="s">
        <v>403</v>
      </c>
      <c r="B1086" s="69" t="s">
        <v>753</v>
      </c>
      <c r="C1086" s="61" t="s">
        <v>31</v>
      </c>
      <c r="D1086" s="46" t="s">
        <v>187</v>
      </c>
      <c r="E1086" s="71"/>
      <c r="F1086" s="71"/>
      <c r="G1086" s="72">
        <v>5.0</v>
      </c>
      <c r="J1086" s="30"/>
      <c r="K1086" s="30"/>
      <c r="L1086" s="73">
        <v>45658.0</v>
      </c>
      <c r="M1086" s="74" t="s">
        <v>549</v>
      </c>
      <c r="N1086" s="33"/>
      <c r="O1086" s="30"/>
    </row>
    <row r="1087">
      <c r="A1087" s="64" t="s">
        <v>403</v>
      </c>
      <c r="B1087" s="56" t="s">
        <v>754</v>
      </c>
      <c r="C1087" s="55" t="s">
        <v>31</v>
      </c>
      <c r="D1087" s="56" t="s">
        <v>187</v>
      </c>
      <c r="E1087" s="77"/>
      <c r="F1087" s="77"/>
      <c r="G1087" s="65" t="s">
        <v>565</v>
      </c>
      <c r="J1087" s="30"/>
      <c r="K1087" s="30"/>
      <c r="L1087" s="78">
        <v>45658.0</v>
      </c>
      <c r="M1087" s="79" t="s">
        <v>549</v>
      </c>
      <c r="N1087" s="33"/>
      <c r="O1087" s="30"/>
    </row>
    <row r="1088">
      <c r="A1088" s="45" t="s">
        <v>440</v>
      </c>
      <c r="B1088" s="69" t="s">
        <v>759</v>
      </c>
      <c r="C1088" s="91" t="s">
        <v>20</v>
      </c>
      <c r="D1088" s="69" t="s">
        <v>21</v>
      </c>
      <c r="E1088" s="71"/>
      <c r="F1088" s="71"/>
      <c r="G1088" s="72">
        <v>9663.0</v>
      </c>
      <c r="J1088" s="30"/>
      <c r="K1088" s="30"/>
      <c r="L1088" s="73">
        <v>45658.0</v>
      </c>
      <c r="M1088" s="74" t="s">
        <v>738</v>
      </c>
      <c r="N1088" s="33"/>
      <c r="O1088" s="30"/>
    </row>
    <row r="1089">
      <c r="A1089" s="64" t="s">
        <v>403</v>
      </c>
      <c r="B1089" s="56" t="s">
        <v>760</v>
      </c>
      <c r="C1089" s="55" t="s">
        <v>31</v>
      </c>
      <c r="D1089" s="56" t="s">
        <v>187</v>
      </c>
      <c r="E1089" s="77"/>
      <c r="F1089" s="77"/>
      <c r="G1089" s="94">
        <v>46145.0</v>
      </c>
      <c r="J1089" s="30"/>
      <c r="K1089" s="30"/>
      <c r="L1089" s="78">
        <v>45658.0</v>
      </c>
      <c r="M1089" s="79" t="s">
        <v>549</v>
      </c>
      <c r="N1089" s="33"/>
      <c r="O1089" s="30"/>
    </row>
    <row r="1090">
      <c r="A1090" s="68" t="s">
        <v>403</v>
      </c>
      <c r="B1090" s="69" t="s">
        <v>761</v>
      </c>
      <c r="C1090" s="61" t="s">
        <v>31</v>
      </c>
      <c r="D1090" s="46" t="s">
        <v>187</v>
      </c>
      <c r="E1090" s="71"/>
      <c r="F1090" s="71"/>
      <c r="G1090" s="72" t="s">
        <v>762</v>
      </c>
      <c r="J1090" s="30"/>
      <c r="K1090" s="30"/>
      <c r="L1090" s="73">
        <v>45658.0</v>
      </c>
      <c r="M1090" s="74" t="s">
        <v>549</v>
      </c>
      <c r="N1090" s="33"/>
      <c r="O1090" s="30"/>
    </row>
    <row r="1091">
      <c r="A1091" s="64" t="s">
        <v>349</v>
      </c>
      <c r="B1091" s="56" t="s">
        <v>763</v>
      </c>
      <c r="C1091" s="75"/>
      <c r="D1091" s="76"/>
      <c r="E1091" s="77"/>
      <c r="F1091" s="77"/>
      <c r="G1091" s="65">
        <v>153480.0</v>
      </c>
      <c r="J1091" s="30"/>
      <c r="K1091" s="30"/>
      <c r="L1091" s="78">
        <v>45658.0</v>
      </c>
      <c r="M1091" s="79" t="s">
        <v>581</v>
      </c>
      <c r="N1091" s="33"/>
      <c r="O1091" s="30"/>
    </row>
    <row r="1092">
      <c r="A1092" s="68" t="s">
        <v>403</v>
      </c>
      <c r="B1092" s="69" t="s">
        <v>753</v>
      </c>
      <c r="C1092" s="61" t="s">
        <v>31</v>
      </c>
      <c r="D1092" s="46" t="s">
        <v>187</v>
      </c>
      <c r="E1092" s="71"/>
      <c r="F1092" s="71"/>
      <c r="G1092" s="72">
        <v>5.0</v>
      </c>
      <c r="J1092" s="30"/>
      <c r="K1092" s="30"/>
      <c r="L1092" s="73">
        <v>45658.0</v>
      </c>
      <c r="M1092" s="74" t="s">
        <v>549</v>
      </c>
      <c r="N1092" s="33"/>
      <c r="O1092" s="30"/>
    </row>
    <row r="1093">
      <c r="A1093" s="64" t="s">
        <v>403</v>
      </c>
      <c r="B1093" s="56" t="s">
        <v>754</v>
      </c>
      <c r="C1093" s="55" t="s">
        <v>31</v>
      </c>
      <c r="D1093" s="56" t="s">
        <v>187</v>
      </c>
      <c r="E1093" s="77"/>
      <c r="F1093" s="77"/>
      <c r="G1093" s="65" t="s">
        <v>565</v>
      </c>
      <c r="J1093" s="30"/>
      <c r="K1093" s="30"/>
      <c r="L1093" s="78">
        <v>45658.0</v>
      </c>
      <c r="M1093" s="79" t="s">
        <v>549</v>
      </c>
      <c r="N1093" s="33"/>
      <c r="O1093" s="30"/>
    </row>
    <row r="1094">
      <c r="A1094" s="68" t="s">
        <v>349</v>
      </c>
      <c r="B1094" s="69" t="s">
        <v>764</v>
      </c>
      <c r="C1094" s="47"/>
      <c r="D1094" s="49"/>
      <c r="E1094" s="71"/>
      <c r="F1094" s="71"/>
      <c r="G1094" s="72" t="s">
        <v>765</v>
      </c>
      <c r="J1094" s="30"/>
      <c r="K1094" s="30"/>
      <c r="L1094" s="73">
        <v>45658.0</v>
      </c>
      <c r="M1094" s="74" t="s">
        <v>581</v>
      </c>
      <c r="N1094" s="33"/>
      <c r="O1094" s="30"/>
    </row>
    <row r="1095">
      <c r="A1095" s="64" t="s">
        <v>403</v>
      </c>
      <c r="B1095" s="56" t="s">
        <v>753</v>
      </c>
      <c r="C1095" s="55" t="s">
        <v>31</v>
      </c>
      <c r="D1095" s="56" t="s">
        <v>187</v>
      </c>
      <c r="E1095" s="77"/>
      <c r="F1095" s="77"/>
      <c r="G1095" s="65">
        <v>5.0</v>
      </c>
      <c r="J1095" s="30"/>
      <c r="K1095" s="30"/>
      <c r="L1095" s="78">
        <v>45658.0</v>
      </c>
      <c r="M1095" s="79" t="s">
        <v>549</v>
      </c>
      <c r="N1095" s="33"/>
      <c r="O1095" s="30"/>
    </row>
    <row r="1096">
      <c r="A1096" s="68" t="s">
        <v>403</v>
      </c>
      <c r="B1096" s="69" t="s">
        <v>754</v>
      </c>
      <c r="C1096" s="61" t="s">
        <v>31</v>
      </c>
      <c r="D1096" s="46" t="s">
        <v>187</v>
      </c>
      <c r="E1096" s="71"/>
      <c r="F1096" s="71"/>
      <c r="G1096" s="72" t="s">
        <v>565</v>
      </c>
      <c r="J1096" s="30"/>
      <c r="K1096" s="30"/>
      <c r="L1096" s="73">
        <v>45658.0</v>
      </c>
      <c r="M1096" s="74" t="s">
        <v>549</v>
      </c>
      <c r="N1096" s="33"/>
      <c r="O1096" s="30"/>
    </row>
    <row r="1097">
      <c r="A1097" s="64" t="s">
        <v>18</v>
      </c>
      <c r="B1097" s="56" t="s">
        <v>766</v>
      </c>
      <c r="C1097" s="75"/>
      <c r="D1097" s="77"/>
      <c r="E1097" s="77"/>
      <c r="F1097" s="77"/>
      <c r="G1097" s="65" t="s">
        <v>673</v>
      </c>
      <c r="J1097" s="30"/>
      <c r="K1097" s="30"/>
      <c r="L1097" s="78">
        <v>45658.0</v>
      </c>
      <c r="M1097" s="79" t="s">
        <v>586</v>
      </c>
      <c r="N1097" s="33"/>
      <c r="O1097" s="30"/>
    </row>
    <row r="1098">
      <c r="A1098" s="68" t="s">
        <v>403</v>
      </c>
      <c r="B1098" s="69" t="s">
        <v>753</v>
      </c>
      <c r="C1098" s="61" t="s">
        <v>31</v>
      </c>
      <c r="D1098" s="46" t="s">
        <v>187</v>
      </c>
      <c r="E1098" s="71"/>
      <c r="F1098" s="71"/>
      <c r="G1098" s="72">
        <v>5.0</v>
      </c>
      <c r="J1098" s="30"/>
      <c r="K1098" s="30"/>
      <c r="L1098" s="73">
        <v>45658.0</v>
      </c>
      <c r="M1098" s="74" t="s">
        <v>549</v>
      </c>
      <c r="N1098" s="33"/>
      <c r="O1098" s="30"/>
    </row>
    <row r="1099">
      <c r="A1099" s="64" t="s">
        <v>403</v>
      </c>
      <c r="B1099" s="56" t="s">
        <v>754</v>
      </c>
      <c r="C1099" s="55" t="s">
        <v>31</v>
      </c>
      <c r="D1099" s="56" t="s">
        <v>187</v>
      </c>
      <c r="E1099" s="77"/>
      <c r="F1099" s="77"/>
      <c r="G1099" s="65" t="s">
        <v>565</v>
      </c>
      <c r="J1099" s="30"/>
      <c r="K1099" s="30"/>
      <c r="L1099" s="78">
        <v>45658.0</v>
      </c>
      <c r="M1099" s="79" t="s">
        <v>549</v>
      </c>
      <c r="N1099" s="33"/>
      <c r="O1099" s="30"/>
    </row>
    <row r="1100">
      <c r="A1100" s="90"/>
      <c r="B1100" s="69" t="s">
        <v>767</v>
      </c>
      <c r="C1100" s="69" t="s">
        <v>31</v>
      </c>
      <c r="D1100" s="69" t="s">
        <v>187</v>
      </c>
      <c r="E1100" s="71"/>
      <c r="F1100" s="71"/>
      <c r="G1100" s="72" t="s">
        <v>768</v>
      </c>
      <c r="J1100" s="30"/>
      <c r="K1100" s="30"/>
      <c r="L1100" s="73">
        <v>45658.0</v>
      </c>
      <c r="M1100" s="74" t="s">
        <v>769</v>
      </c>
      <c r="N1100" s="33"/>
      <c r="O1100" s="30"/>
    </row>
    <row r="1101">
      <c r="A1101" s="64" t="s">
        <v>403</v>
      </c>
      <c r="B1101" s="56" t="s">
        <v>753</v>
      </c>
      <c r="C1101" s="55" t="s">
        <v>31</v>
      </c>
      <c r="D1101" s="56" t="s">
        <v>187</v>
      </c>
      <c r="E1101" s="77"/>
      <c r="F1101" s="77"/>
      <c r="G1101" s="65">
        <v>5.0</v>
      </c>
      <c r="J1101" s="30"/>
      <c r="K1101" s="30"/>
      <c r="L1101" s="78">
        <v>45658.0</v>
      </c>
      <c r="M1101" s="79" t="s">
        <v>549</v>
      </c>
      <c r="N1101" s="33"/>
      <c r="O1101" s="30"/>
    </row>
    <row r="1102">
      <c r="A1102" s="68" t="s">
        <v>403</v>
      </c>
      <c r="B1102" s="69" t="s">
        <v>754</v>
      </c>
      <c r="C1102" s="61" t="s">
        <v>31</v>
      </c>
      <c r="D1102" s="46" t="s">
        <v>187</v>
      </c>
      <c r="E1102" s="71"/>
      <c r="F1102" s="71"/>
      <c r="G1102" s="72" t="s">
        <v>565</v>
      </c>
      <c r="J1102" s="30"/>
      <c r="K1102" s="30"/>
      <c r="L1102" s="73">
        <v>45658.0</v>
      </c>
      <c r="M1102" s="74" t="s">
        <v>549</v>
      </c>
      <c r="N1102" s="33"/>
      <c r="O1102" s="30"/>
    </row>
    <row r="1103">
      <c r="A1103" s="64" t="s">
        <v>505</v>
      </c>
      <c r="B1103" s="56" t="s">
        <v>770</v>
      </c>
      <c r="C1103" s="75"/>
      <c r="D1103" s="76"/>
      <c r="E1103" s="77"/>
      <c r="F1103" s="77"/>
      <c r="G1103" s="65">
        <v>94287.0</v>
      </c>
      <c r="J1103" s="30"/>
      <c r="K1103" s="30"/>
      <c r="L1103" s="78">
        <v>45658.0</v>
      </c>
      <c r="M1103" s="79" t="s">
        <v>771</v>
      </c>
      <c r="N1103" s="33"/>
      <c r="O1103" s="30"/>
    </row>
    <row r="1104">
      <c r="A1104" s="68" t="s">
        <v>505</v>
      </c>
      <c r="B1104" s="69" t="s">
        <v>772</v>
      </c>
      <c r="C1104" s="47"/>
      <c r="D1104" s="70"/>
      <c r="E1104" s="71"/>
      <c r="F1104" s="71"/>
      <c r="G1104" s="72">
        <v>28867.0</v>
      </c>
      <c r="J1104" s="30"/>
      <c r="K1104" s="30"/>
      <c r="L1104" s="73">
        <v>45658.0</v>
      </c>
      <c r="M1104" s="74" t="s">
        <v>771</v>
      </c>
      <c r="N1104" s="33"/>
      <c r="O1104" s="30"/>
    </row>
    <row r="1105">
      <c r="A1105" s="64" t="s">
        <v>395</v>
      </c>
      <c r="B1105" s="56" t="s">
        <v>773</v>
      </c>
      <c r="C1105" s="75"/>
      <c r="D1105" s="77"/>
      <c r="E1105" s="77"/>
      <c r="F1105" s="77"/>
      <c r="G1105" s="65" t="s">
        <v>774</v>
      </c>
      <c r="J1105" s="30"/>
      <c r="K1105" s="30"/>
      <c r="L1105" s="78">
        <v>45658.0</v>
      </c>
      <c r="M1105" s="79" t="s">
        <v>775</v>
      </c>
      <c r="N1105" s="33"/>
      <c r="O1105" s="30"/>
    </row>
    <row r="1106">
      <c r="A1106" s="68" t="s">
        <v>403</v>
      </c>
      <c r="B1106" s="69" t="s">
        <v>776</v>
      </c>
      <c r="C1106" s="61" t="s">
        <v>31</v>
      </c>
      <c r="D1106" s="46" t="s">
        <v>187</v>
      </c>
      <c r="E1106" s="71"/>
      <c r="F1106" s="71"/>
      <c r="G1106" s="72">
        <v>5.0</v>
      </c>
      <c r="J1106" s="30"/>
      <c r="K1106" s="30"/>
      <c r="L1106" s="73">
        <v>45658.0</v>
      </c>
      <c r="M1106" s="74" t="s">
        <v>549</v>
      </c>
      <c r="N1106" s="33"/>
      <c r="O1106" s="30"/>
    </row>
    <row r="1107">
      <c r="A1107" s="64" t="s">
        <v>403</v>
      </c>
      <c r="B1107" s="56" t="s">
        <v>777</v>
      </c>
      <c r="C1107" s="55" t="s">
        <v>31</v>
      </c>
      <c r="D1107" s="56" t="s">
        <v>187</v>
      </c>
      <c r="E1107" s="77"/>
      <c r="F1107" s="77"/>
      <c r="G1107" s="65" t="s">
        <v>565</v>
      </c>
      <c r="J1107" s="30"/>
      <c r="K1107" s="30"/>
      <c r="L1107" s="78">
        <v>45658.0</v>
      </c>
      <c r="M1107" s="79" t="s">
        <v>549</v>
      </c>
      <c r="N1107" s="33"/>
      <c r="O1107" s="30"/>
    </row>
    <row r="1108">
      <c r="A1108" s="68" t="s">
        <v>403</v>
      </c>
      <c r="B1108" s="69" t="s">
        <v>776</v>
      </c>
      <c r="C1108" s="61" t="s">
        <v>31</v>
      </c>
      <c r="D1108" s="46" t="s">
        <v>187</v>
      </c>
      <c r="E1108" s="71"/>
      <c r="F1108" s="71"/>
      <c r="G1108" s="72">
        <v>5.0</v>
      </c>
      <c r="J1108" s="30"/>
      <c r="K1108" s="30"/>
      <c r="L1108" s="73">
        <v>45658.0</v>
      </c>
      <c r="M1108" s="74" t="s">
        <v>549</v>
      </c>
      <c r="N1108" s="33"/>
      <c r="O1108" s="30"/>
    </row>
    <row r="1109">
      <c r="A1109" s="64" t="s">
        <v>403</v>
      </c>
      <c r="B1109" s="56" t="s">
        <v>777</v>
      </c>
      <c r="C1109" s="55" t="s">
        <v>31</v>
      </c>
      <c r="D1109" s="56" t="s">
        <v>187</v>
      </c>
      <c r="E1109" s="77"/>
      <c r="F1109" s="77"/>
      <c r="G1109" s="65" t="s">
        <v>565</v>
      </c>
      <c r="J1109" s="30"/>
      <c r="K1109" s="30"/>
      <c r="L1109" s="78">
        <v>45658.0</v>
      </c>
      <c r="M1109" s="79" t="s">
        <v>549</v>
      </c>
      <c r="N1109" s="33"/>
      <c r="O1109" s="30"/>
    </row>
    <row r="1110">
      <c r="A1110" s="45" t="s">
        <v>440</v>
      </c>
      <c r="B1110" s="69" t="s">
        <v>778</v>
      </c>
      <c r="C1110" s="95" t="s">
        <v>20</v>
      </c>
      <c r="D1110" s="46" t="s">
        <v>21</v>
      </c>
      <c r="E1110" s="71"/>
      <c r="F1110" s="71"/>
      <c r="G1110" s="72">
        <v>1403.0</v>
      </c>
      <c r="J1110" s="30"/>
      <c r="K1110" s="30"/>
      <c r="L1110" s="73">
        <v>45658.0</v>
      </c>
      <c r="M1110" s="74" t="s">
        <v>738</v>
      </c>
      <c r="N1110" s="33"/>
      <c r="O1110" s="30"/>
    </row>
    <row r="1111">
      <c r="A1111" s="64" t="s">
        <v>403</v>
      </c>
      <c r="B1111" s="56" t="s">
        <v>779</v>
      </c>
      <c r="C1111" s="55" t="s">
        <v>31</v>
      </c>
      <c r="D1111" s="56" t="s">
        <v>187</v>
      </c>
      <c r="E1111" s="77"/>
      <c r="F1111" s="77"/>
      <c r="G1111" s="65">
        <v>5.0</v>
      </c>
      <c r="J1111" s="30"/>
      <c r="K1111" s="30"/>
      <c r="L1111" s="78">
        <v>45658.0</v>
      </c>
      <c r="M1111" s="79" t="s">
        <v>549</v>
      </c>
      <c r="N1111" s="33"/>
      <c r="O1111" s="30"/>
    </row>
    <row r="1112">
      <c r="A1112" s="68" t="s">
        <v>403</v>
      </c>
      <c r="B1112" s="69" t="s">
        <v>780</v>
      </c>
      <c r="C1112" s="61" t="s">
        <v>31</v>
      </c>
      <c r="D1112" s="46" t="s">
        <v>187</v>
      </c>
      <c r="E1112" s="71"/>
      <c r="F1112" s="71"/>
      <c r="G1112" s="72" t="s">
        <v>565</v>
      </c>
      <c r="J1112" s="30"/>
      <c r="K1112" s="30"/>
      <c r="L1112" s="73">
        <v>45658.0</v>
      </c>
      <c r="M1112" s="74" t="s">
        <v>549</v>
      </c>
      <c r="N1112" s="33"/>
      <c r="O1112" s="30"/>
    </row>
    <row r="1113">
      <c r="A1113" s="64" t="s">
        <v>440</v>
      </c>
      <c r="B1113" s="56" t="s">
        <v>781</v>
      </c>
      <c r="C1113" s="88" t="s">
        <v>20</v>
      </c>
      <c r="D1113" s="56" t="s">
        <v>21</v>
      </c>
      <c r="E1113" s="77"/>
      <c r="F1113" s="77"/>
      <c r="G1113" s="65">
        <v>1403.0</v>
      </c>
      <c r="J1113" s="30"/>
      <c r="K1113" s="30"/>
      <c r="L1113" s="78">
        <v>45658.0</v>
      </c>
      <c r="M1113" s="79" t="s">
        <v>738</v>
      </c>
      <c r="N1113" s="33"/>
      <c r="O1113" s="30"/>
    </row>
    <row r="1114">
      <c r="A1114" s="68" t="s">
        <v>403</v>
      </c>
      <c r="B1114" s="69" t="s">
        <v>779</v>
      </c>
      <c r="C1114" s="61" t="s">
        <v>31</v>
      </c>
      <c r="D1114" s="46" t="s">
        <v>187</v>
      </c>
      <c r="E1114" s="71"/>
      <c r="F1114" s="71"/>
      <c r="G1114" s="72">
        <v>5.0</v>
      </c>
      <c r="J1114" s="30"/>
      <c r="K1114" s="30"/>
      <c r="L1114" s="73">
        <v>45658.0</v>
      </c>
      <c r="M1114" s="74" t="s">
        <v>549</v>
      </c>
      <c r="N1114" s="33"/>
      <c r="O1114" s="30"/>
    </row>
    <row r="1115">
      <c r="A1115" s="64" t="s">
        <v>403</v>
      </c>
      <c r="B1115" s="56" t="s">
        <v>780</v>
      </c>
      <c r="C1115" s="55" t="s">
        <v>31</v>
      </c>
      <c r="D1115" s="56" t="s">
        <v>187</v>
      </c>
      <c r="E1115" s="77"/>
      <c r="F1115" s="77"/>
      <c r="G1115" s="65" t="s">
        <v>565</v>
      </c>
      <c r="J1115" s="30"/>
      <c r="K1115" s="30"/>
      <c r="L1115" s="78">
        <v>45658.0</v>
      </c>
      <c r="M1115" s="79" t="s">
        <v>549</v>
      </c>
      <c r="N1115" s="33"/>
      <c r="O1115" s="30"/>
    </row>
    <row r="1116">
      <c r="A1116" s="68" t="s">
        <v>437</v>
      </c>
      <c r="B1116" s="69" t="s">
        <v>782</v>
      </c>
      <c r="C1116" s="61" t="s">
        <v>20</v>
      </c>
      <c r="D1116" s="46" t="s">
        <v>21</v>
      </c>
      <c r="E1116" s="71"/>
      <c r="F1116" s="71"/>
      <c r="G1116" s="72">
        <v>8910.0</v>
      </c>
      <c r="J1116" s="30"/>
      <c r="K1116" s="30"/>
      <c r="L1116" s="73">
        <v>45658.0</v>
      </c>
      <c r="M1116" s="74" t="s">
        <v>613</v>
      </c>
      <c r="N1116" s="33"/>
      <c r="O1116" s="30"/>
    </row>
    <row r="1117">
      <c r="A1117" s="64" t="s">
        <v>403</v>
      </c>
      <c r="B1117" s="56" t="s">
        <v>779</v>
      </c>
      <c r="C1117" s="55" t="s">
        <v>31</v>
      </c>
      <c r="D1117" s="56" t="s">
        <v>187</v>
      </c>
      <c r="E1117" s="77"/>
      <c r="F1117" s="77"/>
      <c r="G1117" s="65">
        <v>5.0</v>
      </c>
      <c r="J1117" s="30"/>
      <c r="K1117" s="30"/>
      <c r="L1117" s="78">
        <v>45658.0</v>
      </c>
      <c r="M1117" s="79" t="s">
        <v>549</v>
      </c>
      <c r="N1117" s="33"/>
      <c r="O1117" s="30"/>
    </row>
    <row r="1118">
      <c r="A1118" s="68" t="s">
        <v>403</v>
      </c>
      <c r="B1118" s="69" t="s">
        <v>780</v>
      </c>
      <c r="C1118" s="61" t="s">
        <v>31</v>
      </c>
      <c r="D1118" s="46" t="s">
        <v>187</v>
      </c>
      <c r="E1118" s="71"/>
      <c r="F1118" s="71"/>
      <c r="G1118" s="72" t="s">
        <v>565</v>
      </c>
      <c r="J1118" s="30"/>
      <c r="K1118" s="30"/>
      <c r="L1118" s="73">
        <v>45658.0</v>
      </c>
      <c r="M1118" s="74" t="s">
        <v>549</v>
      </c>
      <c r="N1118" s="33"/>
      <c r="O1118" s="30"/>
    </row>
    <row r="1119">
      <c r="A1119" s="64" t="s">
        <v>437</v>
      </c>
      <c r="B1119" s="56" t="s">
        <v>783</v>
      </c>
      <c r="C1119" s="55" t="s">
        <v>20</v>
      </c>
      <c r="D1119" s="56" t="s">
        <v>21</v>
      </c>
      <c r="E1119" s="77"/>
      <c r="F1119" s="77"/>
      <c r="G1119" s="65">
        <v>4263.0</v>
      </c>
      <c r="J1119" s="30"/>
      <c r="K1119" s="30"/>
      <c r="L1119" s="78">
        <v>45658.0</v>
      </c>
      <c r="M1119" s="79" t="s">
        <v>613</v>
      </c>
      <c r="N1119" s="33"/>
      <c r="O1119" s="30"/>
    </row>
    <row r="1120">
      <c r="A1120" s="68" t="s">
        <v>403</v>
      </c>
      <c r="B1120" s="69" t="s">
        <v>779</v>
      </c>
      <c r="C1120" s="61" t="s">
        <v>31</v>
      </c>
      <c r="D1120" s="46" t="s">
        <v>187</v>
      </c>
      <c r="E1120" s="71"/>
      <c r="F1120" s="71"/>
      <c r="G1120" s="72">
        <v>5.0</v>
      </c>
      <c r="J1120" s="30"/>
      <c r="K1120" s="30"/>
      <c r="L1120" s="73">
        <v>45658.0</v>
      </c>
      <c r="M1120" s="74" t="s">
        <v>549</v>
      </c>
      <c r="N1120" s="33"/>
      <c r="O1120" s="30"/>
    </row>
    <row r="1121">
      <c r="A1121" s="64" t="s">
        <v>403</v>
      </c>
      <c r="B1121" s="56" t="s">
        <v>780</v>
      </c>
      <c r="C1121" s="55" t="s">
        <v>31</v>
      </c>
      <c r="D1121" s="56" t="s">
        <v>187</v>
      </c>
      <c r="E1121" s="77"/>
      <c r="F1121" s="77"/>
      <c r="G1121" s="65" t="s">
        <v>565</v>
      </c>
      <c r="J1121" s="30"/>
      <c r="K1121" s="30"/>
      <c r="L1121" s="78">
        <v>45658.0</v>
      </c>
      <c r="M1121" s="79" t="s">
        <v>549</v>
      </c>
      <c r="N1121" s="33"/>
      <c r="O1121" s="30"/>
    </row>
    <row r="1122">
      <c r="A1122" s="68" t="s">
        <v>528</v>
      </c>
      <c r="B1122" s="69" t="s">
        <v>784</v>
      </c>
      <c r="C1122" s="47"/>
      <c r="D1122" s="49"/>
      <c r="E1122" s="71"/>
      <c r="F1122" s="71"/>
      <c r="G1122" s="72">
        <v>899.0</v>
      </c>
      <c r="J1122" s="30"/>
      <c r="K1122" s="30"/>
      <c r="L1122" s="73">
        <v>45658.0</v>
      </c>
      <c r="M1122" s="74" t="s">
        <v>559</v>
      </c>
      <c r="N1122" s="33"/>
      <c r="O1122" s="30"/>
    </row>
    <row r="1123">
      <c r="A1123" s="64" t="s">
        <v>403</v>
      </c>
      <c r="B1123" s="56" t="s">
        <v>779</v>
      </c>
      <c r="C1123" s="55" t="s">
        <v>31</v>
      </c>
      <c r="D1123" s="56" t="s">
        <v>187</v>
      </c>
      <c r="E1123" s="77"/>
      <c r="F1123" s="77"/>
      <c r="G1123" s="65">
        <v>5.0</v>
      </c>
      <c r="J1123" s="30"/>
      <c r="K1123" s="30"/>
      <c r="L1123" s="78">
        <v>45658.0</v>
      </c>
      <c r="M1123" s="79" t="s">
        <v>549</v>
      </c>
      <c r="N1123" s="33"/>
      <c r="O1123" s="30"/>
    </row>
    <row r="1124">
      <c r="A1124" s="68" t="s">
        <v>403</v>
      </c>
      <c r="B1124" s="69" t="s">
        <v>780</v>
      </c>
      <c r="C1124" s="61" t="s">
        <v>31</v>
      </c>
      <c r="D1124" s="46" t="s">
        <v>187</v>
      </c>
      <c r="E1124" s="71"/>
      <c r="F1124" s="71"/>
      <c r="G1124" s="72" t="s">
        <v>565</v>
      </c>
      <c r="J1124" s="30"/>
      <c r="K1124" s="30"/>
      <c r="L1124" s="73">
        <v>45658.0</v>
      </c>
      <c r="M1124" s="74" t="s">
        <v>549</v>
      </c>
      <c r="N1124" s="33"/>
      <c r="O1124" s="30"/>
    </row>
    <row r="1125">
      <c r="A1125" s="64" t="s">
        <v>573</v>
      </c>
      <c r="B1125" s="56" t="s">
        <v>785</v>
      </c>
      <c r="C1125" s="75"/>
      <c r="D1125" s="77"/>
      <c r="E1125" s="77"/>
      <c r="F1125" s="77"/>
      <c r="G1125" s="65" t="s">
        <v>786</v>
      </c>
      <c r="J1125" s="30"/>
      <c r="K1125" s="30"/>
      <c r="L1125" s="78">
        <v>45658.0</v>
      </c>
      <c r="M1125" s="79" t="s">
        <v>576</v>
      </c>
      <c r="N1125" s="33"/>
      <c r="O1125" s="30"/>
    </row>
    <row r="1126">
      <c r="A1126" s="68" t="s">
        <v>403</v>
      </c>
      <c r="B1126" s="69" t="s">
        <v>779</v>
      </c>
      <c r="C1126" s="61" t="s">
        <v>31</v>
      </c>
      <c r="D1126" s="46" t="s">
        <v>187</v>
      </c>
      <c r="E1126" s="71"/>
      <c r="F1126" s="71"/>
      <c r="G1126" s="72">
        <v>5.0</v>
      </c>
      <c r="J1126" s="30"/>
      <c r="K1126" s="30"/>
      <c r="L1126" s="73">
        <v>45658.0</v>
      </c>
      <c r="M1126" s="74" t="s">
        <v>549</v>
      </c>
      <c r="N1126" s="33"/>
      <c r="O1126" s="30"/>
    </row>
    <row r="1127">
      <c r="A1127" s="64" t="s">
        <v>403</v>
      </c>
      <c r="B1127" s="56" t="s">
        <v>780</v>
      </c>
      <c r="C1127" s="55" t="s">
        <v>31</v>
      </c>
      <c r="D1127" s="56" t="s">
        <v>187</v>
      </c>
      <c r="E1127" s="77"/>
      <c r="F1127" s="77"/>
      <c r="G1127" s="65" t="s">
        <v>565</v>
      </c>
      <c r="J1127" s="30"/>
      <c r="K1127" s="30"/>
      <c r="L1127" s="78">
        <v>45658.0</v>
      </c>
      <c r="M1127" s="79" t="s">
        <v>549</v>
      </c>
      <c r="N1127" s="33"/>
      <c r="O1127" s="30"/>
    </row>
    <row r="1128">
      <c r="A1128" s="68" t="s">
        <v>787</v>
      </c>
      <c r="B1128" s="69" t="s">
        <v>788</v>
      </c>
      <c r="C1128" s="47"/>
      <c r="D1128" s="49"/>
      <c r="E1128" s="71"/>
      <c r="F1128" s="71"/>
      <c r="G1128" s="72" t="s">
        <v>789</v>
      </c>
      <c r="J1128" s="30"/>
      <c r="K1128" s="30"/>
      <c r="L1128" s="73">
        <v>45658.0</v>
      </c>
      <c r="M1128" s="74" t="s">
        <v>790</v>
      </c>
      <c r="N1128" s="33"/>
      <c r="O1128" s="30"/>
    </row>
    <row r="1129">
      <c r="A1129" s="64" t="s">
        <v>403</v>
      </c>
      <c r="B1129" s="56" t="s">
        <v>779</v>
      </c>
      <c r="C1129" s="55" t="s">
        <v>31</v>
      </c>
      <c r="D1129" s="56" t="s">
        <v>187</v>
      </c>
      <c r="E1129" s="77"/>
      <c r="F1129" s="77"/>
      <c r="G1129" s="65">
        <v>5.0</v>
      </c>
      <c r="J1129" s="30"/>
      <c r="K1129" s="30"/>
      <c r="L1129" s="78">
        <v>45658.0</v>
      </c>
      <c r="M1129" s="79" t="s">
        <v>549</v>
      </c>
      <c r="N1129" s="33"/>
      <c r="O1129" s="30"/>
    </row>
    <row r="1130">
      <c r="A1130" s="68" t="s">
        <v>403</v>
      </c>
      <c r="B1130" s="69" t="s">
        <v>780</v>
      </c>
      <c r="C1130" s="61" t="s">
        <v>31</v>
      </c>
      <c r="D1130" s="46" t="s">
        <v>187</v>
      </c>
      <c r="E1130" s="71"/>
      <c r="F1130" s="71"/>
      <c r="G1130" s="72" t="s">
        <v>565</v>
      </c>
      <c r="J1130" s="30"/>
      <c r="K1130" s="30"/>
      <c r="L1130" s="73">
        <v>45658.0</v>
      </c>
      <c r="M1130" s="74" t="s">
        <v>549</v>
      </c>
      <c r="N1130" s="33"/>
      <c r="O1130" s="30"/>
    </row>
    <row r="1131">
      <c r="A1131" s="64" t="s">
        <v>18</v>
      </c>
      <c r="B1131" s="56" t="s">
        <v>791</v>
      </c>
      <c r="C1131" s="75"/>
      <c r="D1131" s="77"/>
      <c r="E1131" s="77"/>
      <c r="F1131" s="77"/>
      <c r="G1131" s="65" t="s">
        <v>792</v>
      </c>
      <c r="J1131" s="30"/>
      <c r="K1131" s="30"/>
      <c r="L1131" s="78">
        <v>45658.0</v>
      </c>
      <c r="M1131" s="79" t="s">
        <v>586</v>
      </c>
      <c r="N1131" s="33"/>
      <c r="O1131" s="30"/>
    </row>
    <row r="1132">
      <c r="A1132" s="68" t="s">
        <v>403</v>
      </c>
      <c r="B1132" s="69" t="s">
        <v>779</v>
      </c>
      <c r="C1132" s="61" t="s">
        <v>31</v>
      </c>
      <c r="D1132" s="46" t="s">
        <v>187</v>
      </c>
      <c r="E1132" s="71"/>
      <c r="F1132" s="71"/>
      <c r="G1132" s="72">
        <v>5.0</v>
      </c>
      <c r="J1132" s="30"/>
      <c r="K1132" s="30"/>
      <c r="L1132" s="73">
        <v>45658.0</v>
      </c>
      <c r="M1132" s="74" t="s">
        <v>549</v>
      </c>
      <c r="N1132" s="33"/>
      <c r="O1132" s="30"/>
    </row>
    <row r="1133">
      <c r="A1133" s="64" t="s">
        <v>403</v>
      </c>
      <c r="B1133" s="56" t="s">
        <v>780</v>
      </c>
      <c r="C1133" s="55" t="s">
        <v>31</v>
      </c>
      <c r="D1133" s="56" t="s">
        <v>187</v>
      </c>
      <c r="E1133" s="77"/>
      <c r="F1133" s="77"/>
      <c r="G1133" s="65" t="s">
        <v>565</v>
      </c>
      <c r="J1133" s="30"/>
      <c r="K1133" s="30"/>
      <c r="L1133" s="78">
        <v>45658.0</v>
      </c>
      <c r="M1133" s="79" t="s">
        <v>549</v>
      </c>
      <c r="N1133" s="33"/>
      <c r="O1133" s="30"/>
    </row>
    <row r="1134">
      <c r="A1134" s="68" t="s">
        <v>378</v>
      </c>
      <c r="B1134" s="69" t="s">
        <v>793</v>
      </c>
      <c r="C1134" s="69" t="s">
        <v>31</v>
      </c>
      <c r="D1134" s="49"/>
      <c r="E1134" s="71"/>
      <c r="F1134" s="71"/>
      <c r="G1134" s="72" t="s">
        <v>794</v>
      </c>
      <c r="J1134" s="30"/>
      <c r="K1134" s="30"/>
      <c r="L1134" s="73">
        <v>45658.0</v>
      </c>
      <c r="M1134" s="74" t="s">
        <v>696</v>
      </c>
      <c r="N1134" s="33"/>
      <c r="O1134" s="30"/>
    </row>
    <row r="1135">
      <c r="A1135" s="64" t="s">
        <v>403</v>
      </c>
      <c r="B1135" s="56" t="s">
        <v>779</v>
      </c>
      <c r="C1135" s="55" t="s">
        <v>31</v>
      </c>
      <c r="D1135" s="56" t="s">
        <v>187</v>
      </c>
      <c r="E1135" s="77"/>
      <c r="F1135" s="77"/>
      <c r="G1135" s="65">
        <v>5.0</v>
      </c>
      <c r="J1135" s="30"/>
      <c r="K1135" s="30"/>
      <c r="L1135" s="78">
        <v>45658.0</v>
      </c>
      <c r="M1135" s="79" t="s">
        <v>549</v>
      </c>
      <c r="N1135" s="33"/>
      <c r="O1135" s="30"/>
    </row>
    <row r="1136">
      <c r="A1136" s="68" t="s">
        <v>403</v>
      </c>
      <c r="B1136" s="69" t="s">
        <v>795</v>
      </c>
      <c r="C1136" s="61" t="s">
        <v>31</v>
      </c>
      <c r="D1136" s="46" t="s">
        <v>187</v>
      </c>
      <c r="E1136" s="71"/>
      <c r="F1136" s="71"/>
      <c r="G1136" s="72" t="s">
        <v>565</v>
      </c>
      <c r="J1136" s="30"/>
      <c r="K1136" s="30"/>
      <c r="L1136" s="73">
        <v>45658.0</v>
      </c>
      <c r="M1136" s="74" t="s">
        <v>549</v>
      </c>
      <c r="N1136" s="33"/>
      <c r="O1136" s="30"/>
    </row>
    <row r="1137">
      <c r="A1137" s="64" t="s">
        <v>349</v>
      </c>
      <c r="B1137" s="56" t="s">
        <v>796</v>
      </c>
      <c r="C1137" s="75"/>
      <c r="D1137" s="77"/>
      <c r="E1137" s="77"/>
      <c r="F1137" s="77"/>
      <c r="G1137" s="65">
        <v>1972.0</v>
      </c>
      <c r="J1137" s="30"/>
      <c r="K1137" s="30"/>
      <c r="L1137" s="78">
        <v>45658.0</v>
      </c>
      <c r="M1137" s="79" t="s">
        <v>568</v>
      </c>
      <c r="N1137" s="33"/>
      <c r="O1137" s="30"/>
    </row>
    <row r="1138">
      <c r="A1138" s="68" t="s">
        <v>403</v>
      </c>
      <c r="B1138" s="69" t="s">
        <v>779</v>
      </c>
      <c r="C1138" s="61" t="s">
        <v>31</v>
      </c>
      <c r="D1138" s="46" t="s">
        <v>187</v>
      </c>
      <c r="E1138" s="71"/>
      <c r="F1138" s="71"/>
      <c r="G1138" s="72">
        <v>5.0</v>
      </c>
      <c r="J1138" s="30"/>
      <c r="K1138" s="30"/>
      <c r="L1138" s="73">
        <v>45658.0</v>
      </c>
      <c r="M1138" s="74" t="s">
        <v>549</v>
      </c>
      <c r="N1138" s="33"/>
      <c r="O1138" s="30"/>
    </row>
    <row r="1139">
      <c r="A1139" s="64" t="s">
        <v>403</v>
      </c>
      <c r="B1139" s="56" t="s">
        <v>780</v>
      </c>
      <c r="C1139" s="55" t="s">
        <v>31</v>
      </c>
      <c r="D1139" s="56" t="s">
        <v>187</v>
      </c>
      <c r="E1139" s="77"/>
      <c r="F1139" s="77"/>
      <c r="G1139" s="65" t="s">
        <v>565</v>
      </c>
      <c r="J1139" s="30"/>
      <c r="K1139" s="30"/>
      <c r="L1139" s="78">
        <v>45658.0</v>
      </c>
      <c r="M1139" s="79" t="s">
        <v>549</v>
      </c>
      <c r="N1139" s="33"/>
      <c r="O1139" s="30"/>
    </row>
    <row r="1140">
      <c r="A1140" s="68" t="s">
        <v>437</v>
      </c>
      <c r="B1140" s="69" t="s">
        <v>797</v>
      </c>
      <c r="C1140" s="61" t="s">
        <v>20</v>
      </c>
      <c r="D1140" s="46" t="s">
        <v>21</v>
      </c>
      <c r="E1140" s="71"/>
      <c r="F1140" s="71"/>
      <c r="G1140" s="72">
        <v>8580.0</v>
      </c>
      <c r="J1140" s="30"/>
      <c r="K1140" s="30"/>
      <c r="L1140" s="73">
        <v>45658.0</v>
      </c>
      <c r="M1140" s="74" t="s">
        <v>613</v>
      </c>
      <c r="N1140" s="33"/>
      <c r="O1140" s="30"/>
    </row>
    <row r="1141">
      <c r="A1141" s="64" t="s">
        <v>403</v>
      </c>
      <c r="B1141" s="56" t="s">
        <v>779</v>
      </c>
      <c r="C1141" s="55" t="s">
        <v>31</v>
      </c>
      <c r="D1141" s="56" t="s">
        <v>187</v>
      </c>
      <c r="E1141" s="77"/>
      <c r="F1141" s="77"/>
      <c r="G1141" s="65">
        <v>5.0</v>
      </c>
      <c r="J1141" s="30"/>
      <c r="K1141" s="30"/>
      <c r="L1141" s="78">
        <v>45658.0</v>
      </c>
      <c r="M1141" s="79" t="s">
        <v>549</v>
      </c>
      <c r="N1141" s="33"/>
      <c r="O1141" s="30"/>
    </row>
    <row r="1142">
      <c r="A1142" s="68" t="s">
        <v>403</v>
      </c>
      <c r="B1142" s="69" t="s">
        <v>780</v>
      </c>
      <c r="C1142" s="61" t="s">
        <v>31</v>
      </c>
      <c r="D1142" s="46" t="s">
        <v>187</v>
      </c>
      <c r="E1142" s="71"/>
      <c r="F1142" s="71"/>
      <c r="G1142" s="72" t="s">
        <v>565</v>
      </c>
      <c r="J1142" s="30"/>
      <c r="K1142" s="30"/>
      <c r="L1142" s="73">
        <v>45658.0</v>
      </c>
      <c r="M1142" s="74" t="s">
        <v>549</v>
      </c>
      <c r="N1142" s="33"/>
      <c r="O1142" s="30"/>
    </row>
    <row r="1143">
      <c r="A1143" s="64" t="s">
        <v>528</v>
      </c>
      <c r="B1143" s="56" t="s">
        <v>798</v>
      </c>
      <c r="C1143" s="75"/>
      <c r="D1143" s="77"/>
      <c r="E1143" s="77"/>
      <c r="F1143" s="77"/>
      <c r="G1143" s="65">
        <v>17400.0</v>
      </c>
      <c r="J1143" s="30"/>
      <c r="K1143" s="30"/>
      <c r="L1143" s="78">
        <v>45658.0</v>
      </c>
      <c r="M1143" s="79" t="s">
        <v>559</v>
      </c>
      <c r="N1143" s="33"/>
      <c r="O1143" s="30"/>
    </row>
    <row r="1144">
      <c r="A1144" s="90"/>
      <c r="B1144" s="69" t="s">
        <v>799</v>
      </c>
      <c r="C1144" s="47"/>
      <c r="D1144" s="49"/>
      <c r="E1144" s="71"/>
      <c r="F1144" s="71"/>
      <c r="G1144" s="72">
        <v>648000.0</v>
      </c>
      <c r="J1144" s="30"/>
      <c r="K1144" s="30"/>
      <c r="L1144" s="73">
        <v>45658.0</v>
      </c>
      <c r="M1144" s="74" t="s">
        <v>800</v>
      </c>
      <c r="N1144" s="33"/>
      <c r="O1144" s="30"/>
    </row>
    <row r="1145">
      <c r="A1145" s="64" t="s">
        <v>18</v>
      </c>
      <c r="B1145" s="56" t="s">
        <v>801</v>
      </c>
      <c r="C1145" s="75"/>
      <c r="D1145" s="77"/>
      <c r="E1145" s="77"/>
      <c r="F1145" s="77"/>
      <c r="G1145" s="65" t="s">
        <v>802</v>
      </c>
      <c r="J1145" s="30"/>
      <c r="K1145" s="30"/>
      <c r="L1145" s="78">
        <v>45658.0</v>
      </c>
      <c r="M1145" s="79" t="s">
        <v>586</v>
      </c>
      <c r="N1145" s="33"/>
      <c r="O1145" s="30"/>
    </row>
    <row r="1146">
      <c r="A1146" s="68" t="s">
        <v>403</v>
      </c>
      <c r="B1146" s="69" t="s">
        <v>779</v>
      </c>
      <c r="C1146" s="61" t="s">
        <v>31</v>
      </c>
      <c r="D1146" s="46" t="s">
        <v>187</v>
      </c>
      <c r="E1146" s="71"/>
      <c r="F1146" s="71"/>
      <c r="G1146" s="72">
        <v>5.0</v>
      </c>
      <c r="J1146" s="30"/>
      <c r="K1146" s="30"/>
      <c r="L1146" s="73">
        <v>45658.0</v>
      </c>
      <c r="M1146" s="74" t="s">
        <v>549</v>
      </c>
      <c r="N1146" s="33"/>
      <c r="O1146" s="30"/>
    </row>
    <row r="1147">
      <c r="A1147" s="64" t="s">
        <v>403</v>
      </c>
      <c r="B1147" s="56" t="s">
        <v>780</v>
      </c>
      <c r="C1147" s="55" t="s">
        <v>31</v>
      </c>
      <c r="D1147" s="56" t="s">
        <v>187</v>
      </c>
      <c r="E1147" s="77"/>
      <c r="F1147" s="77"/>
      <c r="G1147" s="65" t="s">
        <v>565</v>
      </c>
      <c r="J1147" s="30"/>
      <c r="K1147" s="30"/>
      <c r="L1147" s="78">
        <v>45658.0</v>
      </c>
      <c r="M1147" s="79" t="s">
        <v>549</v>
      </c>
      <c r="N1147" s="33"/>
      <c r="O1147" s="30"/>
    </row>
    <row r="1148">
      <c r="A1148" s="68" t="s">
        <v>349</v>
      </c>
      <c r="B1148" s="69" t="s">
        <v>803</v>
      </c>
      <c r="C1148" s="47"/>
      <c r="D1148" s="49"/>
      <c r="E1148" s="71"/>
      <c r="F1148" s="71"/>
      <c r="G1148" s="72" t="s">
        <v>804</v>
      </c>
      <c r="J1148" s="30"/>
      <c r="K1148" s="30"/>
      <c r="L1148" s="73">
        <v>45658.0</v>
      </c>
      <c r="M1148" s="74" t="s">
        <v>581</v>
      </c>
      <c r="N1148" s="33"/>
      <c r="O1148" s="30"/>
    </row>
    <row r="1149">
      <c r="A1149" s="80"/>
      <c r="B1149" s="56" t="s">
        <v>805</v>
      </c>
      <c r="C1149" s="75"/>
      <c r="D1149" s="77"/>
      <c r="E1149" s="77"/>
      <c r="F1149" s="77"/>
      <c r="G1149" s="89">
        <v>2478324.0</v>
      </c>
      <c r="J1149" s="30"/>
      <c r="K1149" s="30"/>
      <c r="L1149" s="78">
        <v>45658.0</v>
      </c>
      <c r="M1149" s="79" t="s">
        <v>648</v>
      </c>
      <c r="N1149" s="33"/>
      <c r="O1149" s="30"/>
    </row>
    <row r="1150">
      <c r="A1150" s="68" t="s">
        <v>403</v>
      </c>
      <c r="B1150" s="69" t="s">
        <v>806</v>
      </c>
      <c r="C1150" s="61" t="s">
        <v>31</v>
      </c>
      <c r="D1150" s="46" t="s">
        <v>187</v>
      </c>
      <c r="E1150" s="71"/>
      <c r="F1150" s="71"/>
      <c r="G1150" s="72">
        <v>5.0</v>
      </c>
      <c r="J1150" s="30"/>
      <c r="K1150" s="30"/>
      <c r="L1150" s="73">
        <v>45658.0</v>
      </c>
      <c r="M1150" s="74" t="s">
        <v>549</v>
      </c>
      <c r="N1150" s="33"/>
      <c r="O1150" s="30"/>
    </row>
    <row r="1151">
      <c r="A1151" s="64" t="s">
        <v>403</v>
      </c>
      <c r="B1151" s="56" t="s">
        <v>807</v>
      </c>
      <c r="C1151" s="55" t="s">
        <v>31</v>
      </c>
      <c r="D1151" s="56" t="s">
        <v>187</v>
      </c>
      <c r="E1151" s="77"/>
      <c r="F1151" s="77"/>
      <c r="G1151" s="65" t="s">
        <v>565</v>
      </c>
      <c r="J1151" s="30"/>
      <c r="K1151" s="30"/>
      <c r="L1151" s="78">
        <v>45658.0</v>
      </c>
      <c r="M1151" s="79" t="s">
        <v>549</v>
      </c>
      <c r="N1151" s="33"/>
      <c r="O1151" s="30"/>
    </row>
    <row r="1152">
      <c r="A1152" s="45" t="s">
        <v>440</v>
      </c>
      <c r="B1152" s="69" t="s">
        <v>808</v>
      </c>
      <c r="C1152" s="95" t="s">
        <v>20</v>
      </c>
      <c r="D1152" s="46" t="s">
        <v>21</v>
      </c>
      <c r="E1152" s="71"/>
      <c r="F1152" s="71"/>
      <c r="G1152" s="72">
        <v>5429.0</v>
      </c>
      <c r="J1152" s="30"/>
      <c r="K1152" s="30"/>
      <c r="L1152" s="73">
        <v>45658.0</v>
      </c>
      <c r="M1152" s="74" t="s">
        <v>738</v>
      </c>
      <c r="N1152" s="33"/>
      <c r="O1152" s="30"/>
    </row>
    <row r="1153">
      <c r="A1153" s="64" t="s">
        <v>403</v>
      </c>
      <c r="B1153" s="56" t="s">
        <v>806</v>
      </c>
      <c r="C1153" s="55" t="s">
        <v>31</v>
      </c>
      <c r="D1153" s="56" t="s">
        <v>187</v>
      </c>
      <c r="E1153" s="77"/>
      <c r="F1153" s="77"/>
      <c r="G1153" s="65">
        <v>5.0</v>
      </c>
      <c r="J1153" s="30"/>
      <c r="K1153" s="30"/>
      <c r="L1153" s="78">
        <v>45658.0</v>
      </c>
      <c r="M1153" s="79" t="s">
        <v>549</v>
      </c>
      <c r="N1153" s="33"/>
      <c r="O1153" s="30"/>
    </row>
    <row r="1154">
      <c r="A1154" s="68" t="s">
        <v>403</v>
      </c>
      <c r="B1154" s="69" t="s">
        <v>809</v>
      </c>
      <c r="C1154" s="61" t="s">
        <v>31</v>
      </c>
      <c r="D1154" s="46" t="s">
        <v>187</v>
      </c>
      <c r="E1154" s="71"/>
      <c r="F1154" s="71"/>
      <c r="G1154" s="72" t="s">
        <v>565</v>
      </c>
      <c r="J1154" s="30"/>
      <c r="K1154" s="30"/>
      <c r="L1154" s="73">
        <v>45658.0</v>
      </c>
      <c r="M1154" s="74" t="s">
        <v>549</v>
      </c>
      <c r="N1154" s="33"/>
      <c r="O1154" s="30"/>
    </row>
    <row r="1155">
      <c r="A1155" s="64" t="s">
        <v>18</v>
      </c>
      <c r="B1155" s="56" t="s">
        <v>810</v>
      </c>
      <c r="C1155" s="75"/>
      <c r="D1155" s="77"/>
      <c r="E1155" s="77"/>
      <c r="F1155" s="77"/>
      <c r="G1155" s="65" t="s">
        <v>811</v>
      </c>
      <c r="J1155" s="30"/>
      <c r="K1155" s="30"/>
      <c r="L1155" s="78">
        <v>45658.0</v>
      </c>
      <c r="M1155" s="79" t="s">
        <v>586</v>
      </c>
      <c r="N1155" s="33"/>
      <c r="O1155" s="30"/>
    </row>
    <row r="1156">
      <c r="A1156" s="68" t="s">
        <v>403</v>
      </c>
      <c r="B1156" s="69" t="s">
        <v>806</v>
      </c>
      <c r="C1156" s="61" t="s">
        <v>31</v>
      </c>
      <c r="D1156" s="46" t="s">
        <v>187</v>
      </c>
      <c r="E1156" s="71"/>
      <c r="F1156" s="71"/>
      <c r="G1156" s="72">
        <v>5.0</v>
      </c>
      <c r="J1156" s="30"/>
      <c r="K1156" s="30"/>
      <c r="L1156" s="73">
        <v>45658.0</v>
      </c>
      <c r="M1156" s="74" t="s">
        <v>549</v>
      </c>
      <c r="N1156" s="33"/>
      <c r="O1156" s="30"/>
    </row>
    <row r="1157">
      <c r="A1157" s="64" t="s">
        <v>403</v>
      </c>
      <c r="B1157" s="56" t="s">
        <v>809</v>
      </c>
      <c r="C1157" s="55" t="s">
        <v>31</v>
      </c>
      <c r="D1157" s="56" t="s">
        <v>187</v>
      </c>
      <c r="E1157" s="77"/>
      <c r="F1157" s="77"/>
      <c r="G1157" s="65" t="s">
        <v>565</v>
      </c>
      <c r="J1157" s="30"/>
      <c r="K1157" s="30"/>
      <c r="L1157" s="78">
        <v>45658.0</v>
      </c>
      <c r="M1157" s="79" t="s">
        <v>549</v>
      </c>
      <c r="N1157" s="33"/>
      <c r="O1157" s="30"/>
    </row>
    <row r="1158">
      <c r="A1158" s="45" t="s">
        <v>440</v>
      </c>
      <c r="B1158" s="69" t="s">
        <v>812</v>
      </c>
      <c r="C1158" s="95" t="s">
        <v>20</v>
      </c>
      <c r="D1158" s="46" t="s">
        <v>21</v>
      </c>
      <c r="E1158" s="71"/>
      <c r="F1158" s="71"/>
      <c r="G1158" s="72">
        <v>9177.0</v>
      </c>
      <c r="J1158" s="30"/>
      <c r="K1158" s="30"/>
      <c r="L1158" s="73">
        <v>45658.0</v>
      </c>
      <c r="M1158" s="74" t="s">
        <v>738</v>
      </c>
      <c r="N1158" s="33"/>
      <c r="O1158" s="30"/>
    </row>
    <row r="1159">
      <c r="A1159" s="64" t="s">
        <v>440</v>
      </c>
      <c r="B1159" s="56" t="s">
        <v>813</v>
      </c>
      <c r="C1159" s="88" t="s">
        <v>20</v>
      </c>
      <c r="D1159" s="56" t="s">
        <v>21</v>
      </c>
      <c r="E1159" s="77"/>
      <c r="F1159" s="77"/>
      <c r="G1159" s="65">
        <v>9177.0</v>
      </c>
      <c r="J1159" s="30"/>
      <c r="K1159" s="30"/>
      <c r="L1159" s="78">
        <v>45658.0</v>
      </c>
      <c r="M1159" s="79" t="s">
        <v>738</v>
      </c>
      <c r="N1159" s="33"/>
      <c r="O1159" s="30"/>
    </row>
    <row r="1160">
      <c r="A1160" s="68" t="s">
        <v>403</v>
      </c>
      <c r="B1160" s="69" t="s">
        <v>806</v>
      </c>
      <c r="C1160" s="61" t="s">
        <v>31</v>
      </c>
      <c r="D1160" s="46" t="s">
        <v>187</v>
      </c>
      <c r="E1160" s="71"/>
      <c r="F1160" s="71"/>
      <c r="G1160" s="72">
        <v>5.0</v>
      </c>
      <c r="J1160" s="30"/>
      <c r="K1160" s="30"/>
      <c r="L1160" s="73">
        <v>45658.0</v>
      </c>
      <c r="M1160" s="74" t="s">
        <v>549</v>
      </c>
      <c r="N1160" s="33"/>
      <c r="O1160" s="30"/>
    </row>
    <row r="1161">
      <c r="A1161" s="64" t="s">
        <v>403</v>
      </c>
      <c r="B1161" s="56" t="s">
        <v>809</v>
      </c>
      <c r="C1161" s="55" t="s">
        <v>31</v>
      </c>
      <c r="D1161" s="56" t="s">
        <v>187</v>
      </c>
      <c r="E1161" s="77"/>
      <c r="F1161" s="77"/>
      <c r="G1161" s="65" t="s">
        <v>565</v>
      </c>
      <c r="J1161" s="30"/>
      <c r="K1161" s="30"/>
      <c r="L1161" s="78">
        <v>45658.0</v>
      </c>
      <c r="M1161" s="79" t="s">
        <v>549</v>
      </c>
      <c r="N1161" s="33"/>
      <c r="O1161" s="30"/>
    </row>
    <row r="1162">
      <c r="A1162" s="68" t="s">
        <v>471</v>
      </c>
      <c r="B1162" s="69" t="s">
        <v>814</v>
      </c>
      <c r="C1162" s="47"/>
      <c r="D1162" s="49"/>
      <c r="E1162" s="71"/>
      <c r="F1162" s="71"/>
      <c r="G1162" s="72">
        <v>11797.0</v>
      </c>
      <c r="J1162" s="30"/>
      <c r="K1162" s="30"/>
      <c r="L1162" s="73">
        <v>45658.0</v>
      </c>
      <c r="M1162" s="74" t="s">
        <v>815</v>
      </c>
      <c r="N1162" s="33"/>
      <c r="O1162" s="30"/>
    </row>
    <row r="1163">
      <c r="A1163" s="64" t="s">
        <v>403</v>
      </c>
      <c r="B1163" s="56" t="s">
        <v>806</v>
      </c>
      <c r="C1163" s="55" t="s">
        <v>31</v>
      </c>
      <c r="D1163" s="56" t="s">
        <v>187</v>
      </c>
      <c r="E1163" s="77"/>
      <c r="F1163" s="77"/>
      <c r="G1163" s="65">
        <v>5.0</v>
      </c>
      <c r="J1163" s="30"/>
      <c r="K1163" s="30"/>
      <c r="L1163" s="78">
        <v>45658.0</v>
      </c>
      <c r="M1163" s="79" t="s">
        <v>549</v>
      </c>
      <c r="N1163" s="33"/>
      <c r="O1163" s="30"/>
    </row>
    <row r="1164">
      <c r="A1164" s="68" t="s">
        <v>403</v>
      </c>
      <c r="B1164" s="69" t="s">
        <v>809</v>
      </c>
      <c r="C1164" s="61" t="s">
        <v>31</v>
      </c>
      <c r="D1164" s="46" t="s">
        <v>187</v>
      </c>
      <c r="E1164" s="71"/>
      <c r="F1164" s="71"/>
      <c r="G1164" s="72" t="s">
        <v>565</v>
      </c>
      <c r="J1164" s="30"/>
      <c r="K1164" s="30"/>
      <c r="L1164" s="73">
        <v>45658.0</v>
      </c>
      <c r="M1164" s="74" t="s">
        <v>549</v>
      </c>
      <c r="N1164" s="33"/>
      <c r="O1164" s="30"/>
    </row>
    <row r="1165">
      <c r="A1165" s="64" t="s">
        <v>528</v>
      </c>
      <c r="B1165" s="56" t="s">
        <v>816</v>
      </c>
      <c r="C1165" s="62" t="s">
        <v>31</v>
      </c>
      <c r="D1165" s="62" t="s">
        <v>371</v>
      </c>
      <c r="E1165" s="77"/>
      <c r="F1165" s="77"/>
      <c r="G1165" s="65" t="s">
        <v>817</v>
      </c>
      <c r="J1165" s="30"/>
      <c r="K1165" s="30"/>
      <c r="L1165" s="78">
        <v>45658.0</v>
      </c>
      <c r="M1165" s="79" t="s">
        <v>818</v>
      </c>
      <c r="N1165" s="33"/>
      <c r="O1165" s="30"/>
    </row>
    <row r="1166">
      <c r="A1166" s="68" t="s">
        <v>528</v>
      </c>
      <c r="B1166" s="69" t="s">
        <v>819</v>
      </c>
      <c r="C1166" s="61" t="s">
        <v>31</v>
      </c>
      <c r="D1166" s="61" t="s">
        <v>371</v>
      </c>
      <c r="E1166" s="71"/>
      <c r="F1166" s="71"/>
      <c r="G1166" s="72">
        <v>66352.0</v>
      </c>
      <c r="J1166" s="30"/>
      <c r="K1166" s="30"/>
      <c r="L1166" s="73">
        <v>45658.0</v>
      </c>
      <c r="M1166" s="74" t="s">
        <v>818</v>
      </c>
      <c r="N1166" s="33"/>
      <c r="O1166" s="30"/>
    </row>
    <row r="1167">
      <c r="A1167" s="80"/>
      <c r="B1167" s="56" t="s">
        <v>820</v>
      </c>
      <c r="C1167" s="75"/>
      <c r="D1167" s="77"/>
      <c r="E1167" s="77"/>
      <c r="F1167" s="77"/>
      <c r="G1167" s="65">
        <v>120000.0</v>
      </c>
      <c r="J1167" s="30"/>
      <c r="K1167" s="30"/>
      <c r="L1167" s="78">
        <v>45658.0</v>
      </c>
      <c r="M1167" s="79" t="s">
        <v>821</v>
      </c>
      <c r="N1167" s="33"/>
      <c r="O1167" s="30"/>
    </row>
    <row r="1168">
      <c r="A1168" s="68" t="s">
        <v>349</v>
      </c>
      <c r="B1168" s="69" t="s">
        <v>822</v>
      </c>
      <c r="C1168" s="47"/>
      <c r="D1168" s="49"/>
      <c r="E1168" s="71"/>
      <c r="F1168" s="71"/>
      <c r="G1168" s="72" t="s">
        <v>823</v>
      </c>
      <c r="J1168" s="30"/>
      <c r="K1168" s="30"/>
      <c r="L1168" s="73">
        <v>45658.0</v>
      </c>
      <c r="M1168" s="74" t="s">
        <v>581</v>
      </c>
      <c r="N1168" s="33"/>
      <c r="O1168" s="30"/>
    </row>
    <row r="1169">
      <c r="A1169" s="64" t="s">
        <v>403</v>
      </c>
      <c r="B1169" s="56" t="s">
        <v>806</v>
      </c>
      <c r="C1169" s="55" t="s">
        <v>31</v>
      </c>
      <c r="D1169" s="56" t="s">
        <v>187</v>
      </c>
      <c r="E1169" s="77"/>
      <c r="F1169" s="77"/>
      <c r="G1169" s="65">
        <v>5.0</v>
      </c>
      <c r="J1169" s="30"/>
      <c r="K1169" s="30"/>
      <c r="L1169" s="78">
        <v>45658.0</v>
      </c>
      <c r="M1169" s="79" t="s">
        <v>549</v>
      </c>
      <c r="N1169" s="33"/>
      <c r="O1169" s="30"/>
    </row>
    <row r="1170">
      <c r="A1170" s="68" t="s">
        <v>403</v>
      </c>
      <c r="B1170" s="69" t="s">
        <v>807</v>
      </c>
      <c r="C1170" s="61" t="s">
        <v>31</v>
      </c>
      <c r="D1170" s="46" t="s">
        <v>187</v>
      </c>
      <c r="E1170" s="71"/>
      <c r="F1170" s="71"/>
      <c r="G1170" s="72" t="s">
        <v>565</v>
      </c>
      <c r="J1170" s="30"/>
      <c r="K1170" s="30"/>
      <c r="L1170" s="73">
        <v>45658.0</v>
      </c>
      <c r="M1170" s="74" t="s">
        <v>549</v>
      </c>
      <c r="N1170" s="33"/>
      <c r="O1170" s="30"/>
    </row>
    <row r="1171">
      <c r="A1171" s="64" t="s">
        <v>18</v>
      </c>
      <c r="B1171" s="56" t="s">
        <v>824</v>
      </c>
      <c r="C1171" s="75"/>
      <c r="D1171" s="77"/>
      <c r="E1171" s="77"/>
      <c r="F1171" s="77"/>
      <c r="G1171" s="65" t="s">
        <v>825</v>
      </c>
      <c r="J1171" s="30"/>
      <c r="K1171" s="30"/>
      <c r="L1171" s="78">
        <v>45658.0</v>
      </c>
      <c r="M1171" s="79" t="s">
        <v>586</v>
      </c>
      <c r="N1171" s="33"/>
      <c r="O1171" s="30"/>
    </row>
    <row r="1172">
      <c r="A1172" s="68" t="s">
        <v>403</v>
      </c>
      <c r="B1172" s="69" t="s">
        <v>826</v>
      </c>
      <c r="C1172" s="61" t="s">
        <v>31</v>
      </c>
      <c r="D1172" s="46" t="s">
        <v>187</v>
      </c>
      <c r="E1172" s="71"/>
      <c r="F1172" s="71"/>
      <c r="G1172" s="72">
        <v>5.0</v>
      </c>
      <c r="J1172" s="30"/>
      <c r="K1172" s="30"/>
      <c r="L1172" s="73">
        <v>45658.0</v>
      </c>
      <c r="M1172" s="74" t="s">
        <v>549</v>
      </c>
      <c r="N1172" s="33"/>
      <c r="O1172" s="30"/>
    </row>
    <row r="1173">
      <c r="A1173" s="64" t="s">
        <v>403</v>
      </c>
      <c r="B1173" s="56" t="s">
        <v>827</v>
      </c>
      <c r="C1173" s="55" t="s">
        <v>31</v>
      </c>
      <c r="D1173" s="56" t="s">
        <v>187</v>
      </c>
      <c r="E1173" s="77"/>
      <c r="F1173" s="77"/>
      <c r="G1173" s="65" t="s">
        <v>565</v>
      </c>
      <c r="J1173" s="30"/>
      <c r="K1173" s="30"/>
      <c r="L1173" s="78">
        <v>45658.0</v>
      </c>
      <c r="M1173" s="79" t="s">
        <v>549</v>
      </c>
      <c r="N1173" s="33"/>
      <c r="O1173" s="30"/>
    </row>
    <row r="1174">
      <c r="A1174" s="68" t="s">
        <v>451</v>
      </c>
      <c r="B1174" s="69" t="s">
        <v>828</v>
      </c>
      <c r="C1174" s="47"/>
      <c r="D1174" s="49"/>
      <c r="E1174" s="71"/>
      <c r="F1174" s="71"/>
      <c r="G1174" s="72" t="s">
        <v>829</v>
      </c>
      <c r="J1174" s="30"/>
      <c r="K1174" s="30"/>
      <c r="L1174" s="73">
        <v>45658.0</v>
      </c>
      <c r="M1174" s="74" t="s">
        <v>643</v>
      </c>
      <c r="N1174" s="33"/>
      <c r="O1174" s="30"/>
    </row>
    <row r="1175">
      <c r="A1175" s="64" t="s">
        <v>403</v>
      </c>
      <c r="B1175" s="56" t="s">
        <v>826</v>
      </c>
      <c r="C1175" s="55" t="s">
        <v>31</v>
      </c>
      <c r="D1175" s="56" t="s">
        <v>187</v>
      </c>
      <c r="E1175" s="77"/>
      <c r="F1175" s="77"/>
      <c r="G1175" s="65">
        <v>5.0</v>
      </c>
      <c r="J1175" s="30"/>
      <c r="K1175" s="30"/>
      <c r="L1175" s="78">
        <v>45658.0</v>
      </c>
      <c r="M1175" s="79" t="s">
        <v>549</v>
      </c>
      <c r="N1175" s="33"/>
      <c r="O1175" s="30"/>
    </row>
    <row r="1176">
      <c r="A1176" s="68" t="s">
        <v>403</v>
      </c>
      <c r="B1176" s="69" t="s">
        <v>827</v>
      </c>
      <c r="C1176" s="61" t="s">
        <v>31</v>
      </c>
      <c r="D1176" s="46" t="s">
        <v>187</v>
      </c>
      <c r="E1176" s="71"/>
      <c r="F1176" s="71"/>
      <c r="G1176" s="72" t="s">
        <v>565</v>
      </c>
      <c r="J1176" s="30"/>
      <c r="K1176" s="30"/>
      <c r="L1176" s="73">
        <v>45658.0</v>
      </c>
      <c r="M1176" s="74" t="s">
        <v>549</v>
      </c>
      <c r="N1176" s="33"/>
      <c r="O1176" s="30"/>
    </row>
    <row r="1177">
      <c r="A1177" s="64" t="s">
        <v>18</v>
      </c>
      <c r="B1177" s="56" t="s">
        <v>830</v>
      </c>
      <c r="C1177" s="75"/>
      <c r="D1177" s="77"/>
      <c r="E1177" s="77"/>
      <c r="F1177" s="77"/>
      <c r="G1177" s="65" t="s">
        <v>673</v>
      </c>
      <c r="J1177" s="30"/>
      <c r="K1177" s="30"/>
      <c r="L1177" s="78">
        <v>45658.0</v>
      </c>
      <c r="M1177" s="79" t="s">
        <v>586</v>
      </c>
      <c r="N1177" s="33"/>
      <c r="O1177" s="30"/>
    </row>
    <row r="1178">
      <c r="A1178" s="68" t="s">
        <v>403</v>
      </c>
      <c r="B1178" s="69" t="s">
        <v>826</v>
      </c>
      <c r="C1178" s="61" t="s">
        <v>31</v>
      </c>
      <c r="D1178" s="46" t="s">
        <v>187</v>
      </c>
      <c r="E1178" s="71"/>
      <c r="F1178" s="71"/>
      <c r="G1178" s="72">
        <v>5.0</v>
      </c>
      <c r="J1178" s="30"/>
      <c r="K1178" s="30"/>
      <c r="L1178" s="73">
        <v>45658.0</v>
      </c>
      <c r="M1178" s="74" t="s">
        <v>549</v>
      </c>
      <c r="N1178" s="33"/>
      <c r="O1178" s="30"/>
    </row>
    <row r="1179">
      <c r="A1179" s="64" t="s">
        <v>403</v>
      </c>
      <c r="B1179" s="56" t="s">
        <v>827</v>
      </c>
      <c r="C1179" s="55" t="s">
        <v>31</v>
      </c>
      <c r="D1179" s="56" t="s">
        <v>187</v>
      </c>
      <c r="E1179" s="77"/>
      <c r="F1179" s="77"/>
      <c r="G1179" s="65" t="s">
        <v>565</v>
      </c>
      <c r="J1179" s="30"/>
      <c r="K1179" s="30"/>
      <c r="L1179" s="78">
        <v>45658.0</v>
      </c>
      <c r="M1179" s="79" t="s">
        <v>549</v>
      </c>
      <c r="N1179" s="33"/>
      <c r="O1179" s="30"/>
    </row>
    <row r="1180">
      <c r="A1180" s="68" t="s">
        <v>437</v>
      </c>
      <c r="B1180" s="69" t="s">
        <v>831</v>
      </c>
      <c r="C1180" s="61" t="s">
        <v>20</v>
      </c>
      <c r="D1180" s="46" t="s">
        <v>21</v>
      </c>
      <c r="E1180" s="71"/>
      <c r="F1180" s="71"/>
      <c r="G1180" s="72" t="s">
        <v>832</v>
      </c>
      <c r="J1180" s="30"/>
      <c r="K1180" s="30"/>
      <c r="L1180" s="73">
        <v>45658.0</v>
      </c>
      <c r="M1180" s="74" t="s">
        <v>613</v>
      </c>
      <c r="N1180" s="33"/>
      <c r="O1180" s="30"/>
    </row>
    <row r="1181">
      <c r="A1181" s="64" t="s">
        <v>403</v>
      </c>
      <c r="B1181" s="56" t="s">
        <v>826</v>
      </c>
      <c r="C1181" s="55" t="s">
        <v>31</v>
      </c>
      <c r="D1181" s="56" t="s">
        <v>187</v>
      </c>
      <c r="E1181" s="77"/>
      <c r="F1181" s="77"/>
      <c r="G1181" s="65">
        <v>5.0</v>
      </c>
      <c r="J1181" s="30"/>
      <c r="K1181" s="30"/>
      <c r="L1181" s="78">
        <v>45658.0</v>
      </c>
      <c r="M1181" s="79" t="s">
        <v>549</v>
      </c>
      <c r="N1181" s="33"/>
      <c r="O1181" s="30"/>
    </row>
    <row r="1182">
      <c r="A1182" s="68" t="s">
        <v>403</v>
      </c>
      <c r="B1182" s="69" t="s">
        <v>827</v>
      </c>
      <c r="C1182" s="61" t="s">
        <v>31</v>
      </c>
      <c r="D1182" s="46" t="s">
        <v>187</v>
      </c>
      <c r="E1182" s="71"/>
      <c r="F1182" s="71"/>
      <c r="G1182" s="72" t="s">
        <v>565</v>
      </c>
      <c r="J1182" s="30"/>
      <c r="K1182" s="30"/>
      <c r="L1182" s="73">
        <v>45658.0</v>
      </c>
      <c r="M1182" s="74" t="s">
        <v>549</v>
      </c>
      <c r="N1182" s="33"/>
      <c r="O1182" s="30"/>
    </row>
    <row r="1183">
      <c r="A1183" s="80"/>
      <c r="B1183" s="56" t="s">
        <v>833</v>
      </c>
      <c r="C1183" s="75"/>
      <c r="D1183" s="77"/>
      <c r="E1183" s="77"/>
      <c r="F1183" s="77"/>
      <c r="G1183" s="65">
        <v>30000.0</v>
      </c>
      <c r="J1183" s="30"/>
      <c r="K1183" s="30"/>
      <c r="L1183" s="78">
        <v>45658.0</v>
      </c>
      <c r="M1183" s="79" t="s">
        <v>821</v>
      </c>
      <c r="N1183" s="33"/>
      <c r="O1183" s="30"/>
    </row>
    <row r="1184">
      <c r="A1184" s="68" t="s">
        <v>403</v>
      </c>
      <c r="B1184" s="69" t="s">
        <v>834</v>
      </c>
      <c r="C1184" s="61" t="s">
        <v>31</v>
      </c>
      <c r="D1184" s="46" t="s">
        <v>187</v>
      </c>
      <c r="E1184" s="71"/>
      <c r="F1184" s="71"/>
      <c r="G1184" s="72">
        <v>5.0</v>
      </c>
      <c r="J1184" s="30"/>
      <c r="K1184" s="30"/>
      <c r="L1184" s="73">
        <v>45658.0</v>
      </c>
      <c r="M1184" s="74" t="s">
        <v>549</v>
      </c>
      <c r="N1184" s="33"/>
      <c r="O1184" s="30"/>
    </row>
    <row r="1185">
      <c r="A1185" s="64" t="s">
        <v>403</v>
      </c>
      <c r="B1185" s="56" t="s">
        <v>835</v>
      </c>
      <c r="C1185" s="55" t="s">
        <v>31</v>
      </c>
      <c r="D1185" s="56" t="s">
        <v>187</v>
      </c>
      <c r="E1185" s="77"/>
      <c r="F1185" s="77"/>
      <c r="G1185" s="65" t="s">
        <v>565</v>
      </c>
      <c r="J1185" s="30"/>
      <c r="K1185" s="30"/>
      <c r="L1185" s="78">
        <v>45658.0</v>
      </c>
      <c r="M1185" s="79" t="s">
        <v>549</v>
      </c>
      <c r="N1185" s="33"/>
      <c r="O1185" s="30"/>
    </row>
    <row r="1186">
      <c r="A1186" s="68" t="s">
        <v>437</v>
      </c>
      <c r="B1186" s="69" t="s">
        <v>836</v>
      </c>
      <c r="C1186" s="61" t="s">
        <v>20</v>
      </c>
      <c r="D1186" s="46" t="s">
        <v>21</v>
      </c>
      <c r="E1186" s="71"/>
      <c r="F1186" s="71"/>
      <c r="G1186" s="72">
        <v>8580.0</v>
      </c>
      <c r="J1186" s="30"/>
      <c r="K1186" s="30"/>
      <c r="L1186" s="73">
        <v>45658.0</v>
      </c>
      <c r="M1186" s="74" t="s">
        <v>613</v>
      </c>
      <c r="N1186" s="33"/>
      <c r="O1186" s="30"/>
    </row>
    <row r="1187">
      <c r="A1187" s="64" t="s">
        <v>403</v>
      </c>
      <c r="B1187" s="56" t="s">
        <v>834</v>
      </c>
      <c r="C1187" s="55" t="s">
        <v>31</v>
      </c>
      <c r="D1187" s="56" t="s">
        <v>187</v>
      </c>
      <c r="E1187" s="77"/>
      <c r="F1187" s="77"/>
      <c r="G1187" s="65">
        <v>5.0</v>
      </c>
      <c r="J1187" s="30"/>
      <c r="K1187" s="30"/>
      <c r="L1187" s="78">
        <v>45658.0</v>
      </c>
      <c r="M1187" s="79" t="s">
        <v>549</v>
      </c>
      <c r="N1187" s="33"/>
      <c r="O1187" s="30"/>
    </row>
    <row r="1188">
      <c r="A1188" s="68" t="s">
        <v>403</v>
      </c>
      <c r="B1188" s="69" t="s">
        <v>835</v>
      </c>
      <c r="C1188" s="61" t="s">
        <v>31</v>
      </c>
      <c r="D1188" s="46" t="s">
        <v>187</v>
      </c>
      <c r="E1188" s="71"/>
      <c r="F1188" s="71"/>
      <c r="G1188" s="72" t="s">
        <v>565</v>
      </c>
      <c r="J1188" s="30"/>
      <c r="K1188" s="30"/>
      <c r="L1188" s="73">
        <v>45658.0</v>
      </c>
      <c r="M1188" s="74" t="s">
        <v>549</v>
      </c>
      <c r="N1188" s="33"/>
      <c r="O1188" s="30"/>
    </row>
    <row r="1189">
      <c r="A1189" s="64" t="s">
        <v>437</v>
      </c>
      <c r="B1189" s="56" t="s">
        <v>837</v>
      </c>
      <c r="C1189" s="55" t="s">
        <v>20</v>
      </c>
      <c r="D1189" s="56" t="s">
        <v>21</v>
      </c>
      <c r="E1189" s="77"/>
      <c r="F1189" s="77"/>
      <c r="G1189" s="65" t="s">
        <v>838</v>
      </c>
      <c r="J1189" s="30"/>
      <c r="K1189" s="30"/>
      <c r="L1189" s="78">
        <v>45658.0</v>
      </c>
      <c r="M1189" s="79" t="s">
        <v>613</v>
      </c>
      <c r="N1189" s="33"/>
      <c r="O1189" s="30"/>
    </row>
    <row r="1190">
      <c r="A1190" s="68" t="s">
        <v>403</v>
      </c>
      <c r="B1190" s="69" t="s">
        <v>834</v>
      </c>
      <c r="C1190" s="61" t="s">
        <v>31</v>
      </c>
      <c r="D1190" s="46" t="s">
        <v>187</v>
      </c>
      <c r="E1190" s="71"/>
      <c r="F1190" s="71"/>
      <c r="G1190" s="72">
        <v>5.0</v>
      </c>
      <c r="J1190" s="30"/>
      <c r="K1190" s="30"/>
      <c r="L1190" s="73">
        <v>45658.0</v>
      </c>
      <c r="M1190" s="74" t="s">
        <v>549</v>
      </c>
      <c r="N1190" s="33"/>
      <c r="O1190" s="30"/>
    </row>
    <row r="1191">
      <c r="A1191" s="64" t="s">
        <v>403</v>
      </c>
      <c r="B1191" s="56" t="s">
        <v>835</v>
      </c>
      <c r="C1191" s="55" t="s">
        <v>31</v>
      </c>
      <c r="D1191" s="56" t="s">
        <v>187</v>
      </c>
      <c r="E1191" s="77"/>
      <c r="F1191" s="77"/>
      <c r="G1191" s="65" t="s">
        <v>565</v>
      </c>
      <c r="J1191" s="30"/>
      <c r="K1191" s="30"/>
      <c r="L1191" s="78">
        <v>45658.0</v>
      </c>
      <c r="M1191" s="79" t="s">
        <v>549</v>
      </c>
      <c r="N1191" s="33"/>
      <c r="O1191" s="30"/>
    </row>
    <row r="1192">
      <c r="A1192" s="68" t="s">
        <v>437</v>
      </c>
      <c r="B1192" s="69" t="s">
        <v>839</v>
      </c>
      <c r="C1192" s="61" t="s">
        <v>20</v>
      </c>
      <c r="D1192" s="46" t="s">
        <v>21</v>
      </c>
      <c r="E1192" s="71"/>
      <c r="F1192" s="71"/>
      <c r="G1192" s="72">
        <v>8352.0</v>
      </c>
      <c r="J1192" s="30"/>
      <c r="K1192" s="30"/>
      <c r="L1192" s="73">
        <v>45658.0</v>
      </c>
      <c r="M1192" s="74" t="s">
        <v>613</v>
      </c>
      <c r="N1192" s="33"/>
      <c r="O1192" s="30"/>
    </row>
    <row r="1193">
      <c r="A1193" s="64" t="s">
        <v>403</v>
      </c>
      <c r="B1193" s="56" t="s">
        <v>834</v>
      </c>
      <c r="C1193" s="55" t="s">
        <v>31</v>
      </c>
      <c r="D1193" s="56" t="s">
        <v>187</v>
      </c>
      <c r="E1193" s="77"/>
      <c r="F1193" s="77"/>
      <c r="G1193" s="65">
        <v>5.0</v>
      </c>
      <c r="J1193" s="30"/>
      <c r="K1193" s="30"/>
      <c r="L1193" s="78">
        <v>45658.0</v>
      </c>
      <c r="M1193" s="79" t="s">
        <v>549</v>
      </c>
      <c r="N1193" s="33"/>
      <c r="O1193" s="30"/>
    </row>
    <row r="1194">
      <c r="A1194" s="68" t="s">
        <v>403</v>
      </c>
      <c r="B1194" s="69" t="s">
        <v>835</v>
      </c>
      <c r="C1194" s="61" t="s">
        <v>31</v>
      </c>
      <c r="D1194" s="46" t="s">
        <v>187</v>
      </c>
      <c r="E1194" s="71"/>
      <c r="F1194" s="71"/>
      <c r="G1194" s="72" t="s">
        <v>565</v>
      </c>
      <c r="J1194" s="30"/>
      <c r="K1194" s="30"/>
      <c r="L1194" s="73">
        <v>45658.0</v>
      </c>
      <c r="M1194" s="74" t="s">
        <v>549</v>
      </c>
      <c r="N1194" s="33"/>
      <c r="O1194" s="30"/>
    </row>
    <row r="1195">
      <c r="A1195" s="96" t="s">
        <v>426</v>
      </c>
      <c r="B1195" s="56" t="s">
        <v>840</v>
      </c>
      <c r="C1195" s="88" t="s">
        <v>31</v>
      </c>
      <c r="D1195" s="56" t="s">
        <v>187</v>
      </c>
      <c r="E1195" s="77"/>
      <c r="F1195" s="77"/>
      <c r="G1195" s="65">
        <v>21256.0</v>
      </c>
      <c r="J1195" s="30"/>
      <c r="K1195" s="30"/>
      <c r="L1195" s="78">
        <v>45658.0</v>
      </c>
      <c r="M1195" s="79" t="s">
        <v>722</v>
      </c>
      <c r="N1195" s="33"/>
      <c r="O1195" s="30"/>
    </row>
    <row r="1196">
      <c r="A1196" s="68" t="s">
        <v>403</v>
      </c>
      <c r="B1196" s="69" t="s">
        <v>834</v>
      </c>
      <c r="C1196" s="61" t="s">
        <v>31</v>
      </c>
      <c r="D1196" s="46" t="s">
        <v>187</v>
      </c>
      <c r="E1196" s="71"/>
      <c r="F1196" s="71"/>
      <c r="G1196" s="72">
        <v>5.0</v>
      </c>
      <c r="J1196" s="30"/>
      <c r="K1196" s="30"/>
      <c r="L1196" s="73">
        <v>45658.0</v>
      </c>
      <c r="M1196" s="74" t="s">
        <v>549</v>
      </c>
      <c r="N1196" s="33"/>
      <c r="O1196" s="30"/>
    </row>
    <row r="1197">
      <c r="A1197" s="64" t="s">
        <v>403</v>
      </c>
      <c r="B1197" s="56" t="s">
        <v>835</v>
      </c>
      <c r="C1197" s="55" t="s">
        <v>31</v>
      </c>
      <c r="D1197" s="56" t="s">
        <v>187</v>
      </c>
      <c r="E1197" s="77"/>
      <c r="F1197" s="77"/>
      <c r="G1197" s="65" t="s">
        <v>565</v>
      </c>
      <c r="J1197" s="30"/>
      <c r="K1197" s="30"/>
      <c r="L1197" s="78">
        <v>45658.0</v>
      </c>
      <c r="M1197" s="79" t="s">
        <v>549</v>
      </c>
      <c r="N1197" s="33"/>
      <c r="O1197" s="30"/>
    </row>
    <row r="1198">
      <c r="A1198" s="68" t="s">
        <v>391</v>
      </c>
      <c r="B1198" s="69" t="s">
        <v>841</v>
      </c>
      <c r="C1198" s="97" t="s">
        <v>31</v>
      </c>
      <c r="D1198" s="97" t="s">
        <v>371</v>
      </c>
      <c r="E1198" s="71"/>
      <c r="F1198" s="71"/>
      <c r="G1198" s="72">
        <v>37120.0</v>
      </c>
      <c r="J1198" s="30"/>
      <c r="K1198" s="30"/>
      <c r="L1198" s="73">
        <v>45658.0</v>
      </c>
      <c r="M1198" s="74" t="s">
        <v>741</v>
      </c>
      <c r="N1198" s="33"/>
      <c r="O1198" s="30"/>
    </row>
    <row r="1199">
      <c r="A1199" s="64" t="s">
        <v>403</v>
      </c>
      <c r="B1199" s="56" t="s">
        <v>834</v>
      </c>
      <c r="C1199" s="55" t="s">
        <v>31</v>
      </c>
      <c r="D1199" s="56" t="s">
        <v>187</v>
      </c>
      <c r="E1199" s="77"/>
      <c r="F1199" s="77"/>
      <c r="G1199" s="65">
        <v>5.0</v>
      </c>
      <c r="J1199" s="30"/>
      <c r="K1199" s="30"/>
      <c r="L1199" s="78">
        <v>45658.0</v>
      </c>
      <c r="M1199" s="79" t="s">
        <v>549</v>
      </c>
      <c r="N1199" s="33"/>
      <c r="O1199" s="30"/>
    </row>
    <row r="1200">
      <c r="A1200" s="68" t="s">
        <v>403</v>
      </c>
      <c r="B1200" s="69" t="s">
        <v>835</v>
      </c>
      <c r="C1200" s="61" t="s">
        <v>31</v>
      </c>
      <c r="D1200" s="46" t="s">
        <v>187</v>
      </c>
      <c r="E1200" s="71"/>
      <c r="F1200" s="71"/>
      <c r="G1200" s="72" t="s">
        <v>565</v>
      </c>
      <c r="J1200" s="30"/>
      <c r="K1200" s="30"/>
      <c r="L1200" s="73">
        <v>45658.0</v>
      </c>
      <c r="M1200" s="74" t="s">
        <v>549</v>
      </c>
      <c r="N1200" s="33"/>
      <c r="O1200" s="30"/>
    </row>
    <row r="1201">
      <c r="A1201" s="64" t="s">
        <v>508</v>
      </c>
      <c r="B1201" s="56" t="s">
        <v>842</v>
      </c>
      <c r="C1201" s="62" t="s">
        <v>20</v>
      </c>
      <c r="D1201" s="62" t="s">
        <v>21</v>
      </c>
      <c r="E1201" s="77"/>
      <c r="F1201" s="77"/>
      <c r="G1201" s="65" t="s">
        <v>843</v>
      </c>
      <c r="J1201" s="30"/>
      <c r="K1201" s="30"/>
      <c r="L1201" s="78">
        <v>45658.0</v>
      </c>
      <c r="M1201" s="79" t="s">
        <v>509</v>
      </c>
      <c r="N1201" s="33"/>
      <c r="O1201" s="30"/>
    </row>
    <row r="1202">
      <c r="A1202" s="68" t="s">
        <v>403</v>
      </c>
      <c r="B1202" s="69" t="s">
        <v>834</v>
      </c>
      <c r="C1202" s="61" t="s">
        <v>31</v>
      </c>
      <c r="D1202" s="46" t="s">
        <v>187</v>
      </c>
      <c r="E1202" s="71"/>
      <c r="F1202" s="71"/>
      <c r="G1202" s="72">
        <v>5.0</v>
      </c>
      <c r="J1202" s="30"/>
      <c r="K1202" s="30"/>
      <c r="L1202" s="73">
        <v>45658.0</v>
      </c>
      <c r="M1202" s="74" t="s">
        <v>549</v>
      </c>
      <c r="N1202" s="33"/>
      <c r="O1202" s="30"/>
    </row>
    <row r="1203">
      <c r="A1203" s="64" t="s">
        <v>403</v>
      </c>
      <c r="B1203" s="56" t="s">
        <v>835</v>
      </c>
      <c r="C1203" s="55" t="s">
        <v>31</v>
      </c>
      <c r="D1203" s="56" t="s">
        <v>187</v>
      </c>
      <c r="E1203" s="77"/>
      <c r="F1203" s="77"/>
      <c r="G1203" s="65" t="s">
        <v>565</v>
      </c>
      <c r="J1203" s="30"/>
      <c r="K1203" s="30"/>
      <c r="L1203" s="78">
        <v>45658.0</v>
      </c>
      <c r="M1203" s="79" t="s">
        <v>549</v>
      </c>
      <c r="N1203" s="33"/>
      <c r="O1203" s="30"/>
    </row>
    <row r="1204">
      <c r="A1204" s="68" t="s">
        <v>479</v>
      </c>
      <c r="B1204" s="69" t="s">
        <v>844</v>
      </c>
      <c r="C1204" s="61" t="s">
        <v>20</v>
      </c>
      <c r="D1204" s="61" t="s">
        <v>21</v>
      </c>
      <c r="E1204" s="71"/>
      <c r="F1204" s="71"/>
      <c r="G1204" s="72" t="s">
        <v>845</v>
      </c>
      <c r="J1204" s="30"/>
      <c r="K1204" s="30"/>
      <c r="L1204" s="73">
        <v>45658.0</v>
      </c>
      <c r="M1204" s="74" t="s">
        <v>631</v>
      </c>
      <c r="N1204" s="33"/>
      <c r="O1204" s="30"/>
    </row>
    <row r="1205">
      <c r="A1205" s="64" t="s">
        <v>403</v>
      </c>
      <c r="B1205" s="56" t="s">
        <v>834</v>
      </c>
      <c r="C1205" s="55" t="s">
        <v>31</v>
      </c>
      <c r="D1205" s="56" t="s">
        <v>187</v>
      </c>
      <c r="E1205" s="77"/>
      <c r="F1205" s="77"/>
      <c r="G1205" s="65">
        <v>5.0</v>
      </c>
      <c r="J1205" s="30"/>
      <c r="K1205" s="30"/>
      <c r="L1205" s="78">
        <v>45658.0</v>
      </c>
      <c r="M1205" s="79" t="s">
        <v>549</v>
      </c>
      <c r="N1205" s="33"/>
      <c r="O1205" s="30"/>
    </row>
    <row r="1206">
      <c r="A1206" s="68" t="s">
        <v>403</v>
      </c>
      <c r="B1206" s="69" t="s">
        <v>835</v>
      </c>
      <c r="C1206" s="61" t="s">
        <v>31</v>
      </c>
      <c r="D1206" s="46" t="s">
        <v>187</v>
      </c>
      <c r="E1206" s="71"/>
      <c r="F1206" s="71"/>
      <c r="G1206" s="72" t="s">
        <v>565</v>
      </c>
      <c r="J1206" s="30"/>
      <c r="K1206" s="30"/>
      <c r="L1206" s="73">
        <v>45658.0</v>
      </c>
      <c r="M1206" s="74" t="s">
        <v>549</v>
      </c>
      <c r="N1206" s="33"/>
      <c r="O1206" s="30"/>
    </row>
    <row r="1207">
      <c r="A1207" s="64" t="s">
        <v>349</v>
      </c>
      <c r="B1207" s="56" t="s">
        <v>846</v>
      </c>
      <c r="C1207" s="75"/>
      <c r="D1207" s="76"/>
      <c r="E1207" s="77"/>
      <c r="F1207" s="77"/>
      <c r="G1207" s="65" t="s">
        <v>847</v>
      </c>
      <c r="J1207" s="30"/>
      <c r="K1207" s="30"/>
      <c r="L1207" s="78">
        <v>45658.0</v>
      </c>
      <c r="M1207" s="79" t="s">
        <v>581</v>
      </c>
      <c r="N1207" s="33"/>
      <c r="O1207" s="30"/>
    </row>
    <row r="1208">
      <c r="A1208" s="68" t="s">
        <v>403</v>
      </c>
      <c r="B1208" s="69" t="s">
        <v>834</v>
      </c>
      <c r="C1208" s="61" t="s">
        <v>31</v>
      </c>
      <c r="D1208" s="46" t="s">
        <v>187</v>
      </c>
      <c r="E1208" s="71"/>
      <c r="F1208" s="71"/>
      <c r="G1208" s="72">
        <v>5.0</v>
      </c>
      <c r="J1208" s="30"/>
      <c r="K1208" s="30"/>
      <c r="L1208" s="73">
        <v>45658.0</v>
      </c>
      <c r="M1208" s="74" t="s">
        <v>549</v>
      </c>
      <c r="N1208" s="33"/>
      <c r="O1208" s="30"/>
    </row>
    <row r="1209">
      <c r="A1209" s="64" t="s">
        <v>403</v>
      </c>
      <c r="B1209" s="56" t="s">
        <v>835</v>
      </c>
      <c r="C1209" s="55" t="s">
        <v>31</v>
      </c>
      <c r="D1209" s="56" t="s">
        <v>187</v>
      </c>
      <c r="E1209" s="77"/>
      <c r="F1209" s="77"/>
      <c r="G1209" s="65" t="s">
        <v>565</v>
      </c>
      <c r="J1209" s="30"/>
      <c r="K1209" s="30"/>
      <c r="L1209" s="78">
        <v>45658.0</v>
      </c>
      <c r="M1209" s="79" t="s">
        <v>549</v>
      </c>
      <c r="N1209" s="33"/>
      <c r="O1209" s="30"/>
    </row>
    <row r="1210">
      <c r="A1210" s="68" t="s">
        <v>349</v>
      </c>
      <c r="B1210" s="69" t="s">
        <v>848</v>
      </c>
      <c r="C1210" s="47"/>
      <c r="D1210" s="70"/>
      <c r="E1210" s="71"/>
      <c r="F1210" s="71"/>
      <c r="G1210" s="72" t="s">
        <v>849</v>
      </c>
      <c r="J1210" s="30"/>
      <c r="K1210" s="30"/>
      <c r="L1210" s="73">
        <v>45658.0</v>
      </c>
      <c r="M1210" s="74" t="s">
        <v>581</v>
      </c>
      <c r="N1210" s="33"/>
      <c r="O1210" s="30"/>
    </row>
    <row r="1211">
      <c r="A1211" s="64" t="s">
        <v>403</v>
      </c>
      <c r="B1211" s="56" t="s">
        <v>834</v>
      </c>
      <c r="C1211" s="55" t="s">
        <v>31</v>
      </c>
      <c r="D1211" s="56" t="s">
        <v>187</v>
      </c>
      <c r="E1211" s="77"/>
      <c r="F1211" s="77"/>
      <c r="G1211" s="65">
        <v>5.0</v>
      </c>
      <c r="J1211" s="30"/>
      <c r="K1211" s="30"/>
      <c r="L1211" s="78">
        <v>45658.0</v>
      </c>
      <c r="M1211" s="79" t="s">
        <v>549</v>
      </c>
      <c r="N1211" s="33"/>
      <c r="O1211" s="30"/>
    </row>
    <row r="1212">
      <c r="A1212" s="68" t="s">
        <v>403</v>
      </c>
      <c r="B1212" s="69" t="s">
        <v>835</v>
      </c>
      <c r="C1212" s="61" t="s">
        <v>31</v>
      </c>
      <c r="D1212" s="46" t="s">
        <v>187</v>
      </c>
      <c r="E1212" s="71"/>
      <c r="F1212" s="71"/>
      <c r="G1212" s="72" t="s">
        <v>565</v>
      </c>
      <c r="J1212" s="30"/>
      <c r="K1212" s="30"/>
      <c r="L1212" s="73">
        <v>45658.0</v>
      </c>
      <c r="M1212" s="74" t="s">
        <v>549</v>
      </c>
      <c r="N1212" s="33"/>
      <c r="O1212" s="30"/>
    </row>
    <row r="1213">
      <c r="A1213" s="64" t="s">
        <v>349</v>
      </c>
      <c r="B1213" s="56" t="s">
        <v>850</v>
      </c>
      <c r="C1213" s="75"/>
      <c r="D1213" s="76"/>
      <c r="E1213" s="77"/>
      <c r="F1213" s="77"/>
      <c r="G1213" s="65" t="s">
        <v>851</v>
      </c>
      <c r="J1213" s="30"/>
      <c r="K1213" s="30"/>
      <c r="L1213" s="78">
        <v>45658.0</v>
      </c>
      <c r="M1213" s="79" t="s">
        <v>546</v>
      </c>
      <c r="N1213" s="33"/>
      <c r="O1213" s="30"/>
    </row>
    <row r="1214">
      <c r="A1214" s="68" t="s">
        <v>403</v>
      </c>
      <c r="B1214" s="69" t="s">
        <v>834</v>
      </c>
      <c r="C1214" s="61" t="s">
        <v>31</v>
      </c>
      <c r="D1214" s="46" t="s">
        <v>187</v>
      </c>
      <c r="E1214" s="71"/>
      <c r="F1214" s="71"/>
      <c r="G1214" s="72">
        <v>5.0</v>
      </c>
      <c r="J1214" s="30"/>
      <c r="K1214" s="30"/>
      <c r="L1214" s="73">
        <v>45658.0</v>
      </c>
      <c r="M1214" s="74" t="s">
        <v>549</v>
      </c>
      <c r="N1214" s="33"/>
      <c r="O1214" s="30"/>
    </row>
    <row r="1215">
      <c r="A1215" s="64" t="s">
        <v>403</v>
      </c>
      <c r="B1215" s="56" t="s">
        <v>835</v>
      </c>
      <c r="C1215" s="55" t="s">
        <v>31</v>
      </c>
      <c r="D1215" s="56" t="s">
        <v>187</v>
      </c>
      <c r="E1215" s="77"/>
      <c r="F1215" s="77"/>
      <c r="G1215" s="65" t="s">
        <v>565</v>
      </c>
      <c r="J1215" s="30"/>
      <c r="K1215" s="30"/>
      <c r="L1215" s="78">
        <v>45658.0</v>
      </c>
      <c r="M1215" s="79" t="s">
        <v>549</v>
      </c>
      <c r="N1215" s="33"/>
      <c r="O1215" s="30"/>
    </row>
    <row r="1216">
      <c r="A1216" s="68" t="s">
        <v>483</v>
      </c>
      <c r="B1216" s="69" t="s">
        <v>852</v>
      </c>
      <c r="C1216" s="97" t="s">
        <v>66</v>
      </c>
      <c r="D1216" s="97" t="s">
        <v>67</v>
      </c>
      <c r="E1216" s="71"/>
      <c r="F1216" s="71"/>
      <c r="G1216" s="72" t="s">
        <v>853</v>
      </c>
      <c r="J1216" s="30"/>
      <c r="K1216" s="30"/>
      <c r="L1216" s="73">
        <v>45658.0</v>
      </c>
      <c r="M1216" s="74" t="s">
        <v>854</v>
      </c>
      <c r="N1216" s="33"/>
      <c r="O1216" s="30"/>
    </row>
    <row r="1217">
      <c r="A1217" s="64" t="s">
        <v>403</v>
      </c>
      <c r="B1217" s="56" t="s">
        <v>834</v>
      </c>
      <c r="C1217" s="55" t="s">
        <v>31</v>
      </c>
      <c r="D1217" s="56" t="s">
        <v>187</v>
      </c>
      <c r="E1217" s="77"/>
      <c r="F1217" s="77"/>
      <c r="G1217" s="65">
        <v>5.0</v>
      </c>
      <c r="J1217" s="30"/>
      <c r="K1217" s="30"/>
      <c r="L1217" s="78">
        <v>45658.0</v>
      </c>
      <c r="M1217" s="79" t="s">
        <v>549</v>
      </c>
      <c r="N1217" s="33"/>
      <c r="O1217" s="30"/>
    </row>
    <row r="1218">
      <c r="A1218" s="68" t="s">
        <v>403</v>
      </c>
      <c r="B1218" s="69" t="s">
        <v>855</v>
      </c>
      <c r="C1218" s="61" t="s">
        <v>31</v>
      </c>
      <c r="D1218" s="46" t="s">
        <v>187</v>
      </c>
      <c r="E1218" s="71"/>
      <c r="F1218" s="71"/>
      <c r="G1218" s="72" t="s">
        <v>565</v>
      </c>
      <c r="J1218" s="30"/>
      <c r="K1218" s="30"/>
      <c r="L1218" s="73">
        <v>45658.0</v>
      </c>
      <c r="M1218" s="74" t="s">
        <v>549</v>
      </c>
      <c r="N1218" s="33"/>
      <c r="O1218" s="30"/>
    </row>
    <row r="1219">
      <c r="A1219" s="53" t="s">
        <v>483</v>
      </c>
      <c r="B1219" s="56" t="s">
        <v>856</v>
      </c>
      <c r="C1219" s="55" t="s">
        <v>66</v>
      </c>
      <c r="D1219" s="55" t="s">
        <v>67</v>
      </c>
      <c r="E1219" s="77"/>
      <c r="F1219" s="77"/>
      <c r="G1219" s="65" t="s">
        <v>857</v>
      </c>
      <c r="J1219" s="30"/>
      <c r="K1219" s="30"/>
      <c r="L1219" s="78">
        <v>45658.0</v>
      </c>
      <c r="M1219" s="79" t="s">
        <v>854</v>
      </c>
      <c r="N1219" s="33"/>
      <c r="O1219" s="30"/>
    </row>
    <row r="1220">
      <c r="A1220" s="90"/>
      <c r="B1220" s="69" t="s">
        <v>858</v>
      </c>
      <c r="C1220" s="47"/>
      <c r="D1220" s="49"/>
      <c r="E1220" s="71"/>
      <c r="F1220" s="71"/>
      <c r="G1220" s="72">
        <v>10573.0</v>
      </c>
      <c r="J1220" s="30"/>
      <c r="K1220" s="30"/>
      <c r="L1220" s="73">
        <v>45658.0</v>
      </c>
      <c r="M1220" s="74" t="s">
        <v>859</v>
      </c>
      <c r="N1220" s="33"/>
      <c r="O1220" s="30"/>
    </row>
    <row r="1221">
      <c r="A1221" s="80"/>
      <c r="B1221" s="56" t="s">
        <v>860</v>
      </c>
      <c r="C1221" s="75"/>
      <c r="D1221" s="77"/>
      <c r="E1221" s="77"/>
      <c r="F1221" s="77"/>
      <c r="G1221" s="65">
        <v>732.0</v>
      </c>
      <c r="J1221" s="30"/>
      <c r="K1221" s="30"/>
      <c r="L1221" s="78">
        <v>45658.0</v>
      </c>
      <c r="M1221" s="79" t="s">
        <v>648</v>
      </c>
      <c r="N1221" s="33"/>
      <c r="O1221" s="30"/>
    </row>
    <row r="1222">
      <c r="A1222" s="90"/>
      <c r="B1222" s="69" t="s">
        <v>861</v>
      </c>
      <c r="C1222" s="47"/>
      <c r="D1222" s="49"/>
      <c r="E1222" s="71"/>
      <c r="F1222" s="71"/>
      <c r="G1222" s="72">
        <v>696.0</v>
      </c>
      <c r="J1222" s="30"/>
      <c r="K1222" s="30"/>
      <c r="L1222" s="73">
        <v>45658.0</v>
      </c>
      <c r="M1222" s="74" t="s">
        <v>648</v>
      </c>
      <c r="N1222" s="33"/>
      <c r="O1222" s="30"/>
    </row>
    <row r="1223">
      <c r="A1223" s="80"/>
      <c r="B1223" s="56" t="s">
        <v>862</v>
      </c>
      <c r="C1223" s="75"/>
      <c r="D1223" s="77"/>
      <c r="E1223" s="77"/>
      <c r="F1223" s="77"/>
      <c r="G1223" s="89">
        <v>1288698.0</v>
      </c>
      <c r="J1223" s="30"/>
      <c r="K1223" s="30"/>
      <c r="L1223" s="78">
        <v>45658.0</v>
      </c>
      <c r="M1223" s="79" t="s">
        <v>648</v>
      </c>
      <c r="N1223" s="33"/>
      <c r="O1223" s="30"/>
    </row>
    <row r="1224">
      <c r="A1224" s="68" t="s">
        <v>403</v>
      </c>
      <c r="B1224" s="69" t="s">
        <v>863</v>
      </c>
      <c r="C1224" s="61" t="s">
        <v>31</v>
      </c>
      <c r="D1224" s="46" t="s">
        <v>187</v>
      </c>
      <c r="E1224" s="71"/>
      <c r="F1224" s="71"/>
      <c r="G1224" s="72">
        <v>5.0</v>
      </c>
      <c r="J1224" s="30"/>
      <c r="K1224" s="30"/>
      <c r="L1224" s="73">
        <v>45658.0</v>
      </c>
      <c r="M1224" s="74" t="s">
        <v>549</v>
      </c>
      <c r="N1224" s="33"/>
      <c r="O1224" s="30"/>
    </row>
    <row r="1225">
      <c r="A1225" s="64" t="s">
        <v>403</v>
      </c>
      <c r="B1225" s="56" t="s">
        <v>864</v>
      </c>
      <c r="C1225" s="55" t="s">
        <v>31</v>
      </c>
      <c r="D1225" s="56" t="s">
        <v>187</v>
      </c>
      <c r="E1225" s="77"/>
      <c r="F1225" s="77"/>
      <c r="G1225" s="65" t="s">
        <v>565</v>
      </c>
      <c r="J1225" s="30"/>
      <c r="K1225" s="30"/>
      <c r="L1225" s="78">
        <v>45658.0</v>
      </c>
      <c r="M1225" s="79" t="s">
        <v>549</v>
      </c>
      <c r="N1225" s="33"/>
      <c r="O1225" s="30"/>
    </row>
    <row r="1226">
      <c r="A1226" s="68" t="s">
        <v>508</v>
      </c>
      <c r="B1226" s="69" t="s">
        <v>865</v>
      </c>
      <c r="C1226" s="61" t="s">
        <v>20</v>
      </c>
      <c r="D1226" s="61" t="s">
        <v>21</v>
      </c>
      <c r="E1226" s="71"/>
      <c r="F1226" s="71"/>
      <c r="G1226" s="72" t="s">
        <v>866</v>
      </c>
      <c r="J1226" s="30"/>
      <c r="K1226" s="30"/>
      <c r="L1226" s="73">
        <v>45658.0</v>
      </c>
      <c r="M1226" s="74" t="s">
        <v>562</v>
      </c>
      <c r="N1226" s="33"/>
      <c r="O1226" s="30"/>
    </row>
    <row r="1227">
      <c r="A1227" s="64" t="s">
        <v>403</v>
      </c>
      <c r="B1227" s="56" t="s">
        <v>863</v>
      </c>
      <c r="C1227" s="55" t="s">
        <v>31</v>
      </c>
      <c r="D1227" s="56" t="s">
        <v>187</v>
      </c>
      <c r="E1227" s="77"/>
      <c r="F1227" s="77"/>
      <c r="G1227" s="65">
        <v>5.0</v>
      </c>
      <c r="J1227" s="30"/>
      <c r="K1227" s="30"/>
      <c r="L1227" s="78">
        <v>45658.0</v>
      </c>
      <c r="M1227" s="79" t="s">
        <v>549</v>
      </c>
      <c r="N1227" s="33"/>
      <c r="O1227" s="30"/>
    </row>
    <row r="1228">
      <c r="A1228" s="68" t="s">
        <v>403</v>
      </c>
      <c r="B1228" s="69" t="s">
        <v>864</v>
      </c>
      <c r="C1228" s="61" t="s">
        <v>31</v>
      </c>
      <c r="D1228" s="46" t="s">
        <v>187</v>
      </c>
      <c r="E1228" s="71"/>
      <c r="F1228" s="71"/>
      <c r="G1228" s="72" t="s">
        <v>565</v>
      </c>
      <c r="J1228" s="30"/>
      <c r="K1228" s="30"/>
      <c r="L1228" s="73">
        <v>45658.0</v>
      </c>
      <c r="M1228" s="74" t="s">
        <v>549</v>
      </c>
      <c r="N1228" s="33"/>
      <c r="O1228" s="30"/>
    </row>
    <row r="1229">
      <c r="A1229" s="64" t="s">
        <v>422</v>
      </c>
      <c r="B1229" s="56" t="s">
        <v>867</v>
      </c>
      <c r="C1229" s="75"/>
      <c r="D1229" s="77"/>
      <c r="E1229" s="77"/>
      <c r="F1229" s="77"/>
      <c r="G1229" s="65" t="s">
        <v>868</v>
      </c>
      <c r="J1229" s="30"/>
      <c r="K1229" s="30"/>
      <c r="L1229" s="78">
        <v>45658.0</v>
      </c>
      <c r="M1229" s="79" t="s">
        <v>869</v>
      </c>
      <c r="N1229" s="33"/>
      <c r="O1229" s="30"/>
    </row>
    <row r="1230">
      <c r="A1230" s="68" t="s">
        <v>403</v>
      </c>
      <c r="B1230" s="69" t="s">
        <v>863</v>
      </c>
      <c r="C1230" s="61" t="s">
        <v>31</v>
      </c>
      <c r="D1230" s="46" t="s">
        <v>187</v>
      </c>
      <c r="E1230" s="71"/>
      <c r="F1230" s="71"/>
      <c r="G1230" s="72">
        <v>5.0</v>
      </c>
      <c r="J1230" s="30"/>
      <c r="K1230" s="30"/>
      <c r="L1230" s="73">
        <v>45658.0</v>
      </c>
      <c r="M1230" s="74" t="s">
        <v>549</v>
      </c>
      <c r="N1230" s="33"/>
      <c r="O1230" s="30"/>
    </row>
    <row r="1231">
      <c r="A1231" s="64" t="s">
        <v>403</v>
      </c>
      <c r="B1231" s="56" t="s">
        <v>870</v>
      </c>
      <c r="C1231" s="55" t="s">
        <v>31</v>
      </c>
      <c r="D1231" s="56" t="s">
        <v>187</v>
      </c>
      <c r="E1231" s="77"/>
      <c r="F1231" s="77"/>
      <c r="G1231" s="65" t="s">
        <v>565</v>
      </c>
      <c r="J1231" s="30"/>
      <c r="K1231" s="30"/>
      <c r="L1231" s="78">
        <v>45658.0</v>
      </c>
      <c r="M1231" s="79" t="s">
        <v>549</v>
      </c>
      <c r="N1231" s="33"/>
      <c r="O1231" s="30"/>
    </row>
    <row r="1232">
      <c r="A1232" s="68" t="s">
        <v>18</v>
      </c>
      <c r="B1232" s="69" t="s">
        <v>871</v>
      </c>
      <c r="C1232" s="47"/>
      <c r="D1232" s="49"/>
      <c r="E1232" s="71"/>
      <c r="F1232" s="71"/>
      <c r="G1232" s="72" t="s">
        <v>872</v>
      </c>
      <c r="J1232" s="30"/>
      <c r="K1232" s="30"/>
      <c r="L1232" s="73">
        <v>45658.0</v>
      </c>
      <c r="M1232" s="74" t="s">
        <v>586</v>
      </c>
      <c r="N1232" s="33"/>
      <c r="O1232" s="30"/>
    </row>
    <row r="1233">
      <c r="A1233" s="64" t="s">
        <v>403</v>
      </c>
      <c r="B1233" s="56" t="s">
        <v>863</v>
      </c>
      <c r="C1233" s="55" t="s">
        <v>31</v>
      </c>
      <c r="D1233" s="56" t="s">
        <v>187</v>
      </c>
      <c r="E1233" s="77"/>
      <c r="F1233" s="77"/>
      <c r="G1233" s="65">
        <v>5.0</v>
      </c>
      <c r="J1233" s="30"/>
      <c r="K1233" s="30"/>
      <c r="L1233" s="78">
        <v>45658.0</v>
      </c>
      <c r="M1233" s="79" t="s">
        <v>549</v>
      </c>
      <c r="N1233" s="33"/>
      <c r="O1233" s="30"/>
    </row>
    <row r="1234">
      <c r="A1234" s="68" t="s">
        <v>403</v>
      </c>
      <c r="B1234" s="69" t="s">
        <v>864</v>
      </c>
      <c r="C1234" s="61" t="s">
        <v>31</v>
      </c>
      <c r="D1234" s="46" t="s">
        <v>187</v>
      </c>
      <c r="E1234" s="71"/>
      <c r="F1234" s="71"/>
      <c r="G1234" s="72" t="s">
        <v>565</v>
      </c>
      <c r="J1234" s="30"/>
      <c r="K1234" s="30"/>
      <c r="L1234" s="73">
        <v>45658.0</v>
      </c>
      <c r="M1234" s="74" t="s">
        <v>549</v>
      </c>
      <c r="N1234" s="33"/>
      <c r="O1234" s="30"/>
    </row>
    <row r="1235">
      <c r="A1235" s="64" t="s">
        <v>18</v>
      </c>
      <c r="B1235" s="56" t="s">
        <v>873</v>
      </c>
      <c r="C1235" s="75"/>
      <c r="D1235" s="77"/>
      <c r="E1235" s="77"/>
      <c r="F1235" s="77"/>
      <c r="G1235" s="65" t="s">
        <v>874</v>
      </c>
      <c r="J1235" s="30"/>
      <c r="K1235" s="30"/>
      <c r="L1235" s="78">
        <v>45658.0</v>
      </c>
      <c r="M1235" s="79" t="s">
        <v>586</v>
      </c>
      <c r="N1235" s="33"/>
      <c r="O1235" s="30"/>
    </row>
    <row r="1236">
      <c r="A1236" s="68" t="s">
        <v>403</v>
      </c>
      <c r="B1236" s="69" t="s">
        <v>875</v>
      </c>
      <c r="C1236" s="61" t="s">
        <v>31</v>
      </c>
      <c r="D1236" s="46" t="s">
        <v>187</v>
      </c>
      <c r="E1236" s="71"/>
      <c r="F1236" s="71"/>
      <c r="G1236" s="72">
        <v>5.0</v>
      </c>
      <c r="J1236" s="30"/>
      <c r="K1236" s="30"/>
      <c r="L1236" s="73">
        <v>45658.0</v>
      </c>
      <c r="M1236" s="74" t="s">
        <v>549</v>
      </c>
      <c r="N1236" s="33"/>
      <c r="O1236" s="30"/>
    </row>
    <row r="1237">
      <c r="A1237" s="64" t="s">
        <v>403</v>
      </c>
      <c r="B1237" s="56" t="s">
        <v>876</v>
      </c>
      <c r="C1237" s="55" t="s">
        <v>31</v>
      </c>
      <c r="D1237" s="56" t="s">
        <v>187</v>
      </c>
      <c r="E1237" s="77"/>
      <c r="F1237" s="77"/>
      <c r="G1237" s="65" t="s">
        <v>565</v>
      </c>
      <c r="J1237" s="30"/>
      <c r="K1237" s="30"/>
      <c r="L1237" s="78">
        <v>45658.0</v>
      </c>
      <c r="M1237" s="79" t="s">
        <v>549</v>
      </c>
      <c r="N1237" s="33"/>
      <c r="O1237" s="30"/>
    </row>
    <row r="1238">
      <c r="A1238" s="68" t="s">
        <v>440</v>
      </c>
      <c r="B1238" s="69" t="s">
        <v>877</v>
      </c>
      <c r="C1238" s="95" t="s">
        <v>20</v>
      </c>
      <c r="D1238" s="46" t="s">
        <v>21</v>
      </c>
      <c r="E1238" s="71"/>
      <c r="F1238" s="71"/>
      <c r="G1238" s="72">
        <v>543.0</v>
      </c>
      <c r="J1238" s="30"/>
      <c r="K1238" s="30"/>
      <c r="L1238" s="73">
        <v>45658.0</v>
      </c>
      <c r="M1238" s="74" t="s">
        <v>738</v>
      </c>
      <c r="N1238" s="33"/>
      <c r="O1238" s="30"/>
    </row>
    <row r="1239">
      <c r="A1239" s="64" t="s">
        <v>403</v>
      </c>
      <c r="B1239" s="56" t="s">
        <v>760</v>
      </c>
      <c r="C1239" s="55" t="s">
        <v>31</v>
      </c>
      <c r="D1239" s="56" t="s">
        <v>187</v>
      </c>
      <c r="E1239" s="77"/>
      <c r="F1239" s="77"/>
      <c r="G1239" s="94">
        <v>46145.0</v>
      </c>
      <c r="J1239" s="30"/>
      <c r="K1239" s="30"/>
      <c r="L1239" s="78">
        <v>45658.0</v>
      </c>
      <c r="M1239" s="79" t="s">
        <v>549</v>
      </c>
      <c r="N1239" s="33"/>
      <c r="O1239" s="30"/>
    </row>
    <row r="1240">
      <c r="A1240" s="68" t="s">
        <v>403</v>
      </c>
      <c r="B1240" s="69" t="s">
        <v>761</v>
      </c>
      <c r="C1240" s="61" t="s">
        <v>31</v>
      </c>
      <c r="D1240" s="46" t="s">
        <v>187</v>
      </c>
      <c r="E1240" s="71"/>
      <c r="F1240" s="71"/>
      <c r="G1240" s="72" t="s">
        <v>762</v>
      </c>
      <c r="J1240" s="30"/>
      <c r="K1240" s="30"/>
      <c r="L1240" s="73">
        <v>45658.0</v>
      </c>
      <c r="M1240" s="74" t="s">
        <v>549</v>
      </c>
      <c r="N1240" s="33"/>
      <c r="O1240" s="30"/>
    </row>
    <row r="1241">
      <c r="A1241" s="53" t="s">
        <v>440</v>
      </c>
      <c r="B1241" s="56" t="s">
        <v>878</v>
      </c>
      <c r="C1241" s="88" t="s">
        <v>20</v>
      </c>
      <c r="D1241" s="56" t="s">
        <v>21</v>
      </c>
      <c r="E1241" s="77"/>
      <c r="F1241" s="77"/>
      <c r="G1241" s="65">
        <v>543.0</v>
      </c>
      <c r="J1241" s="30"/>
      <c r="K1241" s="30"/>
      <c r="L1241" s="78">
        <v>45658.0</v>
      </c>
      <c r="M1241" s="79" t="s">
        <v>738</v>
      </c>
      <c r="N1241" s="33"/>
      <c r="O1241" s="30"/>
    </row>
    <row r="1242">
      <c r="A1242" s="68" t="s">
        <v>403</v>
      </c>
      <c r="B1242" s="69" t="s">
        <v>760</v>
      </c>
      <c r="C1242" s="61" t="s">
        <v>31</v>
      </c>
      <c r="D1242" s="46" t="s">
        <v>187</v>
      </c>
      <c r="E1242" s="71"/>
      <c r="F1242" s="71"/>
      <c r="G1242" s="98">
        <v>46145.0</v>
      </c>
      <c r="J1242" s="30"/>
      <c r="K1242" s="30"/>
      <c r="L1242" s="73">
        <v>45658.0</v>
      </c>
      <c r="M1242" s="74" t="s">
        <v>549</v>
      </c>
      <c r="N1242" s="33"/>
      <c r="O1242" s="30"/>
    </row>
    <row r="1243">
      <c r="A1243" s="64" t="s">
        <v>403</v>
      </c>
      <c r="B1243" s="56" t="s">
        <v>761</v>
      </c>
      <c r="C1243" s="55" t="s">
        <v>31</v>
      </c>
      <c r="D1243" s="56" t="s">
        <v>187</v>
      </c>
      <c r="E1243" s="77"/>
      <c r="F1243" s="77"/>
      <c r="G1243" s="65" t="s">
        <v>762</v>
      </c>
      <c r="J1243" s="30"/>
      <c r="K1243" s="30"/>
      <c r="L1243" s="78">
        <v>45658.0</v>
      </c>
      <c r="M1243" s="79" t="s">
        <v>549</v>
      </c>
      <c r="N1243" s="33"/>
      <c r="O1243" s="30"/>
    </row>
    <row r="1244">
      <c r="A1244" s="68" t="s">
        <v>440</v>
      </c>
      <c r="B1244" s="69" t="s">
        <v>879</v>
      </c>
      <c r="C1244" s="95" t="s">
        <v>20</v>
      </c>
      <c r="D1244" s="46" t="s">
        <v>21</v>
      </c>
      <c r="E1244" s="71"/>
      <c r="F1244" s="71"/>
      <c r="G1244" s="72">
        <v>7491.0</v>
      </c>
      <c r="J1244" s="30"/>
      <c r="K1244" s="30"/>
      <c r="L1244" s="73">
        <v>45658.0</v>
      </c>
      <c r="M1244" s="74" t="s">
        <v>738</v>
      </c>
      <c r="N1244" s="33"/>
      <c r="O1244" s="30"/>
    </row>
    <row r="1245">
      <c r="A1245" s="64" t="s">
        <v>403</v>
      </c>
      <c r="B1245" s="56" t="s">
        <v>760</v>
      </c>
      <c r="C1245" s="55" t="s">
        <v>31</v>
      </c>
      <c r="D1245" s="56" t="s">
        <v>187</v>
      </c>
      <c r="E1245" s="77"/>
      <c r="F1245" s="77"/>
      <c r="G1245" s="94">
        <v>46145.0</v>
      </c>
      <c r="J1245" s="30"/>
      <c r="K1245" s="30"/>
      <c r="L1245" s="78">
        <v>45658.0</v>
      </c>
      <c r="M1245" s="79" t="s">
        <v>549</v>
      </c>
      <c r="N1245" s="33"/>
      <c r="O1245" s="30"/>
    </row>
    <row r="1246">
      <c r="A1246" s="68" t="s">
        <v>403</v>
      </c>
      <c r="B1246" s="69" t="s">
        <v>761</v>
      </c>
      <c r="C1246" s="61" t="s">
        <v>31</v>
      </c>
      <c r="D1246" s="46" t="s">
        <v>187</v>
      </c>
      <c r="E1246" s="71"/>
      <c r="F1246" s="71"/>
      <c r="G1246" s="72" t="s">
        <v>762</v>
      </c>
      <c r="J1246" s="30"/>
      <c r="K1246" s="30"/>
      <c r="L1246" s="73">
        <v>45658.0</v>
      </c>
      <c r="M1246" s="74" t="s">
        <v>549</v>
      </c>
      <c r="N1246" s="33"/>
      <c r="O1246" s="30"/>
    </row>
    <row r="1247">
      <c r="A1247" s="64" t="s">
        <v>508</v>
      </c>
      <c r="B1247" s="56" t="s">
        <v>880</v>
      </c>
      <c r="C1247" s="62" t="s">
        <v>20</v>
      </c>
      <c r="D1247" s="62" t="s">
        <v>21</v>
      </c>
      <c r="E1247" s="77"/>
      <c r="F1247" s="77"/>
      <c r="G1247" s="65" t="s">
        <v>881</v>
      </c>
      <c r="J1247" s="30"/>
      <c r="K1247" s="30"/>
      <c r="L1247" s="78">
        <v>45658.0</v>
      </c>
      <c r="M1247" s="79" t="s">
        <v>509</v>
      </c>
      <c r="N1247" s="33"/>
      <c r="O1247" s="30"/>
    </row>
    <row r="1248">
      <c r="A1248" s="68" t="s">
        <v>403</v>
      </c>
      <c r="B1248" s="69" t="s">
        <v>882</v>
      </c>
      <c r="C1248" s="61" t="s">
        <v>31</v>
      </c>
      <c r="D1248" s="46" t="s">
        <v>187</v>
      </c>
      <c r="E1248" s="71"/>
      <c r="F1248" s="71"/>
      <c r="G1248" s="72">
        <v>5.0</v>
      </c>
      <c r="J1248" s="30"/>
      <c r="K1248" s="30"/>
      <c r="L1248" s="73">
        <v>45658.0</v>
      </c>
      <c r="M1248" s="74" t="s">
        <v>549</v>
      </c>
      <c r="N1248" s="33"/>
      <c r="O1248" s="30"/>
    </row>
    <row r="1249">
      <c r="A1249" s="64" t="s">
        <v>403</v>
      </c>
      <c r="B1249" s="56" t="s">
        <v>883</v>
      </c>
      <c r="C1249" s="55" t="s">
        <v>31</v>
      </c>
      <c r="D1249" s="56" t="s">
        <v>187</v>
      </c>
      <c r="E1249" s="77"/>
      <c r="F1249" s="77"/>
      <c r="G1249" s="65" t="s">
        <v>565</v>
      </c>
      <c r="J1249" s="30"/>
      <c r="K1249" s="30"/>
      <c r="L1249" s="78">
        <v>45658.0</v>
      </c>
      <c r="M1249" s="79" t="s">
        <v>549</v>
      </c>
      <c r="N1249" s="33"/>
      <c r="O1249" s="30"/>
    </row>
    <row r="1250">
      <c r="A1250" s="68" t="s">
        <v>508</v>
      </c>
      <c r="B1250" s="69" t="s">
        <v>884</v>
      </c>
      <c r="C1250" s="61" t="s">
        <v>20</v>
      </c>
      <c r="D1250" s="61" t="s">
        <v>21</v>
      </c>
      <c r="E1250" s="71"/>
      <c r="F1250" s="71"/>
      <c r="G1250" s="93">
        <v>2583544.0</v>
      </c>
      <c r="J1250" s="30"/>
      <c r="K1250" s="30"/>
      <c r="L1250" s="73">
        <v>45658.0</v>
      </c>
      <c r="M1250" s="74" t="s">
        <v>509</v>
      </c>
      <c r="N1250" s="33"/>
      <c r="O1250" s="30"/>
    </row>
    <row r="1251">
      <c r="A1251" s="64" t="s">
        <v>403</v>
      </c>
      <c r="B1251" s="56" t="s">
        <v>882</v>
      </c>
      <c r="C1251" s="55" t="s">
        <v>31</v>
      </c>
      <c r="D1251" s="56" t="s">
        <v>187</v>
      </c>
      <c r="E1251" s="77"/>
      <c r="F1251" s="77"/>
      <c r="G1251" s="65">
        <v>5.0</v>
      </c>
      <c r="J1251" s="30"/>
      <c r="K1251" s="30"/>
      <c r="L1251" s="78">
        <v>45658.0</v>
      </c>
      <c r="M1251" s="79" t="s">
        <v>549</v>
      </c>
      <c r="N1251" s="33"/>
      <c r="O1251" s="30"/>
    </row>
    <row r="1252">
      <c r="A1252" s="68" t="s">
        <v>403</v>
      </c>
      <c r="B1252" s="69" t="s">
        <v>883</v>
      </c>
      <c r="C1252" s="61" t="s">
        <v>31</v>
      </c>
      <c r="D1252" s="46" t="s">
        <v>187</v>
      </c>
      <c r="E1252" s="71"/>
      <c r="F1252" s="71"/>
      <c r="G1252" s="72" t="s">
        <v>565</v>
      </c>
      <c r="J1252" s="30"/>
      <c r="K1252" s="30"/>
      <c r="L1252" s="73">
        <v>45658.0</v>
      </c>
      <c r="M1252" s="74" t="s">
        <v>549</v>
      </c>
      <c r="N1252" s="33"/>
      <c r="O1252" s="30"/>
    </row>
    <row r="1253">
      <c r="A1253" s="64" t="s">
        <v>395</v>
      </c>
      <c r="B1253" s="56" t="s">
        <v>885</v>
      </c>
      <c r="C1253" s="75"/>
      <c r="D1253" s="77"/>
      <c r="E1253" s="77"/>
      <c r="F1253" s="77"/>
      <c r="G1253" s="65">
        <v>32828.0</v>
      </c>
      <c r="J1253" s="30"/>
      <c r="K1253" s="30"/>
      <c r="L1253" s="78">
        <v>45658.0</v>
      </c>
      <c r="M1253" s="79" t="s">
        <v>775</v>
      </c>
      <c r="N1253" s="33"/>
      <c r="O1253" s="30"/>
    </row>
    <row r="1254">
      <c r="A1254" s="68" t="s">
        <v>403</v>
      </c>
      <c r="B1254" s="69" t="s">
        <v>882</v>
      </c>
      <c r="C1254" s="61" t="s">
        <v>31</v>
      </c>
      <c r="D1254" s="46" t="s">
        <v>187</v>
      </c>
      <c r="E1254" s="71"/>
      <c r="F1254" s="71"/>
      <c r="G1254" s="72">
        <v>5.0</v>
      </c>
      <c r="J1254" s="30"/>
      <c r="K1254" s="30"/>
      <c r="L1254" s="73">
        <v>45658.0</v>
      </c>
      <c r="M1254" s="74" t="s">
        <v>549</v>
      </c>
      <c r="N1254" s="33"/>
      <c r="O1254" s="30"/>
    </row>
    <row r="1255">
      <c r="A1255" s="64" t="s">
        <v>403</v>
      </c>
      <c r="B1255" s="56" t="s">
        <v>883</v>
      </c>
      <c r="C1255" s="55" t="s">
        <v>31</v>
      </c>
      <c r="D1255" s="56" t="s">
        <v>187</v>
      </c>
      <c r="E1255" s="77"/>
      <c r="F1255" s="77"/>
      <c r="G1255" s="65" t="s">
        <v>565</v>
      </c>
      <c r="J1255" s="30"/>
      <c r="K1255" s="30"/>
      <c r="L1255" s="78">
        <v>45658.0</v>
      </c>
      <c r="M1255" s="79" t="s">
        <v>549</v>
      </c>
      <c r="N1255" s="33"/>
      <c r="O1255" s="30"/>
    </row>
    <row r="1256">
      <c r="A1256" s="68" t="s">
        <v>528</v>
      </c>
      <c r="B1256" s="69" t="s">
        <v>886</v>
      </c>
      <c r="C1256" s="47"/>
      <c r="D1256" s="49"/>
      <c r="E1256" s="71"/>
      <c r="F1256" s="71"/>
      <c r="G1256" s="72">
        <v>549.0</v>
      </c>
      <c r="J1256" s="30"/>
      <c r="K1256" s="30"/>
      <c r="L1256" s="73">
        <v>45658.0</v>
      </c>
      <c r="M1256" s="74" t="s">
        <v>625</v>
      </c>
      <c r="N1256" s="33"/>
      <c r="O1256" s="30"/>
    </row>
    <row r="1257">
      <c r="A1257" s="64" t="s">
        <v>528</v>
      </c>
      <c r="B1257" s="56" t="s">
        <v>887</v>
      </c>
      <c r="C1257" s="75"/>
      <c r="D1257" s="77"/>
      <c r="E1257" s="77"/>
      <c r="F1257" s="77"/>
      <c r="G1257" s="65">
        <v>2796.0</v>
      </c>
      <c r="J1257" s="30"/>
      <c r="K1257" s="30"/>
      <c r="L1257" s="78">
        <v>45658.0</v>
      </c>
      <c r="M1257" s="79" t="s">
        <v>888</v>
      </c>
      <c r="N1257" s="33"/>
      <c r="O1257" s="30"/>
    </row>
    <row r="1258">
      <c r="A1258" s="90"/>
      <c r="B1258" s="69" t="s">
        <v>889</v>
      </c>
      <c r="C1258" s="47"/>
      <c r="D1258" s="49"/>
      <c r="E1258" s="71"/>
      <c r="F1258" s="71"/>
      <c r="G1258" s="72">
        <v>277.0</v>
      </c>
      <c r="J1258" s="30"/>
      <c r="K1258" s="30"/>
      <c r="L1258" s="73">
        <v>45658.0</v>
      </c>
      <c r="M1258" s="74" t="s">
        <v>648</v>
      </c>
      <c r="N1258" s="33"/>
      <c r="O1258" s="30"/>
    </row>
    <row r="1259">
      <c r="A1259" s="64" t="s">
        <v>403</v>
      </c>
      <c r="B1259" s="56" t="s">
        <v>882</v>
      </c>
      <c r="C1259" s="55" t="s">
        <v>31</v>
      </c>
      <c r="D1259" s="56" t="s">
        <v>187</v>
      </c>
      <c r="E1259" s="77"/>
      <c r="F1259" s="77"/>
      <c r="G1259" s="65">
        <v>5.0</v>
      </c>
      <c r="J1259" s="30"/>
      <c r="K1259" s="30"/>
      <c r="L1259" s="78">
        <v>45658.0</v>
      </c>
      <c r="M1259" s="79" t="s">
        <v>549</v>
      </c>
      <c r="N1259" s="33"/>
      <c r="O1259" s="30"/>
    </row>
    <row r="1260">
      <c r="A1260" s="68" t="s">
        <v>403</v>
      </c>
      <c r="B1260" s="69" t="s">
        <v>883</v>
      </c>
      <c r="C1260" s="61" t="s">
        <v>31</v>
      </c>
      <c r="D1260" s="46" t="s">
        <v>187</v>
      </c>
      <c r="E1260" s="71"/>
      <c r="F1260" s="71"/>
      <c r="G1260" s="72" t="s">
        <v>565</v>
      </c>
      <c r="J1260" s="30"/>
      <c r="K1260" s="30"/>
      <c r="L1260" s="73">
        <v>45658.0</v>
      </c>
      <c r="M1260" s="74" t="s">
        <v>549</v>
      </c>
      <c r="N1260" s="33"/>
      <c r="O1260" s="30"/>
    </row>
    <row r="1261">
      <c r="A1261" s="64" t="s">
        <v>18</v>
      </c>
      <c r="B1261" s="56" t="s">
        <v>890</v>
      </c>
      <c r="C1261" s="75"/>
      <c r="D1261" s="77"/>
      <c r="E1261" s="77"/>
      <c r="F1261" s="77"/>
      <c r="G1261" s="65" t="s">
        <v>891</v>
      </c>
      <c r="J1261" s="30"/>
      <c r="K1261" s="30"/>
      <c r="L1261" s="78">
        <v>45658.0</v>
      </c>
      <c r="M1261" s="79" t="s">
        <v>586</v>
      </c>
      <c r="N1261" s="33"/>
      <c r="O1261" s="30"/>
    </row>
    <row r="1262">
      <c r="A1262" s="68" t="s">
        <v>403</v>
      </c>
      <c r="B1262" s="69" t="s">
        <v>892</v>
      </c>
      <c r="C1262" s="61" t="s">
        <v>31</v>
      </c>
      <c r="D1262" s="46" t="s">
        <v>187</v>
      </c>
      <c r="E1262" s="71"/>
      <c r="F1262" s="71"/>
      <c r="G1262" s="72">
        <v>5.0</v>
      </c>
      <c r="J1262" s="30"/>
      <c r="K1262" s="30"/>
      <c r="L1262" s="73">
        <v>45658.0</v>
      </c>
      <c r="M1262" s="74" t="s">
        <v>549</v>
      </c>
      <c r="N1262" s="33"/>
      <c r="O1262" s="30"/>
    </row>
    <row r="1263">
      <c r="A1263" s="64" t="s">
        <v>403</v>
      </c>
      <c r="B1263" s="56" t="s">
        <v>893</v>
      </c>
      <c r="C1263" s="55" t="s">
        <v>31</v>
      </c>
      <c r="D1263" s="56" t="s">
        <v>187</v>
      </c>
      <c r="E1263" s="77"/>
      <c r="F1263" s="77"/>
      <c r="G1263" s="65" t="s">
        <v>565</v>
      </c>
      <c r="J1263" s="30"/>
      <c r="K1263" s="30"/>
      <c r="L1263" s="78">
        <v>45658.0</v>
      </c>
      <c r="M1263" s="79" t="s">
        <v>549</v>
      </c>
      <c r="N1263" s="33"/>
      <c r="O1263" s="30"/>
    </row>
    <row r="1264">
      <c r="A1264" s="68" t="s">
        <v>18</v>
      </c>
      <c r="B1264" s="69" t="s">
        <v>894</v>
      </c>
      <c r="C1264" s="47"/>
      <c r="D1264" s="49"/>
      <c r="E1264" s="71"/>
      <c r="F1264" s="71"/>
      <c r="G1264" s="72" t="s">
        <v>895</v>
      </c>
      <c r="J1264" s="30"/>
      <c r="K1264" s="30"/>
      <c r="L1264" s="73">
        <v>45658.0</v>
      </c>
      <c r="M1264" s="74" t="s">
        <v>586</v>
      </c>
      <c r="N1264" s="33"/>
      <c r="O1264" s="30"/>
    </row>
    <row r="1265">
      <c r="A1265" s="64" t="s">
        <v>403</v>
      </c>
      <c r="B1265" s="56" t="s">
        <v>896</v>
      </c>
      <c r="C1265" s="55" t="s">
        <v>31</v>
      </c>
      <c r="D1265" s="56" t="s">
        <v>187</v>
      </c>
      <c r="E1265" s="77"/>
      <c r="F1265" s="77"/>
      <c r="G1265" s="65">
        <v>5.0</v>
      </c>
      <c r="J1265" s="30"/>
      <c r="K1265" s="30"/>
      <c r="L1265" s="78">
        <v>45658.0</v>
      </c>
      <c r="M1265" s="79" t="s">
        <v>549</v>
      </c>
      <c r="N1265" s="33"/>
      <c r="O1265" s="30"/>
    </row>
    <row r="1266">
      <c r="A1266" s="68" t="s">
        <v>403</v>
      </c>
      <c r="B1266" s="69" t="s">
        <v>897</v>
      </c>
      <c r="C1266" s="61" t="s">
        <v>31</v>
      </c>
      <c r="D1266" s="46" t="s">
        <v>187</v>
      </c>
      <c r="E1266" s="71"/>
      <c r="F1266" s="71"/>
      <c r="G1266" s="72" t="s">
        <v>565</v>
      </c>
      <c r="J1266" s="30"/>
      <c r="K1266" s="30"/>
      <c r="L1266" s="73">
        <v>45658.0</v>
      </c>
      <c r="M1266" s="74" t="s">
        <v>549</v>
      </c>
      <c r="N1266" s="33"/>
      <c r="O1266" s="30"/>
    </row>
    <row r="1267">
      <c r="A1267" s="64" t="s">
        <v>385</v>
      </c>
      <c r="B1267" s="56" t="s">
        <v>898</v>
      </c>
      <c r="C1267" s="88" t="s">
        <v>31</v>
      </c>
      <c r="D1267" s="56" t="s">
        <v>187</v>
      </c>
      <c r="E1267" s="77"/>
      <c r="F1267" s="77"/>
      <c r="G1267" s="65" t="s">
        <v>571</v>
      </c>
      <c r="J1267" s="30"/>
      <c r="K1267" s="30"/>
      <c r="L1267" s="78">
        <v>45658.0</v>
      </c>
      <c r="M1267" s="79" t="s">
        <v>899</v>
      </c>
      <c r="N1267" s="33"/>
      <c r="O1267" s="30"/>
    </row>
    <row r="1268">
      <c r="A1268" s="68" t="s">
        <v>403</v>
      </c>
      <c r="B1268" s="69" t="s">
        <v>892</v>
      </c>
      <c r="C1268" s="61" t="s">
        <v>31</v>
      </c>
      <c r="D1268" s="46" t="s">
        <v>187</v>
      </c>
      <c r="E1268" s="71"/>
      <c r="F1268" s="71"/>
      <c r="G1268" s="72">
        <v>5.0</v>
      </c>
      <c r="J1268" s="30"/>
      <c r="K1268" s="30"/>
      <c r="L1268" s="73">
        <v>45658.0</v>
      </c>
      <c r="M1268" s="74" t="s">
        <v>549</v>
      </c>
      <c r="N1268" s="33"/>
      <c r="O1268" s="30"/>
    </row>
    <row r="1269">
      <c r="A1269" s="64" t="s">
        <v>403</v>
      </c>
      <c r="B1269" s="56" t="s">
        <v>893</v>
      </c>
      <c r="C1269" s="55" t="s">
        <v>31</v>
      </c>
      <c r="D1269" s="56" t="s">
        <v>187</v>
      </c>
      <c r="E1269" s="77"/>
      <c r="F1269" s="77"/>
      <c r="G1269" s="65" t="s">
        <v>565</v>
      </c>
      <c r="J1269" s="30"/>
      <c r="K1269" s="30"/>
      <c r="L1269" s="78">
        <v>45658.0</v>
      </c>
      <c r="M1269" s="79" t="s">
        <v>549</v>
      </c>
      <c r="N1269" s="33"/>
      <c r="O1269" s="30"/>
    </row>
    <row r="1270">
      <c r="A1270" s="68" t="s">
        <v>471</v>
      </c>
      <c r="B1270" s="69" t="s">
        <v>900</v>
      </c>
      <c r="C1270" s="46" t="s">
        <v>31</v>
      </c>
      <c r="D1270" s="46" t="s">
        <v>54</v>
      </c>
      <c r="E1270" s="71"/>
      <c r="F1270" s="71"/>
      <c r="G1270" s="72">
        <v>19000.0</v>
      </c>
      <c r="J1270" s="30"/>
      <c r="K1270" s="30"/>
      <c r="L1270" s="73">
        <v>45658.0</v>
      </c>
      <c r="M1270" s="74" t="s">
        <v>901</v>
      </c>
      <c r="N1270" s="33"/>
      <c r="O1270" s="30"/>
    </row>
    <row r="1271">
      <c r="A1271" s="64" t="s">
        <v>403</v>
      </c>
      <c r="B1271" s="56" t="s">
        <v>892</v>
      </c>
      <c r="C1271" s="55" t="s">
        <v>31</v>
      </c>
      <c r="D1271" s="56" t="s">
        <v>187</v>
      </c>
      <c r="E1271" s="77"/>
      <c r="F1271" s="77"/>
      <c r="G1271" s="65">
        <v>5.0</v>
      </c>
      <c r="J1271" s="30"/>
      <c r="K1271" s="30"/>
      <c r="L1271" s="78">
        <v>45658.0</v>
      </c>
      <c r="M1271" s="79" t="s">
        <v>549</v>
      </c>
      <c r="N1271" s="33"/>
      <c r="O1271" s="30"/>
    </row>
    <row r="1272">
      <c r="A1272" s="68" t="s">
        <v>403</v>
      </c>
      <c r="B1272" s="69" t="s">
        <v>893</v>
      </c>
      <c r="C1272" s="61" t="s">
        <v>31</v>
      </c>
      <c r="D1272" s="46" t="s">
        <v>187</v>
      </c>
      <c r="E1272" s="71"/>
      <c r="F1272" s="71"/>
      <c r="G1272" s="72" t="s">
        <v>565</v>
      </c>
      <c r="J1272" s="30"/>
      <c r="K1272" s="30"/>
      <c r="L1272" s="73">
        <v>45658.0</v>
      </c>
      <c r="M1272" s="74" t="s">
        <v>549</v>
      </c>
      <c r="N1272" s="33"/>
      <c r="O1272" s="30"/>
    </row>
    <row r="1273">
      <c r="A1273" s="80"/>
      <c r="B1273" s="56" t="s">
        <v>902</v>
      </c>
      <c r="C1273" s="75"/>
      <c r="D1273" s="77"/>
      <c r="E1273" s="77"/>
      <c r="F1273" s="77"/>
      <c r="G1273" s="65" t="s">
        <v>768</v>
      </c>
      <c r="J1273" s="30"/>
      <c r="K1273" s="30"/>
      <c r="L1273" s="78">
        <v>45658.0</v>
      </c>
      <c r="M1273" s="99" t="s">
        <v>903</v>
      </c>
      <c r="N1273" s="33"/>
      <c r="O1273" s="30"/>
    </row>
    <row r="1274">
      <c r="A1274" s="68" t="s">
        <v>403</v>
      </c>
      <c r="B1274" s="69" t="s">
        <v>892</v>
      </c>
      <c r="C1274" s="61" t="s">
        <v>31</v>
      </c>
      <c r="D1274" s="46" t="s">
        <v>187</v>
      </c>
      <c r="E1274" s="71"/>
      <c r="F1274" s="71"/>
      <c r="G1274" s="72">
        <v>5.0</v>
      </c>
      <c r="J1274" s="30"/>
      <c r="K1274" s="30"/>
      <c r="L1274" s="73">
        <v>45658.0</v>
      </c>
      <c r="M1274" s="74" t="s">
        <v>549</v>
      </c>
      <c r="N1274" s="33"/>
      <c r="O1274" s="30"/>
    </row>
    <row r="1275">
      <c r="A1275" s="64" t="s">
        <v>403</v>
      </c>
      <c r="B1275" s="56" t="s">
        <v>893</v>
      </c>
      <c r="C1275" s="55" t="s">
        <v>31</v>
      </c>
      <c r="D1275" s="56" t="s">
        <v>187</v>
      </c>
      <c r="E1275" s="77"/>
      <c r="F1275" s="77"/>
      <c r="G1275" s="65" t="s">
        <v>565</v>
      </c>
      <c r="J1275" s="30"/>
      <c r="K1275" s="30"/>
      <c r="L1275" s="78">
        <v>45658.0</v>
      </c>
      <c r="M1275" s="79" t="s">
        <v>549</v>
      </c>
      <c r="N1275" s="33"/>
      <c r="O1275" s="30"/>
    </row>
    <row r="1276">
      <c r="A1276" s="68" t="s">
        <v>479</v>
      </c>
      <c r="B1276" s="69" t="s">
        <v>904</v>
      </c>
      <c r="C1276" s="61" t="s">
        <v>20</v>
      </c>
      <c r="D1276" s="61" t="s">
        <v>21</v>
      </c>
      <c r="E1276" s="71"/>
      <c r="F1276" s="71"/>
      <c r="G1276" s="72" t="s">
        <v>905</v>
      </c>
      <c r="J1276" s="30"/>
      <c r="K1276" s="30"/>
      <c r="L1276" s="73">
        <v>45658.0</v>
      </c>
      <c r="M1276" s="74" t="s">
        <v>631</v>
      </c>
      <c r="N1276" s="33"/>
      <c r="O1276" s="30"/>
    </row>
    <row r="1277">
      <c r="A1277" s="64" t="s">
        <v>403</v>
      </c>
      <c r="B1277" s="56" t="s">
        <v>892</v>
      </c>
      <c r="C1277" s="55" t="s">
        <v>31</v>
      </c>
      <c r="D1277" s="56" t="s">
        <v>187</v>
      </c>
      <c r="E1277" s="77"/>
      <c r="F1277" s="77"/>
      <c r="G1277" s="65">
        <v>5.0</v>
      </c>
      <c r="J1277" s="30"/>
      <c r="K1277" s="30"/>
      <c r="L1277" s="78">
        <v>45658.0</v>
      </c>
      <c r="M1277" s="79" t="s">
        <v>549</v>
      </c>
      <c r="N1277" s="33"/>
      <c r="O1277" s="30"/>
    </row>
    <row r="1278">
      <c r="A1278" s="68" t="s">
        <v>403</v>
      </c>
      <c r="B1278" s="69" t="s">
        <v>893</v>
      </c>
      <c r="C1278" s="61" t="s">
        <v>31</v>
      </c>
      <c r="D1278" s="46" t="s">
        <v>187</v>
      </c>
      <c r="E1278" s="71"/>
      <c r="F1278" s="71"/>
      <c r="G1278" s="72" t="s">
        <v>565</v>
      </c>
      <c r="J1278" s="30"/>
      <c r="K1278" s="30"/>
      <c r="L1278" s="73">
        <v>45658.0</v>
      </c>
      <c r="M1278" s="74" t="s">
        <v>549</v>
      </c>
      <c r="N1278" s="33"/>
      <c r="O1278" s="30"/>
    </row>
    <row r="1279">
      <c r="A1279" s="64" t="s">
        <v>471</v>
      </c>
      <c r="B1279" s="56" t="s">
        <v>906</v>
      </c>
      <c r="C1279" s="75"/>
      <c r="D1279" s="77"/>
      <c r="E1279" s="77"/>
      <c r="F1279" s="77"/>
      <c r="G1279" s="65" t="s">
        <v>907</v>
      </c>
      <c r="J1279" s="30"/>
      <c r="K1279" s="30"/>
      <c r="L1279" s="78">
        <v>45658.0</v>
      </c>
      <c r="M1279" s="79" t="s">
        <v>815</v>
      </c>
      <c r="N1279" s="33"/>
      <c r="O1279" s="30"/>
    </row>
    <row r="1280">
      <c r="A1280" s="68" t="s">
        <v>403</v>
      </c>
      <c r="B1280" s="69" t="s">
        <v>892</v>
      </c>
      <c r="C1280" s="61" t="s">
        <v>31</v>
      </c>
      <c r="D1280" s="46" t="s">
        <v>187</v>
      </c>
      <c r="E1280" s="71"/>
      <c r="F1280" s="71"/>
      <c r="G1280" s="72">
        <v>5.0</v>
      </c>
      <c r="J1280" s="30"/>
      <c r="K1280" s="30"/>
      <c r="L1280" s="73">
        <v>45658.0</v>
      </c>
      <c r="M1280" s="74" t="s">
        <v>549</v>
      </c>
      <c r="N1280" s="33"/>
      <c r="O1280" s="30"/>
    </row>
    <row r="1281">
      <c r="A1281" s="64" t="s">
        <v>403</v>
      </c>
      <c r="B1281" s="56" t="s">
        <v>893</v>
      </c>
      <c r="C1281" s="55" t="s">
        <v>31</v>
      </c>
      <c r="D1281" s="56" t="s">
        <v>187</v>
      </c>
      <c r="E1281" s="77"/>
      <c r="F1281" s="77"/>
      <c r="G1281" s="65" t="s">
        <v>565</v>
      </c>
      <c r="J1281" s="30"/>
      <c r="K1281" s="30"/>
      <c r="L1281" s="78">
        <v>45658.0</v>
      </c>
      <c r="M1281" s="79" t="s">
        <v>549</v>
      </c>
      <c r="N1281" s="33"/>
      <c r="O1281" s="30"/>
    </row>
    <row r="1282">
      <c r="A1282" s="68" t="s">
        <v>395</v>
      </c>
      <c r="B1282" s="69" t="s">
        <v>908</v>
      </c>
      <c r="C1282" s="47"/>
      <c r="D1282" s="70"/>
      <c r="E1282" s="71"/>
      <c r="F1282" s="71"/>
      <c r="G1282" s="72" t="s">
        <v>909</v>
      </c>
      <c r="J1282" s="30"/>
      <c r="K1282" s="30"/>
      <c r="L1282" s="73">
        <v>45658.0</v>
      </c>
      <c r="M1282" s="74" t="s">
        <v>658</v>
      </c>
      <c r="N1282" s="33"/>
      <c r="O1282" s="30"/>
    </row>
    <row r="1283">
      <c r="A1283" s="64" t="s">
        <v>403</v>
      </c>
      <c r="B1283" s="56" t="s">
        <v>896</v>
      </c>
      <c r="C1283" s="55" t="s">
        <v>31</v>
      </c>
      <c r="D1283" s="56" t="s">
        <v>187</v>
      </c>
      <c r="E1283" s="77"/>
      <c r="F1283" s="77"/>
      <c r="G1283" s="65">
        <v>5.0</v>
      </c>
      <c r="J1283" s="30"/>
      <c r="K1283" s="30"/>
      <c r="L1283" s="78">
        <v>45658.0</v>
      </c>
      <c r="M1283" s="79" t="s">
        <v>549</v>
      </c>
      <c r="N1283" s="33"/>
      <c r="O1283" s="30"/>
    </row>
    <row r="1284">
      <c r="A1284" s="68" t="s">
        <v>403</v>
      </c>
      <c r="B1284" s="69" t="s">
        <v>897</v>
      </c>
      <c r="C1284" s="61" t="s">
        <v>31</v>
      </c>
      <c r="D1284" s="46" t="s">
        <v>187</v>
      </c>
      <c r="E1284" s="71"/>
      <c r="F1284" s="71"/>
      <c r="G1284" s="72" t="s">
        <v>565</v>
      </c>
      <c r="J1284" s="30"/>
      <c r="K1284" s="30"/>
      <c r="L1284" s="73">
        <v>45658.0</v>
      </c>
      <c r="M1284" s="74" t="s">
        <v>549</v>
      </c>
      <c r="N1284" s="33"/>
      <c r="O1284" s="30"/>
    </row>
    <row r="1285">
      <c r="A1285" s="64" t="s">
        <v>483</v>
      </c>
      <c r="B1285" s="82" t="s">
        <v>910</v>
      </c>
      <c r="C1285" s="75"/>
      <c r="D1285" s="77"/>
      <c r="E1285" s="77"/>
      <c r="F1285" s="77"/>
      <c r="G1285" s="65">
        <v>2500000.0</v>
      </c>
      <c r="J1285" s="30"/>
      <c r="K1285" s="30"/>
      <c r="L1285" s="78">
        <v>45658.0</v>
      </c>
      <c r="M1285" s="79" t="s">
        <v>911</v>
      </c>
      <c r="N1285" s="33"/>
      <c r="O1285" s="30"/>
    </row>
    <row r="1286">
      <c r="A1286" s="68" t="s">
        <v>403</v>
      </c>
      <c r="B1286" s="69" t="s">
        <v>892</v>
      </c>
      <c r="C1286" s="61" t="s">
        <v>31</v>
      </c>
      <c r="D1286" s="46" t="s">
        <v>187</v>
      </c>
      <c r="E1286" s="71"/>
      <c r="F1286" s="71"/>
      <c r="G1286" s="72">
        <v>5.0</v>
      </c>
      <c r="J1286" s="30"/>
      <c r="K1286" s="30"/>
      <c r="L1286" s="73">
        <v>45658.0</v>
      </c>
      <c r="M1286" s="74" t="s">
        <v>549</v>
      </c>
      <c r="N1286" s="33"/>
      <c r="O1286" s="30"/>
    </row>
    <row r="1287">
      <c r="A1287" s="64" t="s">
        <v>403</v>
      </c>
      <c r="B1287" s="56" t="s">
        <v>893</v>
      </c>
      <c r="C1287" s="55" t="s">
        <v>31</v>
      </c>
      <c r="D1287" s="56" t="s">
        <v>187</v>
      </c>
      <c r="E1287" s="77"/>
      <c r="F1287" s="77"/>
      <c r="G1287" s="65" t="s">
        <v>565</v>
      </c>
      <c r="J1287" s="30"/>
      <c r="K1287" s="30"/>
      <c r="L1287" s="78">
        <v>45658.0</v>
      </c>
      <c r="M1287" s="79" t="s">
        <v>549</v>
      </c>
      <c r="N1287" s="33"/>
      <c r="O1287" s="30"/>
    </row>
    <row r="1288">
      <c r="A1288" s="90"/>
      <c r="B1288" s="69" t="s">
        <v>912</v>
      </c>
      <c r="C1288" s="47"/>
      <c r="D1288" s="49"/>
      <c r="E1288" s="71"/>
      <c r="F1288" s="71"/>
      <c r="G1288" s="72">
        <v>5212.0</v>
      </c>
      <c r="J1288" s="30"/>
      <c r="K1288" s="30"/>
      <c r="L1288" s="73">
        <v>45658.0</v>
      </c>
      <c r="M1288" s="74" t="s">
        <v>648</v>
      </c>
      <c r="N1288" s="33"/>
      <c r="O1288" s="30"/>
    </row>
    <row r="1289">
      <c r="A1289" s="64" t="s">
        <v>403</v>
      </c>
      <c r="B1289" s="56" t="s">
        <v>892</v>
      </c>
      <c r="C1289" s="55" t="s">
        <v>31</v>
      </c>
      <c r="D1289" s="56" t="s">
        <v>187</v>
      </c>
      <c r="E1289" s="77"/>
      <c r="F1289" s="77"/>
      <c r="G1289" s="65">
        <v>5.0</v>
      </c>
      <c r="J1289" s="30"/>
      <c r="K1289" s="30"/>
      <c r="L1289" s="78">
        <v>45658.0</v>
      </c>
      <c r="M1289" s="79" t="s">
        <v>549</v>
      </c>
      <c r="N1289" s="33"/>
      <c r="O1289" s="30"/>
    </row>
    <row r="1290">
      <c r="A1290" s="68" t="s">
        <v>403</v>
      </c>
      <c r="B1290" s="69" t="s">
        <v>893</v>
      </c>
      <c r="C1290" s="61" t="s">
        <v>31</v>
      </c>
      <c r="D1290" s="46" t="s">
        <v>187</v>
      </c>
      <c r="E1290" s="71"/>
      <c r="F1290" s="71"/>
      <c r="G1290" s="72" t="s">
        <v>565</v>
      </c>
      <c r="J1290" s="30"/>
      <c r="K1290" s="30"/>
      <c r="L1290" s="73">
        <v>45658.0</v>
      </c>
      <c r="M1290" s="74" t="s">
        <v>549</v>
      </c>
      <c r="N1290" s="33"/>
      <c r="O1290" s="30"/>
    </row>
    <row r="1291">
      <c r="A1291" s="64" t="s">
        <v>18</v>
      </c>
      <c r="B1291" s="56" t="s">
        <v>913</v>
      </c>
      <c r="C1291" s="75"/>
      <c r="D1291" s="77"/>
      <c r="E1291" s="77"/>
      <c r="F1291" s="77"/>
      <c r="G1291" s="65" t="s">
        <v>914</v>
      </c>
      <c r="J1291" s="30"/>
      <c r="K1291" s="30"/>
      <c r="L1291" s="78">
        <v>45658.0</v>
      </c>
      <c r="M1291" s="79" t="s">
        <v>586</v>
      </c>
      <c r="N1291" s="33"/>
      <c r="O1291" s="30"/>
    </row>
    <row r="1292">
      <c r="A1292" s="68" t="s">
        <v>403</v>
      </c>
      <c r="B1292" s="69" t="s">
        <v>892</v>
      </c>
      <c r="C1292" s="61" t="s">
        <v>31</v>
      </c>
      <c r="D1292" s="46" t="s">
        <v>187</v>
      </c>
      <c r="E1292" s="71"/>
      <c r="F1292" s="71"/>
      <c r="G1292" s="72">
        <v>5.0</v>
      </c>
      <c r="J1292" s="30"/>
      <c r="K1292" s="30"/>
      <c r="L1292" s="73">
        <v>45658.0</v>
      </c>
      <c r="M1292" s="74" t="s">
        <v>549</v>
      </c>
      <c r="N1292" s="33"/>
      <c r="O1292" s="30"/>
    </row>
    <row r="1293">
      <c r="A1293" s="64" t="s">
        <v>403</v>
      </c>
      <c r="B1293" s="56" t="s">
        <v>893</v>
      </c>
      <c r="C1293" s="55" t="s">
        <v>31</v>
      </c>
      <c r="D1293" s="56" t="s">
        <v>187</v>
      </c>
      <c r="E1293" s="77"/>
      <c r="F1293" s="77"/>
      <c r="G1293" s="65" t="s">
        <v>565</v>
      </c>
      <c r="J1293" s="30"/>
      <c r="K1293" s="30"/>
      <c r="L1293" s="78">
        <v>45658.0</v>
      </c>
      <c r="M1293" s="79" t="s">
        <v>549</v>
      </c>
      <c r="N1293" s="33"/>
      <c r="O1293" s="30"/>
    </row>
    <row r="1294">
      <c r="A1294" s="68" t="s">
        <v>422</v>
      </c>
      <c r="B1294" s="69" t="s">
        <v>915</v>
      </c>
      <c r="C1294" s="47"/>
      <c r="D1294" s="49"/>
      <c r="E1294" s="71"/>
      <c r="F1294" s="71"/>
      <c r="G1294" s="72" t="s">
        <v>916</v>
      </c>
      <c r="J1294" s="30"/>
      <c r="K1294" s="30"/>
      <c r="L1294" s="73">
        <v>45658.0</v>
      </c>
      <c r="M1294" s="74" t="s">
        <v>917</v>
      </c>
      <c r="N1294" s="33"/>
      <c r="O1294" s="30"/>
    </row>
    <row r="1295">
      <c r="A1295" s="64" t="s">
        <v>349</v>
      </c>
      <c r="B1295" s="56" t="s">
        <v>918</v>
      </c>
      <c r="C1295" s="75"/>
      <c r="D1295" s="77"/>
      <c r="E1295" s="77"/>
      <c r="F1295" s="77"/>
      <c r="G1295" s="65" t="s">
        <v>919</v>
      </c>
      <c r="J1295" s="30"/>
      <c r="K1295" s="30"/>
      <c r="L1295" s="78">
        <v>45658.0</v>
      </c>
      <c r="M1295" s="79" t="s">
        <v>546</v>
      </c>
      <c r="N1295" s="33"/>
      <c r="O1295" s="30"/>
    </row>
    <row r="1296">
      <c r="A1296" s="68" t="s">
        <v>403</v>
      </c>
      <c r="B1296" s="69" t="s">
        <v>920</v>
      </c>
      <c r="C1296" s="61" t="s">
        <v>31</v>
      </c>
      <c r="D1296" s="46" t="s">
        <v>187</v>
      </c>
      <c r="E1296" s="71"/>
      <c r="F1296" s="71"/>
      <c r="G1296" s="72">
        <v>5.0</v>
      </c>
      <c r="J1296" s="30"/>
      <c r="K1296" s="30"/>
      <c r="L1296" s="73">
        <v>45658.0</v>
      </c>
      <c r="M1296" s="74" t="s">
        <v>549</v>
      </c>
      <c r="N1296" s="33"/>
      <c r="O1296" s="30"/>
    </row>
    <row r="1297">
      <c r="A1297" s="64" t="s">
        <v>403</v>
      </c>
      <c r="B1297" s="56" t="s">
        <v>921</v>
      </c>
      <c r="C1297" s="55" t="s">
        <v>31</v>
      </c>
      <c r="D1297" s="56" t="s">
        <v>187</v>
      </c>
      <c r="E1297" s="77"/>
      <c r="F1297" s="77"/>
      <c r="G1297" s="65" t="s">
        <v>565</v>
      </c>
      <c r="J1297" s="30"/>
      <c r="K1297" s="30"/>
      <c r="L1297" s="78">
        <v>45658.0</v>
      </c>
      <c r="M1297" s="79" t="s">
        <v>549</v>
      </c>
      <c r="N1297" s="33"/>
      <c r="O1297" s="30"/>
    </row>
    <row r="1298">
      <c r="A1298" s="68" t="s">
        <v>471</v>
      </c>
      <c r="B1298" s="69" t="s">
        <v>922</v>
      </c>
      <c r="C1298" s="47"/>
      <c r="D1298" s="49"/>
      <c r="E1298" s="71"/>
      <c r="F1298" s="71"/>
      <c r="G1298" s="72">
        <v>14850.0</v>
      </c>
      <c r="J1298" s="30"/>
      <c r="K1298" s="30"/>
      <c r="L1298" s="73">
        <v>45658.0</v>
      </c>
      <c r="M1298" s="74" t="s">
        <v>815</v>
      </c>
      <c r="N1298" s="33"/>
      <c r="O1298" s="30"/>
    </row>
    <row r="1299">
      <c r="A1299" s="64" t="s">
        <v>403</v>
      </c>
      <c r="B1299" s="56" t="s">
        <v>920</v>
      </c>
      <c r="C1299" s="55" t="s">
        <v>31</v>
      </c>
      <c r="D1299" s="56" t="s">
        <v>187</v>
      </c>
      <c r="E1299" s="77"/>
      <c r="F1299" s="77"/>
      <c r="G1299" s="65">
        <v>5.0</v>
      </c>
      <c r="J1299" s="30"/>
      <c r="K1299" s="30"/>
      <c r="L1299" s="78">
        <v>45658.0</v>
      </c>
      <c r="M1299" s="79" t="s">
        <v>549</v>
      </c>
      <c r="N1299" s="33"/>
      <c r="O1299" s="30"/>
    </row>
    <row r="1300">
      <c r="A1300" s="68" t="s">
        <v>403</v>
      </c>
      <c r="B1300" s="69" t="s">
        <v>921</v>
      </c>
      <c r="C1300" s="61" t="s">
        <v>31</v>
      </c>
      <c r="D1300" s="46" t="s">
        <v>187</v>
      </c>
      <c r="E1300" s="71"/>
      <c r="F1300" s="71"/>
      <c r="G1300" s="72" t="s">
        <v>565</v>
      </c>
      <c r="J1300" s="30"/>
      <c r="K1300" s="30"/>
      <c r="L1300" s="73">
        <v>45658.0</v>
      </c>
      <c r="M1300" s="74" t="s">
        <v>549</v>
      </c>
      <c r="N1300" s="33"/>
      <c r="O1300" s="30"/>
    </row>
    <row r="1301">
      <c r="A1301" s="64" t="s">
        <v>367</v>
      </c>
      <c r="B1301" s="56" t="s">
        <v>923</v>
      </c>
      <c r="C1301" s="88" t="s">
        <v>924</v>
      </c>
      <c r="D1301" s="77"/>
      <c r="E1301" s="77"/>
      <c r="F1301" s="77"/>
      <c r="G1301" s="65">
        <v>87000.0</v>
      </c>
      <c r="J1301" s="30"/>
      <c r="K1301" s="30"/>
      <c r="L1301" s="78">
        <v>45658.0</v>
      </c>
      <c r="M1301" s="81"/>
      <c r="N1301" s="33"/>
      <c r="O1301" s="30"/>
    </row>
    <row r="1302">
      <c r="A1302" s="68" t="s">
        <v>403</v>
      </c>
      <c r="B1302" s="69" t="s">
        <v>920</v>
      </c>
      <c r="C1302" s="61" t="s">
        <v>31</v>
      </c>
      <c r="D1302" s="46" t="s">
        <v>187</v>
      </c>
      <c r="E1302" s="71"/>
      <c r="F1302" s="71"/>
      <c r="G1302" s="72">
        <v>5.0</v>
      </c>
      <c r="J1302" s="30"/>
      <c r="K1302" s="30"/>
      <c r="L1302" s="73">
        <v>45658.0</v>
      </c>
      <c r="M1302" s="74" t="s">
        <v>549</v>
      </c>
      <c r="N1302" s="33"/>
      <c r="O1302" s="30"/>
    </row>
    <row r="1303">
      <c r="A1303" s="64" t="s">
        <v>403</v>
      </c>
      <c r="B1303" s="56" t="s">
        <v>921</v>
      </c>
      <c r="C1303" s="55" t="s">
        <v>31</v>
      </c>
      <c r="D1303" s="56" t="s">
        <v>187</v>
      </c>
      <c r="E1303" s="77"/>
      <c r="F1303" s="77"/>
      <c r="G1303" s="65" t="s">
        <v>565</v>
      </c>
      <c r="J1303" s="30"/>
      <c r="K1303" s="30"/>
      <c r="L1303" s="78">
        <v>45658.0</v>
      </c>
      <c r="M1303" s="79" t="s">
        <v>549</v>
      </c>
      <c r="N1303" s="33"/>
      <c r="O1303" s="30"/>
    </row>
    <row r="1304">
      <c r="A1304" s="68" t="s">
        <v>349</v>
      </c>
      <c r="B1304" s="69" t="s">
        <v>925</v>
      </c>
      <c r="C1304" s="47"/>
      <c r="D1304" s="49"/>
      <c r="E1304" s="71"/>
      <c r="F1304" s="71"/>
      <c r="G1304" s="72" t="s">
        <v>926</v>
      </c>
      <c r="J1304" s="30"/>
      <c r="K1304" s="30"/>
      <c r="L1304" s="73">
        <v>45658.0</v>
      </c>
      <c r="M1304" s="74" t="s">
        <v>581</v>
      </c>
      <c r="N1304" s="33"/>
      <c r="O1304" s="30"/>
    </row>
    <row r="1305">
      <c r="A1305" s="64" t="s">
        <v>403</v>
      </c>
      <c r="B1305" s="56" t="s">
        <v>920</v>
      </c>
      <c r="C1305" s="55" t="s">
        <v>31</v>
      </c>
      <c r="D1305" s="56" t="s">
        <v>187</v>
      </c>
      <c r="E1305" s="77"/>
      <c r="F1305" s="77"/>
      <c r="G1305" s="65">
        <v>5.0</v>
      </c>
      <c r="J1305" s="30"/>
      <c r="K1305" s="30"/>
      <c r="L1305" s="78">
        <v>45658.0</v>
      </c>
      <c r="M1305" s="79" t="s">
        <v>549</v>
      </c>
      <c r="N1305" s="33"/>
      <c r="O1305" s="30"/>
    </row>
    <row r="1306">
      <c r="A1306" s="68" t="s">
        <v>403</v>
      </c>
      <c r="B1306" s="69" t="s">
        <v>921</v>
      </c>
      <c r="C1306" s="61" t="s">
        <v>31</v>
      </c>
      <c r="D1306" s="46" t="s">
        <v>187</v>
      </c>
      <c r="E1306" s="71"/>
      <c r="F1306" s="71"/>
      <c r="G1306" s="72" t="s">
        <v>565</v>
      </c>
      <c r="J1306" s="30"/>
      <c r="K1306" s="30"/>
      <c r="L1306" s="73">
        <v>45658.0</v>
      </c>
      <c r="M1306" s="74" t="s">
        <v>549</v>
      </c>
      <c r="N1306" s="33"/>
      <c r="O1306" s="30"/>
    </row>
    <row r="1307">
      <c r="A1307" s="64" t="s">
        <v>349</v>
      </c>
      <c r="B1307" s="56" t="s">
        <v>927</v>
      </c>
      <c r="C1307" s="75"/>
      <c r="D1307" s="77"/>
      <c r="E1307" s="77"/>
      <c r="F1307" s="77"/>
      <c r="G1307" s="65" t="s">
        <v>928</v>
      </c>
      <c r="J1307" s="30"/>
      <c r="K1307" s="30"/>
      <c r="L1307" s="78">
        <v>45658.0</v>
      </c>
      <c r="M1307" s="79" t="s">
        <v>581</v>
      </c>
      <c r="N1307" s="33"/>
      <c r="O1307" s="30"/>
    </row>
    <row r="1308">
      <c r="A1308" s="68" t="s">
        <v>403</v>
      </c>
      <c r="B1308" s="69" t="s">
        <v>920</v>
      </c>
      <c r="C1308" s="61" t="s">
        <v>31</v>
      </c>
      <c r="D1308" s="46" t="s">
        <v>187</v>
      </c>
      <c r="E1308" s="71"/>
      <c r="F1308" s="71"/>
      <c r="G1308" s="72">
        <v>5.0</v>
      </c>
      <c r="J1308" s="30"/>
      <c r="K1308" s="30"/>
      <c r="L1308" s="73">
        <v>45658.0</v>
      </c>
      <c r="M1308" s="74" t="s">
        <v>549</v>
      </c>
      <c r="N1308" s="33"/>
      <c r="O1308" s="30"/>
    </row>
    <row r="1309">
      <c r="A1309" s="64" t="s">
        <v>403</v>
      </c>
      <c r="B1309" s="56" t="s">
        <v>921</v>
      </c>
      <c r="C1309" s="55" t="s">
        <v>31</v>
      </c>
      <c r="D1309" s="56" t="s">
        <v>187</v>
      </c>
      <c r="E1309" s="77"/>
      <c r="F1309" s="77"/>
      <c r="G1309" s="65" t="s">
        <v>565</v>
      </c>
      <c r="J1309" s="30"/>
      <c r="K1309" s="30"/>
      <c r="L1309" s="78">
        <v>45658.0</v>
      </c>
      <c r="M1309" s="79" t="s">
        <v>549</v>
      </c>
      <c r="N1309" s="33"/>
      <c r="O1309" s="30"/>
    </row>
    <row r="1310">
      <c r="A1310" s="68" t="s">
        <v>18</v>
      </c>
      <c r="B1310" s="69" t="s">
        <v>929</v>
      </c>
      <c r="C1310" s="47"/>
      <c r="D1310" s="49"/>
      <c r="E1310" s="71"/>
      <c r="F1310" s="71"/>
      <c r="G1310" s="72" t="s">
        <v>930</v>
      </c>
      <c r="J1310" s="30"/>
      <c r="K1310" s="30"/>
      <c r="L1310" s="73">
        <v>45658.0</v>
      </c>
      <c r="M1310" s="74" t="s">
        <v>752</v>
      </c>
      <c r="N1310" s="33"/>
      <c r="O1310" s="30"/>
    </row>
    <row r="1311">
      <c r="A1311" s="64" t="s">
        <v>403</v>
      </c>
      <c r="B1311" s="56" t="s">
        <v>920</v>
      </c>
      <c r="C1311" s="55" t="s">
        <v>31</v>
      </c>
      <c r="D1311" s="56" t="s">
        <v>187</v>
      </c>
      <c r="E1311" s="77"/>
      <c r="F1311" s="77"/>
      <c r="G1311" s="65">
        <v>5.0</v>
      </c>
      <c r="J1311" s="30"/>
      <c r="K1311" s="30"/>
      <c r="L1311" s="78">
        <v>45658.0</v>
      </c>
      <c r="M1311" s="79" t="s">
        <v>549</v>
      </c>
      <c r="N1311" s="33"/>
      <c r="O1311" s="30"/>
    </row>
    <row r="1312">
      <c r="A1312" s="68" t="s">
        <v>403</v>
      </c>
      <c r="B1312" s="69" t="s">
        <v>921</v>
      </c>
      <c r="C1312" s="61" t="s">
        <v>31</v>
      </c>
      <c r="D1312" s="46" t="s">
        <v>187</v>
      </c>
      <c r="E1312" s="71"/>
      <c r="F1312" s="71"/>
      <c r="G1312" s="72" t="s">
        <v>565</v>
      </c>
      <c r="J1312" s="30"/>
      <c r="K1312" s="30"/>
      <c r="L1312" s="73">
        <v>45658.0</v>
      </c>
      <c r="M1312" s="74" t="s">
        <v>549</v>
      </c>
      <c r="N1312" s="33"/>
      <c r="O1312" s="30"/>
    </row>
    <row r="1313">
      <c r="A1313" s="64" t="s">
        <v>18</v>
      </c>
      <c r="B1313" s="56" t="s">
        <v>931</v>
      </c>
      <c r="C1313" s="75"/>
      <c r="D1313" s="77"/>
      <c r="E1313" s="77"/>
      <c r="F1313" s="77"/>
      <c r="G1313" s="65" t="s">
        <v>932</v>
      </c>
      <c r="J1313" s="30"/>
      <c r="K1313" s="30"/>
      <c r="L1313" s="78">
        <v>45658.0</v>
      </c>
      <c r="M1313" s="79" t="s">
        <v>752</v>
      </c>
      <c r="N1313" s="33"/>
      <c r="O1313" s="30"/>
    </row>
    <row r="1314">
      <c r="A1314" s="68" t="s">
        <v>403</v>
      </c>
      <c r="B1314" s="69" t="s">
        <v>920</v>
      </c>
      <c r="C1314" s="61" t="s">
        <v>31</v>
      </c>
      <c r="D1314" s="46" t="s">
        <v>187</v>
      </c>
      <c r="E1314" s="71"/>
      <c r="F1314" s="71"/>
      <c r="G1314" s="72">
        <v>5.0</v>
      </c>
      <c r="J1314" s="30"/>
      <c r="K1314" s="30"/>
      <c r="L1314" s="73">
        <v>45658.0</v>
      </c>
      <c r="M1314" s="74" t="s">
        <v>549</v>
      </c>
      <c r="N1314" s="33"/>
      <c r="O1314" s="30"/>
    </row>
    <row r="1315">
      <c r="A1315" s="64" t="s">
        <v>403</v>
      </c>
      <c r="B1315" s="56" t="s">
        <v>921</v>
      </c>
      <c r="C1315" s="55" t="s">
        <v>31</v>
      </c>
      <c r="D1315" s="56" t="s">
        <v>187</v>
      </c>
      <c r="E1315" s="77"/>
      <c r="F1315" s="77"/>
      <c r="G1315" s="65" t="s">
        <v>565</v>
      </c>
      <c r="J1315" s="30"/>
      <c r="K1315" s="30"/>
      <c r="L1315" s="78">
        <v>45658.0</v>
      </c>
      <c r="M1315" s="79" t="s">
        <v>549</v>
      </c>
      <c r="N1315" s="33"/>
      <c r="O1315" s="30"/>
    </row>
    <row r="1316">
      <c r="A1316" s="68" t="s">
        <v>18</v>
      </c>
      <c r="B1316" s="69" t="s">
        <v>933</v>
      </c>
      <c r="C1316" s="47"/>
      <c r="D1316" s="49"/>
      <c r="E1316" s="71"/>
      <c r="F1316" s="71"/>
      <c r="G1316" s="72" t="s">
        <v>934</v>
      </c>
      <c r="J1316" s="30"/>
      <c r="K1316" s="30"/>
      <c r="L1316" s="73">
        <v>45658.0</v>
      </c>
      <c r="M1316" s="74" t="s">
        <v>586</v>
      </c>
      <c r="N1316" s="33"/>
      <c r="O1316" s="30"/>
    </row>
    <row r="1317">
      <c r="A1317" s="64" t="s">
        <v>403</v>
      </c>
      <c r="B1317" s="56" t="s">
        <v>920</v>
      </c>
      <c r="C1317" s="55" t="s">
        <v>31</v>
      </c>
      <c r="D1317" s="56" t="s">
        <v>187</v>
      </c>
      <c r="E1317" s="77"/>
      <c r="F1317" s="77"/>
      <c r="G1317" s="65">
        <v>5.0</v>
      </c>
      <c r="J1317" s="30"/>
      <c r="K1317" s="30"/>
      <c r="L1317" s="78">
        <v>45658.0</v>
      </c>
      <c r="M1317" s="79" t="s">
        <v>549</v>
      </c>
      <c r="N1317" s="33"/>
      <c r="O1317" s="30"/>
    </row>
    <row r="1318">
      <c r="A1318" s="68" t="s">
        <v>403</v>
      </c>
      <c r="B1318" s="69" t="s">
        <v>921</v>
      </c>
      <c r="C1318" s="61" t="s">
        <v>31</v>
      </c>
      <c r="D1318" s="46" t="s">
        <v>187</v>
      </c>
      <c r="E1318" s="71"/>
      <c r="F1318" s="71"/>
      <c r="G1318" s="72" t="s">
        <v>565</v>
      </c>
      <c r="J1318" s="30"/>
      <c r="K1318" s="30"/>
      <c r="L1318" s="73">
        <v>45658.0</v>
      </c>
      <c r="M1318" s="74" t="s">
        <v>549</v>
      </c>
      <c r="N1318" s="33"/>
      <c r="O1318" s="30"/>
    </row>
    <row r="1319">
      <c r="A1319" s="64" t="s">
        <v>483</v>
      </c>
      <c r="B1319" s="82" t="s">
        <v>935</v>
      </c>
      <c r="C1319" s="75"/>
      <c r="D1319" s="77"/>
      <c r="E1319" s="77"/>
      <c r="F1319" s="77"/>
      <c r="G1319" s="65">
        <v>750000.0</v>
      </c>
      <c r="J1319" s="30"/>
      <c r="K1319" s="30"/>
      <c r="L1319" s="78">
        <v>45658.0</v>
      </c>
      <c r="M1319" s="79" t="s">
        <v>911</v>
      </c>
      <c r="N1319" s="33"/>
      <c r="O1319" s="30"/>
    </row>
    <row r="1320">
      <c r="A1320" s="68" t="s">
        <v>437</v>
      </c>
      <c r="B1320" s="69" t="s">
        <v>936</v>
      </c>
      <c r="C1320" s="61" t="s">
        <v>20</v>
      </c>
      <c r="D1320" s="46" t="s">
        <v>21</v>
      </c>
      <c r="E1320" s="71"/>
      <c r="F1320" s="71"/>
      <c r="G1320" s="72">
        <v>12760.0</v>
      </c>
      <c r="J1320" s="30"/>
      <c r="K1320" s="30"/>
      <c r="L1320" s="73">
        <v>45658.0</v>
      </c>
      <c r="M1320" s="74" t="s">
        <v>613</v>
      </c>
      <c r="N1320" s="33"/>
      <c r="O1320" s="30"/>
    </row>
    <row r="1321">
      <c r="A1321" s="64" t="s">
        <v>403</v>
      </c>
      <c r="B1321" s="56" t="s">
        <v>920</v>
      </c>
      <c r="C1321" s="55" t="s">
        <v>31</v>
      </c>
      <c r="D1321" s="56" t="s">
        <v>187</v>
      </c>
      <c r="E1321" s="77"/>
      <c r="F1321" s="77"/>
      <c r="G1321" s="65">
        <v>5.0</v>
      </c>
      <c r="J1321" s="30"/>
      <c r="K1321" s="30"/>
      <c r="L1321" s="78">
        <v>45658.0</v>
      </c>
      <c r="M1321" s="79" t="s">
        <v>549</v>
      </c>
      <c r="N1321" s="33"/>
      <c r="O1321" s="30"/>
    </row>
    <row r="1322">
      <c r="A1322" s="68" t="s">
        <v>403</v>
      </c>
      <c r="B1322" s="69" t="s">
        <v>921</v>
      </c>
      <c r="C1322" s="61" t="s">
        <v>31</v>
      </c>
      <c r="D1322" s="46" t="s">
        <v>187</v>
      </c>
      <c r="E1322" s="71"/>
      <c r="F1322" s="71"/>
      <c r="G1322" s="72" t="s">
        <v>565</v>
      </c>
      <c r="J1322" s="30"/>
      <c r="K1322" s="30"/>
      <c r="L1322" s="73">
        <v>45658.0</v>
      </c>
      <c r="M1322" s="74" t="s">
        <v>549</v>
      </c>
      <c r="N1322" s="33"/>
      <c r="O1322" s="30"/>
    </row>
    <row r="1323">
      <c r="A1323" s="64" t="s">
        <v>437</v>
      </c>
      <c r="B1323" s="56" t="s">
        <v>937</v>
      </c>
      <c r="C1323" s="55" t="s">
        <v>20</v>
      </c>
      <c r="D1323" s="56" t="s">
        <v>21</v>
      </c>
      <c r="E1323" s="77"/>
      <c r="F1323" s="77"/>
      <c r="G1323" s="65" t="s">
        <v>938</v>
      </c>
      <c r="J1323" s="30"/>
      <c r="K1323" s="30"/>
      <c r="L1323" s="78">
        <v>45658.0</v>
      </c>
      <c r="M1323" s="79" t="s">
        <v>613</v>
      </c>
      <c r="N1323" s="33"/>
      <c r="O1323" s="30"/>
    </row>
    <row r="1324">
      <c r="A1324" s="68" t="s">
        <v>367</v>
      </c>
      <c r="B1324" s="69" t="s">
        <v>939</v>
      </c>
      <c r="C1324" s="46" t="s">
        <v>31</v>
      </c>
      <c r="D1324" s="46" t="s">
        <v>54</v>
      </c>
      <c r="E1324" s="71"/>
      <c r="F1324" s="71"/>
      <c r="G1324" s="72">
        <v>1624.0</v>
      </c>
      <c r="J1324" s="30"/>
      <c r="K1324" s="30"/>
      <c r="L1324" s="73">
        <v>45658.0</v>
      </c>
      <c r="M1324" s="74" t="s">
        <v>696</v>
      </c>
      <c r="N1324" s="33"/>
      <c r="O1324" s="30"/>
    </row>
    <row r="1325">
      <c r="A1325" s="64" t="s">
        <v>403</v>
      </c>
      <c r="B1325" s="56" t="s">
        <v>920</v>
      </c>
      <c r="C1325" s="55" t="s">
        <v>31</v>
      </c>
      <c r="D1325" s="56" t="s">
        <v>187</v>
      </c>
      <c r="E1325" s="77"/>
      <c r="F1325" s="77"/>
      <c r="G1325" s="65">
        <v>5.0</v>
      </c>
      <c r="J1325" s="30"/>
      <c r="K1325" s="30"/>
      <c r="L1325" s="78">
        <v>45658.0</v>
      </c>
      <c r="M1325" s="79" t="s">
        <v>549</v>
      </c>
      <c r="N1325" s="33"/>
      <c r="O1325" s="30"/>
    </row>
    <row r="1326">
      <c r="A1326" s="68" t="s">
        <v>403</v>
      </c>
      <c r="B1326" s="69" t="s">
        <v>921</v>
      </c>
      <c r="C1326" s="61" t="s">
        <v>31</v>
      </c>
      <c r="D1326" s="46" t="s">
        <v>187</v>
      </c>
      <c r="E1326" s="71"/>
      <c r="F1326" s="71"/>
      <c r="G1326" s="72" t="s">
        <v>565</v>
      </c>
      <c r="J1326" s="30"/>
      <c r="K1326" s="30"/>
      <c r="L1326" s="73">
        <v>45658.0</v>
      </c>
      <c r="M1326" s="74" t="s">
        <v>549</v>
      </c>
      <c r="N1326" s="33"/>
      <c r="O1326" s="30"/>
    </row>
    <row r="1327">
      <c r="A1327" s="64" t="s">
        <v>349</v>
      </c>
      <c r="B1327" s="56" t="s">
        <v>940</v>
      </c>
      <c r="C1327" s="75"/>
      <c r="D1327" s="77"/>
      <c r="E1327" s="77"/>
      <c r="F1327" s="77"/>
      <c r="G1327" s="65" t="s">
        <v>941</v>
      </c>
      <c r="J1327" s="30"/>
      <c r="K1327" s="30"/>
      <c r="L1327" s="78">
        <v>45658.0</v>
      </c>
      <c r="M1327" s="79" t="s">
        <v>568</v>
      </c>
      <c r="N1327" s="33"/>
      <c r="O1327" s="30"/>
    </row>
    <row r="1328">
      <c r="A1328" s="68" t="s">
        <v>403</v>
      </c>
      <c r="B1328" s="69" t="s">
        <v>920</v>
      </c>
      <c r="C1328" s="61" t="s">
        <v>31</v>
      </c>
      <c r="D1328" s="46" t="s">
        <v>187</v>
      </c>
      <c r="E1328" s="71"/>
      <c r="F1328" s="71"/>
      <c r="G1328" s="72">
        <v>5.0</v>
      </c>
      <c r="J1328" s="30"/>
      <c r="K1328" s="30"/>
      <c r="L1328" s="73">
        <v>45658.0</v>
      </c>
      <c r="M1328" s="74" t="s">
        <v>549</v>
      </c>
      <c r="N1328" s="33"/>
      <c r="O1328" s="30"/>
    </row>
    <row r="1329">
      <c r="A1329" s="64" t="s">
        <v>403</v>
      </c>
      <c r="B1329" s="56" t="s">
        <v>921</v>
      </c>
      <c r="C1329" s="55" t="s">
        <v>31</v>
      </c>
      <c r="D1329" s="56" t="s">
        <v>187</v>
      </c>
      <c r="E1329" s="77"/>
      <c r="F1329" s="77"/>
      <c r="G1329" s="65" t="s">
        <v>565</v>
      </c>
      <c r="J1329" s="30"/>
      <c r="K1329" s="30"/>
      <c r="L1329" s="78">
        <v>45658.0</v>
      </c>
      <c r="M1329" s="79" t="s">
        <v>549</v>
      </c>
      <c r="N1329" s="33"/>
      <c r="O1329" s="30"/>
    </row>
    <row r="1330">
      <c r="A1330" s="68" t="s">
        <v>508</v>
      </c>
      <c r="B1330" s="69" t="s">
        <v>942</v>
      </c>
      <c r="C1330" s="61" t="s">
        <v>20</v>
      </c>
      <c r="D1330" s="61" t="s">
        <v>21</v>
      </c>
      <c r="E1330" s="71"/>
      <c r="F1330" s="71"/>
      <c r="G1330" s="93">
        <v>2711775.0</v>
      </c>
      <c r="J1330" s="30"/>
      <c r="K1330" s="30"/>
      <c r="L1330" s="73">
        <v>45658.0</v>
      </c>
      <c r="M1330" s="74" t="s">
        <v>943</v>
      </c>
      <c r="N1330" s="33"/>
      <c r="O1330" s="30"/>
    </row>
    <row r="1331">
      <c r="A1331" s="64" t="s">
        <v>403</v>
      </c>
      <c r="B1331" s="56" t="s">
        <v>920</v>
      </c>
      <c r="C1331" s="55" t="s">
        <v>31</v>
      </c>
      <c r="D1331" s="56" t="s">
        <v>187</v>
      </c>
      <c r="E1331" s="77"/>
      <c r="F1331" s="77"/>
      <c r="G1331" s="65">
        <v>5.0</v>
      </c>
      <c r="J1331" s="30"/>
      <c r="K1331" s="30"/>
      <c r="L1331" s="78">
        <v>45658.0</v>
      </c>
      <c r="M1331" s="79" t="s">
        <v>549</v>
      </c>
      <c r="N1331" s="33"/>
      <c r="O1331" s="30"/>
    </row>
    <row r="1332">
      <c r="A1332" s="68" t="s">
        <v>403</v>
      </c>
      <c r="B1332" s="69" t="s">
        <v>921</v>
      </c>
      <c r="C1332" s="61" t="s">
        <v>31</v>
      </c>
      <c r="D1332" s="46" t="s">
        <v>187</v>
      </c>
      <c r="E1332" s="71"/>
      <c r="F1332" s="71"/>
      <c r="G1332" s="72" t="s">
        <v>565</v>
      </c>
      <c r="J1332" s="30"/>
      <c r="K1332" s="30"/>
      <c r="L1332" s="73">
        <v>45658.0</v>
      </c>
      <c r="M1332" s="74" t="s">
        <v>549</v>
      </c>
      <c r="N1332" s="33"/>
      <c r="O1332" s="30"/>
    </row>
    <row r="1333">
      <c r="A1333" s="64" t="s">
        <v>467</v>
      </c>
      <c r="B1333" s="56" t="s">
        <v>944</v>
      </c>
      <c r="C1333" s="75"/>
      <c r="D1333" s="77"/>
      <c r="E1333" s="77"/>
      <c r="F1333" s="77"/>
      <c r="G1333" s="89">
        <v>315540.0</v>
      </c>
      <c r="J1333" s="30"/>
      <c r="K1333" s="30"/>
      <c r="L1333" s="78">
        <v>45658.0</v>
      </c>
      <c r="M1333" s="79" t="s">
        <v>537</v>
      </c>
      <c r="N1333" s="33"/>
      <c r="O1333" s="30"/>
    </row>
    <row r="1334">
      <c r="A1334" s="68" t="s">
        <v>403</v>
      </c>
      <c r="B1334" s="69" t="s">
        <v>920</v>
      </c>
      <c r="C1334" s="61" t="s">
        <v>31</v>
      </c>
      <c r="D1334" s="46" t="s">
        <v>187</v>
      </c>
      <c r="E1334" s="71"/>
      <c r="F1334" s="71"/>
      <c r="G1334" s="72">
        <v>5.0</v>
      </c>
      <c r="J1334" s="30"/>
      <c r="K1334" s="30"/>
      <c r="L1334" s="73">
        <v>45658.0</v>
      </c>
      <c r="M1334" s="74" t="s">
        <v>549</v>
      </c>
      <c r="N1334" s="33"/>
      <c r="O1334" s="30"/>
    </row>
    <row r="1335">
      <c r="A1335" s="64" t="s">
        <v>403</v>
      </c>
      <c r="B1335" s="56" t="s">
        <v>921</v>
      </c>
      <c r="C1335" s="55" t="s">
        <v>31</v>
      </c>
      <c r="D1335" s="56" t="s">
        <v>187</v>
      </c>
      <c r="E1335" s="77"/>
      <c r="F1335" s="77"/>
      <c r="G1335" s="65" t="s">
        <v>565</v>
      </c>
      <c r="J1335" s="30"/>
      <c r="K1335" s="30"/>
      <c r="L1335" s="78">
        <v>45658.0</v>
      </c>
      <c r="M1335" s="79" t="s">
        <v>549</v>
      </c>
      <c r="N1335" s="33"/>
      <c r="O1335" s="30"/>
    </row>
    <row r="1336">
      <c r="A1336" s="68" t="s">
        <v>787</v>
      </c>
      <c r="B1336" s="69" t="s">
        <v>945</v>
      </c>
      <c r="C1336" s="47"/>
      <c r="D1336" s="49"/>
      <c r="E1336" s="71"/>
      <c r="F1336" s="71"/>
      <c r="G1336" s="72" t="s">
        <v>946</v>
      </c>
      <c r="J1336" s="30"/>
      <c r="K1336" s="30"/>
      <c r="L1336" s="73">
        <v>45658.0</v>
      </c>
      <c r="M1336" s="74" t="s">
        <v>790</v>
      </c>
      <c r="N1336" s="33"/>
      <c r="O1336" s="30"/>
    </row>
    <row r="1337">
      <c r="A1337" s="64" t="s">
        <v>403</v>
      </c>
      <c r="B1337" s="56" t="s">
        <v>920</v>
      </c>
      <c r="C1337" s="55" t="s">
        <v>31</v>
      </c>
      <c r="D1337" s="56" t="s">
        <v>187</v>
      </c>
      <c r="E1337" s="77"/>
      <c r="F1337" s="77"/>
      <c r="G1337" s="65">
        <v>5.0</v>
      </c>
      <c r="J1337" s="30"/>
      <c r="K1337" s="30"/>
      <c r="L1337" s="78">
        <v>45658.0</v>
      </c>
      <c r="M1337" s="79" t="s">
        <v>549</v>
      </c>
      <c r="N1337" s="33"/>
      <c r="O1337" s="30"/>
    </row>
    <row r="1338">
      <c r="A1338" s="68" t="s">
        <v>403</v>
      </c>
      <c r="B1338" s="69" t="s">
        <v>921</v>
      </c>
      <c r="C1338" s="61" t="s">
        <v>31</v>
      </c>
      <c r="D1338" s="46" t="s">
        <v>187</v>
      </c>
      <c r="E1338" s="71"/>
      <c r="F1338" s="71"/>
      <c r="G1338" s="72" t="s">
        <v>565</v>
      </c>
      <c r="J1338" s="30"/>
      <c r="K1338" s="30"/>
      <c r="L1338" s="73">
        <v>45658.0</v>
      </c>
      <c r="M1338" s="74" t="s">
        <v>549</v>
      </c>
      <c r="N1338" s="33"/>
      <c r="O1338" s="30"/>
    </row>
    <row r="1339">
      <c r="A1339" s="64" t="s">
        <v>367</v>
      </c>
      <c r="B1339" s="56" t="s">
        <v>947</v>
      </c>
      <c r="C1339" s="75"/>
      <c r="D1339" s="77"/>
      <c r="E1339" s="77"/>
      <c r="F1339" s="77"/>
      <c r="G1339" s="65">
        <v>13804.0</v>
      </c>
      <c r="J1339" s="30"/>
      <c r="K1339" s="30"/>
      <c r="L1339" s="78">
        <v>45658.0</v>
      </c>
      <c r="M1339" s="79" t="s">
        <v>572</v>
      </c>
      <c r="N1339" s="33"/>
      <c r="O1339" s="30"/>
    </row>
    <row r="1340">
      <c r="A1340" s="68" t="s">
        <v>403</v>
      </c>
      <c r="B1340" s="69" t="s">
        <v>920</v>
      </c>
      <c r="C1340" s="61" t="s">
        <v>31</v>
      </c>
      <c r="D1340" s="46" t="s">
        <v>187</v>
      </c>
      <c r="E1340" s="71"/>
      <c r="F1340" s="71"/>
      <c r="G1340" s="72">
        <v>5.0</v>
      </c>
      <c r="J1340" s="30"/>
      <c r="K1340" s="30"/>
      <c r="L1340" s="73">
        <v>45658.0</v>
      </c>
      <c r="M1340" s="74" t="s">
        <v>549</v>
      </c>
      <c r="N1340" s="33"/>
      <c r="O1340" s="30"/>
    </row>
    <row r="1341">
      <c r="A1341" s="64" t="s">
        <v>403</v>
      </c>
      <c r="B1341" s="56" t="s">
        <v>921</v>
      </c>
      <c r="C1341" s="55" t="s">
        <v>31</v>
      </c>
      <c r="D1341" s="56" t="s">
        <v>187</v>
      </c>
      <c r="E1341" s="77"/>
      <c r="F1341" s="77"/>
      <c r="G1341" s="65" t="s">
        <v>565</v>
      </c>
      <c r="J1341" s="30"/>
      <c r="K1341" s="30"/>
      <c r="L1341" s="78">
        <v>45658.0</v>
      </c>
      <c r="M1341" s="79" t="s">
        <v>549</v>
      </c>
      <c r="N1341" s="33"/>
      <c r="O1341" s="30"/>
    </row>
    <row r="1342">
      <c r="A1342" s="68" t="s">
        <v>385</v>
      </c>
      <c r="B1342" s="69" t="s">
        <v>948</v>
      </c>
      <c r="C1342" s="47"/>
      <c r="D1342" s="49"/>
      <c r="E1342" s="71"/>
      <c r="F1342" s="71"/>
      <c r="G1342" s="72">
        <v>31900.0</v>
      </c>
      <c r="J1342" s="30"/>
      <c r="K1342" s="30"/>
      <c r="L1342" s="73">
        <v>45658.0</v>
      </c>
      <c r="M1342" s="74" t="s">
        <v>949</v>
      </c>
      <c r="N1342" s="33"/>
      <c r="O1342" s="30"/>
    </row>
    <row r="1343">
      <c r="A1343" s="64" t="s">
        <v>437</v>
      </c>
      <c r="B1343" s="56" t="s">
        <v>950</v>
      </c>
      <c r="C1343" s="55" t="s">
        <v>20</v>
      </c>
      <c r="D1343" s="56" t="s">
        <v>21</v>
      </c>
      <c r="E1343" s="77"/>
      <c r="F1343" s="77"/>
      <c r="G1343" s="65">
        <v>22950.0</v>
      </c>
      <c r="J1343" s="30"/>
      <c r="K1343" s="30"/>
      <c r="L1343" s="78">
        <v>45658.0</v>
      </c>
      <c r="M1343" s="79" t="s">
        <v>613</v>
      </c>
      <c r="N1343" s="33"/>
      <c r="O1343" s="30"/>
    </row>
    <row r="1344">
      <c r="A1344" s="68" t="s">
        <v>403</v>
      </c>
      <c r="B1344" s="69" t="s">
        <v>920</v>
      </c>
      <c r="C1344" s="61" t="s">
        <v>31</v>
      </c>
      <c r="D1344" s="46" t="s">
        <v>187</v>
      </c>
      <c r="E1344" s="71"/>
      <c r="F1344" s="71"/>
      <c r="G1344" s="72">
        <v>5.0</v>
      </c>
      <c r="J1344" s="30"/>
      <c r="K1344" s="30"/>
      <c r="L1344" s="73">
        <v>45658.0</v>
      </c>
      <c r="M1344" s="74" t="s">
        <v>549</v>
      </c>
      <c r="N1344" s="33"/>
      <c r="O1344" s="30"/>
    </row>
    <row r="1345">
      <c r="A1345" s="64" t="s">
        <v>403</v>
      </c>
      <c r="B1345" s="56" t="s">
        <v>921</v>
      </c>
      <c r="C1345" s="55" t="s">
        <v>31</v>
      </c>
      <c r="D1345" s="56" t="s">
        <v>187</v>
      </c>
      <c r="E1345" s="77"/>
      <c r="F1345" s="77"/>
      <c r="G1345" s="65" t="s">
        <v>565</v>
      </c>
      <c r="J1345" s="30"/>
      <c r="K1345" s="30"/>
      <c r="L1345" s="78">
        <v>45658.0</v>
      </c>
      <c r="M1345" s="79" t="s">
        <v>549</v>
      </c>
      <c r="N1345" s="33"/>
      <c r="O1345" s="30"/>
    </row>
    <row r="1346">
      <c r="A1346" s="68" t="s">
        <v>437</v>
      </c>
      <c r="B1346" s="69" t="s">
        <v>951</v>
      </c>
      <c r="C1346" s="61" t="s">
        <v>20</v>
      </c>
      <c r="D1346" s="46" t="s">
        <v>21</v>
      </c>
      <c r="E1346" s="71"/>
      <c r="F1346" s="71"/>
      <c r="G1346" s="72">
        <v>8580.0</v>
      </c>
      <c r="J1346" s="30"/>
      <c r="K1346" s="30"/>
      <c r="L1346" s="73">
        <v>45658.0</v>
      </c>
      <c r="M1346" s="74" t="s">
        <v>613</v>
      </c>
      <c r="N1346" s="33"/>
      <c r="O1346" s="30"/>
    </row>
    <row r="1347">
      <c r="A1347" s="64" t="s">
        <v>403</v>
      </c>
      <c r="B1347" s="56" t="s">
        <v>920</v>
      </c>
      <c r="C1347" s="55" t="s">
        <v>31</v>
      </c>
      <c r="D1347" s="56" t="s">
        <v>187</v>
      </c>
      <c r="E1347" s="77"/>
      <c r="F1347" s="77"/>
      <c r="G1347" s="65">
        <v>5.0</v>
      </c>
      <c r="J1347" s="30"/>
      <c r="K1347" s="30"/>
      <c r="L1347" s="78">
        <v>45658.0</v>
      </c>
      <c r="M1347" s="79" t="s">
        <v>549</v>
      </c>
      <c r="N1347" s="33"/>
      <c r="O1347" s="30"/>
    </row>
    <row r="1348">
      <c r="A1348" s="68" t="s">
        <v>403</v>
      </c>
      <c r="B1348" s="69" t="s">
        <v>921</v>
      </c>
      <c r="C1348" s="61" t="s">
        <v>31</v>
      </c>
      <c r="D1348" s="46" t="s">
        <v>187</v>
      </c>
      <c r="E1348" s="71"/>
      <c r="F1348" s="71"/>
      <c r="G1348" s="72" t="s">
        <v>565</v>
      </c>
      <c r="J1348" s="30"/>
      <c r="K1348" s="30"/>
      <c r="L1348" s="73">
        <v>45658.0</v>
      </c>
      <c r="M1348" s="74" t="s">
        <v>549</v>
      </c>
      <c r="N1348" s="33"/>
      <c r="O1348" s="30"/>
    </row>
    <row r="1349">
      <c r="A1349" s="64" t="s">
        <v>483</v>
      </c>
      <c r="B1349" s="56" t="s">
        <v>952</v>
      </c>
      <c r="C1349" s="75"/>
      <c r="D1349" s="77"/>
      <c r="E1349" s="77"/>
      <c r="F1349" s="77"/>
      <c r="G1349" s="65">
        <v>3420.0</v>
      </c>
      <c r="J1349" s="30"/>
      <c r="K1349" s="30"/>
      <c r="L1349" s="78">
        <v>45658.0</v>
      </c>
      <c r="M1349" s="79" t="s">
        <v>953</v>
      </c>
      <c r="N1349" s="33"/>
      <c r="O1349" s="30"/>
    </row>
    <row r="1350">
      <c r="A1350" s="68" t="s">
        <v>403</v>
      </c>
      <c r="B1350" s="69" t="s">
        <v>920</v>
      </c>
      <c r="C1350" s="61" t="s">
        <v>31</v>
      </c>
      <c r="D1350" s="46" t="s">
        <v>187</v>
      </c>
      <c r="E1350" s="71"/>
      <c r="F1350" s="71"/>
      <c r="G1350" s="72">
        <v>5.0</v>
      </c>
      <c r="J1350" s="30"/>
      <c r="K1350" s="30"/>
      <c r="L1350" s="73">
        <v>45658.0</v>
      </c>
      <c r="M1350" s="74" t="s">
        <v>549</v>
      </c>
      <c r="N1350" s="33"/>
      <c r="O1350" s="30"/>
    </row>
    <row r="1351">
      <c r="A1351" s="64" t="s">
        <v>403</v>
      </c>
      <c r="B1351" s="56" t="s">
        <v>954</v>
      </c>
      <c r="C1351" s="55" t="s">
        <v>31</v>
      </c>
      <c r="D1351" s="56" t="s">
        <v>187</v>
      </c>
      <c r="E1351" s="77"/>
      <c r="F1351" s="77"/>
      <c r="G1351" s="65" t="s">
        <v>565</v>
      </c>
      <c r="J1351" s="30"/>
      <c r="K1351" s="30"/>
      <c r="L1351" s="78">
        <v>45658.0</v>
      </c>
      <c r="M1351" s="79" t="s">
        <v>549</v>
      </c>
      <c r="N1351" s="33"/>
      <c r="O1351" s="30"/>
    </row>
    <row r="1352">
      <c r="A1352" s="100" t="s">
        <v>440</v>
      </c>
      <c r="B1352" s="101" t="s">
        <v>955</v>
      </c>
      <c r="C1352" s="47"/>
      <c r="D1352" s="49"/>
      <c r="E1352" s="71"/>
      <c r="F1352" s="71"/>
      <c r="G1352" s="72">
        <v>7464.0</v>
      </c>
      <c r="J1352" s="30"/>
      <c r="K1352" s="30"/>
      <c r="L1352" s="73">
        <v>45658.0</v>
      </c>
      <c r="M1352" s="74" t="s">
        <v>956</v>
      </c>
      <c r="N1352" s="33"/>
      <c r="O1352" s="30"/>
    </row>
    <row r="1353">
      <c r="A1353" s="102" t="s">
        <v>440</v>
      </c>
      <c r="B1353" s="82" t="s">
        <v>955</v>
      </c>
      <c r="C1353" s="75"/>
      <c r="D1353" s="77"/>
      <c r="E1353" s="77"/>
      <c r="F1353" s="77"/>
      <c r="G1353" s="65">
        <v>4343.0</v>
      </c>
      <c r="J1353" s="30"/>
      <c r="K1353" s="30"/>
      <c r="L1353" s="78">
        <v>45658.0</v>
      </c>
      <c r="M1353" s="79" t="s">
        <v>956</v>
      </c>
      <c r="N1353" s="33"/>
      <c r="O1353" s="30"/>
    </row>
    <row r="1354">
      <c r="A1354" s="100" t="s">
        <v>505</v>
      </c>
      <c r="B1354" s="101" t="s">
        <v>955</v>
      </c>
      <c r="C1354" s="47"/>
      <c r="D1354" s="49"/>
      <c r="E1354" s="71"/>
      <c r="F1354" s="71"/>
      <c r="G1354" s="72">
        <v>1037.0</v>
      </c>
      <c r="J1354" s="30"/>
      <c r="K1354" s="30"/>
      <c r="L1354" s="73">
        <v>45658.0</v>
      </c>
      <c r="M1354" s="74" t="s">
        <v>957</v>
      </c>
      <c r="N1354" s="33"/>
      <c r="O1354" s="30"/>
    </row>
    <row r="1355">
      <c r="A1355" s="102" t="s">
        <v>505</v>
      </c>
      <c r="B1355" s="82" t="s">
        <v>955</v>
      </c>
      <c r="C1355" s="75"/>
      <c r="D1355" s="77"/>
      <c r="E1355" s="77"/>
      <c r="F1355" s="77"/>
      <c r="G1355" s="65">
        <v>1448.0</v>
      </c>
      <c r="J1355" s="30"/>
      <c r="K1355" s="30"/>
      <c r="L1355" s="78">
        <v>45658.0</v>
      </c>
      <c r="M1355" s="79" t="s">
        <v>957</v>
      </c>
      <c r="N1355" s="33"/>
      <c r="O1355" s="30"/>
    </row>
    <row r="1356">
      <c r="A1356" s="100" t="s">
        <v>505</v>
      </c>
      <c r="B1356" s="101" t="s">
        <v>955</v>
      </c>
      <c r="C1356" s="47"/>
      <c r="D1356" s="49"/>
      <c r="E1356" s="71"/>
      <c r="F1356" s="71"/>
      <c r="G1356" s="72">
        <v>1737.0</v>
      </c>
      <c r="J1356" s="30"/>
      <c r="K1356" s="30"/>
      <c r="L1356" s="73">
        <v>45658.0</v>
      </c>
      <c r="M1356" s="74" t="s">
        <v>957</v>
      </c>
      <c r="N1356" s="33"/>
      <c r="O1356" s="30"/>
    </row>
    <row r="1357">
      <c r="A1357" s="102" t="s">
        <v>505</v>
      </c>
      <c r="B1357" s="82" t="s">
        <v>955</v>
      </c>
      <c r="C1357" s="75"/>
      <c r="D1357" s="77"/>
      <c r="E1357" s="77"/>
      <c r="F1357" s="77"/>
      <c r="G1357" s="65">
        <v>1054.0</v>
      </c>
      <c r="J1357" s="30"/>
      <c r="K1357" s="30"/>
      <c r="L1357" s="78">
        <v>45658.0</v>
      </c>
      <c r="M1357" s="79" t="s">
        <v>957</v>
      </c>
      <c r="N1357" s="33"/>
      <c r="O1357" s="30"/>
    </row>
    <row r="1358">
      <c r="A1358" s="68" t="s">
        <v>403</v>
      </c>
      <c r="B1358" s="101" t="s">
        <v>958</v>
      </c>
      <c r="C1358" s="61" t="s">
        <v>31</v>
      </c>
      <c r="D1358" s="46" t="s">
        <v>187</v>
      </c>
      <c r="E1358" s="71"/>
      <c r="F1358" s="71"/>
      <c r="G1358" s="72">
        <v>620.0</v>
      </c>
      <c r="J1358" s="30"/>
      <c r="K1358" s="30"/>
      <c r="L1358" s="73">
        <v>45658.0</v>
      </c>
      <c r="M1358" s="103"/>
      <c r="N1358" s="33"/>
      <c r="O1358" s="30"/>
    </row>
    <row r="1359">
      <c r="A1359" s="64" t="s">
        <v>403</v>
      </c>
      <c r="B1359" s="82" t="s">
        <v>959</v>
      </c>
      <c r="C1359" s="55" t="s">
        <v>31</v>
      </c>
      <c r="D1359" s="56" t="s">
        <v>187</v>
      </c>
      <c r="E1359" s="77"/>
      <c r="F1359" s="77"/>
      <c r="G1359" s="65" t="s">
        <v>960</v>
      </c>
      <c r="J1359" s="30"/>
      <c r="K1359" s="30"/>
      <c r="L1359" s="78">
        <v>45658.0</v>
      </c>
      <c r="M1359" s="81"/>
      <c r="N1359" s="33"/>
      <c r="O1359" s="30"/>
    </row>
    <row r="1360">
      <c r="A1360" s="68" t="s">
        <v>18</v>
      </c>
      <c r="B1360" s="104" t="s">
        <v>961</v>
      </c>
      <c r="C1360" s="47"/>
      <c r="D1360" s="49"/>
      <c r="E1360" s="71"/>
      <c r="F1360" s="71"/>
      <c r="G1360" s="72" t="s">
        <v>962</v>
      </c>
      <c r="J1360" s="30"/>
      <c r="K1360" s="30"/>
      <c r="L1360" s="73">
        <v>45658.0</v>
      </c>
      <c r="M1360" s="103"/>
      <c r="N1360" s="33"/>
      <c r="O1360" s="30"/>
    </row>
    <row r="1361">
      <c r="A1361" s="64" t="s">
        <v>18</v>
      </c>
      <c r="B1361" s="105" t="s">
        <v>961</v>
      </c>
      <c r="C1361" s="75"/>
      <c r="D1361" s="77"/>
      <c r="E1361" s="77"/>
      <c r="F1361" s="77"/>
      <c r="G1361" s="89">
        <v>236739.0</v>
      </c>
      <c r="J1361" s="30"/>
      <c r="K1361" s="30"/>
      <c r="L1361" s="78">
        <v>45658.0</v>
      </c>
      <c r="M1361" s="81"/>
      <c r="N1361" s="33"/>
      <c r="O1361" s="30"/>
    </row>
    <row r="1362">
      <c r="A1362" s="68" t="s">
        <v>18</v>
      </c>
      <c r="B1362" s="104" t="s">
        <v>961</v>
      </c>
      <c r="C1362" s="47"/>
      <c r="D1362" s="49"/>
      <c r="E1362" s="71"/>
      <c r="F1362" s="71"/>
      <c r="G1362" s="72" t="s">
        <v>963</v>
      </c>
      <c r="J1362" s="30"/>
      <c r="K1362" s="30"/>
      <c r="L1362" s="73">
        <v>45658.0</v>
      </c>
      <c r="M1362" s="103"/>
      <c r="N1362" s="33"/>
      <c r="O1362" s="30"/>
    </row>
    <row r="1363">
      <c r="A1363" s="64" t="s">
        <v>403</v>
      </c>
      <c r="B1363" s="105" t="s">
        <v>964</v>
      </c>
      <c r="C1363" s="55" t="s">
        <v>31</v>
      </c>
      <c r="D1363" s="56" t="s">
        <v>187</v>
      </c>
      <c r="E1363" s="77"/>
      <c r="F1363" s="77"/>
      <c r="G1363" s="65">
        <v>85.0</v>
      </c>
      <c r="J1363" s="30"/>
      <c r="K1363" s="30"/>
      <c r="L1363" s="78">
        <v>45658.0</v>
      </c>
      <c r="M1363" s="81"/>
      <c r="N1363" s="33"/>
      <c r="O1363" s="30"/>
    </row>
    <row r="1364">
      <c r="A1364" s="68" t="s">
        <v>403</v>
      </c>
      <c r="B1364" s="104" t="s">
        <v>965</v>
      </c>
      <c r="C1364" s="61" t="s">
        <v>31</v>
      </c>
      <c r="D1364" s="46" t="s">
        <v>187</v>
      </c>
      <c r="E1364" s="71"/>
      <c r="F1364" s="71"/>
      <c r="G1364" s="98">
        <v>46186.0</v>
      </c>
      <c r="J1364" s="30"/>
      <c r="K1364" s="30"/>
      <c r="L1364" s="73">
        <v>45658.0</v>
      </c>
      <c r="M1364" s="103"/>
      <c r="N1364" s="33"/>
      <c r="O1364" s="30"/>
    </row>
    <row r="1365">
      <c r="A1365" s="64" t="s">
        <v>403</v>
      </c>
      <c r="B1365" s="105" t="s">
        <v>966</v>
      </c>
      <c r="C1365" s="55" t="s">
        <v>31</v>
      </c>
      <c r="D1365" s="56" t="s">
        <v>187</v>
      </c>
      <c r="E1365" s="77"/>
      <c r="F1365" s="77"/>
      <c r="G1365" s="65" t="s">
        <v>967</v>
      </c>
      <c r="J1365" s="30"/>
      <c r="K1365" s="30"/>
      <c r="L1365" s="78">
        <v>45658.0</v>
      </c>
      <c r="M1365" s="81"/>
      <c r="N1365" s="33"/>
      <c r="O1365" s="30"/>
    </row>
    <row r="1366">
      <c r="A1366" s="68" t="s">
        <v>403</v>
      </c>
      <c r="B1366" s="104" t="s">
        <v>968</v>
      </c>
      <c r="C1366" s="61" t="s">
        <v>31</v>
      </c>
      <c r="D1366" s="46" t="s">
        <v>187</v>
      </c>
      <c r="E1366" s="71"/>
      <c r="F1366" s="71"/>
      <c r="G1366" s="72" t="s">
        <v>969</v>
      </c>
      <c r="J1366" s="30"/>
      <c r="K1366" s="30"/>
      <c r="L1366" s="73">
        <v>45658.0</v>
      </c>
      <c r="M1366" s="103"/>
      <c r="N1366" s="33"/>
      <c r="O1366" s="30"/>
    </row>
    <row r="1367">
      <c r="A1367" s="64" t="s">
        <v>483</v>
      </c>
      <c r="B1367" s="106" t="s">
        <v>970</v>
      </c>
      <c r="C1367" s="62" t="s">
        <v>66</v>
      </c>
      <c r="D1367" s="62" t="s">
        <v>485</v>
      </c>
      <c r="E1367" s="77"/>
      <c r="F1367" s="77"/>
      <c r="G1367" s="65" t="s">
        <v>971</v>
      </c>
      <c r="J1367" s="30"/>
      <c r="K1367" s="30"/>
      <c r="L1367" s="78">
        <v>45658.0</v>
      </c>
      <c r="M1367" s="81"/>
      <c r="N1367" s="33"/>
      <c r="O1367" s="30"/>
    </row>
    <row r="1368">
      <c r="A1368" s="90"/>
      <c r="B1368" s="107"/>
      <c r="C1368" s="47"/>
      <c r="D1368" s="49"/>
      <c r="E1368" s="71"/>
      <c r="F1368" s="71"/>
      <c r="G1368" s="108"/>
      <c r="J1368" s="30"/>
      <c r="K1368" s="30"/>
      <c r="L1368" s="109"/>
      <c r="M1368" s="103"/>
      <c r="N1368" s="33"/>
      <c r="O1368" s="30"/>
    </row>
    <row r="1369">
      <c r="A1369" s="110"/>
      <c r="B1369" s="111"/>
      <c r="C1369" s="112"/>
      <c r="D1369" s="77"/>
      <c r="E1369" s="113"/>
      <c r="F1369" s="113"/>
      <c r="G1369" s="114"/>
      <c r="J1369" s="30"/>
      <c r="K1369" s="30"/>
      <c r="L1369" s="115"/>
      <c r="M1369" s="116"/>
      <c r="N1369" s="33"/>
      <c r="O1369" s="30"/>
    </row>
    <row r="1370">
      <c r="A1370" s="30"/>
      <c r="B1370" s="30"/>
      <c r="C1370" s="30"/>
      <c r="D1370" s="117"/>
      <c r="E1370" s="117"/>
      <c r="F1370" s="30"/>
      <c r="G1370" s="33"/>
      <c r="H1370" s="30"/>
      <c r="I1370" s="30"/>
      <c r="J1370" s="30"/>
      <c r="K1370" s="30"/>
      <c r="L1370" s="30"/>
      <c r="M1370" s="30"/>
      <c r="N1370" s="33"/>
      <c r="O1370" s="30"/>
    </row>
    <row r="1371">
      <c r="A1371" s="30"/>
      <c r="B1371" s="30"/>
      <c r="C1371" s="30"/>
      <c r="D1371" s="118"/>
      <c r="E1371" s="118"/>
      <c r="F1371" s="30"/>
      <c r="G1371" s="33"/>
      <c r="H1371" s="30"/>
      <c r="I1371" s="30"/>
      <c r="J1371" s="30"/>
      <c r="K1371" s="30"/>
      <c r="L1371" s="30"/>
      <c r="M1371" s="30"/>
      <c r="N1371" s="33"/>
      <c r="O1371" s="30"/>
    </row>
    <row r="1372">
      <c r="A1372" s="30"/>
      <c r="B1372" s="30"/>
      <c r="C1372" s="30"/>
      <c r="D1372" s="118"/>
      <c r="E1372" s="118"/>
      <c r="F1372" s="30"/>
      <c r="G1372" s="33"/>
      <c r="H1372" s="30"/>
      <c r="I1372" s="30"/>
      <c r="J1372" s="30"/>
      <c r="K1372" s="30"/>
      <c r="L1372" s="30"/>
      <c r="M1372" s="30"/>
      <c r="N1372" s="33"/>
      <c r="O1372" s="30"/>
    </row>
  </sheetData>
  <dataValidations>
    <dataValidation allowBlank="1" showDropDown="1" sqref="B2:B838 F2:F838"/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3.0"/>
    <col customWidth="1" min="5" max="5" width="16.14"/>
    <col customWidth="1" min="6" max="6" width="16.0"/>
    <col customWidth="1" min="7" max="7" width="17.43"/>
    <col customWidth="1" min="8" max="8" width="17.86"/>
    <col customWidth="1" min="9" max="9" width="37.43"/>
  </cols>
  <sheetData>
    <row r="1" ht="22.5" customHeight="1">
      <c r="A1" s="1" t="s">
        <v>0</v>
      </c>
      <c r="B1" s="1" t="s">
        <v>1</v>
      </c>
      <c r="C1" s="1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9" t="s">
        <v>7</v>
      </c>
      <c r="I1" s="120" t="s">
        <v>972</v>
      </c>
      <c r="J1" s="30"/>
      <c r="K1" s="30"/>
      <c r="L1" s="30"/>
      <c r="M1" s="30"/>
      <c r="N1" s="30"/>
      <c r="O1" s="121"/>
      <c r="P1" s="121"/>
      <c r="Q1" s="121"/>
      <c r="R1" s="30"/>
      <c r="S1" s="122"/>
      <c r="U1" s="121"/>
      <c r="V1" s="121"/>
    </row>
    <row r="2" ht="22.5" customHeight="1">
      <c r="A2" s="123" t="s">
        <v>349</v>
      </c>
      <c r="B2" s="27" t="s">
        <v>544</v>
      </c>
      <c r="C2" s="124"/>
      <c r="D2" s="27"/>
      <c r="E2" s="27"/>
      <c r="F2" s="27"/>
      <c r="G2" s="125" t="s">
        <v>545</v>
      </c>
      <c r="H2" s="10">
        <v>45658.0</v>
      </c>
      <c r="I2" s="126" t="s">
        <v>546</v>
      </c>
      <c r="J2" s="38"/>
      <c r="K2" s="38"/>
      <c r="L2" s="127"/>
      <c r="M2" s="127"/>
      <c r="O2" s="128"/>
      <c r="P2" s="121"/>
      <c r="Q2" s="128"/>
      <c r="R2" s="128"/>
      <c r="S2" s="30"/>
      <c r="U2" s="30"/>
      <c r="V2" s="30"/>
    </row>
    <row r="3" ht="22.5" customHeight="1">
      <c r="A3" s="123" t="s">
        <v>403</v>
      </c>
      <c r="B3" s="27" t="s">
        <v>547</v>
      </c>
      <c r="C3" s="124"/>
      <c r="D3" s="27"/>
      <c r="E3" s="27"/>
      <c r="F3" s="27"/>
      <c r="G3" s="125" t="s">
        <v>548</v>
      </c>
      <c r="H3" s="10">
        <v>45658.0</v>
      </c>
      <c r="I3" s="126" t="s">
        <v>549</v>
      </c>
      <c r="J3" s="38"/>
      <c r="K3" s="38"/>
      <c r="L3" s="127"/>
      <c r="M3" s="127"/>
      <c r="O3" s="128"/>
      <c r="P3" s="121"/>
      <c r="Q3" s="128"/>
      <c r="R3" s="128"/>
      <c r="S3" s="30"/>
      <c r="U3" s="30"/>
      <c r="V3" s="30"/>
    </row>
    <row r="4" ht="22.5" customHeight="1">
      <c r="A4" s="123" t="s">
        <v>403</v>
      </c>
      <c r="B4" s="27" t="s">
        <v>550</v>
      </c>
      <c r="C4" s="124"/>
      <c r="D4" s="27"/>
      <c r="E4" s="27"/>
      <c r="F4" s="27"/>
      <c r="G4" s="125" t="s">
        <v>551</v>
      </c>
      <c r="H4" s="10">
        <v>45658.0</v>
      </c>
      <c r="I4" s="126" t="s">
        <v>549</v>
      </c>
      <c r="J4" s="38"/>
      <c r="K4" s="38"/>
      <c r="L4" s="127"/>
      <c r="M4" s="127"/>
      <c r="O4" s="128"/>
      <c r="P4" s="121"/>
      <c r="Q4" s="128"/>
      <c r="R4" s="128"/>
      <c r="S4" s="30"/>
      <c r="U4" s="30"/>
      <c r="V4" s="30"/>
    </row>
    <row r="5" ht="22.5" customHeight="1">
      <c r="A5" s="123" t="s">
        <v>508</v>
      </c>
      <c r="B5" s="27" t="s">
        <v>552</v>
      </c>
      <c r="C5" s="124"/>
      <c r="D5" s="27"/>
      <c r="E5" s="27"/>
      <c r="F5" s="27"/>
      <c r="G5" s="125" t="s">
        <v>553</v>
      </c>
      <c r="H5" s="10">
        <v>45658.0</v>
      </c>
      <c r="I5" s="126" t="s">
        <v>509</v>
      </c>
      <c r="J5" s="38"/>
      <c r="K5" s="38"/>
      <c r="L5" s="127"/>
      <c r="M5" s="127"/>
      <c r="O5" s="128"/>
      <c r="P5" s="121"/>
      <c r="Q5" s="128"/>
      <c r="R5" s="128"/>
      <c r="S5" s="30"/>
      <c r="U5" s="30"/>
      <c r="V5" s="30"/>
    </row>
    <row r="6" ht="22.5" customHeight="1">
      <c r="A6" s="123" t="s">
        <v>403</v>
      </c>
      <c r="B6" s="27" t="s">
        <v>547</v>
      </c>
      <c r="C6" s="124"/>
      <c r="D6" s="27"/>
      <c r="E6" s="27"/>
      <c r="F6" s="27"/>
      <c r="G6" s="125" t="s">
        <v>548</v>
      </c>
      <c r="H6" s="10">
        <v>45658.0</v>
      </c>
      <c r="I6" s="126" t="s">
        <v>549</v>
      </c>
      <c r="J6" s="38"/>
      <c r="K6" s="38"/>
      <c r="L6" s="127"/>
      <c r="M6" s="127"/>
      <c r="O6" s="128"/>
      <c r="P6" s="121"/>
      <c r="Q6" s="128"/>
      <c r="R6" s="128"/>
      <c r="S6" s="30"/>
      <c r="U6" s="30"/>
      <c r="V6" s="30"/>
    </row>
    <row r="7" ht="22.5" customHeight="1">
      <c r="A7" s="123" t="s">
        <v>403</v>
      </c>
      <c r="B7" s="27" t="s">
        <v>550</v>
      </c>
      <c r="C7" s="124"/>
      <c r="D7" s="27"/>
      <c r="E7" s="27"/>
      <c r="F7" s="27"/>
      <c r="G7" s="125" t="s">
        <v>551</v>
      </c>
      <c r="H7" s="10">
        <v>45658.0</v>
      </c>
      <c r="I7" s="126" t="s">
        <v>549</v>
      </c>
      <c r="J7" s="38"/>
      <c r="K7" s="38"/>
      <c r="L7" s="127"/>
      <c r="M7" s="127"/>
      <c r="O7" s="128"/>
      <c r="P7" s="121"/>
      <c r="Q7" s="128"/>
      <c r="R7" s="128"/>
      <c r="S7" s="30"/>
      <c r="U7" s="30"/>
      <c r="V7" s="30"/>
    </row>
    <row r="8" ht="22.5" customHeight="1">
      <c r="A8" s="123" t="s">
        <v>389</v>
      </c>
      <c r="B8" s="27" t="s">
        <v>554</v>
      </c>
      <c r="C8" s="124"/>
      <c r="D8" s="27"/>
      <c r="E8" s="27"/>
      <c r="F8" s="27"/>
      <c r="G8" s="125" t="s">
        <v>973</v>
      </c>
      <c r="H8" s="10">
        <v>45658.0</v>
      </c>
      <c r="I8" s="126" t="s">
        <v>556</v>
      </c>
      <c r="J8" s="38"/>
      <c r="K8" s="38"/>
      <c r="L8" s="127"/>
      <c r="M8" s="127"/>
      <c r="O8" s="128"/>
      <c r="P8" s="121"/>
      <c r="Q8" s="128"/>
      <c r="R8" s="128"/>
      <c r="S8" s="30"/>
      <c r="U8" s="30"/>
      <c r="V8" s="30"/>
    </row>
    <row r="9" ht="22.5" customHeight="1">
      <c r="A9" s="123" t="s">
        <v>528</v>
      </c>
      <c r="B9" s="27" t="s">
        <v>558</v>
      </c>
      <c r="C9" s="124"/>
      <c r="D9" s="27"/>
      <c r="E9" s="27"/>
      <c r="F9" s="27"/>
      <c r="G9" s="125" t="s">
        <v>974</v>
      </c>
      <c r="H9" s="10">
        <v>45658.0</v>
      </c>
      <c r="I9" s="126" t="s">
        <v>559</v>
      </c>
      <c r="J9" s="38"/>
      <c r="K9" s="38"/>
      <c r="L9" s="127"/>
      <c r="M9" s="127"/>
      <c r="O9" s="128"/>
      <c r="P9" s="121"/>
      <c r="Q9" s="128"/>
      <c r="R9" s="128"/>
      <c r="S9" s="30"/>
      <c r="U9" s="30"/>
      <c r="V9" s="30"/>
    </row>
    <row r="10" ht="22.5" customHeight="1">
      <c r="A10" s="123" t="s">
        <v>378</v>
      </c>
      <c r="B10" s="27" t="s">
        <v>560</v>
      </c>
      <c r="C10" s="124"/>
      <c r="D10" s="27"/>
      <c r="E10" s="27"/>
      <c r="F10" s="27"/>
      <c r="G10" s="125" t="s">
        <v>975</v>
      </c>
      <c r="H10" s="10">
        <v>45658.0</v>
      </c>
      <c r="I10" s="126" t="s">
        <v>562</v>
      </c>
      <c r="J10" s="38"/>
      <c r="K10" s="38"/>
      <c r="L10" s="127"/>
      <c r="M10" s="127"/>
      <c r="O10" s="128"/>
      <c r="P10" s="121"/>
      <c r="Q10" s="128"/>
      <c r="R10" s="128"/>
      <c r="S10" s="30"/>
      <c r="U10" s="30"/>
      <c r="V10" s="30"/>
    </row>
    <row r="11" ht="22.5" customHeight="1">
      <c r="A11" s="123" t="s">
        <v>403</v>
      </c>
      <c r="B11" s="27" t="s">
        <v>563</v>
      </c>
      <c r="C11" s="124"/>
      <c r="D11" s="27"/>
      <c r="E11" s="27"/>
      <c r="F11" s="27"/>
      <c r="G11" s="125" t="s">
        <v>548</v>
      </c>
      <c r="H11" s="10">
        <v>45658.0</v>
      </c>
      <c r="I11" s="126" t="s">
        <v>549</v>
      </c>
      <c r="J11" s="38"/>
      <c r="K11" s="38"/>
      <c r="L11" s="127"/>
      <c r="M11" s="127"/>
      <c r="O11" s="128"/>
      <c r="P11" s="121"/>
      <c r="Q11" s="128"/>
      <c r="R11" s="128"/>
      <c r="S11" s="30"/>
      <c r="U11" s="30"/>
      <c r="V11" s="30"/>
    </row>
    <row r="12" ht="22.5" customHeight="1">
      <c r="A12" s="123" t="s">
        <v>403</v>
      </c>
      <c r="B12" s="27" t="s">
        <v>564</v>
      </c>
      <c r="C12" s="124"/>
      <c r="D12" s="27"/>
      <c r="E12" s="27"/>
      <c r="F12" s="27"/>
      <c r="G12" s="125" t="s">
        <v>551</v>
      </c>
      <c r="H12" s="10">
        <v>45658.0</v>
      </c>
      <c r="I12" s="126" t="s">
        <v>549</v>
      </c>
      <c r="J12" s="38"/>
      <c r="K12" s="38"/>
      <c r="L12" s="127"/>
      <c r="M12" s="127"/>
      <c r="O12" s="128"/>
      <c r="P12" s="121"/>
      <c r="Q12" s="128"/>
      <c r="R12" s="128"/>
      <c r="S12" s="30"/>
      <c r="U12" s="30"/>
      <c r="V12" s="30"/>
    </row>
    <row r="13" ht="22.5" customHeight="1">
      <c r="A13" s="123" t="s">
        <v>349</v>
      </c>
      <c r="B13" s="27" t="s">
        <v>566</v>
      </c>
      <c r="C13" s="124"/>
      <c r="D13" s="27"/>
      <c r="E13" s="27"/>
      <c r="F13" s="27"/>
      <c r="G13" s="125" t="s">
        <v>976</v>
      </c>
      <c r="H13" s="10">
        <v>45658.0</v>
      </c>
      <c r="I13" s="126" t="s">
        <v>568</v>
      </c>
      <c r="J13" s="38"/>
      <c r="K13" s="38"/>
      <c r="L13" s="127"/>
      <c r="M13" s="127"/>
      <c r="O13" s="128"/>
      <c r="P13" s="121"/>
      <c r="Q13" s="128"/>
      <c r="R13" s="128"/>
      <c r="S13" s="30"/>
      <c r="U13" s="30"/>
      <c r="V13" s="30"/>
    </row>
    <row r="14" ht="22.5" customHeight="1">
      <c r="A14" s="123" t="s">
        <v>403</v>
      </c>
      <c r="B14" s="27" t="s">
        <v>563</v>
      </c>
      <c r="C14" s="124"/>
      <c r="D14" s="27"/>
      <c r="E14" s="27"/>
      <c r="F14" s="27"/>
      <c r="G14" s="125" t="s">
        <v>548</v>
      </c>
      <c r="H14" s="10">
        <v>45658.0</v>
      </c>
      <c r="I14" s="126" t="s">
        <v>549</v>
      </c>
      <c r="J14" s="38"/>
      <c r="K14" s="38"/>
      <c r="L14" s="127"/>
      <c r="M14" s="127"/>
      <c r="O14" s="128"/>
      <c r="P14" s="121"/>
      <c r="Q14" s="128"/>
      <c r="R14" s="128"/>
      <c r="S14" s="30"/>
      <c r="U14" s="30"/>
      <c r="V14" s="30"/>
    </row>
    <row r="15" ht="22.5" customHeight="1">
      <c r="A15" s="123" t="s">
        <v>403</v>
      </c>
      <c r="B15" s="27" t="s">
        <v>569</v>
      </c>
      <c r="C15" s="124"/>
      <c r="D15" s="27"/>
      <c r="E15" s="27"/>
      <c r="F15" s="27"/>
      <c r="G15" s="125" t="s">
        <v>551</v>
      </c>
      <c r="H15" s="10">
        <v>45658.0</v>
      </c>
      <c r="I15" s="126" t="s">
        <v>549</v>
      </c>
      <c r="J15" s="38"/>
      <c r="K15" s="38"/>
      <c r="L15" s="127"/>
      <c r="M15" s="127"/>
      <c r="O15" s="128"/>
      <c r="P15" s="121"/>
      <c r="Q15" s="128"/>
      <c r="R15" s="128"/>
      <c r="S15" s="30"/>
      <c r="U15" s="30"/>
      <c r="V15" s="30"/>
    </row>
    <row r="16" ht="22.5" customHeight="1">
      <c r="A16" s="123" t="s">
        <v>367</v>
      </c>
      <c r="B16" s="27" t="s">
        <v>570</v>
      </c>
      <c r="C16" s="124"/>
      <c r="D16" s="27"/>
      <c r="E16" s="27"/>
      <c r="F16" s="27"/>
      <c r="G16" s="125" t="s">
        <v>977</v>
      </c>
      <c r="H16" s="10">
        <v>45658.0</v>
      </c>
      <c r="I16" s="126" t="s">
        <v>572</v>
      </c>
      <c r="J16" s="38"/>
      <c r="K16" s="38"/>
      <c r="L16" s="127"/>
      <c r="M16" s="127"/>
      <c r="O16" s="128"/>
      <c r="P16" s="121"/>
      <c r="Q16" s="128"/>
      <c r="R16" s="128"/>
      <c r="S16" s="30"/>
      <c r="U16" s="30"/>
      <c r="V16" s="30"/>
    </row>
    <row r="17" ht="22.5" customHeight="1">
      <c r="A17" s="123" t="s">
        <v>403</v>
      </c>
      <c r="B17" s="27" t="s">
        <v>563</v>
      </c>
      <c r="C17" s="124"/>
      <c r="D17" s="27"/>
      <c r="E17" s="27"/>
      <c r="F17" s="27"/>
      <c r="G17" s="125" t="s">
        <v>548</v>
      </c>
      <c r="H17" s="10">
        <v>45658.0</v>
      </c>
      <c r="I17" s="126" t="s">
        <v>549</v>
      </c>
      <c r="J17" s="38"/>
      <c r="K17" s="38"/>
      <c r="L17" s="127"/>
      <c r="M17" s="127"/>
      <c r="O17" s="128"/>
      <c r="P17" s="121"/>
      <c r="Q17" s="128"/>
      <c r="R17" s="128"/>
      <c r="S17" s="30"/>
      <c r="U17" s="30"/>
      <c r="V17" s="30"/>
    </row>
    <row r="18" ht="22.5" customHeight="1">
      <c r="A18" s="123" t="s">
        <v>403</v>
      </c>
      <c r="B18" s="27" t="s">
        <v>569</v>
      </c>
      <c r="C18" s="124"/>
      <c r="D18" s="27"/>
      <c r="E18" s="27"/>
      <c r="F18" s="27"/>
      <c r="G18" s="125" t="s">
        <v>551</v>
      </c>
      <c r="H18" s="10">
        <v>45658.0</v>
      </c>
      <c r="I18" s="126" t="s">
        <v>549</v>
      </c>
      <c r="J18" s="38"/>
      <c r="K18" s="38"/>
      <c r="L18" s="127"/>
      <c r="M18" s="127"/>
      <c r="O18" s="128"/>
      <c r="P18" s="121"/>
      <c r="Q18" s="128"/>
      <c r="R18" s="128"/>
      <c r="S18" s="30"/>
      <c r="U18" s="30"/>
      <c r="V18" s="30"/>
    </row>
    <row r="19" ht="22.5" customHeight="1">
      <c r="A19" s="123" t="s">
        <v>573</v>
      </c>
      <c r="B19" s="27" t="s">
        <v>574</v>
      </c>
      <c r="C19" s="124"/>
      <c r="D19" s="27"/>
      <c r="E19" s="27"/>
      <c r="F19" s="27"/>
      <c r="G19" s="125" t="s">
        <v>978</v>
      </c>
      <c r="H19" s="10">
        <v>45658.0</v>
      </c>
      <c r="I19" s="126" t="s">
        <v>576</v>
      </c>
      <c r="J19" s="38"/>
      <c r="K19" s="38"/>
      <c r="L19" s="127"/>
      <c r="M19" s="127"/>
      <c r="O19" s="128"/>
      <c r="P19" s="121"/>
      <c r="Q19" s="128"/>
      <c r="R19" s="128"/>
      <c r="S19" s="30"/>
      <c r="U19" s="30"/>
      <c r="V19" s="30"/>
    </row>
    <row r="20" ht="22.5" customHeight="1">
      <c r="A20" s="123" t="s">
        <v>403</v>
      </c>
      <c r="B20" s="27" t="s">
        <v>563</v>
      </c>
      <c r="C20" s="124"/>
      <c r="D20" s="27"/>
      <c r="E20" s="27"/>
      <c r="F20" s="27"/>
      <c r="G20" s="125" t="s">
        <v>548</v>
      </c>
      <c r="H20" s="10">
        <v>45658.0</v>
      </c>
      <c r="I20" s="126" t="s">
        <v>549</v>
      </c>
      <c r="J20" s="38"/>
      <c r="K20" s="38"/>
      <c r="L20" s="127"/>
      <c r="M20" s="127"/>
      <c r="O20" s="128"/>
      <c r="P20" s="121"/>
      <c r="Q20" s="128"/>
      <c r="R20" s="128"/>
      <c r="S20" s="30"/>
      <c r="U20" s="30"/>
      <c r="V20" s="30"/>
    </row>
    <row r="21" ht="22.5" customHeight="1">
      <c r="A21" s="123" t="s">
        <v>403</v>
      </c>
      <c r="B21" s="27" t="s">
        <v>569</v>
      </c>
      <c r="C21" s="124"/>
      <c r="D21" s="27"/>
      <c r="E21" s="27"/>
      <c r="F21" s="27"/>
      <c r="G21" s="125" t="s">
        <v>551</v>
      </c>
      <c r="H21" s="10">
        <v>45658.0</v>
      </c>
      <c r="I21" s="126" t="s">
        <v>549</v>
      </c>
      <c r="J21" s="38"/>
      <c r="K21" s="38"/>
      <c r="L21" s="127"/>
      <c r="M21" s="127"/>
      <c r="O21" s="128"/>
      <c r="P21" s="121"/>
      <c r="Q21" s="128"/>
      <c r="R21" s="128"/>
      <c r="S21" s="30"/>
      <c r="U21" s="30"/>
      <c r="V21" s="30"/>
    </row>
    <row r="22" ht="22.5" customHeight="1">
      <c r="A22" s="129"/>
      <c r="B22" s="27" t="s">
        <v>577</v>
      </c>
      <c r="C22" s="124"/>
      <c r="D22" s="27"/>
      <c r="E22" s="27"/>
      <c r="F22" s="27"/>
      <c r="G22" s="125" t="s">
        <v>979</v>
      </c>
      <c r="H22" s="10">
        <v>45658.0</v>
      </c>
      <c r="I22" s="130"/>
      <c r="J22" s="38"/>
      <c r="K22" s="38"/>
      <c r="L22" s="127"/>
      <c r="M22" s="127"/>
      <c r="O22" s="128"/>
      <c r="P22" s="121"/>
      <c r="Q22" s="128"/>
      <c r="R22" s="128"/>
      <c r="S22" s="30"/>
      <c r="U22" s="30"/>
      <c r="V22" s="30"/>
    </row>
    <row r="23" ht="22.5" customHeight="1">
      <c r="A23" s="123" t="s">
        <v>349</v>
      </c>
      <c r="B23" s="27" t="s">
        <v>579</v>
      </c>
      <c r="C23" s="124"/>
      <c r="D23" s="27"/>
      <c r="E23" s="27"/>
      <c r="F23" s="27"/>
      <c r="G23" s="125" t="s">
        <v>980</v>
      </c>
      <c r="H23" s="10">
        <v>45658.0</v>
      </c>
      <c r="I23" s="126" t="s">
        <v>581</v>
      </c>
      <c r="J23" s="38"/>
      <c r="K23" s="38"/>
      <c r="L23" s="127"/>
      <c r="M23" s="127"/>
      <c r="O23" s="128"/>
      <c r="P23" s="121"/>
      <c r="Q23" s="128"/>
      <c r="R23" s="128"/>
      <c r="S23" s="30"/>
      <c r="U23" s="30"/>
      <c r="V23" s="30"/>
    </row>
    <row r="24" ht="22.5" customHeight="1">
      <c r="A24" s="123" t="s">
        <v>403</v>
      </c>
      <c r="B24" s="27" t="s">
        <v>563</v>
      </c>
      <c r="C24" s="124"/>
      <c r="D24" s="27"/>
      <c r="E24" s="27"/>
      <c r="F24" s="27"/>
      <c r="G24" s="125" t="s">
        <v>548</v>
      </c>
      <c r="H24" s="10">
        <v>45658.0</v>
      </c>
      <c r="I24" s="126" t="s">
        <v>549</v>
      </c>
      <c r="J24" s="38"/>
      <c r="K24" s="38"/>
      <c r="L24" s="127"/>
      <c r="M24" s="127"/>
      <c r="O24" s="128"/>
      <c r="P24" s="121"/>
      <c r="Q24" s="128"/>
      <c r="R24" s="128"/>
      <c r="S24" s="30"/>
      <c r="U24" s="30"/>
      <c r="V24" s="30"/>
    </row>
    <row r="25" ht="22.5" customHeight="1">
      <c r="A25" s="123" t="s">
        <v>403</v>
      </c>
      <c r="B25" s="27" t="s">
        <v>569</v>
      </c>
      <c r="C25" s="124"/>
      <c r="D25" s="27"/>
      <c r="E25" s="27"/>
      <c r="F25" s="27"/>
      <c r="G25" s="125" t="s">
        <v>551</v>
      </c>
      <c r="H25" s="10">
        <v>45658.0</v>
      </c>
      <c r="I25" s="126" t="s">
        <v>549</v>
      </c>
      <c r="J25" s="38"/>
      <c r="K25" s="38"/>
      <c r="L25" s="127"/>
      <c r="M25" s="127"/>
      <c r="O25" s="128"/>
      <c r="P25" s="121"/>
      <c r="Q25" s="128"/>
      <c r="R25" s="128"/>
      <c r="S25" s="30"/>
      <c r="U25" s="30"/>
      <c r="V25" s="30"/>
    </row>
    <row r="26" ht="22.5" customHeight="1">
      <c r="A26" s="123" t="s">
        <v>349</v>
      </c>
      <c r="B26" s="27" t="s">
        <v>582</v>
      </c>
      <c r="C26" s="124"/>
      <c r="D26" s="27"/>
      <c r="E26" s="27"/>
      <c r="F26" s="27"/>
      <c r="G26" s="125" t="s">
        <v>981</v>
      </c>
      <c r="H26" s="10">
        <v>45658.0</v>
      </c>
      <c r="I26" s="126" t="s">
        <v>581</v>
      </c>
      <c r="J26" s="38"/>
      <c r="K26" s="38"/>
      <c r="L26" s="127"/>
      <c r="M26" s="127"/>
      <c r="O26" s="128"/>
      <c r="P26" s="121"/>
      <c r="Q26" s="128"/>
      <c r="R26" s="128"/>
      <c r="S26" s="30"/>
      <c r="U26" s="30"/>
      <c r="V26" s="30"/>
    </row>
    <row r="27" ht="22.5" customHeight="1">
      <c r="A27" s="123" t="s">
        <v>403</v>
      </c>
      <c r="B27" s="27" t="s">
        <v>563</v>
      </c>
      <c r="C27" s="124"/>
      <c r="D27" s="27"/>
      <c r="E27" s="27"/>
      <c r="F27" s="27"/>
      <c r="G27" s="125" t="s">
        <v>548</v>
      </c>
      <c r="H27" s="10">
        <v>45658.0</v>
      </c>
      <c r="I27" s="126" t="s">
        <v>549</v>
      </c>
      <c r="J27" s="38"/>
      <c r="K27" s="38"/>
      <c r="L27" s="127"/>
      <c r="M27" s="127"/>
      <c r="O27" s="128"/>
      <c r="P27" s="121"/>
      <c r="Q27" s="128"/>
      <c r="R27" s="128"/>
      <c r="S27" s="30"/>
      <c r="U27" s="30"/>
      <c r="V27" s="30"/>
    </row>
    <row r="28" ht="22.5" customHeight="1">
      <c r="A28" s="123" t="s">
        <v>403</v>
      </c>
      <c r="B28" s="27" t="s">
        <v>569</v>
      </c>
      <c r="C28" s="124"/>
      <c r="D28" s="27"/>
      <c r="E28" s="27"/>
      <c r="F28" s="27"/>
      <c r="G28" s="125" t="s">
        <v>551</v>
      </c>
      <c r="H28" s="10">
        <v>45658.0</v>
      </c>
      <c r="I28" s="126" t="s">
        <v>549</v>
      </c>
      <c r="J28" s="38"/>
      <c r="K28" s="38"/>
      <c r="L28" s="127"/>
      <c r="M28" s="127"/>
      <c r="O28" s="128"/>
      <c r="P28" s="121"/>
      <c r="Q28" s="128"/>
      <c r="R28" s="128"/>
      <c r="S28" s="30"/>
      <c r="U28" s="30"/>
      <c r="V28" s="30"/>
    </row>
    <row r="29" ht="22.5" customHeight="1">
      <c r="A29" s="123" t="s">
        <v>18</v>
      </c>
      <c r="B29" s="27" t="s">
        <v>584</v>
      </c>
      <c r="C29" s="124"/>
      <c r="D29" s="27"/>
      <c r="E29" s="27"/>
      <c r="F29" s="27"/>
      <c r="G29" s="125" t="s">
        <v>982</v>
      </c>
      <c r="H29" s="10">
        <v>45658.0</v>
      </c>
      <c r="I29" s="126" t="s">
        <v>586</v>
      </c>
      <c r="J29" s="38"/>
      <c r="K29" s="38"/>
      <c r="L29" s="127"/>
      <c r="M29" s="127"/>
      <c r="O29" s="128"/>
      <c r="P29" s="121"/>
      <c r="Q29" s="128"/>
      <c r="R29" s="128"/>
      <c r="S29" s="30"/>
      <c r="U29" s="30"/>
      <c r="V29" s="30"/>
    </row>
    <row r="30" ht="22.5" customHeight="1">
      <c r="A30" s="123" t="s">
        <v>403</v>
      </c>
      <c r="B30" s="27" t="s">
        <v>563</v>
      </c>
      <c r="C30" s="124"/>
      <c r="D30" s="27"/>
      <c r="E30" s="27"/>
      <c r="F30" s="27"/>
      <c r="G30" s="125" t="s">
        <v>548</v>
      </c>
      <c r="H30" s="10">
        <v>45658.0</v>
      </c>
      <c r="I30" s="126" t="s">
        <v>549</v>
      </c>
      <c r="J30" s="38"/>
      <c r="K30" s="38"/>
      <c r="L30" s="127"/>
      <c r="M30" s="127"/>
      <c r="O30" s="128"/>
      <c r="P30" s="121"/>
      <c r="Q30" s="128"/>
      <c r="R30" s="128"/>
      <c r="S30" s="30"/>
      <c r="U30" s="30"/>
      <c r="V30" s="30"/>
    </row>
    <row r="31" ht="22.5" customHeight="1">
      <c r="A31" s="123" t="s">
        <v>403</v>
      </c>
      <c r="B31" s="27" t="s">
        <v>569</v>
      </c>
      <c r="C31" s="124"/>
      <c r="D31" s="27"/>
      <c r="E31" s="27"/>
      <c r="F31" s="27"/>
      <c r="G31" s="125" t="s">
        <v>551</v>
      </c>
      <c r="H31" s="10">
        <v>45658.0</v>
      </c>
      <c r="I31" s="126" t="s">
        <v>549</v>
      </c>
      <c r="J31" s="38"/>
      <c r="K31" s="38"/>
      <c r="L31" s="127"/>
      <c r="M31" s="127"/>
      <c r="O31" s="128"/>
      <c r="P31" s="121"/>
      <c r="Q31" s="128"/>
      <c r="R31" s="128"/>
      <c r="S31" s="30"/>
      <c r="U31" s="30"/>
      <c r="V31" s="30"/>
    </row>
    <row r="32" ht="22.5" customHeight="1">
      <c r="A32" s="123" t="s">
        <v>18</v>
      </c>
      <c r="B32" s="27" t="s">
        <v>587</v>
      </c>
      <c r="C32" s="124"/>
      <c r="D32" s="27"/>
      <c r="E32" s="27"/>
      <c r="F32" s="27"/>
      <c r="G32" s="125" t="s">
        <v>983</v>
      </c>
      <c r="H32" s="10">
        <v>45658.0</v>
      </c>
      <c r="I32" s="126" t="s">
        <v>586</v>
      </c>
      <c r="J32" s="38"/>
      <c r="K32" s="38"/>
      <c r="L32" s="127"/>
      <c r="M32" s="127"/>
      <c r="O32" s="128"/>
      <c r="P32" s="121"/>
      <c r="Q32" s="128"/>
      <c r="R32" s="128"/>
      <c r="S32" s="30"/>
      <c r="U32" s="30"/>
      <c r="V32" s="30"/>
    </row>
    <row r="33" ht="22.5" customHeight="1">
      <c r="A33" s="123" t="s">
        <v>403</v>
      </c>
      <c r="B33" s="27" t="s">
        <v>563</v>
      </c>
      <c r="C33" s="124"/>
      <c r="D33" s="27"/>
      <c r="E33" s="27"/>
      <c r="F33" s="27"/>
      <c r="G33" s="125" t="s">
        <v>548</v>
      </c>
      <c r="H33" s="10">
        <v>45658.0</v>
      </c>
      <c r="I33" s="126" t="s">
        <v>549</v>
      </c>
      <c r="J33" s="38"/>
      <c r="K33" s="38"/>
      <c r="L33" s="127"/>
      <c r="M33" s="127"/>
      <c r="O33" s="128"/>
      <c r="P33" s="121"/>
      <c r="Q33" s="128"/>
      <c r="R33" s="128"/>
      <c r="S33" s="30"/>
      <c r="U33" s="30"/>
      <c r="V33" s="30"/>
    </row>
    <row r="34" ht="22.5" customHeight="1">
      <c r="A34" s="123" t="s">
        <v>403</v>
      </c>
      <c r="B34" s="27" t="s">
        <v>569</v>
      </c>
      <c r="C34" s="124"/>
      <c r="D34" s="27"/>
      <c r="E34" s="27"/>
      <c r="F34" s="27"/>
      <c r="G34" s="125" t="s">
        <v>551</v>
      </c>
      <c r="H34" s="10">
        <v>45658.0</v>
      </c>
      <c r="I34" s="126" t="s">
        <v>549</v>
      </c>
      <c r="J34" s="38"/>
      <c r="K34" s="38"/>
      <c r="L34" s="127"/>
      <c r="M34" s="127"/>
      <c r="O34" s="128"/>
      <c r="P34" s="121"/>
      <c r="Q34" s="128"/>
      <c r="R34" s="128"/>
      <c r="S34" s="30"/>
      <c r="U34" s="30"/>
      <c r="V34" s="30"/>
    </row>
    <row r="35" ht="22.5" customHeight="1">
      <c r="A35" s="123" t="s">
        <v>18</v>
      </c>
      <c r="B35" s="27" t="s">
        <v>589</v>
      </c>
      <c r="C35" s="124"/>
      <c r="D35" s="27"/>
      <c r="E35" s="27"/>
      <c r="F35" s="27"/>
      <c r="G35" s="125" t="s">
        <v>984</v>
      </c>
      <c r="H35" s="10">
        <v>45658.0</v>
      </c>
      <c r="I35" s="126" t="s">
        <v>586</v>
      </c>
      <c r="J35" s="38"/>
      <c r="K35" s="38"/>
      <c r="L35" s="127"/>
      <c r="M35" s="127"/>
      <c r="O35" s="128"/>
      <c r="P35" s="121"/>
      <c r="Q35" s="128"/>
      <c r="R35" s="128"/>
      <c r="S35" s="30"/>
      <c r="U35" s="30"/>
      <c r="V35" s="30"/>
    </row>
    <row r="36" ht="22.5" customHeight="1">
      <c r="A36" s="123" t="s">
        <v>403</v>
      </c>
      <c r="B36" s="27" t="s">
        <v>591</v>
      </c>
      <c r="C36" s="124"/>
      <c r="D36" s="27"/>
      <c r="E36" s="27"/>
      <c r="F36" s="27"/>
      <c r="G36" s="125" t="s">
        <v>548</v>
      </c>
      <c r="H36" s="10">
        <v>45658.0</v>
      </c>
      <c r="I36" s="126" t="s">
        <v>549</v>
      </c>
      <c r="J36" s="38"/>
      <c r="K36" s="38"/>
      <c r="L36" s="127"/>
      <c r="M36" s="127"/>
      <c r="O36" s="128"/>
      <c r="P36" s="121"/>
      <c r="Q36" s="128"/>
      <c r="R36" s="128"/>
      <c r="S36" s="30"/>
      <c r="U36" s="30"/>
      <c r="V36" s="30"/>
    </row>
    <row r="37" ht="22.5" customHeight="1">
      <c r="A37" s="123" t="s">
        <v>403</v>
      </c>
      <c r="B37" s="27" t="s">
        <v>592</v>
      </c>
      <c r="C37" s="124"/>
      <c r="D37" s="27"/>
      <c r="E37" s="27"/>
      <c r="F37" s="27"/>
      <c r="G37" s="125" t="s">
        <v>551</v>
      </c>
      <c r="H37" s="10">
        <v>45658.0</v>
      </c>
      <c r="I37" s="126" t="s">
        <v>549</v>
      </c>
      <c r="J37" s="38"/>
      <c r="K37" s="38"/>
      <c r="L37" s="127"/>
      <c r="M37" s="127"/>
      <c r="O37" s="128"/>
      <c r="P37" s="121"/>
      <c r="Q37" s="128"/>
      <c r="R37" s="128"/>
      <c r="S37" s="30"/>
      <c r="U37" s="30"/>
      <c r="V37" s="30"/>
    </row>
    <row r="38" ht="22.5" customHeight="1">
      <c r="A38" s="123" t="s">
        <v>18</v>
      </c>
      <c r="B38" s="27" t="s">
        <v>593</v>
      </c>
      <c r="C38" s="124"/>
      <c r="D38" s="27"/>
      <c r="E38" s="27"/>
      <c r="F38" s="27"/>
      <c r="G38" s="125" t="s">
        <v>985</v>
      </c>
      <c r="H38" s="10">
        <v>45658.0</v>
      </c>
      <c r="I38" s="126" t="s">
        <v>586</v>
      </c>
      <c r="J38" s="38"/>
      <c r="K38" s="38"/>
      <c r="L38" s="127"/>
      <c r="M38" s="127"/>
      <c r="O38" s="128"/>
      <c r="P38" s="121"/>
      <c r="Q38" s="128"/>
      <c r="R38" s="128"/>
      <c r="S38" s="30"/>
      <c r="U38" s="30"/>
      <c r="V38" s="30"/>
    </row>
    <row r="39" ht="22.5" customHeight="1">
      <c r="A39" s="123" t="s">
        <v>18</v>
      </c>
      <c r="B39" s="27" t="s">
        <v>595</v>
      </c>
      <c r="C39" s="124"/>
      <c r="D39" s="27"/>
      <c r="E39" s="27"/>
      <c r="F39" s="27"/>
      <c r="G39" s="125" t="s">
        <v>986</v>
      </c>
      <c r="H39" s="10">
        <v>45658.0</v>
      </c>
      <c r="I39" s="126" t="s">
        <v>586</v>
      </c>
      <c r="J39" s="38"/>
      <c r="K39" s="38"/>
      <c r="L39" s="127"/>
      <c r="M39" s="127"/>
      <c r="O39" s="128"/>
      <c r="P39" s="121"/>
      <c r="Q39" s="128"/>
      <c r="R39" s="128"/>
      <c r="S39" s="30"/>
      <c r="U39" s="30"/>
      <c r="V39" s="30"/>
    </row>
    <row r="40" ht="22.5" customHeight="1">
      <c r="A40" s="123" t="s">
        <v>403</v>
      </c>
      <c r="B40" s="27" t="s">
        <v>591</v>
      </c>
      <c r="C40" s="124"/>
      <c r="D40" s="27"/>
      <c r="E40" s="27"/>
      <c r="F40" s="27"/>
      <c r="G40" s="125" t="s">
        <v>548</v>
      </c>
      <c r="H40" s="10">
        <v>45658.0</v>
      </c>
      <c r="I40" s="126" t="s">
        <v>549</v>
      </c>
      <c r="J40" s="38"/>
      <c r="K40" s="38"/>
      <c r="L40" s="127"/>
      <c r="M40" s="127"/>
      <c r="O40" s="128"/>
      <c r="P40" s="121"/>
      <c r="Q40" s="128"/>
      <c r="R40" s="128"/>
      <c r="S40" s="30"/>
      <c r="U40" s="30"/>
      <c r="V40" s="30"/>
    </row>
    <row r="41" ht="22.5" customHeight="1">
      <c r="A41" s="123" t="s">
        <v>403</v>
      </c>
      <c r="B41" s="27" t="s">
        <v>592</v>
      </c>
      <c r="C41" s="124"/>
      <c r="D41" s="27"/>
      <c r="E41" s="27"/>
      <c r="F41" s="27"/>
      <c r="G41" s="125" t="s">
        <v>551</v>
      </c>
      <c r="H41" s="10">
        <v>45658.0</v>
      </c>
      <c r="I41" s="126" t="s">
        <v>549</v>
      </c>
      <c r="J41" s="38"/>
      <c r="K41" s="38"/>
      <c r="L41" s="127"/>
      <c r="M41" s="127"/>
      <c r="O41" s="128"/>
      <c r="P41" s="121"/>
      <c r="Q41" s="128"/>
      <c r="R41" s="128"/>
      <c r="S41" s="30"/>
      <c r="U41" s="30"/>
      <c r="V41" s="30"/>
    </row>
    <row r="42" ht="22.5" customHeight="1">
      <c r="A42" s="123" t="s">
        <v>18</v>
      </c>
      <c r="B42" s="27" t="s">
        <v>597</v>
      </c>
      <c r="C42" s="124"/>
      <c r="D42" s="27"/>
      <c r="E42" s="27"/>
      <c r="F42" s="27"/>
      <c r="G42" s="125" t="s">
        <v>987</v>
      </c>
      <c r="H42" s="10">
        <v>45658.0</v>
      </c>
      <c r="I42" s="126" t="s">
        <v>586</v>
      </c>
      <c r="J42" s="38"/>
      <c r="K42" s="38"/>
      <c r="L42" s="127"/>
      <c r="M42" s="127"/>
      <c r="O42" s="128"/>
      <c r="P42" s="121"/>
      <c r="Q42" s="128"/>
      <c r="R42" s="128"/>
      <c r="S42" s="30"/>
      <c r="U42" s="30"/>
      <c r="V42" s="30"/>
    </row>
    <row r="43" ht="22.5" customHeight="1">
      <c r="A43" s="123" t="s">
        <v>403</v>
      </c>
      <c r="B43" s="27" t="s">
        <v>591</v>
      </c>
      <c r="C43" s="124"/>
      <c r="D43" s="27"/>
      <c r="E43" s="27"/>
      <c r="F43" s="27"/>
      <c r="G43" s="125" t="s">
        <v>548</v>
      </c>
      <c r="H43" s="10">
        <v>45658.0</v>
      </c>
      <c r="I43" s="126" t="s">
        <v>549</v>
      </c>
      <c r="J43" s="38"/>
      <c r="K43" s="38"/>
      <c r="L43" s="127"/>
      <c r="M43" s="127"/>
      <c r="O43" s="128"/>
      <c r="P43" s="121"/>
      <c r="Q43" s="128"/>
      <c r="R43" s="128"/>
      <c r="S43" s="30"/>
      <c r="U43" s="30"/>
      <c r="V43" s="30"/>
    </row>
    <row r="44" ht="22.5" customHeight="1">
      <c r="A44" s="123" t="s">
        <v>403</v>
      </c>
      <c r="B44" s="27" t="s">
        <v>592</v>
      </c>
      <c r="C44" s="124"/>
      <c r="D44" s="27"/>
      <c r="E44" s="27"/>
      <c r="F44" s="27"/>
      <c r="G44" s="125" t="s">
        <v>551</v>
      </c>
      <c r="H44" s="10">
        <v>45658.0</v>
      </c>
      <c r="I44" s="126" t="s">
        <v>549</v>
      </c>
      <c r="J44" s="38"/>
      <c r="K44" s="38"/>
      <c r="L44" s="127"/>
      <c r="M44" s="127"/>
      <c r="O44" s="128"/>
      <c r="P44" s="121"/>
      <c r="Q44" s="128"/>
      <c r="R44" s="128"/>
      <c r="S44" s="30"/>
      <c r="U44" s="30"/>
      <c r="V44" s="30"/>
    </row>
    <row r="45" ht="22.5" customHeight="1">
      <c r="A45" s="123" t="s">
        <v>18</v>
      </c>
      <c r="B45" s="27" t="s">
        <v>599</v>
      </c>
      <c r="C45" s="124"/>
      <c r="D45" s="27"/>
      <c r="E45" s="27"/>
      <c r="F45" s="27"/>
      <c r="G45" s="125" t="s">
        <v>988</v>
      </c>
      <c r="H45" s="10">
        <v>45658.0</v>
      </c>
      <c r="I45" s="126" t="s">
        <v>586</v>
      </c>
      <c r="J45" s="38"/>
      <c r="K45" s="38"/>
      <c r="L45" s="127"/>
      <c r="M45" s="127"/>
      <c r="O45" s="128"/>
      <c r="P45" s="121"/>
      <c r="Q45" s="128"/>
      <c r="R45" s="128"/>
      <c r="S45" s="30"/>
      <c r="U45" s="30"/>
      <c r="V45" s="30"/>
    </row>
    <row r="46" ht="22.5" customHeight="1">
      <c r="A46" s="123" t="s">
        <v>403</v>
      </c>
      <c r="B46" s="27" t="s">
        <v>591</v>
      </c>
      <c r="C46" s="124"/>
      <c r="D46" s="27"/>
      <c r="E46" s="27"/>
      <c r="F46" s="27"/>
      <c r="G46" s="125" t="s">
        <v>548</v>
      </c>
      <c r="H46" s="10">
        <v>45658.0</v>
      </c>
      <c r="I46" s="126" t="s">
        <v>549</v>
      </c>
      <c r="J46" s="38"/>
      <c r="K46" s="38"/>
      <c r="L46" s="127"/>
      <c r="M46" s="127"/>
      <c r="O46" s="128"/>
      <c r="P46" s="121"/>
      <c r="Q46" s="128"/>
      <c r="R46" s="128"/>
      <c r="S46" s="30"/>
      <c r="U46" s="30"/>
      <c r="V46" s="30"/>
    </row>
    <row r="47" ht="22.5" customHeight="1">
      <c r="A47" s="123" t="s">
        <v>403</v>
      </c>
      <c r="B47" s="27" t="s">
        <v>592</v>
      </c>
      <c r="C47" s="124"/>
      <c r="D47" s="27"/>
      <c r="E47" s="27"/>
      <c r="F47" s="27"/>
      <c r="G47" s="125" t="s">
        <v>551</v>
      </c>
      <c r="H47" s="10">
        <v>45658.0</v>
      </c>
      <c r="I47" s="126" t="s">
        <v>549</v>
      </c>
      <c r="J47" s="38"/>
      <c r="K47" s="38"/>
      <c r="L47" s="127"/>
      <c r="M47" s="127"/>
      <c r="O47" s="128"/>
      <c r="P47" s="121"/>
      <c r="Q47" s="128"/>
      <c r="R47" s="128"/>
      <c r="S47" s="30"/>
      <c r="U47" s="30"/>
      <c r="V47" s="30"/>
    </row>
    <row r="48" ht="22.5" customHeight="1">
      <c r="A48" s="123" t="s">
        <v>483</v>
      </c>
      <c r="B48" s="131" t="s">
        <v>601</v>
      </c>
      <c r="C48" s="124"/>
      <c r="D48" s="27"/>
      <c r="E48" s="27"/>
      <c r="F48" s="27"/>
      <c r="G48" s="125" t="s">
        <v>989</v>
      </c>
      <c r="H48" s="10">
        <v>45658.0</v>
      </c>
      <c r="I48" s="126" t="s">
        <v>603</v>
      </c>
      <c r="J48" s="38"/>
      <c r="K48" s="38"/>
      <c r="L48" s="127"/>
      <c r="M48" s="127"/>
      <c r="O48" s="128"/>
      <c r="P48" s="121"/>
      <c r="Q48" s="128"/>
      <c r="R48" s="128"/>
      <c r="S48" s="38"/>
      <c r="U48" s="30"/>
      <c r="V48" s="30"/>
    </row>
    <row r="49" ht="22.5" customHeight="1">
      <c r="A49" s="123" t="s">
        <v>487</v>
      </c>
      <c r="B49" s="27" t="s">
        <v>604</v>
      </c>
      <c r="C49" s="124"/>
      <c r="D49" s="27"/>
      <c r="E49" s="27"/>
      <c r="F49" s="27"/>
      <c r="G49" s="125" t="s">
        <v>990</v>
      </c>
      <c r="H49" s="10">
        <v>45658.0</v>
      </c>
      <c r="I49" s="126" t="s">
        <v>606</v>
      </c>
      <c r="J49" s="38"/>
      <c r="K49" s="38"/>
      <c r="L49" s="127"/>
      <c r="M49" s="127"/>
      <c r="O49" s="128"/>
      <c r="P49" s="121"/>
      <c r="Q49" s="128"/>
      <c r="R49" s="128"/>
      <c r="S49" s="30"/>
      <c r="U49" s="30"/>
      <c r="V49" s="30"/>
    </row>
    <row r="50" ht="22.5" customHeight="1">
      <c r="A50" s="123" t="s">
        <v>487</v>
      </c>
      <c r="B50" s="27" t="s">
        <v>607</v>
      </c>
      <c r="C50" s="124"/>
      <c r="D50" s="27"/>
      <c r="E50" s="27"/>
      <c r="F50" s="27"/>
      <c r="G50" s="125" t="s">
        <v>991</v>
      </c>
      <c r="H50" s="10">
        <v>45658.0</v>
      </c>
      <c r="I50" s="126" t="s">
        <v>609</v>
      </c>
      <c r="J50" s="38"/>
      <c r="K50" s="38"/>
      <c r="L50" s="127"/>
      <c r="M50" s="127"/>
      <c r="O50" s="128"/>
      <c r="P50" s="121"/>
      <c r="Q50" s="128"/>
      <c r="R50" s="128"/>
      <c r="S50" s="30"/>
      <c r="U50" s="30"/>
      <c r="V50" s="30"/>
    </row>
    <row r="51" ht="22.5" customHeight="1">
      <c r="A51" s="123" t="s">
        <v>389</v>
      </c>
      <c r="B51" s="27" t="s">
        <v>610</v>
      </c>
      <c r="C51" s="124"/>
      <c r="D51" s="27"/>
      <c r="E51" s="27"/>
      <c r="F51" s="27"/>
      <c r="G51" s="125" t="s">
        <v>992</v>
      </c>
      <c r="H51" s="10">
        <v>45658.0</v>
      </c>
      <c r="I51" s="126" t="s">
        <v>556</v>
      </c>
      <c r="J51" s="38"/>
      <c r="K51" s="38"/>
      <c r="L51" s="127"/>
      <c r="M51" s="127"/>
      <c r="O51" s="128"/>
      <c r="P51" s="121"/>
      <c r="Q51" s="128"/>
      <c r="R51" s="128"/>
      <c r="S51" s="30"/>
      <c r="U51" s="30"/>
      <c r="V51" s="30"/>
    </row>
    <row r="52" ht="22.5" customHeight="1">
      <c r="A52" s="123" t="s">
        <v>437</v>
      </c>
      <c r="B52" s="27" t="s">
        <v>611</v>
      </c>
      <c r="C52" s="124"/>
      <c r="D52" s="27"/>
      <c r="E52" s="27"/>
      <c r="F52" s="27"/>
      <c r="G52" s="125" t="s">
        <v>993</v>
      </c>
      <c r="H52" s="10">
        <v>45658.0</v>
      </c>
      <c r="I52" s="126" t="s">
        <v>613</v>
      </c>
      <c r="J52" s="38"/>
      <c r="K52" s="38"/>
      <c r="L52" s="127"/>
      <c r="M52" s="127"/>
      <c r="O52" s="128"/>
      <c r="P52" s="121"/>
      <c r="Q52" s="128"/>
      <c r="R52" s="128"/>
      <c r="S52" s="30"/>
      <c r="U52" s="30"/>
      <c r="V52" s="30"/>
    </row>
    <row r="53" ht="22.5" customHeight="1">
      <c r="A53" s="123" t="s">
        <v>403</v>
      </c>
      <c r="B53" s="27" t="s">
        <v>614</v>
      </c>
      <c r="C53" s="124"/>
      <c r="D53" s="27"/>
      <c r="E53" s="27"/>
      <c r="F53" s="27"/>
      <c r="G53" s="125" t="s">
        <v>548</v>
      </c>
      <c r="H53" s="10">
        <v>45658.0</v>
      </c>
      <c r="I53" s="126" t="s">
        <v>549</v>
      </c>
      <c r="J53" s="38"/>
      <c r="K53" s="38"/>
      <c r="L53" s="127"/>
      <c r="M53" s="127"/>
      <c r="O53" s="128"/>
      <c r="P53" s="121"/>
      <c r="Q53" s="128"/>
      <c r="R53" s="128"/>
      <c r="S53" s="30"/>
      <c r="U53" s="30"/>
      <c r="V53" s="30"/>
    </row>
    <row r="54" ht="22.5" customHeight="1">
      <c r="A54" s="123" t="s">
        <v>403</v>
      </c>
      <c r="B54" s="27" t="s">
        <v>615</v>
      </c>
      <c r="C54" s="124"/>
      <c r="D54" s="27"/>
      <c r="E54" s="27"/>
      <c r="F54" s="27"/>
      <c r="G54" s="125" t="s">
        <v>551</v>
      </c>
      <c r="H54" s="10">
        <v>45658.0</v>
      </c>
      <c r="I54" s="126" t="s">
        <v>549</v>
      </c>
      <c r="J54" s="38"/>
      <c r="K54" s="38"/>
      <c r="L54" s="127"/>
      <c r="M54" s="127"/>
      <c r="O54" s="128"/>
      <c r="P54" s="121"/>
      <c r="Q54" s="128"/>
      <c r="R54" s="128"/>
      <c r="S54" s="30"/>
      <c r="U54" s="30"/>
      <c r="V54" s="30"/>
    </row>
    <row r="55" ht="22.5" customHeight="1">
      <c r="A55" s="123" t="s">
        <v>389</v>
      </c>
      <c r="B55" s="27" t="s">
        <v>616</v>
      </c>
      <c r="C55" s="124"/>
      <c r="D55" s="27"/>
      <c r="E55" s="27"/>
      <c r="F55" s="27"/>
      <c r="G55" s="125" t="s">
        <v>994</v>
      </c>
      <c r="H55" s="10">
        <v>45658.0</v>
      </c>
      <c r="I55" s="126" t="s">
        <v>617</v>
      </c>
      <c r="J55" s="38"/>
      <c r="K55" s="38"/>
      <c r="L55" s="127"/>
      <c r="M55" s="127"/>
      <c r="O55" s="128"/>
      <c r="P55" s="121"/>
      <c r="Q55" s="128"/>
      <c r="R55" s="128"/>
      <c r="S55" s="30"/>
      <c r="U55" s="30"/>
      <c r="V55" s="30"/>
    </row>
    <row r="56" ht="22.5" customHeight="1">
      <c r="A56" s="123" t="s">
        <v>403</v>
      </c>
      <c r="B56" s="27" t="s">
        <v>614</v>
      </c>
      <c r="C56" s="124"/>
      <c r="D56" s="27"/>
      <c r="E56" s="27"/>
      <c r="F56" s="27"/>
      <c r="G56" s="125" t="s">
        <v>548</v>
      </c>
      <c r="H56" s="10">
        <v>45658.0</v>
      </c>
      <c r="I56" s="126" t="s">
        <v>549</v>
      </c>
      <c r="J56" s="38"/>
      <c r="K56" s="38"/>
      <c r="L56" s="127"/>
      <c r="M56" s="127"/>
      <c r="O56" s="128"/>
      <c r="P56" s="121"/>
      <c r="Q56" s="128"/>
      <c r="R56" s="128"/>
      <c r="S56" s="30"/>
      <c r="U56" s="30"/>
      <c r="V56" s="30"/>
    </row>
    <row r="57" ht="22.5" customHeight="1">
      <c r="A57" s="123" t="s">
        <v>403</v>
      </c>
      <c r="B57" s="27" t="s">
        <v>615</v>
      </c>
      <c r="C57" s="124"/>
      <c r="D57" s="27"/>
      <c r="E57" s="27"/>
      <c r="F57" s="27"/>
      <c r="G57" s="125" t="s">
        <v>551</v>
      </c>
      <c r="H57" s="10">
        <v>45658.0</v>
      </c>
      <c r="I57" s="126" t="s">
        <v>549</v>
      </c>
      <c r="J57" s="38"/>
      <c r="K57" s="38"/>
      <c r="L57" s="127"/>
      <c r="M57" s="127"/>
      <c r="O57" s="128"/>
      <c r="P57" s="121"/>
      <c r="Q57" s="128"/>
      <c r="R57" s="128"/>
      <c r="S57" s="30"/>
      <c r="U57" s="30"/>
      <c r="V57" s="30"/>
    </row>
    <row r="58" ht="22.5" customHeight="1">
      <c r="A58" s="123" t="s">
        <v>389</v>
      </c>
      <c r="B58" s="27" t="s">
        <v>618</v>
      </c>
      <c r="C58" s="124"/>
      <c r="D58" s="27"/>
      <c r="E58" s="27"/>
      <c r="F58" s="27"/>
      <c r="G58" s="125" t="s">
        <v>995</v>
      </c>
      <c r="H58" s="10">
        <v>45658.0</v>
      </c>
      <c r="I58" s="126" t="s">
        <v>556</v>
      </c>
      <c r="J58" s="38"/>
      <c r="K58" s="38"/>
      <c r="L58" s="127"/>
      <c r="M58" s="127"/>
      <c r="O58" s="128"/>
      <c r="P58" s="121"/>
      <c r="Q58" s="128"/>
      <c r="R58" s="128"/>
      <c r="S58" s="30"/>
      <c r="U58" s="30"/>
      <c r="V58" s="30"/>
    </row>
    <row r="59" ht="22.5" customHeight="1">
      <c r="A59" s="123" t="s">
        <v>403</v>
      </c>
      <c r="B59" s="27" t="s">
        <v>614</v>
      </c>
      <c r="C59" s="124"/>
      <c r="D59" s="27"/>
      <c r="E59" s="27"/>
      <c r="F59" s="27"/>
      <c r="G59" s="125" t="s">
        <v>548</v>
      </c>
      <c r="H59" s="10">
        <v>45658.0</v>
      </c>
      <c r="I59" s="126" t="s">
        <v>549</v>
      </c>
      <c r="J59" s="38"/>
      <c r="K59" s="38"/>
      <c r="L59" s="127"/>
      <c r="M59" s="127"/>
      <c r="O59" s="128"/>
      <c r="P59" s="121"/>
      <c r="Q59" s="128"/>
      <c r="R59" s="128"/>
      <c r="S59" s="30"/>
      <c r="U59" s="30"/>
      <c r="V59" s="30"/>
    </row>
    <row r="60" ht="22.5" customHeight="1">
      <c r="A60" s="123" t="s">
        <v>403</v>
      </c>
      <c r="B60" s="27" t="s">
        <v>615</v>
      </c>
      <c r="C60" s="124"/>
      <c r="D60" s="27"/>
      <c r="E60" s="27"/>
      <c r="F60" s="27"/>
      <c r="G60" s="125" t="s">
        <v>551</v>
      </c>
      <c r="H60" s="10">
        <v>45658.0</v>
      </c>
      <c r="I60" s="126" t="s">
        <v>549</v>
      </c>
      <c r="J60" s="38"/>
      <c r="K60" s="38"/>
      <c r="L60" s="127"/>
      <c r="M60" s="127"/>
      <c r="O60" s="128"/>
      <c r="P60" s="121"/>
      <c r="Q60" s="128"/>
      <c r="R60" s="128"/>
      <c r="S60" s="30"/>
      <c r="U60" s="30"/>
      <c r="V60" s="30"/>
    </row>
    <row r="61" ht="22.5" customHeight="1">
      <c r="A61" s="123" t="s">
        <v>389</v>
      </c>
      <c r="B61" s="27" t="s">
        <v>620</v>
      </c>
      <c r="C61" s="124"/>
      <c r="D61" s="27"/>
      <c r="E61" s="27"/>
      <c r="F61" s="27"/>
      <c r="G61" s="125" t="s">
        <v>996</v>
      </c>
      <c r="H61" s="10">
        <v>45658.0</v>
      </c>
      <c r="I61" s="126" t="s">
        <v>556</v>
      </c>
      <c r="J61" s="38"/>
      <c r="K61" s="38"/>
      <c r="L61" s="127"/>
      <c r="M61" s="127"/>
      <c r="O61" s="128"/>
      <c r="P61" s="121"/>
      <c r="Q61" s="128"/>
      <c r="R61" s="128"/>
      <c r="S61" s="30"/>
      <c r="U61" s="30"/>
      <c r="V61" s="30"/>
    </row>
    <row r="62" ht="22.5" customHeight="1">
      <c r="A62" s="123" t="s">
        <v>403</v>
      </c>
      <c r="B62" s="27" t="s">
        <v>614</v>
      </c>
      <c r="C62" s="124"/>
      <c r="D62" s="27"/>
      <c r="E62" s="27"/>
      <c r="F62" s="27"/>
      <c r="G62" s="125" t="s">
        <v>548</v>
      </c>
      <c r="H62" s="10">
        <v>45658.0</v>
      </c>
      <c r="I62" s="126" t="s">
        <v>549</v>
      </c>
      <c r="J62" s="38"/>
      <c r="K62" s="38"/>
      <c r="L62" s="127"/>
      <c r="M62" s="127"/>
      <c r="O62" s="128"/>
      <c r="P62" s="121"/>
      <c r="Q62" s="128"/>
      <c r="R62" s="128"/>
      <c r="S62" s="30"/>
      <c r="U62" s="30"/>
      <c r="V62" s="30"/>
    </row>
    <row r="63" ht="22.5" customHeight="1">
      <c r="A63" s="123" t="s">
        <v>403</v>
      </c>
      <c r="B63" s="27" t="s">
        <v>621</v>
      </c>
      <c r="C63" s="124"/>
      <c r="D63" s="27"/>
      <c r="E63" s="27"/>
      <c r="F63" s="27"/>
      <c r="G63" s="125" t="s">
        <v>551</v>
      </c>
      <c r="H63" s="10">
        <v>45658.0</v>
      </c>
      <c r="I63" s="126" t="s">
        <v>549</v>
      </c>
      <c r="J63" s="38"/>
      <c r="K63" s="38"/>
      <c r="L63" s="127"/>
      <c r="M63" s="127"/>
      <c r="O63" s="128"/>
      <c r="P63" s="121"/>
      <c r="Q63" s="128"/>
      <c r="R63" s="128"/>
      <c r="S63" s="30"/>
      <c r="U63" s="30"/>
      <c r="V63" s="30"/>
    </row>
    <row r="64" ht="22.5" customHeight="1">
      <c r="A64" s="123" t="s">
        <v>378</v>
      </c>
      <c r="B64" s="27" t="s">
        <v>622</v>
      </c>
      <c r="C64" s="124"/>
      <c r="D64" s="27"/>
      <c r="E64" s="27"/>
      <c r="F64" s="27"/>
      <c r="G64" s="125" t="s">
        <v>997</v>
      </c>
      <c r="H64" s="10">
        <v>45658.0</v>
      </c>
      <c r="I64" s="126" t="s">
        <v>623</v>
      </c>
      <c r="J64" s="38"/>
      <c r="K64" s="38"/>
      <c r="L64" s="127"/>
      <c r="M64" s="127"/>
      <c r="O64" s="128"/>
      <c r="P64" s="121"/>
      <c r="Q64" s="128"/>
      <c r="R64" s="128"/>
      <c r="S64" s="30"/>
      <c r="U64" s="30"/>
      <c r="V64" s="30"/>
    </row>
    <row r="65" ht="22.5" customHeight="1">
      <c r="A65" s="123" t="s">
        <v>403</v>
      </c>
      <c r="B65" s="27" t="s">
        <v>614</v>
      </c>
      <c r="C65" s="124"/>
      <c r="D65" s="27"/>
      <c r="E65" s="27"/>
      <c r="F65" s="27"/>
      <c r="G65" s="125" t="s">
        <v>548</v>
      </c>
      <c r="H65" s="10">
        <v>45658.0</v>
      </c>
      <c r="I65" s="126" t="s">
        <v>549</v>
      </c>
      <c r="J65" s="38"/>
      <c r="K65" s="38"/>
      <c r="L65" s="127"/>
      <c r="M65" s="127"/>
      <c r="O65" s="128"/>
      <c r="P65" s="121"/>
      <c r="Q65" s="128"/>
      <c r="R65" s="128"/>
      <c r="S65" s="30"/>
      <c r="U65" s="30"/>
      <c r="V65" s="30"/>
    </row>
    <row r="66" ht="22.5" customHeight="1">
      <c r="A66" s="123" t="s">
        <v>403</v>
      </c>
      <c r="B66" s="27" t="s">
        <v>615</v>
      </c>
      <c r="C66" s="124"/>
      <c r="D66" s="27"/>
      <c r="E66" s="27"/>
      <c r="F66" s="27"/>
      <c r="G66" s="125" t="s">
        <v>551</v>
      </c>
      <c r="H66" s="10">
        <v>45658.0</v>
      </c>
      <c r="I66" s="126" t="s">
        <v>549</v>
      </c>
      <c r="J66" s="38"/>
      <c r="K66" s="38"/>
      <c r="L66" s="127"/>
      <c r="M66" s="127"/>
      <c r="O66" s="128"/>
      <c r="P66" s="121"/>
      <c r="Q66" s="128"/>
      <c r="R66" s="128"/>
      <c r="S66" s="30"/>
      <c r="U66" s="30"/>
      <c r="V66" s="30"/>
    </row>
    <row r="67" ht="22.5" customHeight="1">
      <c r="A67" s="123" t="s">
        <v>528</v>
      </c>
      <c r="B67" s="27" t="s">
        <v>624</v>
      </c>
      <c r="C67" s="124"/>
      <c r="D67" s="27"/>
      <c r="E67" s="27"/>
      <c r="F67" s="27"/>
      <c r="G67" s="125" t="s">
        <v>998</v>
      </c>
      <c r="H67" s="10">
        <v>45658.0</v>
      </c>
      <c r="I67" s="126" t="s">
        <v>625</v>
      </c>
      <c r="J67" s="38"/>
      <c r="K67" s="38"/>
      <c r="L67" s="127"/>
      <c r="M67" s="127"/>
      <c r="O67" s="128"/>
      <c r="P67" s="121"/>
      <c r="Q67" s="128"/>
      <c r="R67" s="128"/>
      <c r="S67" s="30"/>
      <c r="U67" s="30"/>
      <c r="V67" s="30"/>
    </row>
    <row r="68" ht="22.5" customHeight="1">
      <c r="A68" s="123" t="s">
        <v>528</v>
      </c>
      <c r="B68" s="27" t="s">
        <v>626</v>
      </c>
      <c r="C68" s="124"/>
      <c r="D68" s="27"/>
      <c r="E68" s="27"/>
      <c r="F68" s="27"/>
      <c r="G68" s="125" t="s">
        <v>999</v>
      </c>
      <c r="H68" s="10">
        <v>45658.0</v>
      </c>
      <c r="I68" s="126" t="s">
        <v>625</v>
      </c>
      <c r="J68" s="38"/>
      <c r="K68" s="38"/>
      <c r="L68" s="127"/>
      <c r="M68" s="127"/>
      <c r="O68" s="128"/>
      <c r="P68" s="121"/>
      <c r="Q68" s="128"/>
      <c r="R68" s="128"/>
      <c r="S68" s="30"/>
      <c r="U68" s="30"/>
      <c r="V68" s="30"/>
    </row>
    <row r="69" ht="22.5" customHeight="1">
      <c r="A69" s="123" t="s">
        <v>573</v>
      </c>
      <c r="B69" s="27" t="s">
        <v>627</v>
      </c>
      <c r="C69" s="124"/>
      <c r="D69" s="27"/>
      <c r="E69" s="27"/>
      <c r="F69" s="27"/>
      <c r="G69" s="125" t="s">
        <v>1000</v>
      </c>
      <c r="H69" s="10">
        <v>45658.0</v>
      </c>
      <c r="I69" s="126" t="s">
        <v>628</v>
      </c>
      <c r="J69" s="38"/>
      <c r="K69" s="38"/>
      <c r="L69" s="127"/>
      <c r="M69" s="127"/>
      <c r="O69" s="128"/>
      <c r="P69" s="121"/>
      <c r="Q69" s="128"/>
      <c r="R69" s="128"/>
      <c r="S69" s="30"/>
      <c r="U69" s="30"/>
      <c r="V69" s="30"/>
    </row>
    <row r="70" ht="22.5" customHeight="1">
      <c r="A70" s="123" t="s">
        <v>403</v>
      </c>
      <c r="B70" s="27" t="s">
        <v>614</v>
      </c>
      <c r="C70" s="124"/>
      <c r="D70" s="27"/>
      <c r="E70" s="27"/>
      <c r="F70" s="27"/>
      <c r="G70" s="125" t="s">
        <v>548</v>
      </c>
      <c r="H70" s="10">
        <v>45658.0</v>
      </c>
      <c r="I70" s="126" t="s">
        <v>549</v>
      </c>
      <c r="J70" s="38"/>
      <c r="K70" s="38"/>
      <c r="L70" s="127"/>
      <c r="M70" s="127"/>
      <c r="O70" s="128"/>
      <c r="P70" s="121"/>
      <c r="Q70" s="128"/>
      <c r="R70" s="128"/>
      <c r="S70" s="30"/>
      <c r="U70" s="30"/>
      <c r="V70" s="30"/>
    </row>
    <row r="71" ht="22.5" customHeight="1">
      <c r="A71" s="123" t="s">
        <v>403</v>
      </c>
      <c r="B71" s="27" t="s">
        <v>615</v>
      </c>
      <c r="C71" s="124"/>
      <c r="D71" s="27"/>
      <c r="E71" s="27"/>
      <c r="F71" s="27"/>
      <c r="G71" s="125" t="s">
        <v>551</v>
      </c>
      <c r="H71" s="10">
        <v>45658.0</v>
      </c>
      <c r="I71" s="126" t="s">
        <v>549</v>
      </c>
      <c r="J71" s="38"/>
      <c r="K71" s="38"/>
      <c r="L71" s="127"/>
      <c r="M71" s="127"/>
      <c r="O71" s="128"/>
      <c r="P71" s="121"/>
      <c r="Q71" s="128"/>
      <c r="R71" s="128"/>
      <c r="S71" s="30"/>
      <c r="U71" s="30"/>
      <c r="V71" s="30"/>
    </row>
    <row r="72" ht="22.5" customHeight="1">
      <c r="A72" s="123" t="s">
        <v>479</v>
      </c>
      <c r="B72" s="27" t="s">
        <v>629</v>
      </c>
      <c r="C72" s="124"/>
      <c r="D72" s="27"/>
      <c r="E72" s="27"/>
      <c r="F72" s="27"/>
      <c r="G72" s="125" t="s">
        <v>1001</v>
      </c>
      <c r="H72" s="10">
        <v>45658.0</v>
      </c>
      <c r="I72" s="126" t="s">
        <v>631</v>
      </c>
      <c r="J72" s="38"/>
      <c r="K72" s="38"/>
      <c r="L72" s="127"/>
      <c r="M72" s="127"/>
      <c r="O72" s="128"/>
      <c r="P72" s="121"/>
      <c r="Q72" s="128"/>
      <c r="R72" s="128"/>
      <c r="S72" s="30"/>
      <c r="U72" s="30"/>
      <c r="V72" s="30"/>
    </row>
    <row r="73" ht="22.5" customHeight="1">
      <c r="A73" s="123" t="s">
        <v>403</v>
      </c>
      <c r="B73" s="27" t="s">
        <v>614</v>
      </c>
      <c r="C73" s="124"/>
      <c r="D73" s="27"/>
      <c r="E73" s="27"/>
      <c r="F73" s="27"/>
      <c r="G73" s="125" t="s">
        <v>548</v>
      </c>
      <c r="H73" s="10">
        <v>45658.0</v>
      </c>
      <c r="I73" s="126" t="s">
        <v>549</v>
      </c>
      <c r="J73" s="38"/>
      <c r="K73" s="38"/>
      <c r="L73" s="127"/>
      <c r="M73" s="127"/>
      <c r="O73" s="128"/>
      <c r="P73" s="121"/>
      <c r="Q73" s="128"/>
      <c r="R73" s="128"/>
      <c r="S73" s="30"/>
      <c r="U73" s="30"/>
      <c r="V73" s="30"/>
    </row>
    <row r="74" ht="22.5" customHeight="1">
      <c r="A74" s="123" t="s">
        <v>403</v>
      </c>
      <c r="B74" s="27" t="s">
        <v>615</v>
      </c>
      <c r="C74" s="124"/>
      <c r="D74" s="27"/>
      <c r="E74" s="27"/>
      <c r="F74" s="27"/>
      <c r="G74" s="125" t="s">
        <v>551</v>
      </c>
      <c r="H74" s="10">
        <v>45658.0</v>
      </c>
      <c r="I74" s="126" t="s">
        <v>549</v>
      </c>
      <c r="J74" s="38"/>
      <c r="K74" s="38"/>
      <c r="L74" s="127"/>
      <c r="M74" s="127"/>
      <c r="O74" s="128"/>
      <c r="P74" s="121"/>
      <c r="Q74" s="128"/>
      <c r="R74" s="128"/>
      <c r="S74" s="30"/>
      <c r="U74" s="30"/>
      <c r="V74" s="30"/>
    </row>
    <row r="75" ht="22.5" customHeight="1">
      <c r="A75" s="123" t="s">
        <v>508</v>
      </c>
      <c r="B75" s="27" t="s">
        <v>632</v>
      </c>
      <c r="C75" s="124"/>
      <c r="D75" s="27"/>
      <c r="E75" s="27"/>
      <c r="F75" s="27"/>
      <c r="G75" s="125" t="s">
        <v>1002</v>
      </c>
      <c r="H75" s="10">
        <v>45658.0</v>
      </c>
      <c r="I75" s="126" t="s">
        <v>509</v>
      </c>
      <c r="J75" s="38"/>
      <c r="K75" s="38"/>
      <c r="L75" s="127"/>
      <c r="M75" s="127"/>
      <c r="O75" s="128"/>
      <c r="P75" s="121"/>
      <c r="Q75" s="128"/>
      <c r="R75" s="128"/>
      <c r="S75" s="30"/>
      <c r="U75" s="30"/>
      <c r="V75" s="30"/>
    </row>
    <row r="76" ht="22.5" customHeight="1">
      <c r="A76" s="123" t="s">
        <v>403</v>
      </c>
      <c r="B76" s="27" t="s">
        <v>634</v>
      </c>
      <c r="C76" s="124"/>
      <c r="D76" s="27"/>
      <c r="E76" s="27"/>
      <c r="F76" s="27"/>
      <c r="G76" s="125" t="s">
        <v>548</v>
      </c>
      <c r="H76" s="10">
        <v>45658.0</v>
      </c>
      <c r="I76" s="126" t="s">
        <v>549</v>
      </c>
      <c r="J76" s="38"/>
      <c r="K76" s="38"/>
      <c r="L76" s="127"/>
      <c r="M76" s="127"/>
      <c r="O76" s="128"/>
      <c r="P76" s="121"/>
      <c r="Q76" s="128"/>
      <c r="R76" s="128"/>
      <c r="S76" s="30"/>
      <c r="U76" s="30"/>
      <c r="V76" s="30"/>
    </row>
    <row r="77" ht="22.5" customHeight="1">
      <c r="A77" s="123" t="s">
        <v>403</v>
      </c>
      <c r="B77" s="27" t="s">
        <v>635</v>
      </c>
      <c r="C77" s="124"/>
      <c r="D77" s="27"/>
      <c r="E77" s="27"/>
      <c r="F77" s="27"/>
      <c r="G77" s="125" t="s">
        <v>551</v>
      </c>
      <c r="H77" s="10">
        <v>45658.0</v>
      </c>
      <c r="I77" s="126" t="s">
        <v>549</v>
      </c>
      <c r="J77" s="38"/>
      <c r="K77" s="38"/>
      <c r="L77" s="127"/>
      <c r="M77" s="127"/>
      <c r="O77" s="128"/>
      <c r="P77" s="121"/>
      <c r="Q77" s="128"/>
      <c r="R77" s="128"/>
      <c r="S77" s="30"/>
      <c r="U77" s="30"/>
      <c r="V77" s="30"/>
    </row>
    <row r="78" ht="22.5" customHeight="1">
      <c r="A78" s="123" t="s">
        <v>367</v>
      </c>
      <c r="B78" s="27" t="s">
        <v>636</v>
      </c>
      <c r="C78" s="124"/>
      <c r="D78" s="27"/>
      <c r="E78" s="27"/>
      <c r="F78" s="27"/>
      <c r="G78" s="125" t="s">
        <v>1003</v>
      </c>
      <c r="H78" s="10">
        <v>45658.0</v>
      </c>
      <c r="I78" s="126" t="s">
        <v>638</v>
      </c>
      <c r="J78" s="38"/>
      <c r="K78" s="38"/>
      <c r="L78" s="127"/>
      <c r="M78" s="127"/>
      <c r="O78" s="128"/>
      <c r="P78" s="121"/>
      <c r="Q78" s="128"/>
      <c r="R78" s="128"/>
      <c r="S78" s="30"/>
      <c r="U78" s="30"/>
      <c r="V78" s="30"/>
    </row>
    <row r="79" ht="22.5" customHeight="1">
      <c r="A79" s="123" t="s">
        <v>403</v>
      </c>
      <c r="B79" s="27" t="s">
        <v>634</v>
      </c>
      <c r="C79" s="124"/>
      <c r="D79" s="27"/>
      <c r="E79" s="27"/>
      <c r="F79" s="27"/>
      <c r="G79" s="125" t="s">
        <v>548</v>
      </c>
      <c r="H79" s="10">
        <v>45658.0</v>
      </c>
      <c r="I79" s="126" t="s">
        <v>549</v>
      </c>
      <c r="J79" s="38"/>
      <c r="K79" s="38"/>
      <c r="L79" s="127"/>
      <c r="M79" s="127"/>
      <c r="O79" s="128"/>
      <c r="P79" s="121"/>
      <c r="Q79" s="128"/>
      <c r="R79" s="128"/>
      <c r="S79" s="30"/>
      <c r="U79" s="30"/>
      <c r="V79" s="30"/>
    </row>
    <row r="80" ht="22.5" customHeight="1">
      <c r="A80" s="123" t="s">
        <v>403</v>
      </c>
      <c r="B80" s="27" t="s">
        <v>635</v>
      </c>
      <c r="C80" s="124"/>
      <c r="D80" s="27"/>
      <c r="E80" s="27"/>
      <c r="F80" s="27"/>
      <c r="G80" s="125" t="s">
        <v>551</v>
      </c>
      <c r="H80" s="10">
        <v>45658.0</v>
      </c>
      <c r="I80" s="126" t="s">
        <v>549</v>
      </c>
      <c r="J80" s="38"/>
      <c r="K80" s="38"/>
      <c r="L80" s="127"/>
      <c r="M80" s="127"/>
      <c r="O80" s="128"/>
      <c r="P80" s="121"/>
      <c r="Q80" s="128"/>
      <c r="R80" s="128"/>
      <c r="S80" s="30"/>
      <c r="U80" s="30"/>
      <c r="V80" s="30"/>
    </row>
    <row r="81" ht="22.5" customHeight="1">
      <c r="A81" s="123" t="s">
        <v>18</v>
      </c>
      <c r="B81" s="27" t="s">
        <v>639</v>
      </c>
      <c r="C81" s="124"/>
      <c r="D81" s="27"/>
      <c r="E81" s="27"/>
      <c r="F81" s="27"/>
      <c r="G81" s="125" t="s">
        <v>1004</v>
      </c>
      <c r="H81" s="10">
        <v>45658.0</v>
      </c>
      <c r="I81" s="126" t="s">
        <v>586</v>
      </c>
      <c r="J81" s="38"/>
      <c r="K81" s="38"/>
      <c r="L81" s="127"/>
      <c r="M81" s="127"/>
      <c r="O81" s="128"/>
      <c r="P81" s="121"/>
      <c r="Q81" s="128"/>
      <c r="R81" s="128"/>
      <c r="S81" s="30"/>
      <c r="U81" s="30"/>
      <c r="V81" s="30"/>
    </row>
    <row r="82" ht="22.5" customHeight="1">
      <c r="A82" s="123" t="s">
        <v>403</v>
      </c>
      <c r="B82" s="27" t="s">
        <v>634</v>
      </c>
      <c r="C82" s="124"/>
      <c r="D82" s="27"/>
      <c r="E82" s="27"/>
      <c r="F82" s="27"/>
      <c r="G82" s="125" t="s">
        <v>548</v>
      </c>
      <c r="H82" s="10">
        <v>45658.0</v>
      </c>
      <c r="I82" s="126" t="s">
        <v>549</v>
      </c>
      <c r="J82" s="38"/>
      <c r="K82" s="38"/>
      <c r="L82" s="127"/>
      <c r="M82" s="127"/>
      <c r="O82" s="128"/>
      <c r="P82" s="121"/>
      <c r="Q82" s="128"/>
      <c r="R82" s="128"/>
      <c r="S82" s="30"/>
      <c r="U82" s="30"/>
      <c r="V82" s="30"/>
    </row>
    <row r="83" ht="22.5" customHeight="1">
      <c r="A83" s="123" t="s">
        <v>403</v>
      </c>
      <c r="B83" s="27" t="s">
        <v>635</v>
      </c>
      <c r="C83" s="124"/>
      <c r="D83" s="27"/>
      <c r="E83" s="27"/>
      <c r="F83" s="27"/>
      <c r="G83" s="125" t="s">
        <v>551</v>
      </c>
      <c r="H83" s="10">
        <v>45658.0</v>
      </c>
      <c r="I83" s="126" t="s">
        <v>549</v>
      </c>
      <c r="J83" s="38"/>
      <c r="K83" s="38"/>
      <c r="L83" s="127"/>
      <c r="M83" s="127"/>
      <c r="O83" s="128"/>
      <c r="P83" s="121"/>
      <c r="Q83" s="128"/>
      <c r="R83" s="128"/>
      <c r="S83" s="30"/>
      <c r="U83" s="30"/>
      <c r="V83" s="30"/>
    </row>
    <row r="84" ht="22.5" customHeight="1">
      <c r="A84" s="123" t="s">
        <v>18</v>
      </c>
      <c r="B84" s="27" t="s">
        <v>640</v>
      </c>
      <c r="C84" s="124"/>
      <c r="D84" s="27"/>
      <c r="E84" s="27"/>
      <c r="F84" s="27"/>
      <c r="G84" s="125" t="s">
        <v>1005</v>
      </c>
      <c r="H84" s="10">
        <v>45658.0</v>
      </c>
      <c r="I84" s="126" t="s">
        <v>586</v>
      </c>
      <c r="J84" s="38"/>
      <c r="K84" s="38"/>
      <c r="L84" s="127"/>
      <c r="M84" s="127"/>
      <c r="O84" s="128"/>
      <c r="P84" s="121"/>
      <c r="Q84" s="128"/>
      <c r="R84" s="128"/>
      <c r="S84" s="30"/>
      <c r="U84" s="30"/>
      <c r="V84" s="30"/>
    </row>
    <row r="85" ht="22.5" customHeight="1">
      <c r="A85" s="123" t="s">
        <v>451</v>
      </c>
      <c r="B85" s="27" t="s">
        <v>642</v>
      </c>
      <c r="C85" s="124"/>
      <c r="D85" s="27"/>
      <c r="E85" s="27"/>
      <c r="F85" s="27"/>
      <c r="G85" s="125" t="s">
        <v>1006</v>
      </c>
      <c r="H85" s="10">
        <v>45658.0</v>
      </c>
      <c r="I85" s="126" t="s">
        <v>643</v>
      </c>
      <c r="J85" s="38"/>
      <c r="K85" s="38"/>
      <c r="L85" s="127"/>
      <c r="M85" s="127"/>
      <c r="O85" s="128"/>
      <c r="P85" s="121"/>
      <c r="Q85" s="128"/>
      <c r="R85" s="128"/>
      <c r="S85" s="30"/>
      <c r="U85" s="30"/>
      <c r="V85" s="30"/>
    </row>
    <row r="86" ht="22.5" customHeight="1">
      <c r="A86" s="123" t="s">
        <v>403</v>
      </c>
      <c r="B86" s="27" t="s">
        <v>644</v>
      </c>
      <c r="C86" s="124"/>
      <c r="D86" s="27"/>
      <c r="E86" s="27"/>
      <c r="F86" s="27"/>
      <c r="G86" s="125" t="s">
        <v>548</v>
      </c>
      <c r="H86" s="10">
        <v>45658.0</v>
      </c>
      <c r="I86" s="126" t="s">
        <v>549</v>
      </c>
      <c r="J86" s="38"/>
      <c r="K86" s="38"/>
      <c r="L86" s="127"/>
      <c r="M86" s="127"/>
      <c r="O86" s="128"/>
      <c r="P86" s="121"/>
      <c r="Q86" s="128"/>
      <c r="R86" s="128"/>
      <c r="S86" s="30"/>
      <c r="U86" s="30"/>
      <c r="V86" s="30"/>
    </row>
    <row r="87" ht="22.5" customHeight="1">
      <c r="A87" s="123" t="s">
        <v>403</v>
      </c>
      <c r="B87" s="27" t="s">
        <v>645</v>
      </c>
      <c r="C87" s="124"/>
      <c r="D87" s="27"/>
      <c r="E87" s="27"/>
      <c r="F87" s="27"/>
      <c r="G87" s="125" t="s">
        <v>551</v>
      </c>
      <c r="H87" s="10">
        <v>45658.0</v>
      </c>
      <c r="I87" s="126" t="s">
        <v>549</v>
      </c>
      <c r="J87" s="38"/>
      <c r="K87" s="38"/>
      <c r="L87" s="127"/>
      <c r="M87" s="127"/>
      <c r="O87" s="128"/>
      <c r="P87" s="121"/>
      <c r="Q87" s="128"/>
      <c r="R87" s="128"/>
      <c r="S87" s="30"/>
      <c r="U87" s="30"/>
      <c r="V87" s="30"/>
    </row>
    <row r="88" ht="22.5" customHeight="1">
      <c r="A88" s="129"/>
      <c r="B88" s="27" t="s">
        <v>646</v>
      </c>
      <c r="C88" s="124"/>
      <c r="D88" s="27"/>
      <c r="E88" s="27"/>
      <c r="F88" s="27"/>
      <c r="G88" s="125" t="s">
        <v>1007</v>
      </c>
      <c r="H88" s="10">
        <v>45658.0</v>
      </c>
      <c r="I88" s="126" t="s">
        <v>648</v>
      </c>
      <c r="J88" s="38"/>
      <c r="K88" s="38"/>
      <c r="L88" s="127"/>
      <c r="M88" s="127"/>
      <c r="O88" s="128"/>
      <c r="P88" s="121"/>
      <c r="Q88" s="128"/>
      <c r="R88" s="128"/>
      <c r="S88" s="30"/>
      <c r="U88" s="30"/>
      <c r="V88" s="30"/>
    </row>
    <row r="89" ht="22.5" customHeight="1">
      <c r="A89" s="123" t="s">
        <v>18</v>
      </c>
      <c r="B89" s="27" t="s">
        <v>649</v>
      </c>
      <c r="C89" s="124"/>
      <c r="D89" s="27"/>
      <c r="E89" s="27"/>
      <c r="F89" s="27"/>
      <c r="G89" s="125" t="s">
        <v>1008</v>
      </c>
      <c r="H89" s="10">
        <v>45658.0</v>
      </c>
      <c r="I89" s="126" t="s">
        <v>586</v>
      </c>
      <c r="J89" s="38"/>
      <c r="K89" s="38"/>
      <c r="L89" s="127"/>
      <c r="M89" s="127"/>
      <c r="O89" s="128"/>
      <c r="P89" s="121"/>
      <c r="Q89" s="128"/>
      <c r="R89" s="128"/>
      <c r="S89" s="30"/>
      <c r="U89" s="30"/>
      <c r="V89" s="30"/>
    </row>
    <row r="90" ht="22.5" customHeight="1">
      <c r="A90" s="123" t="s">
        <v>403</v>
      </c>
      <c r="B90" s="27" t="s">
        <v>644</v>
      </c>
      <c r="C90" s="124"/>
      <c r="D90" s="27"/>
      <c r="E90" s="27"/>
      <c r="F90" s="27"/>
      <c r="G90" s="125" t="s">
        <v>548</v>
      </c>
      <c r="H90" s="10">
        <v>45658.0</v>
      </c>
      <c r="I90" s="126" t="s">
        <v>549</v>
      </c>
      <c r="J90" s="38"/>
      <c r="K90" s="38"/>
      <c r="L90" s="127"/>
      <c r="M90" s="127"/>
      <c r="O90" s="128"/>
      <c r="P90" s="121"/>
      <c r="Q90" s="128"/>
      <c r="R90" s="128"/>
      <c r="S90" s="30"/>
      <c r="U90" s="30"/>
      <c r="V90" s="30"/>
    </row>
    <row r="91" ht="22.5" customHeight="1">
      <c r="A91" s="123" t="s">
        <v>403</v>
      </c>
      <c r="B91" s="27" t="s">
        <v>645</v>
      </c>
      <c r="C91" s="124"/>
      <c r="D91" s="27"/>
      <c r="E91" s="27"/>
      <c r="F91" s="27"/>
      <c r="G91" s="125" t="s">
        <v>551</v>
      </c>
      <c r="H91" s="10">
        <v>45658.0</v>
      </c>
      <c r="I91" s="126" t="s">
        <v>549</v>
      </c>
      <c r="J91" s="38"/>
      <c r="K91" s="38"/>
      <c r="L91" s="127"/>
      <c r="M91" s="127"/>
      <c r="O91" s="128"/>
      <c r="P91" s="121"/>
      <c r="Q91" s="128"/>
      <c r="R91" s="128"/>
      <c r="S91" s="30"/>
      <c r="U91" s="30"/>
      <c r="V91" s="30"/>
    </row>
    <row r="92" ht="22.5" customHeight="1">
      <c r="A92" s="123" t="s">
        <v>18</v>
      </c>
      <c r="B92" s="27" t="s">
        <v>651</v>
      </c>
      <c r="C92" s="124"/>
      <c r="D92" s="27"/>
      <c r="E92" s="27"/>
      <c r="F92" s="27"/>
      <c r="G92" s="125" t="s">
        <v>1009</v>
      </c>
      <c r="H92" s="10">
        <v>45658.0</v>
      </c>
      <c r="I92" s="126" t="s">
        <v>586</v>
      </c>
      <c r="J92" s="38"/>
      <c r="K92" s="38"/>
      <c r="L92" s="127"/>
      <c r="M92" s="127"/>
      <c r="O92" s="128"/>
      <c r="P92" s="121"/>
      <c r="Q92" s="128"/>
      <c r="R92" s="128"/>
      <c r="S92" s="30"/>
      <c r="U92" s="30"/>
      <c r="V92" s="30"/>
    </row>
    <row r="93" ht="22.5" customHeight="1">
      <c r="A93" s="123" t="s">
        <v>403</v>
      </c>
      <c r="B93" s="27" t="s">
        <v>644</v>
      </c>
      <c r="C93" s="124"/>
      <c r="D93" s="27"/>
      <c r="E93" s="27"/>
      <c r="F93" s="27"/>
      <c r="G93" s="125" t="s">
        <v>548</v>
      </c>
      <c r="H93" s="10">
        <v>45658.0</v>
      </c>
      <c r="I93" s="126" t="s">
        <v>549</v>
      </c>
      <c r="J93" s="38"/>
      <c r="K93" s="38"/>
      <c r="L93" s="127"/>
      <c r="M93" s="127"/>
      <c r="O93" s="128"/>
      <c r="P93" s="121"/>
      <c r="Q93" s="128"/>
      <c r="R93" s="128"/>
      <c r="S93" s="30"/>
      <c r="U93" s="30"/>
      <c r="V93" s="30"/>
    </row>
    <row r="94" ht="22.5" customHeight="1">
      <c r="A94" s="123" t="s">
        <v>403</v>
      </c>
      <c r="B94" s="27" t="s">
        <v>645</v>
      </c>
      <c r="C94" s="124"/>
      <c r="D94" s="27"/>
      <c r="E94" s="27"/>
      <c r="F94" s="27"/>
      <c r="G94" s="125" t="s">
        <v>551</v>
      </c>
      <c r="H94" s="10">
        <v>45658.0</v>
      </c>
      <c r="I94" s="126" t="s">
        <v>549</v>
      </c>
      <c r="J94" s="38"/>
      <c r="K94" s="38"/>
      <c r="L94" s="127"/>
      <c r="M94" s="127"/>
      <c r="O94" s="128"/>
      <c r="P94" s="121"/>
      <c r="Q94" s="128"/>
      <c r="R94" s="128"/>
      <c r="S94" s="30"/>
      <c r="U94" s="30"/>
      <c r="V94" s="30"/>
    </row>
    <row r="95" ht="22.5" customHeight="1">
      <c r="A95" s="123" t="s">
        <v>437</v>
      </c>
      <c r="B95" s="27" t="s">
        <v>653</v>
      </c>
      <c r="C95" s="124"/>
      <c r="D95" s="27"/>
      <c r="E95" s="27"/>
      <c r="F95" s="27"/>
      <c r="G95" s="125" t="s">
        <v>1010</v>
      </c>
      <c r="H95" s="10">
        <v>45658.0</v>
      </c>
      <c r="I95" s="126" t="s">
        <v>613</v>
      </c>
      <c r="J95" s="38"/>
      <c r="K95" s="38"/>
      <c r="L95" s="127"/>
      <c r="M95" s="127"/>
      <c r="O95" s="128"/>
      <c r="P95" s="121"/>
      <c r="Q95" s="128"/>
      <c r="R95" s="128"/>
      <c r="S95" s="30"/>
      <c r="U95" s="30"/>
      <c r="V95" s="30"/>
    </row>
    <row r="96" ht="22.5" customHeight="1">
      <c r="A96" s="123" t="s">
        <v>403</v>
      </c>
      <c r="B96" s="27" t="s">
        <v>644</v>
      </c>
      <c r="C96" s="124"/>
      <c r="D96" s="27"/>
      <c r="E96" s="27"/>
      <c r="F96" s="27"/>
      <c r="G96" s="125" t="s">
        <v>548</v>
      </c>
      <c r="H96" s="10">
        <v>45658.0</v>
      </c>
      <c r="I96" s="126" t="s">
        <v>549</v>
      </c>
      <c r="J96" s="38"/>
      <c r="K96" s="38"/>
      <c r="L96" s="127"/>
      <c r="M96" s="127"/>
      <c r="O96" s="128"/>
      <c r="P96" s="121"/>
      <c r="Q96" s="128"/>
      <c r="R96" s="128"/>
      <c r="S96" s="30"/>
      <c r="U96" s="30"/>
      <c r="V96" s="30"/>
    </row>
    <row r="97" ht="22.5" customHeight="1">
      <c r="A97" s="123" t="s">
        <v>403</v>
      </c>
      <c r="B97" s="27" t="s">
        <v>645</v>
      </c>
      <c r="C97" s="124"/>
      <c r="D97" s="27"/>
      <c r="E97" s="27"/>
      <c r="F97" s="27"/>
      <c r="G97" s="125" t="s">
        <v>551</v>
      </c>
      <c r="H97" s="10">
        <v>45658.0</v>
      </c>
      <c r="I97" s="126" t="s">
        <v>549</v>
      </c>
      <c r="J97" s="38"/>
      <c r="K97" s="38"/>
      <c r="L97" s="127"/>
      <c r="M97" s="127"/>
      <c r="O97" s="128"/>
      <c r="P97" s="121"/>
      <c r="Q97" s="128"/>
      <c r="R97" s="128"/>
      <c r="S97" s="30"/>
      <c r="U97" s="30"/>
      <c r="V97" s="30"/>
    </row>
    <row r="98" ht="22.5" customHeight="1">
      <c r="A98" s="123" t="s">
        <v>437</v>
      </c>
      <c r="B98" s="27" t="s">
        <v>655</v>
      </c>
      <c r="C98" s="124"/>
      <c r="D98" s="27"/>
      <c r="E98" s="27"/>
      <c r="F98" s="27"/>
      <c r="G98" s="125" t="s">
        <v>1011</v>
      </c>
      <c r="H98" s="10">
        <v>45658.0</v>
      </c>
      <c r="I98" s="126" t="s">
        <v>613</v>
      </c>
      <c r="J98" s="38"/>
      <c r="K98" s="38"/>
      <c r="L98" s="127"/>
      <c r="M98" s="127"/>
      <c r="O98" s="128"/>
      <c r="P98" s="121"/>
      <c r="Q98" s="128"/>
      <c r="R98" s="128"/>
      <c r="S98" s="30"/>
      <c r="U98" s="30"/>
      <c r="V98" s="30"/>
    </row>
    <row r="99" ht="22.5" customHeight="1">
      <c r="A99" s="123" t="s">
        <v>403</v>
      </c>
      <c r="B99" s="27" t="s">
        <v>644</v>
      </c>
      <c r="C99" s="124"/>
      <c r="D99" s="27"/>
      <c r="E99" s="27"/>
      <c r="F99" s="27"/>
      <c r="G99" s="125" t="s">
        <v>548</v>
      </c>
      <c r="H99" s="10">
        <v>45658.0</v>
      </c>
      <c r="I99" s="126" t="s">
        <v>549</v>
      </c>
      <c r="J99" s="38"/>
      <c r="K99" s="38"/>
      <c r="L99" s="127"/>
      <c r="M99" s="127"/>
      <c r="O99" s="128"/>
      <c r="P99" s="121"/>
      <c r="Q99" s="128"/>
      <c r="R99" s="128"/>
      <c r="S99" s="30"/>
      <c r="U99" s="30"/>
      <c r="V99" s="30"/>
    </row>
    <row r="100" ht="22.5" customHeight="1">
      <c r="A100" s="123" t="s">
        <v>403</v>
      </c>
      <c r="B100" s="27" t="s">
        <v>645</v>
      </c>
      <c r="C100" s="124"/>
      <c r="D100" s="27"/>
      <c r="E100" s="27"/>
      <c r="F100" s="27"/>
      <c r="G100" s="125" t="s">
        <v>551</v>
      </c>
      <c r="H100" s="10">
        <v>45658.0</v>
      </c>
      <c r="I100" s="126" t="s">
        <v>549</v>
      </c>
      <c r="J100" s="38"/>
      <c r="K100" s="38"/>
      <c r="L100" s="127"/>
      <c r="M100" s="127"/>
      <c r="O100" s="128"/>
      <c r="P100" s="121"/>
      <c r="Q100" s="128"/>
      <c r="R100" s="128"/>
      <c r="S100" s="30"/>
      <c r="U100" s="30"/>
      <c r="V100" s="30"/>
    </row>
    <row r="101" ht="22.5" customHeight="1">
      <c r="A101" s="123" t="s">
        <v>395</v>
      </c>
      <c r="B101" s="27" t="s">
        <v>657</v>
      </c>
      <c r="C101" s="124"/>
      <c r="D101" s="27"/>
      <c r="E101" s="27"/>
      <c r="F101" s="27"/>
      <c r="G101" s="125" t="s">
        <v>1012</v>
      </c>
      <c r="H101" s="10">
        <v>45658.0</v>
      </c>
      <c r="I101" s="126" t="s">
        <v>658</v>
      </c>
      <c r="J101" s="38"/>
      <c r="K101" s="38"/>
      <c r="L101" s="127"/>
      <c r="M101" s="127"/>
      <c r="O101" s="128"/>
      <c r="P101" s="121"/>
      <c r="Q101" s="128"/>
      <c r="R101" s="128"/>
      <c r="S101" s="30"/>
      <c r="U101" s="30"/>
      <c r="V101" s="30"/>
    </row>
    <row r="102" ht="22.5" customHeight="1">
      <c r="A102" s="123" t="s">
        <v>395</v>
      </c>
      <c r="B102" s="27" t="s">
        <v>659</v>
      </c>
      <c r="C102" s="124"/>
      <c r="D102" s="27"/>
      <c r="E102" s="27"/>
      <c r="F102" s="27"/>
      <c r="G102" s="125" t="s">
        <v>1013</v>
      </c>
      <c r="H102" s="10">
        <v>45658.0</v>
      </c>
      <c r="I102" s="126" t="s">
        <v>658</v>
      </c>
      <c r="J102" s="38"/>
      <c r="K102" s="38"/>
      <c r="L102" s="127"/>
      <c r="M102" s="127"/>
      <c r="O102" s="128"/>
      <c r="P102" s="121"/>
      <c r="Q102" s="128"/>
      <c r="R102" s="128"/>
      <c r="S102" s="30"/>
      <c r="U102" s="30"/>
      <c r="V102" s="30"/>
    </row>
    <row r="103" ht="22.5" customHeight="1">
      <c r="A103" s="123" t="s">
        <v>18</v>
      </c>
      <c r="B103" s="27" t="s">
        <v>660</v>
      </c>
      <c r="C103" s="124"/>
      <c r="D103" s="27"/>
      <c r="E103" s="27"/>
      <c r="F103" s="27"/>
      <c r="G103" s="125" t="s">
        <v>1014</v>
      </c>
      <c r="H103" s="10">
        <v>45658.0</v>
      </c>
      <c r="I103" s="126" t="s">
        <v>586</v>
      </c>
      <c r="J103" s="38"/>
      <c r="K103" s="38"/>
      <c r="L103" s="127"/>
      <c r="M103" s="127"/>
      <c r="O103" s="128"/>
      <c r="P103" s="121"/>
      <c r="Q103" s="128"/>
      <c r="R103" s="128"/>
      <c r="S103" s="30"/>
      <c r="U103" s="30"/>
      <c r="V103" s="30"/>
    </row>
    <row r="104" ht="22.5" customHeight="1">
      <c r="A104" s="123" t="s">
        <v>403</v>
      </c>
      <c r="B104" s="27" t="s">
        <v>644</v>
      </c>
      <c r="C104" s="124"/>
      <c r="D104" s="27"/>
      <c r="E104" s="27"/>
      <c r="F104" s="27"/>
      <c r="G104" s="125" t="s">
        <v>548</v>
      </c>
      <c r="H104" s="10">
        <v>45658.0</v>
      </c>
      <c r="I104" s="126" t="s">
        <v>549</v>
      </c>
      <c r="J104" s="38"/>
      <c r="K104" s="38"/>
      <c r="L104" s="127"/>
      <c r="M104" s="127"/>
      <c r="O104" s="128"/>
      <c r="P104" s="121"/>
      <c r="Q104" s="128"/>
      <c r="R104" s="128"/>
      <c r="S104" s="30"/>
      <c r="U104" s="30"/>
      <c r="V104" s="30"/>
    </row>
    <row r="105" ht="22.5" customHeight="1">
      <c r="A105" s="123" t="s">
        <v>403</v>
      </c>
      <c r="B105" s="27" t="s">
        <v>645</v>
      </c>
      <c r="C105" s="124"/>
      <c r="D105" s="27"/>
      <c r="E105" s="27"/>
      <c r="F105" s="27"/>
      <c r="G105" s="125" t="s">
        <v>551</v>
      </c>
      <c r="H105" s="10">
        <v>45658.0</v>
      </c>
      <c r="I105" s="126" t="s">
        <v>549</v>
      </c>
      <c r="J105" s="38"/>
      <c r="K105" s="38"/>
      <c r="L105" s="127"/>
      <c r="M105" s="127"/>
      <c r="O105" s="128"/>
      <c r="P105" s="121"/>
      <c r="Q105" s="128"/>
      <c r="R105" s="128"/>
      <c r="S105" s="30"/>
      <c r="U105" s="30"/>
      <c r="V105" s="30"/>
    </row>
    <row r="106" ht="22.5" customHeight="1">
      <c r="A106" s="129"/>
      <c r="B106" s="27" t="s">
        <v>661</v>
      </c>
      <c r="C106" s="132" t="s">
        <v>20</v>
      </c>
      <c r="D106" s="27" t="s">
        <v>21</v>
      </c>
      <c r="E106" s="27"/>
      <c r="F106" s="27"/>
      <c r="G106" s="125" t="s">
        <v>1015</v>
      </c>
      <c r="H106" s="10">
        <v>45658.0</v>
      </c>
      <c r="I106" s="126" t="s">
        <v>662</v>
      </c>
      <c r="J106" s="38"/>
      <c r="K106" s="38"/>
      <c r="L106" s="127"/>
      <c r="M106" s="127"/>
      <c r="O106" s="128"/>
      <c r="P106" s="121"/>
      <c r="Q106" s="128"/>
      <c r="R106" s="128"/>
      <c r="S106" s="30"/>
      <c r="U106" s="30"/>
      <c r="V106" s="30"/>
    </row>
    <row r="107" ht="22.5" customHeight="1">
      <c r="A107" s="123" t="s">
        <v>403</v>
      </c>
      <c r="B107" s="27" t="s">
        <v>644</v>
      </c>
      <c r="C107" s="124"/>
      <c r="D107" s="27"/>
      <c r="E107" s="27"/>
      <c r="F107" s="27"/>
      <c r="G107" s="125" t="s">
        <v>548</v>
      </c>
      <c r="H107" s="10">
        <v>45658.0</v>
      </c>
      <c r="I107" s="126" t="s">
        <v>549</v>
      </c>
      <c r="J107" s="38"/>
      <c r="K107" s="38"/>
      <c r="L107" s="127"/>
      <c r="M107" s="127"/>
      <c r="O107" s="128"/>
      <c r="P107" s="121"/>
      <c r="Q107" s="128"/>
      <c r="R107" s="128"/>
      <c r="S107" s="30"/>
      <c r="U107" s="30"/>
      <c r="V107" s="30"/>
    </row>
    <row r="108" ht="22.5" customHeight="1">
      <c r="A108" s="123" t="s">
        <v>403</v>
      </c>
      <c r="B108" s="27" t="s">
        <v>645</v>
      </c>
      <c r="C108" s="124"/>
      <c r="D108" s="27"/>
      <c r="E108" s="27"/>
      <c r="F108" s="27"/>
      <c r="G108" s="125" t="s">
        <v>551</v>
      </c>
      <c r="H108" s="10">
        <v>45658.0</v>
      </c>
      <c r="I108" s="126" t="s">
        <v>549</v>
      </c>
      <c r="J108" s="38"/>
      <c r="K108" s="38"/>
      <c r="L108" s="127"/>
      <c r="M108" s="127"/>
      <c r="O108" s="128"/>
      <c r="P108" s="121"/>
      <c r="Q108" s="128"/>
      <c r="R108" s="128"/>
      <c r="S108" s="30"/>
      <c r="U108" s="30"/>
      <c r="V108" s="30"/>
    </row>
    <row r="109" ht="22.5" customHeight="1">
      <c r="A109" s="123" t="s">
        <v>508</v>
      </c>
      <c r="B109" s="27" t="s">
        <v>663</v>
      </c>
      <c r="C109" s="124"/>
      <c r="D109" s="27"/>
      <c r="E109" s="27"/>
      <c r="F109" s="27"/>
      <c r="G109" s="125" t="s">
        <v>1016</v>
      </c>
      <c r="H109" s="10">
        <v>45658.0</v>
      </c>
      <c r="I109" s="126" t="s">
        <v>665</v>
      </c>
      <c r="J109" s="38"/>
      <c r="K109" s="38"/>
      <c r="L109" s="127"/>
      <c r="M109" s="127"/>
      <c r="O109" s="128"/>
      <c r="P109" s="121"/>
      <c r="Q109" s="128"/>
      <c r="R109" s="128"/>
      <c r="S109" s="30"/>
      <c r="U109" s="30"/>
      <c r="V109" s="30"/>
    </row>
    <row r="110" ht="22.5" customHeight="1">
      <c r="A110" s="123" t="s">
        <v>403</v>
      </c>
      <c r="B110" s="27" t="s">
        <v>644</v>
      </c>
      <c r="C110" s="124"/>
      <c r="D110" s="27"/>
      <c r="E110" s="27"/>
      <c r="F110" s="27"/>
      <c r="G110" s="125" t="s">
        <v>548</v>
      </c>
      <c r="H110" s="10">
        <v>45658.0</v>
      </c>
      <c r="I110" s="126" t="s">
        <v>549</v>
      </c>
      <c r="J110" s="38"/>
      <c r="K110" s="38"/>
      <c r="L110" s="127"/>
      <c r="M110" s="127"/>
      <c r="O110" s="128"/>
      <c r="P110" s="121"/>
      <c r="Q110" s="128"/>
      <c r="R110" s="128"/>
      <c r="S110" s="30"/>
      <c r="U110" s="30"/>
      <c r="V110" s="30"/>
    </row>
    <row r="111" ht="22.5" customHeight="1">
      <c r="A111" s="123" t="s">
        <v>403</v>
      </c>
      <c r="B111" s="27" t="s">
        <v>666</v>
      </c>
      <c r="C111" s="124"/>
      <c r="D111" s="27"/>
      <c r="E111" s="27"/>
      <c r="F111" s="27"/>
      <c r="G111" s="125" t="s">
        <v>551</v>
      </c>
      <c r="H111" s="10">
        <v>45658.0</v>
      </c>
      <c r="I111" s="126" t="s">
        <v>549</v>
      </c>
      <c r="J111" s="38"/>
      <c r="K111" s="38"/>
      <c r="L111" s="127"/>
      <c r="M111" s="127"/>
      <c r="O111" s="128"/>
      <c r="P111" s="121"/>
      <c r="Q111" s="128"/>
      <c r="R111" s="128"/>
      <c r="S111" s="30"/>
      <c r="U111" s="30"/>
      <c r="V111" s="30"/>
    </row>
    <row r="112" ht="22.5" customHeight="1">
      <c r="A112" s="129"/>
      <c r="B112" s="27" t="s">
        <v>667</v>
      </c>
      <c r="C112" s="124"/>
      <c r="D112" s="27"/>
      <c r="E112" s="27"/>
      <c r="F112" s="27"/>
      <c r="G112" s="125" t="s">
        <v>1017</v>
      </c>
      <c r="H112" s="10">
        <v>45658.0</v>
      </c>
      <c r="I112" s="130"/>
      <c r="J112" s="38"/>
      <c r="K112" s="38"/>
      <c r="L112" s="127"/>
      <c r="M112" s="127"/>
      <c r="O112" s="128"/>
      <c r="P112" s="121"/>
      <c r="Q112" s="128"/>
      <c r="R112" s="128"/>
      <c r="S112" s="30"/>
      <c r="U112" s="30"/>
      <c r="V112" s="30"/>
    </row>
    <row r="113" ht="22.5" customHeight="1">
      <c r="A113" s="123" t="s">
        <v>403</v>
      </c>
      <c r="B113" s="27" t="s">
        <v>644</v>
      </c>
      <c r="C113" s="124"/>
      <c r="D113" s="27"/>
      <c r="E113" s="27"/>
      <c r="F113" s="27"/>
      <c r="G113" s="125" t="s">
        <v>548</v>
      </c>
      <c r="H113" s="10">
        <v>45658.0</v>
      </c>
      <c r="I113" s="126" t="s">
        <v>549</v>
      </c>
      <c r="J113" s="38"/>
      <c r="K113" s="38"/>
      <c r="L113" s="127"/>
      <c r="M113" s="127"/>
      <c r="O113" s="128"/>
      <c r="P113" s="121"/>
      <c r="Q113" s="128"/>
      <c r="R113" s="128"/>
      <c r="S113" s="30"/>
      <c r="U113" s="30"/>
      <c r="V113" s="30"/>
    </row>
    <row r="114" ht="22.5" customHeight="1">
      <c r="A114" s="123" t="s">
        <v>403</v>
      </c>
      <c r="B114" s="27" t="s">
        <v>645</v>
      </c>
      <c r="C114" s="124"/>
      <c r="D114" s="27"/>
      <c r="E114" s="27"/>
      <c r="F114" s="27"/>
      <c r="G114" s="125" t="s">
        <v>551</v>
      </c>
      <c r="H114" s="10">
        <v>45658.0</v>
      </c>
      <c r="I114" s="126" t="s">
        <v>549</v>
      </c>
      <c r="J114" s="38"/>
      <c r="K114" s="38"/>
      <c r="L114" s="127"/>
      <c r="M114" s="127"/>
      <c r="O114" s="128"/>
      <c r="P114" s="121"/>
      <c r="Q114" s="128"/>
      <c r="R114" s="128"/>
      <c r="S114" s="30"/>
      <c r="U114" s="30"/>
      <c r="V114" s="30"/>
    </row>
    <row r="115" ht="22.5" customHeight="1">
      <c r="A115" s="133" t="s">
        <v>349</v>
      </c>
      <c r="B115" s="27" t="s">
        <v>668</v>
      </c>
      <c r="C115" s="124"/>
      <c r="D115" s="27"/>
      <c r="E115" s="27"/>
      <c r="F115" s="27"/>
      <c r="G115" s="125" t="s">
        <v>1018</v>
      </c>
      <c r="H115" s="10">
        <v>45658.0</v>
      </c>
      <c r="I115" s="126" t="s">
        <v>568</v>
      </c>
      <c r="J115" s="38"/>
      <c r="K115" s="38"/>
      <c r="L115" s="127"/>
      <c r="M115" s="127"/>
      <c r="O115" s="128"/>
      <c r="P115" s="121"/>
      <c r="Q115" s="128"/>
      <c r="R115" s="128"/>
      <c r="S115" s="30"/>
      <c r="U115" s="30"/>
      <c r="V115" s="30"/>
    </row>
    <row r="116" ht="22.5" customHeight="1">
      <c r="A116" s="123" t="s">
        <v>403</v>
      </c>
      <c r="B116" s="27" t="s">
        <v>644</v>
      </c>
      <c r="C116" s="124"/>
      <c r="D116" s="27"/>
      <c r="E116" s="27"/>
      <c r="F116" s="27"/>
      <c r="G116" s="125" t="s">
        <v>548</v>
      </c>
      <c r="H116" s="10">
        <v>45658.0</v>
      </c>
      <c r="I116" s="126" t="s">
        <v>549</v>
      </c>
      <c r="J116" s="38"/>
      <c r="K116" s="38"/>
      <c r="L116" s="127"/>
      <c r="M116" s="127"/>
      <c r="O116" s="128"/>
      <c r="P116" s="121"/>
      <c r="Q116" s="128"/>
      <c r="R116" s="128"/>
      <c r="S116" s="30"/>
      <c r="U116" s="30"/>
      <c r="V116" s="30"/>
    </row>
    <row r="117" ht="22.5" customHeight="1">
      <c r="A117" s="123" t="s">
        <v>403</v>
      </c>
      <c r="B117" s="27" t="s">
        <v>645</v>
      </c>
      <c r="C117" s="124"/>
      <c r="D117" s="27"/>
      <c r="E117" s="27"/>
      <c r="F117" s="27"/>
      <c r="G117" s="125" t="s">
        <v>551</v>
      </c>
      <c r="H117" s="10">
        <v>45658.0</v>
      </c>
      <c r="I117" s="126" t="s">
        <v>549</v>
      </c>
      <c r="J117" s="38"/>
      <c r="K117" s="38"/>
      <c r="L117" s="127"/>
      <c r="M117" s="127"/>
      <c r="O117" s="128"/>
      <c r="P117" s="121"/>
      <c r="Q117" s="128"/>
      <c r="R117" s="128"/>
      <c r="S117" s="30"/>
      <c r="U117" s="30"/>
      <c r="V117" s="30"/>
    </row>
    <row r="118" ht="22.5" customHeight="1">
      <c r="A118" s="123" t="s">
        <v>479</v>
      </c>
      <c r="B118" s="27" t="s">
        <v>669</v>
      </c>
      <c r="C118" s="124"/>
      <c r="D118" s="27"/>
      <c r="E118" s="27"/>
      <c r="F118" s="27"/>
      <c r="G118" s="125" t="s">
        <v>1019</v>
      </c>
      <c r="H118" s="10">
        <v>45658.0</v>
      </c>
      <c r="I118" s="126" t="s">
        <v>631</v>
      </c>
      <c r="J118" s="38"/>
      <c r="K118" s="38"/>
      <c r="L118" s="127"/>
      <c r="M118" s="127"/>
      <c r="O118" s="128"/>
      <c r="P118" s="121"/>
      <c r="Q118" s="128"/>
      <c r="R118" s="128"/>
      <c r="S118" s="30"/>
      <c r="U118" s="30"/>
      <c r="V118" s="30"/>
    </row>
    <row r="119" ht="22.5" customHeight="1">
      <c r="A119" s="123" t="s">
        <v>403</v>
      </c>
      <c r="B119" s="27" t="s">
        <v>644</v>
      </c>
      <c r="C119" s="124"/>
      <c r="D119" s="27"/>
      <c r="E119" s="27"/>
      <c r="F119" s="27"/>
      <c r="G119" s="125" t="s">
        <v>548</v>
      </c>
      <c r="H119" s="10">
        <v>45658.0</v>
      </c>
      <c r="I119" s="126" t="s">
        <v>549</v>
      </c>
      <c r="J119" s="38"/>
      <c r="K119" s="38"/>
      <c r="L119" s="127"/>
      <c r="M119" s="127"/>
      <c r="O119" s="128"/>
      <c r="P119" s="121"/>
      <c r="Q119" s="128"/>
      <c r="R119" s="128"/>
      <c r="S119" s="30"/>
      <c r="U119" s="30"/>
      <c r="V119" s="30"/>
    </row>
    <row r="120" ht="22.5" customHeight="1">
      <c r="A120" s="123" t="s">
        <v>403</v>
      </c>
      <c r="B120" s="27" t="s">
        <v>645</v>
      </c>
      <c r="C120" s="124"/>
      <c r="D120" s="27"/>
      <c r="E120" s="27"/>
      <c r="F120" s="27"/>
      <c r="G120" s="125" t="s">
        <v>551</v>
      </c>
      <c r="H120" s="10">
        <v>45658.0</v>
      </c>
      <c r="I120" s="126" t="s">
        <v>549</v>
      </c>
      <c r="J120" s="38"/>
      <c r="K120" s="38"/>
      <c r="L120" s="127"/>
      <c r="M120" s="127"/>
      <c r="O120" s="128"/>
      <c r="P120" s="121"/>
      <c r="Q120" s="128"/>
      <c r="R120" s="128"/>
      <c r="S120" s="30"/>
      <c r="U120" s="30"/>
      <c r="V120" s="30"/>
    </row>
    <row r="121" ht="22.5" customHeight="1">
      <c r="A121" s="123" t="s">
        <v>508</v>
      </c>
      <c r="B121" s="27" t="s">
        <v>670</v>
      </c>
      <c r="C121" s="124"/>
      <c r="D121" s="27"/>
      <c r="E121" s="27"/>
      <c r="F121" s="27"/>
      <c r="G121" s="125" t="s">
        <v>1020</v>
      </c>
      <c r="H121" s="10">
        <v>45658.0</v>
      </c>
      <c r="I121" s="126" t="s">
        <v>665</v>
      </c>
      <c r="J121" s="38"/>
      <c r="K121" s="38"/>
      <c r="L121" s="127"/>
      <c r="M121" s="127"/>
      <c r="O121" s="128"/>
      <c r="P121" s="121"/>
      <c r="Q121" s="128"/>
      <c r="R121" s="128"/>
      <c r="S121" s="30"/>
      <c r="U121" s="30"/>
      <c r="V121" s="30"/>
    </row>
    <row r="122" ht="22.5" customHeight="1">
      <c r="A122" s="123" t="s">
        <v>403</v>
      </c>
      <c r="B122" s="27" t="s">
        <v>644</v>
      </c>
      <c r="C122" s="124"/>
      <c r="D122" s="27"/>
      <c r="E122" s="27"/>
      <c r="F122" s="27"/>
      <c r="G122" s="125" t="s">
        <v>548</v>
      </c>
      <c r="H122" s="10">
        <v>45658.0</v>
      </c>
      <c r="I122" s="126" t="s">
        <v>549</v>
      </c>
      <c r="J122" s="38"/>
      <c r="K122" s="38"/>
      <c r="L122" s="127"/>
      <c r="M122" s="127"/>
      <c r="O122" s="128"/>
      <c r="P122" s="121"/>
      <c r="Q122" s="128"/>
      <c r="R122" s="128"/>
      <c r="S122" s="30"/>
      <c r="U122" s="30"/>
      <c r="V122" s="30"/>
    </row>
    <row r="123" ht="22.5" customHeight="1">
      <c r="A123" s="123" t="s">
        <v>403</v>
      </c>
      <c r="B123" s="27" t="s">
        <v>645</v>
      </c>
      <c r="C123" s="124"/>
      <c r="D123" s="27"/>
      <c r="E123" s="27"/>
      <c r="F123" s="27"/>
      <c r="G123" s="125" t="s">
        <v>551</v>
      </c>
      <c r="H123" s="10">
        <v>45658.0</v>
      </c>
      <c r="I123" s="126" t="s">
        <v>549</v>
      </c>
      <c r="J123" s="38"/>
      <c r="K123" s="38"/>
      <c r="L123" s="127"/>
      <c r="M123" s="127"/>
      <c r="O123" s="128"/>
      <c r="P123" s="121"/>
      <c r="Q123" s="128"/>
      <c r="R123" s="128"/>
      <c r="S123" s="30"/>
      <c r="U123" s="30"/>
      <c r="V123" s="30"/>
    </row>
    <row r="124" ht="22.5" customHeight="1">
      <c r="A124" s="123" t="s">
        <v>18</v>
      </c>
      <c r="B124" s="27" t="s">
        <v>672</v>
      </c>
      <c r="C124" s="124"/>
      <c r="D124" s="27"/>
      <c r="E124" s="27"/>
      <c r="F124" s="27"/>
      <c r="G124" s="125" t="s">
        <v>1021</v>
      </c>
      <c r="H124" s="10">
        <v>45658.0</v>
      </c>
      <c r="I124" s="126" t="s">
        <v>586</v>
      </c>
      <c r="J124" s="38"/>
      <c r="K124" s="38"/>
      <c r="L124" s="127"/>
      <c r="M124" s="127"/>
      <c r="O124" s="128"/>
      <c r="P124" s="121"/>
      <c r="Q124" s="128"/>
      <c r="R124" s="128"/>
      <c r="S124" s="30"/>
      <c r="U124" s="30"/>
      <c r="V124" s="30"/>
    </row>
    <row r="125" ht="22.5" customHeight="1">
      <c r="A125" s="123" t="s">
        <v>403</v>
      </c>
      <c r="B125" s="27" t="s">
        <v>674</v>
      </c>
      <c r="C125" s="124"/>
      <c r="D125" s="27"/>
      <c r="E125" s="27"/>
      <c r="F125" s="27"/>
      <c r="G125" s="125" t="s">
        <v>548</v>
      </c>
      <c r="H125" s="10">
        <v>45658.0</v>
      </c>
      <c r="I125" s="126" t="s">
        <v>549</v>
      </c>
      <c r="J125" s="38"/>
      <c r="K125" s="38"/>
      <c r="L125" s="127"/>
      <c r="M125" s="127"/>
      <c r="O125" s="128"/>
      <c r="P125" s="121"/>
      <c r="Q125" s="128"/>
      <c r="R125" s="128"/>
      <c r="S125" s="30"/>
      <c r="U125" s="30"/>
      <c r="V125" s="30"/>
    </row>
    <row r="126" ht="22.5" customHeight="1">
      <c r="A126" s="123" t="s">
        <v>403</v>
      </c>
      <c r="B126" s="27" t="s">
        <v>675</v>
      </c>
      <c r="C126" s="124"/>
      <c r="D126" s="27"/>
      <c r="E126" s="27"/>
      <c r="F126" s="27"/>
      <c r="G126" s="125" t="s">
        <v>551</v>
      </c>
      <c r="H126" s="10">
        <v>45658.0</v>
      </c>
      <c r="I126" s="126" t="s">
        <v>549</v>
      </c>
      <c r="J126" s="38"/>
      <c r="K126" s="38"/>
      <c r="L126" s="127"/>
      <c r="M126" s="127"/>
      <c r="O126" s="128"/>
      <c r="P126" s="121"/>
      <c r="Q126" s="128"/>
      <c r="R126" s="128"/>
      <c r="S126" s="30"/>
      <c r="U126" s="30"/>
      <c r="V126" s="30"/>
    </row>
    <row r="127" ht="22.5" customHeight="1">
      <c r="A127" s="123" t="s">
        <v>18</v>
      </c>
      <c r="B127" s="27" t="s">
        <v>676</v>
      </c>
      <c r="C127" s="124"/>
      <c r="D127" s="27"/>
      <c r="E127" s="27"/>
      <c r="F127" s="27"/>
      <c r="G127" s="125" t="s">
        <v>1022</v>
      </c>
      <c r="H127" s="10">
        <v>45658.0</v>
      </c>
      <c r="I127" s="126" t="s">
        <v>586</v>
      </c>
      <c r="J127" s="38"/>
      <c r="K127" s="38"/>
      <c r="L127" s="127"/>
      <c r="M127" s="127"/>
      <c r="O127" s="128"/>
      <c r="P127" s="121"/>
      <c r="Q127" s="128"/>
      <c r="R127" s="128"/>
      <c r="S127" s="30"/>
      <c r="U127" s="30"/>
      <c r="V127" s="30"/>
    </row>
    <row r="128" ht="22.5" customHeight="1">
      <c r="A128" s="123" t="s">
        <v>403</v>
      </c>
      <c r="B128" s="27" t="s">
        <v>674</v>
      </c>
      <c r="C128" s="124"/>
      <c r="D128" s="27"/>
      <c r="E128" s="27"/>
      <c r="F128" s="27"/>
      <c r="G128" s="125" t="s">
        <v>548</v>
      </c>
      <c r="H128" s="10">
        <v>45658.0</v>
      </c>
      <c r="I128" s="126" t="s">
        <v>549</v>
      </c>
      <c r="J128" s="38"/>
      <c r="K128" s="38"/>
      <c r="L128" s="127"/>
      <c r="M128" s="127"/>
      <c r="O128" s="128"/>
      <c r="P128" s="121"/>
      <c r="Q128" s="128"/>
      <c r="R128" s="128"/>
      <c r="S128" s="30"/>
      <c r="U128" s="30"/>
      <c r="V128" s="30"/>
    </row>
    <row r="129" ht="22.5" customHeight="1">
      <c r="A129" s="123" t="s">
        <v>403</v>
      </c>
      <c r="B129" s="27" t="s">
        <v>675</v>
      </c>
      <c r="C129" s="124"/>
      <c r="D129" s="27"/>
      <c r="E129" s="27"/>
      <c r="F129" s="27"/>
      <c r="G129" s="125" t="s">
        <v>551</v>
      </c>
      <c r="H129" s="10">
        <v>45658.0</v>
      </c>
      <c r="I129" s="126" t="s">
        <v>549</v>
      </c>
      <c r="J129" s="38"/>
      <c r="K129" s="38"/>
      <c r="L129" s="127"/>
      <c r="M129" s="127"/>
      <c r="O129" s="128"/>
      <c r="P129" s="121"/>
      <c r="Q129" s="128"/>
      <c r="R129" s="128"/>
      <c r="S129" s="30"/>
      <c r="U129" s="30"/>
      <c r="V129" s="30"/>
    </row>
    <row r="130" ht="22.5" customHeight="1">
      <c r="A130" s="123" t="s">
        <v>349</v>
      </c>
      <c r="B130" s="27" t="s">
        <v>678</v>
      </c>
      <c r="C130" s="124"/>
      <c r="D130" s="27"/>
      <c r="E130" s="27"/>
      <c r="F130" s="27"/>
      <c r="G130" s="125" t="s">
        <v>1023</v>
      </c>
      <c r="H130" s="10">
        <v>45658.0</v>
      </c>
      <c r="I130" s="126" t="s">
        <v>581</v>
      </c>
      <c r="J130" s="38"/>
      <c r="K130" s="38"/>
      <c r="L130" s="127"/>
      <c r="M130" s="127"/>
      <c r="O130" s="128"/>
      <c r="P130" s="121"/>
      <c r="Q130" s="128"/>
      <c r="R130" s="128"/>
      <c r="S130" s="30"/>
      <c r="U130" s="30"/>
      <c r="V130" s="30"/>
    </row>
    <row r="131" ht="22.5" customHeight="1">
      <c r="A131" s="123" t="s">
        <v>403</v>
      </c>
      <c r="B131" s="27" t="s">
        <v>674</v>
      </c>
      <c r="C131" s="124"/>
      <c r="D131" s="27"/>
      <c r="E131" s="27"/>
      <c r="F131" s="27"/>
      <c r="G131" s="125" t="s">
        <v>548</v>
      </c>
      <c r="H131" s="10">
        <v>45658.0</v>
      </c>
      <c r="I131" s="126" t="s">
        <v>549</v>
      </c>
      <c r="J131" s="38"/>
      <c r="K131" s="38"/>
      <c r="L131" s="127"/>
      <c r="M131" s="127"/>
      <c r="O131" s="128"/>
      <c r="P131" s="121"/>
      <c r="Q131" s="128"/>
      <c r="R131" s="128"/>
      <c r="S131" s="30"/>
      <c r="U131" s="30"/>
      <c r="V131" s="30"/>
    </row>
    <row r="132" ht="22.5" customHeight="1">
      <c r="A132" s="123" t="s">
        <v>403</v>
      </c>
      <c r="B132" s="27" t="s">
        <v>675</v>
      </c>
      <c r="C132" s="124"/>
      <c r="D132" s="27"/>
      <c r="E132" s="27"/>
      <c r="F132" s="27"/>
      <c r="G132" s="125" t="s">
        <v>551</v>
      </c>
      <c r="H132" s="10">
        <v>45658.0</v>
      </c>
      <c r="I132" s="126" t="s">
        <v>549</v>
      </c>
      <c r="J132" s="38"/>
      <c r="K132" s="38"/>
      <c r="L132" s="127"/>
      <c r="M132" s="127"/>
      <c r="O132" s="128"/>
      <c r="P132" s="121"/>
      <c r="Q132" s="128"/>
      <c r="R132" s="128"/>
      <c r="S132" s="30"/>
      <c r="U132" s="30"/>
      <c r="V132" s="30"/>
    </row>
    <row r="133" ht="22.5" customHeight="1">
      <c r="A133" s="123" t="s">
        <v>349</v>
      </c>
      <c r="B133" s="27" t="s">
        <v>680</v>
      </c>
      <c r="C133" s="124"/>
      <c r="D133" s="27"/>
      <c r="E133" s="27"/>
      <c r="F133" s="27"/>
      <c r="G133" s="125" t="s">
        <v>1024</v>
      </c>
      <c r="H133" s="10">
        <v>45658.0</v>
      </c>
      <c r="I133" s="126" t="s">
        <v>581</v>
      </c>
      <c r="J133" s="38"/>
      <c r="K133" s="38"/>
      <c r="L133" s="127"/>
      <c r="M133" s="127"/>
      <c r="O133" s="128"/>
      <c r="P133" s="121"/>
      <c r="Q133" s="128"/>
      <c r="R133" s="128"/>
      <c r="S133" s="30"/>
      <c r="U133" s="30"/>
      <c r="V133" s="30"/>
    </row>
    <row r="134" ht="22.5" customHeight="1">
      <c r="A134" s="123" t="s">
        <v>403</v>
      </c>
      <c r="B134" s="27" t="s">
        <v>674</v>
      </c>
      <c r="C134" s="124"/>
      <c r="D134" s="27"/>
      <c r="E134" s="27"/>
      <c r="F134" s="27"/>
      <c r="G134" s="125" t="s">
        <v>548</v>
      </c>
      <c r="H134" s="10">
        <v>45658.0</v>
      </c>
      <c r="I134" s="126" t="s">
        <v>549</v>
      </c>
      <c r="J134" s="38"/>
      <c r="K134" s="38"/>
      <c r="L134" s="127"/>
      <c r="M134" s="127"/>
      <c r="O134" s="128"/>
      <c r="P134" s="121"/>
      <c r="Q134" s="128"/>
      <c r="R134" s="128"/>
      <c r="S134" s="30"/>
      <c r="U134" s="30"/>
      <c r="V134" s="30"/>
    </row>
    <row r="135" ht="22.5" customHeight="1">
      <c r="A135" s="123" t="s">
        <v>403</v>
      </c>
      <c r="B135" s="27" t="s">
        <v>675</v>
      </c>
      <c r="C135" s="124"/>
      <c r="D135" s="27"/>
      <c r="E135" s="27"/>
      <c r="F135" s="27"/>
      <c r="G135" s="125" t="s">
        <v>551</v>
      </c>
      <c r="H135" s="10">
        <v>45658.0</v>
      </c>
      <c r="I135" s="126" t="s">
        <v>549</v>
      </c>
      <c r="J135" s="38"/>
      <c r="K135" s="38"/>
      <c r="L135" s="127"/>
      <c r="M135" s="127"/>
      <c r="O135" s="128"/>
      <c r="P135" s="121"/>
      <c r="Q135" s="128"/>
      <c r="R135" s="128"/>
      <c r="S135" s="30"/>
      <c r="U135" s="30"/>
      <c r="V135" s="30"/>
    </row>
    <row r="136" ht="22.5" customHeight="1">
      <c r="A136" s="133" t="s">
        <v>349</v>
      </c>
      <c r="B136" s="27" t="s">
        <v>682</v>
      </c>
      <c r="C136" s="124"/>
      <c r="D136" s="27"/>
      <c r="E136" s="27"/>
      <c r="F136" s="27"/>
      <c r="G136" s="125" t="s">
        <v>1025</v>
      </c>
      <c r="H136" s="10">
        <v>45658.0</v>
      </c>
      <c r="I136" s="126" t="s">
        <v>568</v>
      </c>
      <c r="J136" s="38"/>
      <c r="K136" s="38"/>
      <c r="L136" s="127"/>
      <c r="M136" s="127"/>
      <c r="O136" s="128"/>
      <c r="P136" s="121"/>
      <c r="Q136" s="128"/>
      <c r="R136" s="128"/>
      <c r="S136" s="30"/>
      <c r="U136" s="30"/>
      <c r="V136" s="30"/>
    </row>
    <row r="137" ht="22.5" customHeight="1">
      <c r="A137" s="123" t="s">
        <v>403</v>
      </c>
      <c r="B137" s="27" t="s">
        <v>674</v>
      </c>
      <c r="C137" s="124"/>
      <c r="D137" s="27"/>
      <c r="E137" s="27"/>
      <c r="F137" s="27"/>
      <c r="G137" s="125" t="s">
        <v>548</v>
      </c>
      <c r="H137" s="10">
        <v>45658.0</v>
      </c>
      <c r="I137" s="126" t="s">
        <v>549</v>
      </c>
      <c r="J137" s="38"/>
      <c r="K137" s="38"/>
      <c r="L137" s="127"/>
      <c r="M137" s="127"/>
      <c r="O137" s="128"/>
      <c r="P137" s="121"/>
      <c r="Q137" s="128"/>
      <c r="R137" s="128"/>
      <c r="S137" s="30"/>
      <c r="U137" s="30"/>
      <c r="V137" s="30"/>
    </row>
    <row r="138" ht="22.5" customHeight="1">
      <c r="A138" s="123" t="s">
        <v>403</v>
      </c>
      <c r="B138" s="27" t="s">
        <v>675</v>
      </c>
      <c r="C138" s="124"/>
      <c r="D138" s="27"/>
      <c r="E138" s="27"/>
      <c r="F138" s="27"/>
      <c r="G138" s="125" t="s">
        <v>551</v>
      </c>
      <c r="H138" s="10">
        <v>45658.0</v>
      </c>
      <c r="I138" s="126" t="s">
        <v>549</v>
      </c>
      <c r="J138" s="38"/>
      <c r="K138" s="38"/>
      <c r="L138" s="127"/>
      <c r="M138" s="127"/>
      <c r="O138" s="128"/>
      <c r="P138" s="121"/>
      <c r="Q138" s="128"/>
      <c r="R138" s="128"/>
      <c r="S138" s="30"/>
      <c r="U138" s="30"/>
      <c r="V138" s="30"/>
    </row>
    <row r="139" ht="22.5" customHeight="1">
      <c r="A139" s="123" t="s">
        <v>437</v>
      </c>
      <c r="B139" s="27" t="s">
        <v>683</v>
      </c>
      <c r="C139" s="124"/>
      <c r="D139" s="27"/>
      <c r="E139" s="27"/>
      <c r="F139" s="27"/>
      <c r="G139" s="125" t="s">
        <v>1026</v>
      </c>
      <c r="H139" s="10">
        <v>45658.0</v>
      </c>
      <c r="I139" s="126" t="s">
        <v>613</v>
      </c>
      <c r="J139" s="38"/>
      <c r="K139" s="38"/>
      <c r="L139" s="127"/>
      <c r="M139" s="127"/>
      <c r="O139" s="128"/>
      <c r="P139" s="121"/>
      <c r="Q139" s="128"/>
      <c r="R139" s="128"/>
      <c r="S139" s="30"/>
      <c r="U139" s="30"/>
      <c r="V139" s="30"/>
    </row>
    <row r="140" ht="22.5" customHeight="1">
      <c r="A140" s="133" t="s">
        <v>349</v>
      </c>
      <c r="B140" s="27" t="s">
        <v>684</v>
      </c>
      <c r="C140" s="124"/>
      <c r="D140" s="27"/>
      <c r="E140" s="27"/>
      <c r="F140" s="27"/>
      <c r="G140" s="125" t="s">
        <v>1027</v>
      </c>
      <c r="H140" s="10">
        <v>45658.0</v>
      </c>
      <c r="I140" s="126" t="s">
        <v>568</v>
      </c>
      <c r="J140" s="38"/>
      <c r="K140" s="38"/>
      <c r="L140" s="127"/>
      <c r="M140" s="127"/>
      <c r="O140" s="128"/>
      <c r="P140" s="121"/>
      <c r="Q140" s="128"/>
      <c r="R140" s="128"/>
      <c r="S140" s="30"/>
      <c r="U140" s="30"/>
      <c r="V140" s="30"/>
    </row>
    <row r="141" ht="22.5" customHeight="1">
      <c r="A141" s="123" t="s">
        <v>403</v>
      </c>
      <c r="B141" s="27" t="s">
        <v>674</v>
      </c>
      <c r="C141" s="124"/>
      <c r="D141" s="27"/>
      <c r="E141" s="27"/>
      <c r="F141" s="27"/>
      <c r="G141" s="125" t="s">
        <v>548</v>
      </c>
      <c r="H141" s="10">
        <v>45658.0</v>
      </c>
      <c r="I141" s="126" t="s">
        <v>549</v>
      </c>
      <c r="J141" s="38"/>
      <c r="K141" s="38"/>
      <c r="L141" s="127"/>
      <c r="M141" s="127"/>
      <c r="O141" s="128"/>
      <c r="P141" s="121"/>
      <c r="Q141" s="128"/>
      <c r="R141" s="128"/>
      <c r="S141" s="30"/>
      <c r="U141" s="30"/>
      <c r="V141" s="30"/>
    </row>
    <row r="142" ht="22.5" customHeight="1">
      <c r="A142" s="123" t="s">
        <v>403</v>
      </c>
      <c r="B142" s="27" t="s">
        <v>675</v>
      </c>
      <c r="C142" s="124"/>
      <c r="D142" s="27"/>
      <c r="E142" s="27"/>
      <c r="F142" s="27"/>
      <c r="G142" s="125" t="s">
        <v>551</v>
      </c>
      <c r="H142" s="10">
        <v>45658.0</v>
      </c>
      <c r="I142" s="126" t="s">
        <v>549</v>
      </c>
      <c r="J142" s="38"/>
      <c r="K142" s="38"/>
      <c r="L142" s="127"/>
      <c r="M142" s="127"/>
      <c r="O142" s="128"/>
      <c r="P142" s="121"/>
      <c r="Q142" s="128"/>
      <c r="R142" s="128"/>
      <c r="S142" s="30"/>
      <c r="U142" s="30"/>
      <c r="V142" s="30"/>
    </row>
    <row r="143" ht="22.5" customHeight="1">
      <c r="A143" s="123" t="s">
        <v>18</v>
      </c>
      <c r="B143" s="27" t="s">
        <v>686</v>
      </c>
      <c r="C143" s="124"/>
      <c r="D143" s="27"/>
      <c r="E143" s="27"/>
      <c r="F143" s="27"/>
      <c r="G143" s="125" t="s">
        <v>1028</v>
      </c>
      <c r="H143" s="10">
        <v>45658.0</v>
      </c>
      <c r="I143" s="126" t="s">
        <v>586</v>
      </c>
      <c r="J143" s="38"/>
      <c r="K143" s="38"/>
      <c r="L143" s="127"/>
      <c r="M143" s="127"/>
      <c r="O143" s="128"/>
      <c r="P143" s="121"/>
      <c r="Q143" s="128"/>
      <c r="R143" s="128"/>
      <c r="S143" s="30"/>
      <c r="U143" s="30"/>
      <c r="V143" s="30"/>
    </row>
    <row r="144" ht="22.5" customHeight="1">
      <c r="A144" s="123" t="s">
        <v>403</v>
      </c>
      <c r="B144" s="27" t="s">
        <v>688</v>
      </c>
      <c r="C144" s="124"/>
      <c r="D144" s="27"/>
      <c r="E144" s="27"/>
      <c r="F144" s="27"/>
      <c r="G144" s="125" t="s">
        <v>548</v>
      </c>
      <c r="H144" s="10">
        <v>45658.0</v>
      </c>
      <c r="I144" s="126" t="s">
        <v>549</v>
      </c>
      <c r="J144" s="38"/>
      <c r="K144" s="38"/>
      <c r="L144" s="127"/>
      <c r="M144" s="127"/>
      <c r="O144" s="128"/>
      <c r="P144" s="121"/>
      <c r="Q144" s="128"/>
      <c r="R144" s="128"/>
      <c r="S144" s="30"/>
      <c r="U144" s="30"/>
      <c r="V144" s="30"/>
    </row>
    <row r="145" ht="22.5" customHeight="1">
      <c r="A145" s="123" t="s">
        <v>403</v>
      </c>
      <c r="B145" s="27" t="s">
        <v>689</v>
      </c>
      <c r="C145" s="124"/>
      <c r="D145" s="27"/>
      <c r="E145" s="27"/>
      <c r="F145" s="27"/>
      <c r="G145" s="125" t="s">
        <v>551</v>
      </c>
      <c r="H145" s="10">
        <v>45658.0</v>
      </c>
      <c r="I145" s="126" t="s">
        <v>549</v>
      </c>
      <c r="J145" s="38"/>
      <c r="K145" s="38"/>
      <c r="L145" s="127"/>
      <c r="M145" s="127"/>
      <c r="O145" s="128"/>
      <c r="P145" s="121"/>
      <c r="Q145" s="128"/>
      <c r="R145" s="128"/>
      <c r="S145" s="30"/>
      <c r="U145" s="30"/>
      <c r="V145" s="30"/>
    </row>
    <row r="146" ht="22.5" customHeight="1">
      <c r="A146" s="123" t="s">
        <v>18</v>
      </c>
      <c r="B146" s="27" t="s">
        <v>690</v>
      </c>
      <c r="C146" s="124"/>
      <c r="D146" s="27"/>
      <c r="E146" s="27"/>
      <c r="F146" s="27"/>
      <c r="G146" s="125" t="s">
        <v>1029</v>
      </c>
      <c r="H146" s="10">
        <v>45658.0</v>
      </c>
      <c r="I146" s="126" t="s">
        <v>586</v>
      </c>
      <c r="J146" s="38"/>
      <c r="K146" s="38"/>
      <c r="L146" s="127"/>
      <c r="M146" s="127"/>
      <c r="O146" s="128"/>
      <c r="P146" s="121"/>
      <c r="Q146" s="128"/>
      <c r="R146" s="128"/>
      <c r="S146" s="30"/>
      <c r="U146" s="30"/>
      <c r="V146" s="30"/>
    </row>
    <row r="147" ht="22.5" customHeight="1">
      <c r="A147" s="123" t="s">
        <v>367</v>
      </c>
      <c r="B147" s="27" t="s">
        <v>692</v>
      </c>
      <c r="C147" s="124"/>
      <c r="D147" s="27"/>
      <c r="E147" s="27"/>
      <c r="F147" s="27"/>
      <c r="G147" s="125" t="s">
        <v>1030</v>
      </c>
      <c r="H147" s="10">
        <v>45658.0</v>
      </c>
      <c r="I147" s="126" t="s">
        <v>623</v>
      </c>
      <c r="J147" s="38"/>
      <c r="K147" s="38"/>
      <c r="L147" s="127"/>
      <c r="M147" s="127"/>
      <c r="O147" s="128"/>
      <c r="P147" s="121"/>
      <c r="Q147" s="128"/>
      <c r="R147" s="128"/>
      <c r="S147" s="30"/>
      <c r="U147" s="30"/>
      <c r="V147" s="30"/>
    </row>
    <row r="148" ht="22.5" customHeight="1">
      <c r="A148" s="123" t="s">
        <v>403</v>
      </c>
      <c r="B148" s="27" t="s">
        <v>688</v>
      </c>
      <c r="C148" s="124"/>
      <c r="D148" s="27"/>
      <c r="E148" s="27"/>
      <c r="F148" s="27"/>
      <c r="G148" s="125" t="s">
        <v>548</v>
      </c>
      <c r="H148" s="10">
        <v>45658.0</v>
      </c>
      <c r="I148" s="126" t="s">
        <v>549</v>
      </c>
      <c r="J148" s="38"/>
      <c r="K148" s="38"/>
      <c r="L148" s="127"/>
      <c r="M148" s="127"/>
      <c r="O148" s="128"/>
      <c r="P148" s="121"/>
      <c r="Q148" s="128"/>
      <c r="R148" s="128"/>
      <c r="S148" s="30"/>
      <c r="U148" s="30"/>
      <c r="V148" s="30"/>
    </row>
    <row r="149" ht="22.5" customHeight="1">
      <c r="A149" s="123" t="s">
        <v>403</v>
      </c>
      <c r="B149" s="27" t="s">
        <v>693</v>
      </c>
      <c r="C149" s="124"/>
      <c r="D149" s="27"/>
      <c r="E149" s="27"/>
      <c r="F149" s="27"/>
      <c r="G149" s="125" t="s">
        <v>551</v>
      </c>
      <c r="H149" s="10">
        <v>45658.0</v>
      </c>
      <c r="I149" s="126" t="s">
        <v>549</v>
      </c>
      <c r="J149" s="38"/>
      <c r="K149" s="38"/>
      <c r="L149" s="127"/>
      <c r="M149" s="127"/>
      <c r="O149" s="128"/>
      <c r="P149" s="121"/>
      <c r="Q149" s="128"/>
      <c r="R149" s="128"/>
      <c r="S149" s="30"/>
      <c r="U149" s="30"/>
      <c r="V149" s="30"/>
    </row>
    <row r="150" ht="22.5" customHeight="1">
      <c r="A150" s="129"/>
      <c r="B150" s="27" t="s">
        <v>694</v>
      </c>
      <c r="C150" s="124"/>
      <c r="D150" s="27"/>
      <c r="E150" s="27"/>
      <c r="F150" s="27"/>
      <c r="G150" s="125" t="s">
        <v>1031</v>
      </c>
      <c r="H150" s="10">
        <v>45658.0</v>
      </c>
      <c r="I150" s="126" t="s">
        <v>696</v>
      </c>
      <c r="J150" s="38"/>
      <c r="K150" s="38"/>
      <c r="L150" s="127"/>
      <c r="M150" s="127"/>
      <c r="O150" s="128"/>
      <c r="P150" s="121"/>
      <c r="Q150" s="128"/>
      <c r="R150" s="128"/>
      <c r="S150" s="30"/>
      <c r="U150" s="30"/>
      <c r="V150" s="30"/>
    </row>
    <row r="151" ht="22.5" customHeight="1">
      <c r="A151" s="123" t="s">
        <v>403</v>
      </c>
      <c r="B151" s="27" t="s">
        <v>688</v>
      </c>
      <c r="C151" s="124"/>
      <c r="D151" s="27"/>
      <c r="E151" s="27"/>
      <c r="F151" s="27"/>
      <c r="G151" s="125" t="s">
        <v>548</v>
      </c>
      <c r="H151" s="10">
        <v>45658.0</v>
      </c>
      <c r="I151" s="126" t="s">
        <v>549</v>
      </c>
      <c r="J151" s="38"/>
      <c r="K151" s="38"/>
      <c r="L151" s="127"/>
      <c r="M151" s="127"/>
      <c r="O151" s="128"/>
      <c r="P151" s="121"/>
      <c r="Q151" s="128"/>
      <c r="R151" s="128"/>
      <c r="S151" s="30"/>
      <c r="U151" s="30"/>
      <c r="V151" s="30"/>
    </row>
    <row r="152" ht="22.5" customHeight="1">
      <c r="A152" s="123" t="s">
        <v>403</v>
      </c>
      <c r="B152" s="27" t="s">
        <v>693</v>
      </c>
      <c r="C152" s="124"/>
      <c r="D152" s="27"/>
      <c r="E152" s="27"/>
      <c r="F152" s="27"/>
      <c r="G152" s="125" t="s">
        <v>551</v>
      </c>
      <c r="H152" s="10">
        <v>45658.0</v>
      </c>
      <c r="I152" s="126" t="s">
        <v>549</v>
      </c>
      <c r="J152" s="38"/>
      <c r="K152" s="38"/>
      <c r="L152" s="127"/>
      <c r="M152" s="127"/>
      <c r="O152" s="128"/>
      <c r="P152" s="121"/>
      <c r="Q152" s="128"/>
      <c r="R152" s="128"/>
      <c r="S152" s="30"/>
      <c r="U152" s="30"/>
      <c r="V152" s="30"/>
    </row>
    <row r="153" ht="22.5" customHeight="1">
      <c r="A153" s="129"/>
      <c r="B153" s="27" t="s">
        <v>697</v>
      </c>
      <c r="C153" s="124"/>
      <c r="D153" s="27"/>
      <c r="E153" s="27"/>
      <c r="F153" s="27"/>
      <c r="G153" s="125" t="s">
        <v>1032</v>
      </c>
      <c r="H153" s="10">
        <v>45658.0</v>
      </c>
      <c r="I153" s="126" t="s">
        <v>696</v>
      </c>
      <c r="J153" s="38"/>
      <c r="K153" s="38"/>
      <c r="L153" s="127"/>
      <c r="M153" s="127"/>
      <c r="O153" s="128"/>
      <c r="P153" s="121"/>
      <c r="Q153" s="128"/>
      <c r="R153" s="128"/>
      <c r="S153" s="30"/>
      <c r="U153" s="30"/>
      <c r="V153" s="30"/>
    </row>
    <row r="154" ht="22.5" customHeight="1">
      <c r="A154" s="123" t="s">
        <v>403</v>
      </c>
      <c r="B154" s="27" t="s">
        <v>688</v>
      </c>
      <c r="C154" s="124"/>
      <c r="D154" s="27"/>
      <c r="E154" s="27"/>
      <c r="F154" s="27"/>
      <c r="G154" s="125" t="s">
        <v>548</v>
      </c>
      <c r="H154" s="10">
        <v>45658.0</v>
      </c>
      <c r="I154" s="126" t="s">
        <v>549</v>
      </c>
      <c r="J154" s="38"/>
      <c r="K154" s="38"/>
      <c r="L154" s="127"/>
      <c r="M154" s="127"/>
      <c r="O154" s="128"/>
      <c r="P154" s="121"/>
      <c r="Q154" s="128"/>
      <c r="R154" s="128"/>
      <c r="S154" s="30"/>
      <c r="U154" s="30"/>
      <c r="V154" s="30"/>
    </row>
    <row r="155" ht="22.5" customHeight="1">
      <c r="A155" s="123" t="s">
        <v>403</v>
      </c>
      <c r="B155" s="27" t="s">
        <v>693</v>
      </c>
      <c r="C155" s="124"/>
      <c r="D155" s="27"/>
      <c r="E155" s="27"/>
      <c r="F155" s="27"/>
      <c r="G155" s="125" t="s">
        <v>551</v>
      </c>
      <c r="H155" s="10">
        <v>45658.0</v>
      </c>
      <c r="I155" s="126" t="s">
        <v>549</v>
      </c>
      <c r="J155" s="38"/>
      <c r="K155" s="38"/>
      <c r="L155" s="127"/>
      <c r="M155" s="127"/>
      <c r="O155" s="128"/>
      <c r="P155" s="121"/>
      <c r="Q155" s="128"/>
      <c r="R155" s="128"/>
      <c r="S155" s="30"/>
      <c r="U155" s="30"/>
      <c r="V155" s="30"/>
    </row>
    <row r="156" ht="22.5" customHeight="1">
      <c r="A156" s="129"/>
      <c r="B156" s="27" t="s">
        <v>699</v>
      </c>
      <c r="C156" s="124"/>
      <c r="D156" s="27"/>
      <c r="E156" s="27"/>
      <c r="F156" s="27"/>
      <c r="G156" s="125" t="s">
        <v>1033</v>
      </c>
      <c r="H156" s="10">
        <v>45658.0</v>
      </c>
      <c r="I156" s="126" t="s">
        <v>701</v>
      </c>
      <c r="J156" s="38"/>
      <c r="K156" s="38"/>
      <c r="L156" s="127"/>
      <c r="M156" s="127"/>
      <c r="O156" s="128"/>
      <c r="P156" s="121"/>
      <c r="Q156" s="128"/>
      <c r="R156" s="128"/>
      <c r="S156" s="30"/>
      <c r="U156" s="30"/>
      <c r="V156" s="30"/>
    </row>
    <row r="157" ht="22.5" customHeight="1">
      <c r="A157" s="123" t="s">
        <v>403</v>
      </c>
      <c r="B157" s="27" t="s">
        <v>688</v>
      </c>
      <c r="C157" s="124"/>
      <c r="D157" s="27"/>
      <c r="E157" s="27"/>
      <c r="F157" s="27"/>
      <c r="G157" s="125" t="s">
        <v>548</v>
      </c>
      <c r="H157" s="10">
        <v>45658.0</v>
      </c>
      <c r="I157" s="126" t="s">
        <v>549</v>
      </c>
      <c r="J157" s="38"/>
      <c r="K157" s="38"/>
      <c r="L157" s="127"/>
      <c r="M157" s="127"/>
      <c r="O157" s="128"/>
      <c r="P157" s="121"/>
      <c r="Q157" s="128"/>
      <c r="R157" s="128"/>
      <c r="S157" s="30"/>
      <c r="U157" s="30"/>
      <c r="V157" s="30"/>
    </row>
    <row r="158" ht="22.5" customHeight="1">
      <c r="A158" s="123" t="s">
        <v>403</v>
      </c>
      <c r="B158" s="27" t="s">
        <v>693</v>
      </c>
      <c r="C158" s="124"/>
      <c r="D158" s="27"/>
      <c r="E158" s="27"/>
      <c r="F158" s="27"/>
      <c r="G158" s="125" t="s">
        <v>551</v>
      </c>
      <c r="H158" s="10">
        <v>45658.0</v>
      </c>
      <c r="I158" s="126" t="s">
        <v>549</v>
      </c>
      <c r="J158" s="38"/>
      <c r="K158" s="38"/>
      <c r="L158" s="127"/>
      <c r="M158" s="127"/>
      <c r="O158" s="128"/>
      <c r="P158" s="121"/>
      <c r="Q158" s="128"/>
      <c r="R158" s="128"/>
      <c r="S158" s="30"/>
      <c r="U158" s="30"/>
      <c r="V158" s="30"/>
    </row>
    <row r="159" ht="22.5" customHeight="1">
      <c r="A159" s="123" t="s">
        <v>405</v>
      </c>
      <c r="B159" s="27" t="s">
        <v>702</v>
      </c>
      <c r="C159" s="124"/>
      <c r="D159" s="27"/>
      <c r="E159" s="27"/>
      <c r="F159" s="27"/>
      <c r="G159" s="125" t="s">
        <v>1034</v>
      </c>
      <c r="H159" s="10">
        <v>45658.0</v>
      </c>
      <c r="I159" s="126" t="s">
        <v>704</v>
      </c>
      <c r="J159" s="38"/>
      <c r="K159" s="38"/>
      <c r="L159" s="127"/>
      <c r="M159" s="127"/>
      <c r="O159" s="128"/>
      <c r="P159" s="121"/>
      <c r="Q159" s="128"/>
      <c r="R159" s="128"/>
      <c r="S159" s="30"/>
      <c r="U159" s="30"/>
      <c r="V159" s="30"/>
    </row>
    <row r="160" ht="22.5" customHeight="1">
      <c r="A160" s="123" t="s">
        <v>403</v>
      </c>
      <c r="B160" s="27" t="s">
        <v>688</v>
      </c>
      <c r="C160" s="124"/>
      <c r="D160" s="27"/>
      <c r="E160" s="27"/>
      <c r="F160" s="27"/>
      <c r="G160" s="125" t="s">
        <v>548</v>
      </c>
      <c r="H160" s="10">
        <v>45658.0</v>
      </c>
      <c r="I160" s="126" t="s">
        <v>549</v>
      </c>
      <c r="J160" s="38"/>
      <c r="K160" s="38"/>
      <c r="L160" s="127"/>
      <c r="M160" s="127"/>
      <c r="O160" s="128"/>
      <c r="P160" s="121"/>
      <c r="Q160" s="128"/>
      <c r="R160" s="128"/>
      <c r="S160" s="30"/>
      <c r="U160" s="30"/>
      <c r="V160" s="30"/>
    </row>
    <row r="161" ht="22.5" customHeight="1">
      <c r="A161" s="123" t="s">
        <v>403</v>
      </c>
      <c r="B161" s="27" t="s">
        <v>693</v>
      </c>
      <c r="C161" s="124"/>
      <c r="D161" s="27"/>
      <c r="E161" s="27"/>
      <c r="F161" s="27"/>
      <c r="G161" s="125" t="s">
        <v>551</v>
      </c>
      <c r="H161" s="10">
        <v>45658.0</v>
      </c>
      <c r="I161" s="126" t="s">
        <v>549</v>
      </c>
      <c r="J161" s="38"/>
      <c r="K161" s="38"/>
      <c r="L161" s="127"/>
      <c r="M161" s="127"/>
      <c r="O161" s="128"/>
      <c r="P161" s="121"/>
      <c r="Q161" s="128"/>
      <c r="R161" s="128"/>
      <c r="S161" s="30"/>
      <c r="U161" s="30"/>
      <c r="V161" s="30"/>
    </row>
    <row r="162" ht="22.5" customHeight="1">
      <c r="A162" s="123" t="s">
        <v>18</v>
      </c>
      <c r="B162" s="27" t="s">
        <v>705</v>
      </c>
      <c r="C162" s="124"/>
      <c r="D162" s="27"/>
      <c r="E162" s="27"/>
      <c r="F162" s="27"/>
      <c r="G162" s="125" t="s">
        <v>1035</v>
      </c>
      <c r="H162" s="10">
        <v>45658.0</v>
      </c>
      <c r="I162" s="126" t="s">
        <v>586</v>
      </c>
      <c r="J162" s="38"/>
      <c r="K162" s="38"/>
      <c r="L162" s="127"/>
      <c r="M162" s="127"/>
      <c r="O162" s="128"/>
      <c r="P162" s="121"/>
      <c r="Q162" s="128"/>
      <c r="R162" s="128"/>
      <c r="S162" s="30"/>
      <c r="U162" s="30"/>
      <c r="V162" s="30"/>
    </row>
    <row r="163" ht="22.5" customHeight="1">
      <c r="A163" s="123" t="s">
        <v>403</v>
      </c>
      <c r="B163" s="27" t="s">
        <v>706</v>
      </c>
      <c r="C163" s="124"/>
      <c r="D163" s="27"/>
      <c r="E163" s="27"/>
      <c r="F163" s="27"/>
      <c r="G163" s="125" t="s">
        <v>548</v>
      </c>
      <c r="H163" s="10">
        <v>45658.0</v>
      </c>
      <c r="I163" s="126" t="s">
        <v>549</v>
      </c>
      <c r="J163" s="38"/>
      <c r="K163" s="38"/>
      <c r="L163" s="127"/>
      <c r="M163" s="127"/>
      <c r="O163" s="128"/>
      <c r="P163" s="121"/>
      <c r="Q163" s="128"/>
      <c r="R163" s="128"/>
      <c r="S163" s="30"/>
      <c r="U163" s="30"/>
      <c r="V163" s="30"/>
    </row>
    <row r="164" ht="22.5" customHeight="1">
      <c r="A164" s="123" t="s">
        <v>403</v>
      </c>
      <c r="B164" s="27" t="s">
        <v>689</v>
      </c>
      <c r="C164" s="124"/>
      <c r="D164" s="27"/>
      <c r="E164" s="27"/>
      <c r="F164" s="27"/>
      <c r="G164" s="125" t="s">
        <v>551</v>
      </c>
      <c r="H164" s="10">
        <v>45658.0</v>
      </c>
      <c r="I164" s="126" t="s">
        <v>549</v>
      </c>
      <c r="J164" s="38"/>
      <c r="K164" s="38"/>
      <c r="L164" s="127"/>
      <c r="M164" s="127"/>
      <c r="O164" s="128"/>
      <c r="P164" s="121"/>
      <c r="Q164" s="128"/>
      <c r="R164" s="128"/>
      <c r="S164" s="30"/>
      <c r="U164" s="30"/>
      <c r="V164" s="30"/>
    </row>
    <row r="165" ht="22.5" customHeight="1">
      <c r="A165" s="123" t="s">
        <v>471</v>
      </c>
      <c r="B165" s="27" t="s">
        <v>707</v>
      </c>
      <c r="C165" s="124"/>
      <c r="D165" s="27"/>
      <c r="E165" s="27"/>
      <c r="F165" s="27"/>
      <c r="G165" s="125" t="s">
        <v>1036</v>
      </c>
      <c r="H165" s="10">
        <v>45658.0</v>
      </c>
      <c r="I165" s="126" t="s">
        <v>708</v>
      </c>
      <c r="J165" s="38"/>
      <c r="K165" s="38"/>
      <c r="L165" s="127"/>
      <c r="M165" s="127"/>
      <c r="O165" s="128"/>
      <c r="P165" s="121"/>
      <c r="Q165" s="128"/>
      <c r="R165" s="128"/>
      <c r="S165" s="30"/>
      <c r="U165" s="30"/>
      <c r="V165" s="30"/>
    </row>
    <row r="166" ht="22.5" customHeight="1">
      <c r="A166" s="123" t="s">
        <v>471</v>
      </c>
      <c r="B166" s="27" t="s">
        <v>709</v>
      </c>
      <c r="C166" s="124"/>
      <c r="D166" s="27"/>
      <c r="E166" s="27"/>
      <c r="F166" s="27"/>
      <c r="G166" s="125" t="s">
        <v>1037</v>
      </c>
      <c r="H166" s="10">
        <v>45658.0</v>
      </c>
      <c r="I166" s="126" t="s">
        <v>708</v>
      </c>
      <c r="J166" s="38"/>
      <c r="K166" s="38"/>
      <c r="L166" s="127"/>
      <c r="M166" s="127"/>
      <c r="O166" s="128"/>
      <c r="P166" s="121"/>
      <c r="Q166" s="128"/>
      <c r="R166" s="128"/>
      <c r="S166" s="30"/>
      <c r="U166" s="30"/>
      <c r="V166" s="30"/>
    </row>
    <row r="167" ht="22.5" customHeight="1">
      <c r="A167" s="129"/>
      <c r="B167" s="27" t="s">
        <v>710</v>
      </c>
      <c r="C167" s="124"/>
      <c r="D167" s="27"/>
      <c r="E167" s="27"/>
      <c r="F167" s="27"/>
      <c r="G167" s="125" t="s">
        <v>1038</v>
      </c>
      <c r="H167" s="10">
        <v>45658.0</v>
      </c>
      <c r="I167" s="126" t="s">
        <v>711</v>
      </c>
      <c r="J167" s="38"/>
      <c r="K167" s="38"/>
      <c r="L167" s="127"/>
      <c r="M167" s="127"/>
      <c r="O167" s="128"/>
      <c r="P167" s="121"/>
      <c r="Q167" s="128"/>
      <c r="R167" s="128"/>
      <c r="S167" s="30"/>
      <c r="U167" s="30"/>
      <c r="V167" s="30"/>
    </row>
    <row r="168" ht="22.5" customHeight="1">
      <c r="A168" s="123" t="s">
        <v>508</v>
      </c>
      <c r="B168" s="27" t="s">
        <v>712</v>
      </c>
      <c r="C168" s="124"/>
      <c r="D168" s="27"/>
      <c r="E168" s="27"/>
      <c r="F168" s="27"/>
      <c r="G168" s="125" t="s">
        <v>1039</v>
      </c>
      <c r="H168" s="10">
        <v>45658.0</v>
      </c>
      <c r="I168" s="126" t="s">
        <v>509</v>
      </c>
      <c r="J168" s="38"/>
      <c r="K168" s="38"/>
      <c r="L168" s="127"/>
      <c r="M168" s="127"/>
      <c r="O168" s="128"/>
      <c r="P168" s="121"/>
      <c r="Q168" s="128"/>
      <c r="R168" s="128"/>
      <c r="S168" s="30"/>
      <c r="U168" s="30"/>
      <c r="V168" s="30"/>
    </row>
    <row r="169" ht="22.5" customHeight="1">
      <c r="A169" s="123" t="s">
        <v>403</v>
      </c>
      <c r="B169" s="27" t="s">
        <v>714</v>
      </c>
      <c r="C169" s="124"/>
      <c r="D169" s="27"/>
      <c r="E169" s="27"/>
      <c r="F169" s="27"/>
      <c r="G169" s="125" t="s">
        <v>548</v>
      </c>
      <c r="H169" s="10">
        <v>45658.0</v>
      </c>
      <c r="I169" s="126" t="s">
        <v>549</v>
      </c>
      <c r="J169" s="38"/>
      <c r="K169" s="38"/>
      <c r="L169" s="127"/>
      <c r="M169" s="127"/>
      <c r="O169" s="128"/>
      <c r="P169" s="121"/>
      <c r="Q169" s="128"/>
      <c r="R169" s="128"/>
      <c r="S169" s="30"/>
      <c r="U169" s="30"/>
      <c r="V169" s="30"/>
    </row>
    <row r="170" ht="22.5" customHeight="1">
      <c r="A170" s="123" t="s">
        <v>403</v>
      </c>
      <c r="B170" s="27" t="s">
        <v>715</v>
      </c>
      <c r="C170" s="124"/>
      <c r="D170" s="27"/>
      <c r="E170" s="27"/>
      <c r="F170" s="27"/>
      <c r="G170" s="125" t="s">
        <v>551</v>
      </c>
      <c r="H170" s="10">
        <v>45658.0</v>
      </c>
      <c r="I170" s="126" t="s">
        <v>549</v>
      </c>
      <c r="J170" s="38"/>
      <c r="K170" s="38"/>
      <c r="L170" s="127"/>
      <c r="M170" s="127"/>
      <c r="O170" s="128"/>
      <c r="P170" s="121"/>
      <c r="Q170" s="128"/>
      <c r="R170" s="128"/>
      <c r="S170" s="30"/>
      <c r="U170" s="30"/>
      <c r="V170" s="30"/>
    </row>
    <row r="171" ht="22.5" customHeight="1">
      <c r="A171" s="123" t="s">
        <v>508</v>
      </c>
      <c r="B171" s="27" t="s">
        <v>716</v>
      </c>
      <c r="C171" s="124"/>
      <c r="D171" s="27"/>
      <c r="E171" s="27"/>
      <c r="F171" s="27"/>
      <c r="G171" s="125" t="s">
        <v>1039</v>
      </c>
      <c r="H171" s="10">
        <v>45658.0</v>
      </c>
      <c r="I171" s="126" t="s">
        <v>509</v>
      </c>
      <c r="J171" s="38"/>
      <c r="K171" s="38"/>
      <c r="L171" s="127"/>
      <c r="M171" s="127"/>
      <c r="O171" s="128"/>
      <c r="P171" s="121"/>
      <c r="Q171" s="128"/>
      <c r="R171" s="128"/>
      <c r="S171" s="30"/>
      <c r="U171" s="30"/>
      <c r="V171" s="30"/>
    </row>
    <row r="172" ht="22.5" customHeight="1">
      <c r="A172" s="123" t="s">
        <v>403</v>
      </c>
      <c r="B172" s="27" t="s">
        <v>717</v>
      </c>
      <c r="C172" s="124"/>
      <c r="D172" s="27"/>
      <c r="E172" s="27"/>
      <c r="F172" s="27"/>
      <c r="G172" s="125" t="s">
        <v>548</v>
      </c>
      <c r="H172" s="10">
        <v>45658.0</v>
      </c>
      <c r="I172" s="126" t="s">
        <v>549</v>
      </c>
      <c r="J172" s="38"/>
      <c r="K172" s="38"/>
      <c r="L172" s="127"/>
      <c r="M172" s="127"/>
      <c r="O172" s="128"/>
      <c r="P172" s="121"/>
      <c r="Q172" s="128"/>
      <c r="R172" s="128"/>
      <c r="S172" s="30"/>
      <c r="U172" s="30"/>
      <c r="V172" s="30"/>
    </row>
    <row r="173" ht="22.5" customHeight="1">
      <c r="A173" s="123" t="s">
        <v>403</v>
      </c>
      <c r="B173" s="27" t="s">
        <v>718</v>
      </c>
      <c r="C173" s="124"/>
      <c r="D173" s="27"/>
      <c r="E173" s="27"/>
      <c r="F173" s="27"/>
      <c r="G173" s="125" t="s">
        <v>551</v>
      </c>
      <c r="H173" s="10">
        <v>45658.0</v>
      </c>
      <c r="I173" s="126" t="s">
        <v>549</v>
      </c>
      <c r="J173" s="38"/>
      <c r="K173" s="38"/>
      <c r="L173" s="127"/>
      <c r="M173" s="127"/>
      <c r="O173" s="128"/>
      <c r="P173" s="121"/>
      <c r="Q173" s="128"/>
      <c r="R173" s="128"/>
      <c r="S173" s="30"/>
      <c r="U173" s="30"/>
      <c r="V173" s="30"/>
    </row>
    <row r="174" ht="22.5" customHeight="1">
      <c r="A174" s="129"/>
      <c r="B174" s="27" t="s">
        <v>719</v>
      </c>
      <c r="C174" s="124"/>
      <c r="D174" s="27"/>
      <c r="E174" s="27"/>
      <c r="F174" s="27"/>
      <c r="G174" s="125" t="s">
        <v>1040</v>
      </c>
      <c r="H174" s="10">
        <v>45658.0</v>
      </c>
      <c r="I174" s="130"/>
      <c r="J174" s="38"/>
      <c r="K174" s="38"/>
      <c r="L174" s="127"/>
      <c r="M174" s="127"/>
      <c r="O174" s="128"/>
      <c r="P174" s="121"/>
      <c r="Q174" s="128"/>
      <c r="R174" s="128"/>
      <c r="S174" s="30"/>
      <c r="U174" s="30"/>
      <c r="V174" s="30"/>
    </row>
    <row r="175" ht="22.5" customHeight="1">
      <c r="A175" s="123" t="s">
        <v>357</v>
      </c>
      <c r="B175" s="27" t="s">
        <v>721</v>
      </c>
      <c r="C175" s="124"/>
      <c r="D175" s="27"/>
      <c r="E175" s="27"/>
      <c r="F175" s="27"/>
      <c r="G175" s="125" t="s">
        <v>1041</v>
      </c>
      <c r="H175" s="10">
        <v>45658.0</v>
      </c>
      <c r="I175" s="126" t="s">
        <v>722</v>
      </c>
      <c r="J175" s="38"/>
      <c r="K175" s="38"/>
      <c r="L175" s="127"/>
      <c r="M175" s="127"/>
      <c r="O175" s="128"/>
      <c r="P175" s="121"/>
      <c r="Q175" s="128"/>
      <c r="R175" s="128"/>
      <c r="S175" s="30"/>
      <c r="U175" s="30"/>
      <c r="V175" s="30"/>
    </row>
    <row r="176" ht="22.5" customHeight="1">
      <c r="A176" s="123" t="s">
        <v>403</v>
      </c>
      <c r="B176" s="27" t="s">
        <v>723</v>
      </c>
      <c r="C176" s="124"/>
      <c r="D176" s="27"/>
      <c r="E176" s="27"/>
      <c r="F176" s="27"/>
      <c r="G176" s="125" t="s">
        <v>548</v>
      </c>
      <c r="H176" s="10">
        <v>45658.0</v>
      </c>
      <c r="I176" s="126" t="s">
        <v>549</v>
      </c>
      <c r="J176" s="38"/>
      <c r="K176" s="38"/>
      <c r="L176" s="127"/>
      <c r="M176" s="127"/>
      <c r="O176" s="128"/>
      <c r="P176" s="121"/>
      <c r="Q176" s="128"/>
      <c r="R176" s="128"/>
      <c r="S176" s="30"/>
      <c r="U176" s="30"/>
      <c r="V176" s="30"/>
    </row>
    <row r="177" ht="22.5" customHeight="1">
      <c r="A177" s="123" t="s">
        <v>403</v>
      </c>
      <c r="B177" s="27" t="s">
        <v>724</v>
      </c>
      <c r="C177" s="124"/>
      <c r="D177" s="27"/>
      <c r="E177" s="27"/>
      <c r="F177" s="27"/>
      <c r="G177" s="125" t="s">
        <v>551</v>
      </c>
      <c r="H177" s="10">
        <v>45658.0</v>
      </c>
      <c r="I177" s="126" t="s">
        <v>549</v>
      </c>
      <c r="J177" s="38"/>
      <c r="K177" s="38"/>
      <c r="L177" s="127"/>
      <c r="M177" s="127"/>
      <c r="O177" s="128"/>
      <c r="P177" s="121"/>
      <c r="Q177" s="128"/>
      <c r="R177" s="128"/>
      <c r="S177" s="30"/>
      <c r="U177" s="30"/>
      <c r="V177" s="30"/>
    </row>
    <row r="178" ht="22.5" customHeight="1">
      <c r="A178" s="123" t="s">
        <v>479</v>
      </c>
      <c r="B178" s="27" t="s">
        <v>725</v>
      </c>
      <c r="C178" s="124"/>
      <c r="D178" s="27"/>
      <c r="E178" s="27"/>
      <c r="F178" s="27"/>
      <c r="G178" s="125" t="s">
        <v>1042</v>
      </c>
      <c r="H178" s="10">
        <v>45658.0</v>
      </c>
      <c r="I178" s="126" t="s">
        <v>631</v>
      </c>
      <c r="J178" s="38"/>
      <c r="K178" s="38"/>
      <c r="L178" s="127"/>
      <c r="M178" s="127"/>
      <c r="O178" s="128"/>
      <c r="P178" s="121"/>
      <c r="Q178" s="128"/>
      <c r="R178" s="128"/>
      <c r="S178" s="30"/>
      <c r="U178" s="30"/>
      <c r="V178" s="30"/>
    </row>
    <row r="179" ht="22.5" customHeight="1">
      <c r="A179" s="123" t="s">
        <v>403</v>
      </c>
      <c r="B179" s="27" t="s">
        <v>723</v>
      </c>
      <c r="C179" s="124"/>
      <c r="D179" s="27"/>
      <c r="E179" s="27"/>
      <c r="F179" s="27"/>
      <c r="G179" s="125" t="s">
        <v>548</v>
      </c>
      <c r="H179" s="10">
        <v>45658.0</v>
      </c>
      <c r="I179" s="126" t="s">
        <v>549</v>
      </c>
      <c r="J179" s="38"/>
      <c r="K179" s="38"/>
      <c r="L179" s="127"/>
      <c r="M179" s="127"/>
      <c r="O179" s="128"/>
      <c r="P179" s="121"/>
      <c r="Q179" s="128"/>
      <c r="R179" s="128"/>
      <c r="S179" s="30"/>
      <c r="U179" s="30"/>
      <c r="V179" s="30"/>
    </row>
    <row r="180" ht="22.5" customHeight="1">
      <c r="A180" s="123" t="s">
        <v>403</v>
      </c>
      <c r="B180" s="27" t="s">
        <v>724</v>
      </c>
      <c r="C180" s="124"/>
      <c r="D180" s="27"/>
      <c r="E180" s="27"/>
      <c r="F180" s="27"/>
      <c r="G180" s="125" t="s">
        <v>551</v>
      </c>
      <c r="H180" s="10">
        <v>45658.0</v>
      </c>
      <c r="I180" s="126" t="s">
        <v>549</v>
      </c>
      <c r="J180" s="38"/>
      <c r="K180" s="38"/>
      <c r="L180" s="127"/>
      <c r="M180" s="127"/>
      <c r="O180" s="128"/>
      <c r="P180" s="121"/>
      <c r="Q180" s="128"/>
      <c r="R180" s="128"/>
      <c r="S180" s="30"/>
      <c r="U180" s="30"/>
      <c r="V180" s="30"/>
    </row>
    <row r="181" ht="22.5" customHeight="1">
      <c r="A181" s="123" t="s">
        <v>18</v>
      </c>
      <c r="B181" s="27" t="s">
        <v>727</v>
      </c>
      <c r="C181" s="124"/>
      <c r="D181" s="27"/>
      <c r="E181" s="27"/>
      <c r="F181" s="27"/>
      <c r="G181" s="125" t="s">
        <v>1043</v>
      </c>
      <c r="H181" s="10">
        <v>45658.0</v>
      </c>
      <c r="I181" s="126" t="s">
        <v>586</v>
      </c>
      <c r="J181" s="38"/>
      <c r="K181" s="38"/>
      <c r="L181" s="127"/>
      <c r="M181" s="127"/>
      <c r="O181" s="128"/>
      <c r="P181" s="121"/>
      <c r="Q181" s="128"/>
      <c r="R181" s="128"/>
      <c r="S181" s="30"/>
      <c r="U181" s="30"/>
      <c r="V181" s="30"/>
    </row>
    <row r="182" ht="22.5" customHeight="1">
      <c r="A182" s="123" t="s">
        <v>403</v>
      </c>
      <c r="B182" s="27" t="s">
        <v>723</v>
      </c>
      <c r="C182" s="124"/>
      <c r="D182" s="27"/>
      <c r="E182" s="27"/>
      <c r="F182" s="27"/>
      <c r="G182" s="125" t="s">
        <v>548</v>
      </c>
      <c r="H182" s="10">
        <v>45658.0</v>
      </c>
      <c r="I182" s="126" t="s">
        <v>549</v>
      </c>
      <c r="J182" s="38"/>
      <c r="K182" s="38"/>
      <c r="L182" s="127"/>
      <c r="M182" s="127"/>
      <c r="O182" s="128"/>
      <c r="P182" s="121"/>
      <c r="Q182" s="128"/>
      <c r="R182" s="128"/>
      <c r="S182" s="30"/>
      <c r="U182" s="30"/>
      <c r="V182" s="30"/>
    </row>
    <row r="183" ht="22.5" customHeight="1">
      <c r="A183" s="123" t="s">
        <v>403</v>
      </c>
      <c r="B183" s="27" t="s">
        <v>724</v>
      </c>
      <c r="C183" s="124"/>
      <c r="D183" s="27"/>
      <c r="E183" s="27"/>
      <c r="F183" s="27"/>
      <c r="G183" s="125" t="s">
        <v>551</v>
      </c>
      <c r="H183" s="10">
        <v>45658.0</v>
      </c>
      <c r="I183" s="126" t="s">
        <v>549</v>
      </c>
      <c r="J183" s="38"/>
      <c r="K183" s="38"/>
      <c r="L183" s="127"/>
      <c r="M183" s="127"/>
      <c r="O183" s="128"/>
      <c r="P183" s="121"/>
      <c r="Q183" s="128"/>
      <c r="R183" s="128"/>
      <c r="S183" s="30"/>
      <c r="U183" s="30"/>
      <c r="V183" s="30"/>
    </row>
    <row r="184" ht="22.5" customHeight="1">
      <c r="A184" s="123" t="s">
        <v>403</v>
      </c>
      <c r="B184" s="27" t="s">
        <v>723</v>
      </c>
      <c r="C184" s="124"/>
      <c r="D184" s="27"/>
      <c r="E184" s="27"/>
      <c r="F184" s="27"/>
      <c r="G184" s="125" t="s">
        <v>548</v>
      </c>
      <c r="H184" s="10">
        <v>45658.0</v>
      </c>
      <c r="I184" s="126" t="s">
        <v>549</v>
      </c>
      <c r="J184" s="38"/>
      <c r="K184" s="38"/>
      <c r="L184" s="127"/>
      <c r="M184" s="127"/>
      <c r="O184" s="128"/>
      <c r="P184" s="121"/>
      <c r="Q184" s="128"/>
      <c r="R184" s="128"/>
      <c r="S184" s="30"/>
      <c r="U184" s="30"/>
      <c r="V184" s="30"/>
    </row>
    <row r="185" ht="22.5" customHeight="1">
      <c r="A185" s="123" t="s">
        <v>403</v>
      </c>
      <c r="B185" s="27" t="s">
        <v>724</v>
      </c>
      <c r="C185" s="124"/>
      <c r="D185" s="27"/>
      <c r="E185" s="27"/>
      <c r="F185" s="27"/>
      <c r="G185" s="125" t="s">
        <v>551</v>
      </c>
      <c r="H185" s="10">
        <v>45658.0</v>
      </c>
      <c r="I185" s="126" t="s">
        <v>549</v>
      </c>
      <c r="J185" s="38"/>
      <c r="K185" s="38"/>
      <c r="L185" s="127"/>
      <c r="M185" s="127"/>
      <c r="O185" s="128"/>
      <c r="P185" s="121"/>
      <c r="Q185" s="128"/>
      <c r="R185" s="128"/>
      <c r="S185" s="30"/>
      <c r="U185" s="30"/>
      <c r="V185" s="30"/>
    </row>
    <row r="186" ht="22.5" customHeight="1">
      <c r="A186" s="123" t="s">
        <v>18</v>
      </c>
      <c r="B186" s="27" t="s">
        <v>729</v>
      </c>
      <c r="C186" s="124"/>
      <c r="D186" s="27"/>
      <c r="E186" s="27"/>
      <c r="F186" s="27"/>
      <c r="G186" s="125" t="s">
        <v>1044</v>
      </c>
      <c r="H186" s="10">
        <v>45658.0</v>
      </c>
      <c r="I186" s="126" t="s">
        <v>586</v>
      </c>
      <c r="J186" s="38"/>
      <c r="K186" s="38"/>
      <c r="L186" s="127"/>
      <c r="M186" s="127"/>
      <c r="O186" s="128"/>
      <c r="P186" s="121"/>
      <c r="Q186" s="128"/>
      <c r="R186" s="128"/>
      <c r="S186" s="30"/>
      <c r="U186" s="30"/>
      <c r="V186" s="30"/>
    </row>
    <row r="187" ht="22.5" customHeight="1">
      <c r="A187" s="123" t="s">
        <v>403</v>
      </c>
      <c r="B187" s="27" t="s">
        <v>731</v>
      </c>
      <c r="C187" s="124"/>
      <c r="D187" s="27"/>
      <c r="E187" s="27"/>
      <c r="F187" s="27"/>
      <c r="G187" s="125" t="s">
        <v>548</v>
      </c>
      <c r="H187" s="10">
        <v>45658.0</v>
      </c>
      <c r="I187" s="126" t="s">
        <v>549</v>
      </c>
      <c r="J187" s="38"/>
      <c r="K187" s="38"/>
      <c r="L187" s="127"/>
      <c r="M187" s="127"/>
      <c r="O187" s="128"/>
      <c r="P187" s="121"/>
      <c r="Q187" s="128"/>
      <c r="R187" s="128"/>
      <c r="S187" s="30"/>
      <c r="U187" s="30"/>
      <c r="V187" s="30"/>
    </row>
    <row r="188" ht="22.5" customHeight="1">
      <c r="A188" s="123" t="s">
        <v>403</v>
      </c>
      <c r="B188" s="27" t="s">
        <v>732</v>
      </c>
      <c r="C188" s="124"/>
      <c r="D188" s="27"/>
      <c r="E188" s="27"/>
      <c r="F188" s="27"/>
      <c r="G188" s="125" t="s">
        <v>551</v>
      </c>
      <c r="H188" s="10">
        <v>45658.0</v>
      </c>
      <c r="I188" s="126" t="s">
        <v>549</v>
      </c>
      <c r="J188" s="38"/>
      <c r="K188" s="38"/>
      <c r="L188" s="127"/>
      <c r="M188" s="127"/>
      <c r="O188" s="128"/>
      <c r="P188" s="121"/>
      <c r="Q188" s="128"/>
      <c r="R188" s="128"/>
      <c r="S188" s="30"/>
      <c r="U188" s="30"/>
      <c r="V188" s="30"/>
    </row>
    <row r="189" ht="22.5" customHeight="1">
      <c r="A189" s="123" t="s">
        <v>18</v>
      </c>
      <c r="B189" s="27" t="s">
        <v>733</v>
      </c>
      <c r="C189" s="124"/>
      <c r="D189" s="27"/>
      <c r="E189" s="27"/>
      <c r="F189" s="27"/>
      <c r="G189" s="125" t="s">
        <v>1045</v>
      </c>
      <c r="H189" s="10">
        <v>45658.0</v>
      </c>
      <c r="I189" s="126" t="s">
        <v>586</v>
      </c>
      <c r="J189" s="38"/>
      <c r="K189" s="38"/>
      <c r="L189" s="127"/>
      <c r="M189" s="127"/>
      <c r="O189" s="128"/>
      <c r="P189" s="121"/>
      <c r="Q189" s="128"/>
      <c r="R189" s="128"/>
      <c r="S189" s="30"/>
      <c r="U189" s="30"/>
      <c r="V189" s="30"/>
    </row>
    <row r="190" ht="22.5" customHeight="1">
      <c r="A190" s="123" t="s">
        <v>403</v>
      </c>
      <c r="B190" s="27" t="s">
        <v>731</v>
      </c>
      <c r="C190" s="124"/>
      <c r="D190" s="27"/>
      <c r="E190" s="27"/>
      <c r="F190" s="27"/>
      <c r="G190" s="125" t="s">
        <v>548</v>
      </c>
      <c r="H190" s="10">
        <v>45658.0</v>
      </c>
      <c r="I190" s="126" t="s">
        <v>549</v>
      </c>
      <c r="J190" s="38"/>
      <c r="K190" s="38"/>
      <c r="L190" s="127"/>
      <c r="M190" s="127"/>
      <c r="O190" s="128"/>
      <c r="P190" s="121"/>
      <c r="Q190" s="128"/>
      <c r="R190" s="128"/>
      <c r="S190" s="30"/>
      <c r="U190" s="30"/>
      <c r="V190" s="30"/>
    </row>
    <row r="191" ht="22.5" customHeight="1">
      <c r="A191" s="123" t="s">
        <v>403</v>
      </c>
      <c r="B191" s="27" t="s">
        <v>735</v>
      </c>
      <c r="C191" s="124"/>
      <c r="D191" s="27"/>
      <c r="E191" s="27"/>
      <c r="F191" s="27"/>
      <c r="G191" s="125" t="s">
        <v>551</v>
      </c>
      <c r="H191" s="10">
        <v>45658.0</v>
      </c>
      <c r="I191" s="126" t="s">
        <v>549</v>
      </c>
      <c r="J191" s="38"/>
      <c r="K191" s="38"/>
      <c r="L191" s="127"/>
      <c r="M191" s="127"/>
      <c r="O191" s="128"/>
      <c r="P191" s="121"/>
      <c r="Q191" s="128"/>
      <c r="R191" s="128"/>
      <c r="S191" s="30"/>
      <c r="U191" s="30"/>
      <c r="V191" s="30"/>
    </row>
    <row r="192" ht="22.5" customHeight="1">
      <c r="A192" s="129"/>
      <c r="B192" s="27" t="s">
        <v>736</v>
      </c>
      <c r="C192" s="132" t="s">
        <v>20</v>
      </c>
      <c r="D192" s="27" t="s">
        <v>21</v>
      </c>
      <c r="E192" s="27"/>
      <c r="F192" s="27"/>
      <c r="G192" s="125" t="s">
        <v>1046</v>
      </c>
      <c r="H192" s="10">
        <v>45658.0</v>
      </c>
      <c r="I192" s="126" t="s">
        <v>738</v>
      </c>
      <c r="J192" s="38"/>
      <c r="K192" s="38"/>
      <c r="L192" s="127"/>
      <c r="M192" s="127"/>
      <c r="O192" s="128"/>
      <c r="P192" s="121"/>
      <c r="Q192" s="128"/>
      <c r="R192" s="128"/>
      <c r="S192" s="30"/>
      <c r="U192" s="30"/>
      <c r="V192" s="30"/>
    </row>
    <row r="193" ht="22.5" customHeight="1">
      <c r="A193" s="123" t="s">
        <v>391</v>
      </c>
      <c r="B193" s="27" t="s">
        <v>739</v>
      </c>
      <c r="C193" s="124"/>
      <c r="D193" s="27"/>
      <c r="E193" s="27"/>
      <c r="F193" s="27"/>
      <c r="G193" s="125" t="s">
        <v>1047</v>
      </c>
      <c r="H193" s="10">
        <v>45658.0</v>
      </c>
      <c r="I193" s="126" t="s">
        <v>741</v>
      </c>
      <c r="J193" s="38"/>
      <c r="K193" s="38"/>
      <c r="L193" s="127"/>
      <c r="M193" s="127"/>
      <c r="O193" s="128"/>
      <c r="P193" s="121"/>
      <c r="Q193" s="128"/>
      <c r="R193" s="128"/>
      <c r="S193" s="30"/>
      <c r="U193" s="30"/>
      <c r="V193" s="30"/>
    </row>
    <row r="194" ht="22.5" customHeight="1">
      <c r="A194" s="123" t="s">
        <v>403</v>
      </c>
      <c r="B194" s="27" t="s">
        <v>731</v>
      </c>
      <c r="C194" s="124"/>
      <c r="D194" s="27"/>
      <c r="E194" s="27"/>
      <c r="F194" s="27"/>
      <c r="G194" s="125" t="s">
        <v>548</v>
      </c>
      <c r="H194" s="10">
        <v>45658.0</v>
      </c>
      <c r="I194" s="126" t="s">
        <v>549</v>
      </c>
      <c r="J194" s="38"/>
      <c r="K194" s="38"/>
      <c r="L194" s="127"/>
      <c r="M194" s="127"/>
      <c r="O194" s="128"/>
      <c r="P194" s="121"/>
      <c r="Q194" s="128"/>
      <c r="R194" s="128"/>
      <c r="S194" s="30"/>
      <c r="U194" s="30"/>
      <c r="V194" s="30"/>
    </row>
    <row r="195" ht="22.5" customHeight="1">
      <c r="A195" s="123" t="s">
        <v>403</v>
      </c>
      <c r="B195" s="27" t="s">
        <v>735</v>
      </c>
      <c r="C195" s="124"/>
      <c r="D195" s="27"/>
      <c r="E195" s="27"/>
      <c r="F195" s="27"/>
      <c r="G195" s="125" t="s">
        <v>551</v>
      </c>
      <c r="H195" s="10">
        <v>45658.0</v>
      </c>
      <c r="I195" s="126" t="s">
        <v>549</v>
      </c>
      <c r="J195" s="38"/>
      <c r="K195" s="38"/>
      <c r="L195" s="127"/>
      <c r="M195" s="127"/>
      <c r="O195" s="128"/>
      <c r="P195" s="121"/>
      <c r="Q195" s="128"/>
      <c r="R195" s="128"/>
      <c r="S195" s="30"/>
      <c r="U195" s="30"/>
      <c r="V195" s="30"/>
    </row>
    <row r="196" ht="22.5" customHeight="1">
      <c r="A196" s="123" t="s">
        <v>528</v>
      </c>
      <c r="B196" s="27" t="s">
        <v>742</v>
      </c>
      <c r="C196" s="124"/>
      <c r="D196" s="27"/>
      <c r="E196" s="27"/>
      <c r="F196" s="27"/>
      <c r="G196" s="125" t="s">
        <v>1048</v>
      </c>
      <c r="H196" s="10">
        <v>45658.0</v>
      </c>
      <c r="I196" s="126" t="s">
        <v>559</v>
      </c>
      <c r="J196" s="38"/>
      <c r="K196" s="38"/>
      <c r="L196" s="127"/>
      <c r="M196" s="127"/>
      <c r="O196" s="128"/>
      <c r="P196" s="121"/>
      <c r="Q196" s="128"/>
      <c r="R196" s="128"/>
      <c r="S196" s="30"/>
      <c r="U196" s="30"/>
      <c r="V196" s="30"/>
    </row>
    <row r="197" ht="22.5" customHeight="1">
      <c r="A197" s="123" t="s">
        <v>378</v>
      </c>
      <c r="B197" s="27" t="s">
        <v>744</v>
      </c>
      <c r="C197" s="132" t="s">
        <v>20</v>
      </c>
      <c r="D197" s="27" t="s">
        <v>21</v>
      </c>
      <c r="E197" s="27"/>
      <c r="F197" s="27"/>
      <c r="G197" s="125" t="s">
        <v>1049</v>
      </c>
      <c r="H197" s="10">
        <v>45658.0</v>
      </c>
      <c r="I197" s="126" t="s">
        <v>562</v>
      </c>
      <c r="J197" s="38"/>
      <c r="K197" s="38"/>
      <c r="L197" s="127"/>
      <c r="M197" s="127"/>
      <c r="O197" s="128"/>
      <c r="P197" s="121"/>
      <c r="Q197" s="128"/>
      <c r="R197" s="128"/>
      <c r="S197" s="30"/>
      <c r="U197" s="30"/>
      <c r="V197" s="30"/>
    </row>
    <row r="198" ht="22.5" customHeight="1">
      <c r="A198" s="123" t="s">
        <v>403</v>
      </c>
      <c r="B198" s="27" t="s">
        <v>731</v>
      </c>
      <c r="C198" s="124"/>
      <c r="D198" s="27"/>
      <c r="E198" s="27"/>
      <c r="F198" s="27"/>
      <c r="G198" s="125" t="s">
        <v>548</v>
      </c>
      <c r="H198" s="10">
        <v>45658.0</v>
      </c>
      <c r="I198" s="126" t="s">
        <v>549</v>
      </c>
      <c r="J198" s="38"/>
      <c r="K198" s="38"/>
      <c r="L198" s="127"/>
      <c r="M198" s="127"/>
      <c r="O198" s="128"/>
      <c r="P198" s="121"/>
      <c r="Q198" s="128"/>
      <c r="R198" s="128"/>
      <c r="S198" s="30"/>
      <c r="U198" s="30"/>
      <c r="V198" s="30"/>
    </row>
    <row r="199" ht="22.5" customHeight="1">
      <c r="A199" s="123" t="s">
        <v>403</v>
      </c>
      <c r="B199" s="27" t="s">
        <v>735</v>
      </c>
      <c r="C199" s="124"/>
      <c r="D199" s="27"/>
      <c r="E199" s="27"/>
      <c r="F199" s="27"/>
      <c r="G199" s="125" t="s">
        <v>551</v>
      </c>
      <c r="H199" s="10">
        <v>45658.0</v>
      </c>
      <c r="I199" s="126" t="s">
        <v>549</v>
      </c>
      <c r="J199" s="38"/>
      <c r="K199" s="38"/>
      <c r="L199" s="127"/>
      <c r="M199" s="127"/>
      <c r="O199" s="128"/>
      <c r="P199" s="121"/>
      <c r="Q199" s="128"/>
      <c r="R199" s="128"/>
      <c r="S199" s="30"/>
      <c r="U199" s="30"/>
      <c r="V199" s="30"/>
    </row>
    <row r="200" ht="22.5" customHeight="1">
      <c r="A200" s="123" t="s">
        <v>18</v>
      </c>
      <c r="B200" s="27" t="s">
        <v>746</v>
      </c>
      <c r="C200" s="124"/>
      <c r="D200" s="27"/>
      <c r="E200" s="27"/>
      <c r="F200" s="27"/>
      <c r="G200" s="125" t="s">
        <v>1050</v>
      </c>
      <c r="H200" s="10">
        <v>45658.0</v>
      </c>
      <c r="I200" s="126" t="s">
        <v>586</v>
      </c>
      <c r="J200" s="38"/>
      <c r="K200" s="38"/>
      <c r="L200" s="127"/>
      <c r="M200" s="127"/>
      <c r="O200" s="128"/>
      <c r="P200" s="121"/>
      <c r="Q200" s="128"/>
      <c r="R200" s="128"/>
      <c r="S200" s="30"/>
      <c r="U200" s="30"/>
      <c r="V200" s="30"/>
    </row>
    <row r="201" ht="22.5" customHeight="1">
      <c r="A201" s="123" t="s">
        <v>403</v>
      </c>
      <c r="B201" s="27" t="s">
        <v>731</v>
      </c>
      <c r="C201" s="124"/>
      <c r="D201" s="27"/>
      <c r="E201" s="27"/>
      <c r="F201" s="27"/>
      <c r="G201" s="125" t="s">
        <v>548</v>
      </c>
      <c r="H201" s="10">
        <v>45658.0</v>
      </c>
      <c r="I201" s="126" t="s">
        <v>549</v>
      </c>
      <c r="J201" s="38"/>
      <c r="K201" s="38"/>
      <c r="L201" s="127"/>
      <c r="M201" s="127"/>
      <c r="O201" s="128"/>
      <c r="P201" s="121"/>
      <c r="Q201" s="128"/>
      <c r="R201" s="128"/>
      <c r="S201" s="30"/>
      <c r="U201" s="30"/>
      <c r="V201" s="30"/>
    </row>
    <row r="202" ht="22.5" customHeight="1">
      <c r="A202" s="123" t="s">
        <v>403</v>
      </c>
      <c r="B202" s="27" t="s">
        <v>735</v>
      </c>
      <c r="C202" s="124"/>
      <c r="D202" s="27"/>
      <c r="E202" s="27"/>
      <c r="F202" s="27"/>
      <c r="G202" s="125" t="s">
        <v>551</v>
      </c>
      <c r="H202" s="10">
        <v>45658.0</v>
      </c>
      <c r="I202" s="126" t="s">
        <v>549</v>
      </c>
      <c r="J202" s="38"/>
      <c r="K202" s="38"/>
      <c r="L202" s="127"/>
      <c r="M202" s="127"/>
      <c r="O202" s="128"/>
      <c r="P202" s="121"/>
      <c r="Q202" s="128"/>
      <c r="R202" s="128"/>
      <c r="S202" s="30"/>
      <c r="U202" s="30"/>
      <c r="V202" s="30"/>
    </row>
    <row r="203" ht="22.5" customHeight="1">
      <c r="A203" s="123" t="s">
        <v>18</v>
      </c>
      <c r="B203" s="27" t="s">
        <v>748</v>
      </c>
      <c r="C203" s="124"/>
      <c r="D203" s="27"/>
      <c r="E203" s="27"/>
      <c r="F203" s="27"/>
      <c r="G203" s="125" t="s">
        <v>1051</v>
      </c>
      <c r="H203" s="10">
        <v>45658.0</v>
      </c>
      <c r="I203" s="126" t="s">
        <v>586</v>
      </c>
      <c r="J203" s="38"/>
      <c r="K203" s="38"/>
      <c r="L203" s="127"/>
      <c r="M203" s="127"/>
      <c r="O203" s="128"/>
      <c r="P203" s="121"/>
      <c r="Q203" s="128"/>
      <c r="R203" s="128"/>
      <c r="S203" s="30"/>
      <c r="U203" s="30"/>
      <c r="V203" s="30"/>
    </row>
    <row r="204" ht="22.5" customHeight="1">
      <c r="A204" s="123" t="s">
        <v>18</v>
      </c>
      <c r="B204" s="27" t="s">
        <v>748</v>
      </c>
      <c r="C204" s="124"/>
      <c r="D204" s="27"/>
      <c r="E204" s="27"/>
      <c r="F204" s="27"/>
      <c r="G204" s="125" t="s">
        <v>1052</v>
      </c>
      <c r="H204" s="10">
        <v>45658.0</v>
      </c>
      <c r="I204" s="126" t="s">
        <v>586</v>
      </c>
      <c r="J204" s="38"/>
      <c r="K204" s="38"/>
      <c r="L204" s="127"/>
      <c r="M204" s="127"/>
      <c r="O204" s="128"/>
      <c r="P204" s="121"/>
      <c r="Q204" s="128"/>
      <c r="R204" s="128"/>
      <c r="S204" s="30"/>
      <c r="U204" s="30"/>
      <c r="V204" s="30"/>
    </row>
    <row r="205" ht="22.5" customHeight="1">
      <c r="A205" s="123" t="s">
        <v>18</v>
      </c>
      <c r="B205" s="27" t="s">
        <v>748</v>
      </c>
      <c r="C205" s="124"/>
      <c r="D205" s="27"/>
      <c r="E205" s="27"/>
      <c r="F205" s="27"/>
      <c r="G205" s="125" t="s">
        <v>1052</v>
      </c>
      <c r="H205" s="10">
        <v>45658.0</v>
      </c>
      <c r="I205" s="126" t="s">
        <v>586</v>
      </c>
      <c r="J205" s="38"/>
      <c r="K205" s="38"/>
      <c r="L205" s="127"/>
      <c r="M205" s="127"/>
      <c r="O205" s="128"/>
      <c r="P205" s="121"/>
      <c r="Q205" s="128"/>
      <c r="R205" s="128"/>
      <c r="S205" s="30"/>
      <c r="U205" s="30"/>
      <c r="V205" s="30"/>
    </row>
    <row r="206" ht="22.5" customHeight="1">
      <c r="A206" s="123" t="s">
        <v>18</v>
      </c>
      <c r="B206" s="27" t="s">
        <v>750</v>
      </c>
      <c r="C206" s="124"/>
      <c r="D206" s="27"/>
      <c r="E206" s="27"/>
      <c r="F206" s="27"/>
      <c r="G206" s="125" t="s">
        <v>1053</v>
      </c>
      <c r="H206" s="10">
        <v>45658.0</v>
      </c>
      <c r="I206" s="126" t="s">
        <v>752</v>
      </c>
      <c r="J206" s="38"/>
      <c r="K206" s="38"/>
      <c r="L206" s="127"/>
      <c r="M206" s="127"/>
      <c r="O206" s="128"/>
      <c r="P206" s="121"/>
      <c r="Q206" s="128"/>
      <c r="R206" s="128"/>
      <c r="S206" s="30"/>
      <c r="U206" s="134" t="s">
        <v>1054</v>
      </c>
      <c r="V206" s="38" t="s">
        <v>70</v>
      </c>
    </row>
    <row r="207" ht="22.5" customHeight="1">
      <c r="A207" s="123" t="s">
        <v>403</v>
      </c>
      <c r="B207" s="27" t="s">
        <v>753</v>
      </c>
      <c r="C207" s="124"/>
      <c r="D207" s="27"/>
      <c r="E207" s="27"/>
      <c r="F207" s="27"/>
      <c r="G207" s="125" t="s">
        <v>548</v>
      </c>
      <c r="H207" s="10">
        <v>45658.0</v>
      </c>
      <c r="I207" s="126" t="s">
        <v>549</v>
      </c>
      <c r="J207" s="38"/>
      <c r="K207" s="38"/>
      <c r="L207" s="127"/>
      <c r="M207" s="127"/>
      <c r="O207" s="128"/>
      <c r="P207" s="121"/>
      <c r="Q207" s="128"/>
      <c r="R207" s="128"/>
      <c r="S207" s="30"/>
      <c r="U207" s="30"/>
      <c r="V207" s="30"/>
    </row>
    <row r="208" ht="22.5" customHeight="1">
      <c r="A208" s="123" t="s">
        <v>403</v>
      </c>
      <c r="B208" s="27" t="s">
        <v>754</v>
      </c>
      <c r="C208" s="124"/>
      <c r="D208" s="27"/>
      <c r="E208" s="27"/>
      <c r="F208" s="27"/>
      <c r="G208" s="125" t="s">
        <v>551</v>
      </c>
      <c r="H208" s="10">
        <v>45658.0</v>
      </c>
      <c r="I208" s="126" t="s">
        <v>549</v>
      </c>
      <c r="J208" s="38"/>
      <c r="K208" s="38"/>
      <c r="L208" s="127"/>
      <c r="M208" s="127"/>
      <c r="O208" s="128"/>
      <c r="P208" s="121"/>
      <c r="Q208" s="128"/>
      <c r="R208" s="128"/>
      <c r="S208" s="30"/>
      <c r="U208" s="30"/>
      <c r="V208" s="30"/>
    </row>
    <row r="209" ht="22.5" customHeight="1">
      <c r="A209" s="123" t="s">
        <v>18</v>
      </c>
      <c r="B209" s="27" t="s">
        <v>755</v>
      </c>
      <c r="C209" s="124"/>
      <c r="D209" s="27"/>
      <c r="E209" s="27"/>
      <c r="F209" s="27"/>
      <c r="G209" s="125" t="s">
        <v>1055</v>
      </c>
      <c r="H209" s="10">
        <v>45658.0</v>
      </c>
      <c r="I209" s="126" t="s">
        <v>752</v>
      </c>
      <c r="J209" s="38"/>
      <c r="K209" s="38"/>
      <c r="L209" s="127"/>
      <c r="M209" s="127"/>
      <c r="O209" s="128"/>
      <c r="P209" s="121"/>
      <c r="Q209" s="128"/>
      <c r="R209" s="128"/>
      <c r="S209" s="30"/>
      <c r="U209" s="134" t="s">
        <v>1054</v>
      </c>
      <c r="V209" s="38" t="s">
        <v>70</v>
      </c>
    </row>
    <row r="210" ht="22.5" customHeight="1">
      <c r="A210" s="123" t="s">
        <v>403</v>
      </c>
      <c r="B210" s="27" t="s">
        <v>753</v>
      </c>
      <c r="C210" s="124"/>
      <c r="D210" s="27"/>
      <c r="E210" s="27"/>
      <c r="F210" s="27"/>
      <c r="G210" s="125" t="s">
        <v>548</v>
      </c>
      <c r="H210" s="10">
        <v>45658.0</v>
      </c>
      <c r="I210" s="126" t="s">
        <v>549</v>
      </c>
      <c r="J210" s="38"/>
      <c r="K210" s="38"/>
      <c r="L210" s="127"/>
      <c r="M210" s="127"/>
      <c r="O210" s="128"/>
      <c r="P210" s="121"/>
      <c r="Q210" s="128"/>
      <c r="R210" s="128"/>
      <c r="S210" s="30"/>
      <c r="U210" s="30"/>
      <c r="V210" s="30"/>
    </row>
    <row r="211" ht="22.5" customHeight="1">
      <c r="A211" s="123" t="s">
        <v>403</v>
      </c>
      <c r="B211" s="27" t="s">
        <v>754</v>
      </c>
      <c r="C211" s="124"/>
      <c r="D211" s="27"/>
      <c r="E211" s="27"/>
      <c r="F211" s="27"/>
      <c r="G211" s="125" t="s">
        <v>551</v>
      </c>
      <c r="H211" s="10">
        <v>45658.0</v>
      </c>
      <c r="I211" s="126" t="s">
        <v>549</v>
      </c>
      <c r="J211" s="38"/>
      <c r="K211" s="38"/>
      <c r="L211" s="127"/>
      <c r="M211" s="127"/>
      <c r="O211" s="128"/>
      <c r="P211" s="121"/>
      <c r="Q211" s="128"/>
      <c r="R211" s="128"/>
      <c r="S211" s="30"/>
      <c r="U211" s="30"/>
      <c r="V211" s="30"/>
    </row>
    <row r="212" ht="22.5" customHeight="1">
      <c r="A212" s="123" t="s">
        <v>18</v>
      </c>
      <c r="B212" s="27" t="s">
        <v>757</v>
      </c>
      <c r="C212" s="124"/>
      <c r="D212" s="27"/>
      <c r="E212" s="27"/>
      <c r="F212" s="27"/>
      <c r="G212" s="125" t="s">
        <v>1056</v>
      </c>
      <c r="H212" s="10">
        <v>45658.0</v>
      </c>
      <c r="I212" s="126" t="s">
        <v>586</v>
      </c>
      <c r="J212" s="38"/>
      <c r="K212" s="38"/>
      <c r="L212" s="127"/>
      <c r="M212" s="127"/>
      <c r="O212" s="128"/>
      <c r="P212" s="121"/>
      <c r="Q212" s="128"/>
      <c r="R212" s="128"/>
      <c r="S212" s="30"/>
      <c r="U212" s="30"/>
      <c r="V212" s="30"/>
    </row>
    <row r="213" ht="22.5" customHeight="1">
      <c r="A213" s="123" t="s">
        <v>403</v>
      </c>
      <c r="B213" s="27" t="s">
        <v>753</v>
      </c>
      <c r="C213" s="124"/>
      <c r="D213" s="27"/>
      <c r="E213" s="27"/>
      <c r="F213" s="27"/>
      <c r="G213" s="125" t="s">
        <v>548</v>
      </c>
      <c r="H213" s="10">
        <v>45658.0</v>
      </c>
      <c r="I213" s="126" t="s">
        <v>549</v>
      </c>
      <c r="J213" s="38"/>
      <c r="K213" s="38"/>
      <c r="L213" s="127"/>
      <c r="M213" s="127"/>
      <c r="O213" s="128"/>
      <c r="P213" s="121"/>
      <c r="Q213" s="128"/>
      <c r="R213" s="128"/>
      <c r="S213" s="30"/>
      <c r="U213" s="30"/>
      <c r="V213" s="30"/>
    </row>
    <row r="214" ht="22.5" customHeight="1">
      <c r="A214" s="123" t="s">
        <v>403</v>
      </c>
      <c r="B214" s="27" t="s">
        <v>754</v>
      </c>
      <c r="C214" s="124"/>
      <c r="D214" s="27"/>
      <c r="E214" s="27"/>
      <c r="F214" s="27"/>
      <c r="G214" s="125" t="s">
        <v>551</v>
      </c>
      <c r="H214" s="10">
        <v>45658.0</v>
      </c>
      <c r="I214" s="126" t="s">
        <v>549</v>
      </c>
      <c r="J214" s="38"/>
      <c r="K214" s="38"/>
      <c r="L214" s="127"/>
      <c r="M214" s="127"/>
      <c r="O214" s="128"/>
      <c r="P214" s="121"/>
      <c r="Q214" s="128"/>
      <c r="R214" s="128"/>
      <c r="S214" s="30"/>
      <c r="U214" s="30"/>
      <c r="V214" s="30"/>
    </row>
    <row r="215" ht="22.5" customHeight="1">
      <c r="A215" s="129"/>
      <c r="B215" s="27" t="s">
        <v>759</v>
      </c>
      <c r="C215" s="132" t="s">
        <v>20</v>
      </c>
      <c r="D215" s="27" t="s">
        <v>21</v>
      </c>
      <c r="E215" s="27"/>
      <c r="F215" s="27"/>
      <c r="G215" s="125" t="s">
        <v>1057</v>
      </c>
      <c r="H215" s="10">
        <v>45658.0</v>
      </c>
      <c r="I215" s="126" t="s">
        <v>738</v>
      </c>
      <c r="J215" s="38"/>
      <c r="K215" s="38"/>
      <c r="L215" s="127"/>
      <c r="M215" s="127"/>
      <c r="O215" s="128"/>
      <c r="P215" s="121"/>
      <c r="Q215" s="128"/>
      <c r="R215" s="128"/>
      <c r="S215" s="30"/>
      <c r="U215" s="30"/>
      <c r="V215" s="30"/>
    </row>
    <row r="216" ht="22.5" customHeight="1">
      <c r="A216" s="123" t="s">
        <v>403</v>
      </c>
      <c r="B216" s="27" t="s">
        <v>760</v>
      </c>
      <c r="C216" s="124"/>
      <c r="D216" s="27"/>
      <c r="E216" s="27"/>
      <c r="F216" s="27"/>
      <c r="G216" s="125" t="s">
        <v>1058</v>
      </c>
      <c r="H216" s="10">
        <v>45658.0</v>
      </c>
      <c r="I216" s="126" t="s">
        <v>549</v>
      </c>
      <c r="J216" s="38"/>
      <c r="K216" s="38"/>
      <c r="L216" s="127"/>
      <c r="M216" s="127"/>
      <c r="O216" s="128"/>
      <c r="P216" s="121"/>
      <c r="Q216" s="128"/>
      <c r="R216" s="128"/>
      <c r="S216" s="30"/>
      <c r="U216" s="30"/>
      <c r="V216" s="30"/>
    </row>
    <row r="217" ht="22.5" customHeight="1">
      <c r="A217" s="123" t="s">
        <v>403</v>
      </c>
      <c r="B217" s="27" t="s">
        <v>761</v>
      </c>
      <c r="C217" s="124"/>
      <c r="D217" s="27"/>
      <c r="E217" s="27"/>
      <c r="F217" s="27"/>
      <c r="G217" s="125" t="s">
        <v>1059</v>
      </c>
      <c r="H217" s="10">
        <v>45658.0</v>
      </c>
      <c r="I217" s="126" t="s">
        <v>549</v>
      </c>
      <c r="J217" s="38"/>
      <c r="K217" s="38"/>
      <c r="L217" s="127"/>
      <c r="M217" s="127"/>
      <c r="O217" s="128"/>
      <c r="P217" s="121"/>
      <c r="Q217" s="128"/>
      <c r="R217" s="128"/>
      <c r="S217" s="30"/>
      <c r="U217" s="30"/>
      <c r="V217" s="30"/>
    </row>
    <row r="218" ht="22.5" customHeight="1">
      <c r="A218" s="123" t="s">
        <v>349</v>
      </c>
      <c r="B218" s="27" t="s">
        <v>763</v>
      </c>
      <c r="C218" s="124"/>
      <c r="D218" s="27"/>
      <c r="E218" s="27"/>
      <c r="F218" s="27"/>
      <c r="G218" s="125" t="s">
        <v>1060</v>
      </c>
      <c r="H218" s="10">
        <v>45658.0</v>
      </c>
      <c r="I218" s="126" t="s">
        <v>581</v>
      </c>
      <c r="J218" s="38"/>
      <c r="K218" s="38"/>
      <c r="L218" s="127"/>
      <c r="M218" s="127"/>
      <c r="O218" s="128"/>
      <c r="P218" s="121"/>
      <c r="Q218" s="128"/>
      <c r="R218" s="128"/>
      <c r="S218" s="30"/>
      <c r="U218" s="30"/>
      <c r="V218" s="30"/>
    </row>
    <row r="219" ht="22.5" customHeight="1">
      <c r="A219" s="123" t="s">
        <v>403</v>
      </c>
      <c r="B219" s="27" t="s">
        <v>753</v>
      </c>
      <c r="C219" s="124"/>
      <c r="D219" s="27"/>
      <c r="E219" s="27"/>
      <c r="F219" s="27"/>
      <c r="G219" s="125" t="s">
        <v>548</v>
      </c>
      <c r="H219" s="10">
        <v>45658.0</v>
      </c>
      <c r="I219" s="126" t="s">
        <v>549</v>
      </c>
      <c r="J219" s="38"/>
      <c r="K219" s="38"/>
      <c r="L219" s="127"/>
      <c r="M219" s="127"/>
      <c r="O219" s="128"/>
      <c r="P219" s="121"/>
      <c r="Q219" s="128"/>
      <c r="R219" s="128"/>
      <c r="S219" s="30"/>
      <c r="U219" s="30"/>
      <c r="V219" s="30"/>
    </row>
    <row r="220" ht="22.5" customHeight="1">
      <c r="A220" s="123" t="s">
        <v>403</v>
      </c>
      <c r="B220" s="27" t="s">
        <v>754</v>
      </c>
      <c r="C220" s="124"/>
      <c r="D220" s="27"/>
      <c r="E220" s="27"/>
      <c r="F220" s="27"/>
      <c r="G220" s="125" t="s">
        <v>551</v>
      </c>
      <c r="H220" s="10">
        <v>45658.0</v>
      </c>
      <c r="I220" s="126" t="s">
        <v>549</v>
      </c>
      <c r="J220" s="38"/>
      <c r="K220" s="38"/>
      <c r="L220" s="127"/>
      <c r="M220" s="127"/>
      <c r="O220" s="128"/>
      <c r="P220" s="121"/>
      <c r="Q220" s="128"/>
      <c r="R220" s="128"/>
      <c r="S220" s="30"/>
      <c r="U220" s="30"/>
      <c r="V220" s="30"/>
    </row>
    <row r="221" ht="22.5" customHeight="1">
      <c r="A221" s="123" t="s">
        <v>349</v>
      </c>
      <c r="B221" s="27" t="s">
        <v>764</v>
      </c>
      <c r="C221" s="124"/>
      <c r="D221" s="27"/>
      <c r="E221" s="27"/>
      <c r="F221" s="27"/>
      <c r="G221" s="125" t="s">
        <v>1061</v>
      </c>
      <c r="H221" s="10">
        <v>45658.0</v>
      </c>
      <c r="I221" s="126" t="s">
        <v>581</v>
      </c>
      <c r="J221" s="38"/>
      <c r="K221" s="38"/>
      <c r="L221" s="127"/>
      <c r="M221" s="127"/>
      <c r="O221" s="128"/>
      <c r="P221" s="121"/>
      <c r="Q221" s="128"/>
      <c r="R221" s="128"/>
      <c r="S221" s="30"/>
      <c r="U221" s="30"/>
      <c r="V221" s="30"/>
    </row>
    <row r="222" ht="22.5" customHeight="1">
      <c r="A222" s="123" t="s">
        <v>403</v>
      </c>
      <c r="B222" s="27" t="s">
        <v>753</v>
      </c>
      <c r="C222" s="124"/>
      <c r="D222" s="27"/>
      <c r="E222" s="27"/>
      <c r="F222" s="27"/>
      <c r="G222" s="125" t="s">
        <v>548</v>
      </c>
      <c r="H222" s="10">
        <v>45658.0</v>
      </c>
      <c r="I222" s="126" t="s">
        <v>549</v>
      </c>
      <c r="J222" s="38"/>
      <c r="K222" s="38"/>
      <c r="L222" s="127"/>
      <c r="M222" s="127"/>
      <c r="O222" s="128"/>
      <c r="P222" s="121"/>
      <c r="Q222" s="128"/>
      <c r="R222" s="128"/>
      <c r="S222" s="30"/>
      <c r="U222" s="30"/>
      <c r="V222" s="30"/>
    </row>
    <row r="223" ht="22.5" customHeight="1">
      <c r="A223" s="123" t="s">
        <v>403</v>
      </c>
      <c r="B223" s="27" t="s">
        <v>754</v>
      </c>
      <c r="C223" s="124"/>
      <c r="D223" s="27"/>
      <c r="E223" s="27"/>
      <c r="F223" s="27"/>
      <c r="G223" s="125" t="s">
        <v>551</v>
      </c>
      <c r="H223" s="10">
        <v>45658.0</v>
      </c>
      <c r="I223" s="126" t="s">
        <v>549</v>
      </c>
      <c r="J223" s="38"/>
      <c r="K223" s="38"/>
      <c r="L223" s="127"/>
      <c r="M223" s="127"/>
      <c r="O223" s="128"/>
      <c r="P223" s="121"/>
      <c r="Q223" s="128"/>
      <c r="R223" s="128"/>
      <c r="S223" s="30"/>
      <c r="U223" s="30"/>
      <c r="V223" s="30"/>
    </row>
    <row r="224" ht="22.5" customHeight="1">
      <c r="A224" s="123" t="s">
        <v>18</v>
      </c>
      <c r="B224" s="27" t="s">
        <v>766</v>
      </c>
      <c r="C224" s="124"/>
      <c r="D224" s="27"/>
      <c r="E224" s="27"/>
      <c r="F224" s="27"/>
      <c r="G224" s="125" t="s">
        <v>1021</v>
      </c>
      <c r="H224" s="10">
        <v>45658.0</v>
      </c>
      <c r="I224" s="126" t="s">
        <v>586</v>
      </c>
      <c r="J224" s="38"/>
      <c r="K224" s="38"/>
      <c r="L224" s="127"/>
      <c r="M224" s="127"/>
      <c r="O224" s="128"/>
      <c r="P224" s="121"/>
      <c r="Q224" s="128"/>
      <c r="R224" s="128"/>
      <c r="S224" s="30"/>
      <c r="U224" s="30"/>
      <c r="V224" s="30"/>
    </row>
    <row r="225" ht="22.5" customHeight="1">
      <c r="A225" s="123" t="s">
        <v>403</v>
      </c>
      <c r="B225" s="27" t="s">
        <v>753</v>
      </c>
      <c r="C225" s="124"/>
      <c r="D225" s="27"/>
      <c r="E225" s="27"/>
      <c r="F225" s="27"/>
      <c r="G225" s="125" t="s">
        <v>548</v>
      </c>
      <c r="H225" s="10">
        <v>45658.0</v>
      </c>
      <c r="I225" s="126" t="s">
        <v>549</v>
      </c>
      <c r="J225" s="38"/>
      <c r="K225" s="38"/>
      <c r="L225" s="127"/>
      <c r="M225" s="127"/>
      <c r="O225" s="128"/>
      <c r="P225" s="121"/>
      <c r="Q225" s="128"/>
      <c r="R225" s="128"/>
      <c r="S225" s="30"/>
      <c r="U225" s="30"/>
      <c r="V225" s="30"/>
    </row>
    <row r="226" ht="22.5" customHeight="1">
      <c r="A226" s="123" t="s">
        <v>403</v>
      </c>
      <c r="B226" s="27" t="s">
        <v>754</v>
      </c>
      <c r="C226" s="124"/>
      <c r="D226" s="27"/>
      <c r="E226" s="27"/>
      <c r="F226" s="27"/>
      <c r="G226" s="125" t="s">
        <v>551</v>
      </c>
      <c r="H226" s="10">
        <v>45658.0</v>
      </c>
      <c r="I226" s="126" t="s">
        <v>549</v>
      </c>
      <c r="J226" s="38"/>
      <c r="K226" s="38"/>
      <c r="L226" s="127"/>
      <c r="M226" s="127"/>
      <c r="O226" s="128"/>
      <c r="P226" s="121"/>
      <c r="Q226" s="128"/>
      <c r="R226" s="128"/>
      <c r="S226" s="30"/>
      <c r="U226" s="30"/>
      <c r="V226" s="30"/>
    </row>
    <row r="227" ht="22.5" customHeight="1">
      <c r="A227" s="129"/>
      <c r="B227" s="27" t="s">
        <v>767</v>
      </c>
      <c r="C227" s="124"/>
      <c r="D227" s="27"/>
      <c r="E227" s="27"/>
      <c r="F227" s="27"/>
      <c r="G227" s="125" t="s">
        <v>1062</v>
      </c>
      <c r="H227" s="10">
        <v>45658.0</v>
      </c>
      <c r="I227" s="126" t="s">
        <v>769</v>
      </c>
      <c r="J227" s="38"/>
      <c r="K227" s="38"/>
      <c r="L227" s="127"/>
      <c r="M227" s="127"/>
      <c r="O227" s="128"/>
      <c r="P227" s="121"/>
      <c r="Q227" s="128"/>
      <c r="R227" s="128"/>
      <c r="S227" s="30"/>
      <c r="U227" s="30"/>
      <c r="V227" s="30"/>
    </row>
    <row r="228" ht="22.5" customHeight="1">
      <c r="A228" s="123" t="s">
        <v>403</v>
      </c>
      <c r="B228" s="27" t="s">
        <v>753</v>
      </c>
      <c r="C228" s="124"/>
      <c r="D228" s="27"/>
      <c r="E228" s="27"/>
      <c r="F228" s="27"/>
      <c r="G228" s="125" t="s">
        <v>548</v>
      </c>
      <c r="H228" s="10">
        <v>45658.0</v>
      </c>
      <c r="I228" s="126" t="s">
        <v>549</v>
      </c>
      <c r="J228" s="38"/>
      <c r="K228" s="38"/>
      <c r="L228" s="127"/>
      <c r="M228" s="127"/>
      <c r="O228" s="128"/>
      <c r="P228" s="121"/>
      <c r="Q228" s="128"/>
      <c r="R228" s="128"/>
      <c r="S228" s="30"/>
      <c r="U228" s="30"/>
      <c r="V228" s="30"/>
    </row>
    <row r="229" ht="22.5" customHeight="1">
      <c r="A229" s="123" t="s">
        <v>403</v>
      </c>
      <c r="B229" s="27" t="s">
        <v>754</v>
      </c>
      <c r="C229" s="124"/>
      <c r="D229" s="27"/>
      <c r="E229" s="27"/>
      <c r="F229" s="27"/>
      <c r="G229" s="125" t="s">
        <v>551</v>
      </c>
      <c r="H229" s="10">
        <v>45658.0</v>
      </c>
      <c r="I229" s="126" t="s">
        <v>549</v>
      </c>
      <c r="J229" s="38"/>
      <c r="K229" s="38"/>
      <c r="L229" s="127"/>
      <c r="M229" s="127"/>
      <c r="O229" s="128"/>
      <c r="P229" s="121"/>
      <c r="Q229" s="128"/>
      <c r="R229" s="128"/>
      <c r="S229" s="30"/>
      <c r="U229" s="30"/>
      <c r="V229" s="30"/>
    </row>
    <row r="230" ht="22.5" customHeight="1">
      <c r="A230" s="123" t="s">
        <v>505</v>
      </c>
      <c r="B230" s="27" t="s">
        <v>770</v>
      </c>
      <c r="C230" s="124"/>
      <c r="D230" s="27"/>
      <c r="E230" s="27"/>
      <c r="F230" s="27"/>
      <c r="G230" s="125" t="s">
        <v>1063</v>
      </c>
      <c r="H230" s="10">
        <v>45658.0</v>
      </c>
      <c r="I230" s="126" t="s">
        <v>771</v>
      </c>
      <c r="J230" s="38"/>
      <c r="K230" s="38"/>
      <c r="L230" s="127"/>
      <c r="M230" s="127"/>
      <c r="O230" s="128"/>
      <c r="P230" s="121"/>
      <c r="Q230" s="128"/>
      <c r="R230" s="128"/>
      <c r="S230" s="30"/>
      <c r="U230" s="38" t="s">
        <v>1054</v>
      </c>
      <c r="V230" s="30"/>
    </row>
    <row r="231" ht="22.5" customHeight="1">
      <c r="A231" s="123" t="s">
        <v>505</v>
      </c>
      <c r="B231" s="27" t="s">
        <v>772</v>
      </c>
      <c r="C231" s="124"/>
      <c r="D231" s="27"/>
      <c r="E231" s="27"/>
      <c r="F231" s="27"/>
      <c r="G231" s="125" t="s">
        <v>1064</v>
      </c>
      <c r="H231" s="10">
        <v>45658.0</v>
      </c>
      <c r="I231" s="126" t="s">
        <v>771</v>
      </c>
      <c r="J231" s="38"/>
      <c r="K231" s="38"/>
      <c r="L231" s="127"/>
      <c r="M231" s="127"/>
      <c r="O231" s="128"/>
      <c r="P231" s="121"/>
      <c r="Q231" s="128"/>
      <c r="R231" s="128"/>
      <c r="S231" s="30"/>
      <c r="U231" s="134" t="s">
        <v>1054</v>
      </c>
      <c r="V231" s="30"/>
    </row>
    <row r="232" ht="22.5" customHeight="1">
      <c r="A232" s="123" t="s">
        <v>395</v>
      </c>
      <c r="B232" s="27" t="s">
        <v>773</v>
      </c>
      <c r="C232" s="124"/>
      <c r="D232" s="27"/>
      <c r="E232" s="27"/>
      <c r="F232" s="27"/>
      <c r="G232" s="125" t="s">
        <v>1065</v>
      </c>
      <c r="H232" s="10">
        <v>45658.0</v>
      </c>
      <c r="I232" s="126" t="s">
        <v>775</v>
      </c>
      <c r="J232" s="38"/>
      <c r="K232" s="38"/>
      <c r="L232" s="127"/>
      <c r="M232" s="127"/>
      <c r="O232" s="128"/>
      <c r="P232" s="121"/>
      <c r="Q232" s="128"/>
      <c r="R232" s="128"/>
      <c r="S232" s="30"/>
      <c r="U232" s="30"/>
      <c r="V232" s="30"/>
    </row>
    <row r="233" ht="22.5" customHeight="1">
      <c r="A233" s="123" t="s">
        <v>403</v>
      </c>
      <c r="B233" s="27" t="s">
        <v>776</v>
      </c>
      <c r="C233" s="124"/>
      <c r="D233" s="27"/>
      <c r="E233" s="27"/>
      <c r="F233" s="27"/>
      <c r="G233" s="125" t="s">
        <v>548</v>
      </c>
      <c r="H233" s="10">
        <v>45658.0</v>
      </c>
      <c r="I233" s="126" t="s">
        <v>549</v>
      </c>
      <c r="J233" s="38"/>
      <c r="K233" s="38"/>
      <c r="L233" s="127"/>
      <c r="M233" s="127"/>
      <c r="O233" s="128"/>
      <c r="P233" s="121"/>
      <c r="Q233" s="128"/>
      <c r="R233" s="128"/>
      <c r="S233" s="30"/>
      <c r="U233" s="30"/>
      <c r="V233" s="30"/>
    </row>
    <row r="234" ht="22.5" customHeight="1">
      <c r="A234" s="123" t="s">
        <v>403</v>
      </c>
      <c r="B234" s="27" t="s">
        <v>777</v>
      </c>
      <c r="C234" s="124"/>
      <c r="D234" s="27"/>
      <c r="E234" s="27"/>
      <c r="F234" s="27"/>
      <c r="G234" s="125" t="s">
        <v>551</v>
      </c>
      <c r="H234" s="10">
        <v>45658.0</v>
      </c>
      <c r="I234" s="126" t="s">
        <v>549</v>
      </c>
      <c r="J234" s="38"/>
      <c r="K234" s="38"/>
      <c r="L234" s="127"/>
      <c r="M234" s="127"/>
      <c r="O234" s="128"/>
      <c r="P234" s="121"/>
      <c r="Q234" s="128"/>
      <c r="R234" s="128"/>
      <c r="S234" s="30"/>
      <c r="U234" s="30"/>
      <c r="V234" s="30"/>
    </row>
    <row r="235" ht="22.5" customHeight="1">
      <c r="A235" s="123" t="s">
        <v>403</v>
      </c>
      <c r="B235" s="27" t="s">
        <v>776</v>
      </c>
      <c r="C235" s="124"/>
      <c r="D235" s="27"/>
      <c r="E235" s="27"/>
      <c r="F235" s="27"/>
      <c r="G235" s="125" t="s">
        <v>548</v>
      </c>
      <c r="H235" s="10">
        <v>45658.0</v>
      </c>
      <c r="I235" s="126" t="s">
        <v>549</v>
      </c>
      <c r="J235" s="38"/>
      <c r="K235" s="38"/>
      <c r="L235" s="127"/>
      <c r="M235" s="127"/>
      <c r="O235" s="128"/>
      <c r="P235" s="121"/>
      <c r="Q235" s="128"/>
      <c r="R235" s="128"/>
      <c r="S235" s="30"/>
      <c r="U235" s="30"/>
      <c r="V235" s="30"/>
    </row>
    <row r="236" ht="22.5" customHeight="1">
      <c r="A236" s="123" t="s">
        <v>403</v>
      </c>
      <c r="B236" s="27" t="s">
        <v>777</v>
      </c>
      <c r="C236" s="124"/>
      <c r="D236" s="27"/>
      <c r="E236" s="27"/>
      <c r="F236" s="27"/>
      <c r="G236" s="125" t="s">
        <v>551</v>
      </c>
      <c r="H236" s="10">
        <v>45658.0</v>
      </c>
      <c r="I236" s="126" t="s">
        <v>549</v>
      </c>
      <c r="J236" s="38"/>
      <c r="K236" s="38"/>
      <c r="L236" s="127"/>
      <c r="M236" s="127"/>
      <c r="O236" s="128"/>
      <c r="P236" s="121"/>
      <c r="Q236" s="128"/>
      <c r="R236" s="128"/>
      <c r="S236" s="30"/>
      <c r="U236" s="30"/>
      <c r="V236" s="30"/>
    </row>
    <row r="237" ht="22.5" customHeight="1">
      <c r="A237" s="129"/>
      <c r="B237" s="27" t="s">
        <v>778</v>
      </c>
      <c r="C237" s="124"/>
      <c r="D237" s="27"/>
      <c r="E237" s="27"/>
      <c r="F237" s="27"/>
      <c r="G237" s="125" t="s">
        <v>1066</v>
      </c>
      <c r="H237" s="10">
        <v>45658.0</v>
      </c>
      <c r="I237" s="126" t="s">
        <v>738</v>
      </c>
      <c r="J237" s="38"/>
      <c r="K237" s="38"/>
      <c r="L237" s="127"/>
      <c r="M237" s="127"/>
      <c r="O237" s="128"/>
      <c r="P237" s="121"/>
      <c r="Q237" s="128"/>
      <c r="R237" s="128"/>
      <c r="S237" s="30"/>
      <c r="U237" s="30"/>
      <c r="V237" s="30"/>
    </row>
    <row r="238" ht="22.5" customHeight="1">
      <c r="A238" s="123" t="s">
        <v>403</v>
      </c>
      <c r="B238" s="27" t="s">
        <v>779</v>
      </c>
      <c r="C238" s="124"/>
      <c r="D238" s="27"/>
      <c r="E238" s="27"/>
      <c r="F238" s="27"/>
      <c r="G238" s="125" t="s">
        <v>548</v>
      </c>
      <c r="H238" s="10">
        <v>45658.0</v>
      </c>
      <c r="I238" s="126" t="s">
        <v>549</v>
      </c>
      <c r="J238" s="38"/>
      <c r="K238" s="38"/>
      <c r="L238" s="127"/>
      <c r="M238" s="127"/>
      <c r="O238" s="128"/>
      <c r="P238" s="121"/>
      <c r="Q238" s="128"/>
      <c r="R238" s="128"/>
      <c r="S238" s="30"/>
      <c r="U238" s="30"/>
      <c r="V238" s="30"/>
    </row>
    <row r="239" ht="22.5" customHeight="1">
      <c r="A239" s="123" t="s">
        <v>403</v>
      </c>
      <c r="B239" s="27" t="s">
        <v>780</v>
      </c>
      <c r="C239" s="124"/>
      <c r="D239" s="27"/>
      <c r="E239" s="27"/>
      <c r="F239" s="27"/>
      <c r="G239" s="125" t="s">
        <v>551</v>
      </c>
      <c r="H239" s="10">
        <v>45658.0</v>
      </c>
      <c r="I239" s="126" t="s">
        <v>549</v>
      </c>
      <c r="J239" s="38"/>
      <c r="K239" s="38"/>
      <c r="L239" s="127"/>
      <c r="M239" s="127"/>
      <c r="O239" s="128"/>
      <c r="P239" s="121"/>
      <c r="Q239" s="128"/>
      <c r="R239" s="128"/>
      <c r="S239" s="30"/>
      <c r="U239" s="30"/>
      <c r="V239" s="30"/>
    </row>
    <row r="240" ht="22.5" customHeight="1">
      <c r="A240" s="129"/>
      <c r="B240" s="27" t="s">
        <v>781</v>
      </c>
      <c r="C240" s="124"/>
      <c r="D240" s="27"/>
      <c r="E240" s="27"/>
      <c r="F240" s="27"/>
      <c r="G240" s="125" t="s">
        <v>1066</v>
      </c>
      <c r="H240" s="10">
        <v>45658.0</v>
      </c>
      <c r="I240" s="126" t="s">
        <v>738</v>
      </c>
      <c r="J240" s="38"/>
      <c r="K240" s="38"/>
      <c r="L240" s="127"/>
      <c r="M240" s="127"/>
      <c r="O240" s="128"/>
      <c r="P240" s="121"/>
      <c r="Q240" s="128"/>
      <c r="R240" s="128"/>
      <c r="S240" s="30"/>
      <c r="U240" s="30"/>
      <c r="V240" s="30"/>
    </row>
    <row r="241" ht="22.5" customHeight="1">
      <c r="A241" s="123" t="s">
        <v>403</v>
      </c>
      <c r="B241" s="27" t="s">
        <v>779</v>
      </c>
      <c r="C241" s="124"/>
      <c r="D241" s="27"/>
      <c r="E241" s="27"/>
      <c r="F241" s="27"/>
      <c r="G241" s="125" t="s">
        <v>548</v>
      </c>
      <c r="H241" s="10">
        <v>45658.0</v>
      </c>
      <c r="I241" s="126" t="s">
        <v>549</v>
      </c>
      <c r="J241" s="38"/>
      <c r="K241" s="38"/>
      <c r="L241" s="127"/>
      <c r="M241" s="127"/>
      <c r="O241" s="128"/>
      <c r="P241" s="121"/>
      <c r="Q241" s="128"/>
      <c r="R241" s="128"/>
      <c r="S241" s="30"/>
      <c r="U241" s="30"/>
      <c r="V241" s="30"/>
    </row>
    <row r="242" ht="22.5" customHeight="1">
      <c r="A242" s="123" t="s">
        <v>403</v>
      </c>
      <c r="B242" s="27" t="s">
        <v>780</v>
      </c>
      <c r="C242" s="124"/>
      <c r="D242" s="27"/>
      <c r="E242" s="27"/>
      <c r="F242" s="27"/>
      <c r="G242" s="125" t="s">
        <v>551</v>
      </c>
      <c r="H242" s="10">
        <v>45658.0</v>
      </c>
      <c r="I242" s="126" t="s">
        <v>549</v>
      </c>
      <c r="J242" s="38"/>
      <c r="K242" s="38"/>
      <c r="L242" s="127"/>
      <c r="M242" s="127"/>
      <c r="O242" s="128"/>
      <c r="P242" s="121"/>
      <c r="Q242" s="128"/>
      <c r="R242" s="128"/>
      <c r="S242" s="30"/>
      <c r="U242" s="30"/>
      <c r="V242" s="30"/>
    </row>
    <row r="243" ht="22.5" customHeight="1">
      <c r="A243" s="123" t="s">
        <v>437</v>
      </c>
      <c r="B243" s="27" t="s">
        <v>782</v>
      </c>
      <c r="C243" s="124"/>
      <c r="D243" s="27"/>
      <c r="E243" s="27"/>
      <c r="F243" s="27"/>
      <c r="G243" s="125" t="s">
        <v>1067</v>
      </c>
      <c r="H243" s="10">
        <v>45658.0</v>
      </c>
      <c r="I243" s="126" t="s">
        <v>613</v>
      </c>
      <c r="J243" s="38"/>
      <c r="K243" s="38"/>
      <c r="L243" s="127"/>
      <c r="M243" s="127"/>
      <c r="O243" s="128"/>
      <c r="P243" s="121"/>
      <c r="Q243" s="128"/>
      <c r="R243" s="128"/>
      <c r="S243" s="30"/>
      <c r="U243" s="30"/>
      <c r="V243" s="30"/>
    </row>
    <row r="244" ht="22.5" customHeight="1">
      <c r="A244" s="123" t="s">
        <v>403</v>
      </c>
      <c r="B244" s="27" t="s">
        <v>779</v>
      </c>
      <c r="C244" s="124"/>
      <c r="D244" s="27"/>
      <c r="E244" s="27"/>
      <c r="F244" s="27"/>
      <c r="G244" s="125" t="s">
        <v>548</v>
      </c>
      <c r="H244" s="10">
        <v>45658.0</v>
      </c>
      <c r="I244" s="126" t="s">
        <v>549</v>
      </c>
      <c r="J244" s="38"/>
      <c r="K244" s="38"/>
      <c r="L244" s="127"/>
      <c r="M244" s="127"/>
      <c r="O244" s="128"/>
      <c r="P244" s="121"/>
      <c r="Q244" s="128"/>
      <c r="R244" s="128"/>
      <c r="S244" s="30"/>
      <c r="U244" s="30"/>
      <c r="V244" s="30"/>
    </row>
    <row r="245" ht="22.5" customHeight="1">
      <c r="A245" s="123" t="s">
        <v>403</v>
      </c>
      <c r="B245" s="27" t="s">
        <v>780</v>
      </c>
      <c r="C245" s="124"/>
      <c r="D245" s="27"/>
      <c r="E245" s="27"/>
      <c r="F245" s="27"/>
      <c r="G245" s="125" t="s">
        <v>551</v>
      </c>
      <c r="H245" s="10">
        <v>45658.0</v>
      </c>
      <c r="I245" s="126" t="s">
        <v>549</v>
      </c>
      <c r="J245" s="38"/>
      <c r="K245" s="38"/>
      <c r="L245" s="127"/>
      <c r="M245" s="127"/>
      <c r="O245" s="128"/>
      <c r="P245" s="121"/>
      <c r="Q245" s="128"/>
      <c r="R245" s="128"/>
      <c r="S245" s="30"/>
      <c r="U245" s="30"/>
      <c r="V245" s="30"/>
    </row>
    <row r="246" ht="22.5" customHeight="1">
      <c r="A246" s="123" t="s">
        <v>437</v>
      </c>
      <c r="B246" s="27" t="s">
        <v>783</v>
      </c>
      <c r="C246" s="124"/>
      <c r="D246" s="27"/>
      <c r="E246" s="27"/>
      <c r="F246" s="27"/>
      <c r="G246" s="125" t="s">
        <v>1068</v>
      </c>
      <c r="H246" s="10">
        <v>45658.0</v>
      </c>
      <c r="I246" s="126" t="s">
        <v>613</v>
      </c>
      <c r="J246" s="38"/>
      <c r="K246" s="38"/>
      <c r="L246" s="127"/>
      <c r="M246" s="127"/>
      <c r="O246" s="128"/>
      <c r="P246" s="121"/>
      <c r="Q246" s="128"/>
      <c r="R246" s="128"/>
      <c r="S246" s="30"/>
      <c r="U246" s="30"/>
      <c r="V246" s="30"/>
    </row>
    <row r="247" ht="22.5" customHeight="1">
      <c r="A247" s="123" t="s">
        <v>403</v>
      </c>
      <c r="B247" s="27" t="s">
        <v>779</v>
      </c>
      <c r="C247" s="124"/>
      <c r="D247" s="27"/>
      <c r="E247" s="27"/>
      <c r="F247" s="27"/>
      <c r="G247" s="125" t="s">
        <v>548</v>
      </c>
      <c r="H247" s="10">
        <v>45658.0</v>
      </c>
      <c r="I247" s="126" t="s">
        <v>549</v>
      </c>
      <c r="J247" s="38"/>
      <c r="K247" s="38"/>
      <c r="L247" s="127"/>
      <c r="M247" s="127"/>
      <c r="O247" s="128"/>
      <c r="P247" s="121"/>
      <c r="Q247" s="128"/>
      <c r="R247" s="128"/>
      <c r="S247" s="30"/>
      <c r="U247" s="30"/>
      <c r="V247" s="30"/>
    </row>
    <row r="248" ht="22.5" customHeight="1">
      <c r="A248" s="123" t="s">
        <v>403</v>
      </c>
      <c r="B248" s="27" t="s">
        <v>780</v>
      </c>
      <c r="C248" s="124"/>
      <c r="D248" s="27"/>
      <c r="E248" s="27"/>
      <c r="F248" s="27"/>
      <c r="G248" s="125" t="s">
        <v>551</v>
      </c>
      <c r="H248" s="10">
        <v>45658.0</v>
      </c>
      <c r="I248" s="126" t="s">
        <v>549</v>
      </c>
      <c r="J248" s="38"/>
      <c r="K248" s="38"/>
      <c r="L248" s="127"/>
      <c r="M248" s="127"/>
      <c r="O248" s="128"/>
      <c r="P248" s="121"/>
      <c r="Q248" s="128"/>
      <c r="R248" s="128"/>
      <c r="S248" s="30"/>
      <c r="U248" s="30"/>
      <c r="V248" s="30"/>
    </row>
    <row r="249" ht="22.5" customHeight="1">
      <c r="A249" s="123" t="s">
        <v>528</v>
      </c>
      <c r="B249" s="27" t="s">
        <v>784</v>
      </c>
      <c r="C249" s="124"/>
      <c r="D249" s="27"/>
      <c r="E249" s="27"/>
      <c r="F249" s="27"/>
      <c r="G249" s="125" t="s">
        <v>1069</v>
      </c>
      <c r="H249" s="10">
        <v>45658.0</v>
      </c>
      <c r="I249" s="126" t="s">
        <v>559</v>
      </c>
      <c r="J249" s="38"/>
      <c r="K249" s="38"/>
      <c r="L249" s="127"/>
      <c r="M249" s="127"/>
      <c r="O249" s="128"/>
      <c r="P249" s="121"/>
      <c r="Q249" s="128"/>
      <c r="R249" s="128"/>
      <c r="S249" s="30"/>
      <c r="U249" s="30"/>
      <c r="V249" s="30"/>
    </row>
    <row r="250" ht="22.5" customHeight="1">
      <c r="A250" s="123" t="s">
        <v>403</v>
      </c>
      <c r="B250" s="27" t="s">
        <v>779</v>
      </c>
      <c r="C250" s="124"/>
      <c r="D250" s="27"/>
      <c r="E250" s="27"/>
      <c r="F250" s="27"/>
      <c r="G250" s="125" t="s">
        <v>548</v>
      </c>
      <c r="H250" s="10">
        <v>45658.0</v>
      </c>
      <c r="I250" s="126" t="s">
        <v>549</v>
      </c>
      <c r="J250" s="38"/>
      <c r="K250" s="38"/>
      <c r="L250" s="127"/>
      <c r="M250" s="127"/>
      <c r="O250" s="128"/>
      <c r="P250" s="121"/>
      <c r="Q250" s="128"/>
      <c r="R250" s="128"/>
      <c r="S250" s="30"/>
      <c r="U250" s="30"/>
      <c r="V250" s="30"/>
    </row>
    <row r="251" ht="22.5" customHeight="1">
      <c r="A251" s="123" t="s">
        <v>403</v>
      </c>
      <c r="B251" s="27" t="s">
        <v>780</v>
      </c>
      <c r="C251" s="124"/>
      <c r="D251" s="27"/>
      <c r="E251" s="27"/>
      <c r="F251" s="27"/>
      <c r="G251" s="125" t="s">
        <v>551</v>
      </c>
      <c r="H251" s="10">
        <v>45658.0</v>
      </c>
      <c r="I251" s="126" t="s">
        <v>549</v>
      </c>
      <c r="J251" s="38"/>
      <c r="K251" s="38"/>
      <c r="L251" s="127"/>
      <c r="M251" s="127"/>
      <c r="O251" s="128"/>
      <c r="P251" s="121"/>
      <c r="Q251" s="128"/>
      <c r="R251" s="128"/>
      <c r="S251" s="30"/>
      <c r="U251" s="30"/>
      <c r="V251" s="30"/>
    </row>
    <row r="252" ht="22.5" customHeight="1">
      <c r="A252" s="123" t="s">
        <v>573</v>
      </c>
      <c r="B252" s="27" t="s">
        <v>785</v>
      </c>
      <c r="C252" s="124"/>
      <c r="D252" s="27"/>
      <c r="E252" s="27"/>
      <c r="F252" s="27"/>
      <c r="G252" s="125" t="s">
        <v>1070</v>
      </c>
      <c r="H252" s="10">
        <v>45658.0</v>
      </c>
      <c r="I252" s="126" t="s">
        <v>576</v>
      </c>
      <c r="J252" s="38"/>
      <c r="K252" s="38"/>
      <c r="L252" s="127"/>
      <c r="M252" s="127"/>
      <c r="O252" s="128"/>
      <c r="P252" s="121"/>
      <c r="Q252" s="128"/>
      <c r="R252" s="128"/>
      <c r="S252" s="30"/>
      <c r="U252" s="30"/>
      <c r="V252" s="30"/>
    </row>
    <row r="253" ht="22.5" customHeight="1">
      <c r="A253" s="123" t="s">
        <v>403</v>
      </c>
      <c r="B253" s="27" t="s">
        <v>779</v>
      </c>
      <c r="C253" s="124"/>
      <c r="D253" s="27"/>
      <c r="E253" s="27"/>
      <c r="F253" s="27"/>
      <c r="G253" s="125" t="s">
        <v>548</v>
      </c>
      <c r="H253" s="10">
        <v>45658.0</v>
      </c>
      <c r="I253" s="126" t="s">
        <v>549</v>
      </c>
      <c r="J253" s="38"/>
      <c r="K253" s="38"/>
      <c r="L253" s="127"/>
      <c r="M253" s="127"/>
      <c r="O253" s="128"/>
      <c r="P253" s="121"/>
      <c r="Q253" s="128"/>
      <c r="R253" s="128"/>
      <c r="S253" s="30"/>
      <c r="U253" s="30"/>
      <c r="V253" s="30"/>
    </row>
    <row r="254" ht="22.5" customHeight="1">
      <c r="A254" s="123" t="s">
        <v>403</v>
      </c>
      <c r="B254" s="27" t="s">
        <v>780</v>
      </c>
      <c r="C254" s="124"/>
      <c r="D254" s="27"/>
      <c r="E254" s="27"/>
      <c r="F254" s="27"/>
      <c r="G254" s="125" t="s">
        <v>551</v>
      </c>
      <c r="H254" s="10">
        <v>45658.0</v>
      </c>
      <c r="I254" s="126" t="s">
        <v>549</v>
      </c>
      <c r="J254" s="38"/>
      <c r="K254" s="38"/>
      <c r="L254" s="127"/>
      <c r="M254" s="127"/>
      <c r="O254" s="128"/>
      <c r="P254" s="121"/>
      <c r="Q254" s="128"/>
      <c r="R254" s="128"/>
      <c r="S254" s="30"/>
      <c r="U254" s="30"/>
      <c r="V254" s="30"/>
    </row>
    <row r="255" ht="22.5" customHeight="1">
      <c r="A255" s="123" t="s">
        <v>787</v>
      </c>
      <c r="B255" s="27" t="s">
        <v>788</v>
      </c>
      <c r="C255" s="124"/>
      <c r="D255" s="27"/>
      <c r="E255" s="27"/>
      <c r="F255" s="27"/>
      <c r="G255" s="125" t="s">
        <v>1071</v>
      </c>
      <c r="H255" s="10">
        <v>45658.0</v>
      </c>
      <c r="I255" s="126" t="s">
        <v>790</v>
      </c>
      <c r="J255" s="38"/>
      <c r="K255" s="38"/>
      <c r="L255" s="127"/>
      <c r="M255" s="127"/>
      <c r="O255" s="128"/>
      <c r="P255" s="121"/>
      <c r="Q255" s="128"/>
      <c r="R255" s="128"/>
      <c r="S255" s="30"/>
      <c r="U255" s="30"/>
      <c r="V255" s="30"/>
    </row>
    <row r="256" ht="22.5" customHeight="1">
      <c r="A256" s="123" t="s">
        <v>403</v>
      </c>
      <c r="B256" s="27" t="s">
        <v>779</v>
      </c>
      <c r="C256" s="124"/>
      <c r="D256" s="27"/>
      <c r="E256" s="27"/>
      <c r="F256" s="27"/>
      <c r="G256" s="125" t="s">
        <v>548</v>
      </c>
      <c r="H256" s="10">
        <v>45658.0</v>
      </c>
      <c r="I256" s="126" t="s">
        <v>549</v>
      </c>
      <c r="J256" s="38"/>
      <c r="K256" s="38"/>
      <c r="L256" s="127"/>
      <c r="M256" s="127"/>
      <c r="O256" s="128"/>
      <c r="P256" s="121"/>
      <c r="Q256" s="128"/>
      <c r="R256" s="128"/>
      <c r="S256" s="30"/>
      <c r="U256" s="30"/>
      <c r="V256" s="30"/>
    </row>
    <row r="257" ht="22.5" customHeight="1">
      <c r="A257" s="123" t="s">
        <v>403</v>
      </c>
      <c r="B257" s="27" t="s">
        <v>780</v>
      </c>
      <c r="C257" s="124"/>
      <c r="D257" s="27"/>
      <c r="E257" s="27"/>
      <c r="F257" s="27"/>
      <c r="G257" s="125" t="s">
        <v>551</v>
      </c>
      <c r="H257" s="10">
        <v>45658.0</v>
      </c>
      <c r="I257" s="126" t="s">
        <v>549</v>
      </c>
      <c r="J257" s="38"/>
      <c r="K257" s="38"/>
      <c r="L257" s="127"/>
      <c r="M257" s="127"/>
      <c r="O257" s="128"/>
      <c r="P257" s="121"/>
      <c r="Q257" s="128"/>
      <c r="R257" s="128"/>
      <c r="S257" s="30"/>
      <c r="U257" s="30"/>
      <c r="V257" s="30"/>
    </row>
    <row r="258" ht="22.5" customHeight="1">
      <c r="A258" s="123" t="s">
        <v>18</v>
      </c>
      <c r="B258" s="27" t="s">
        <v>791</v>
      </c>
      <c r="C258" s="124"/>
      <c r="D258" s="27"/>
      <c r="E258" s="27"/>
      <c r="F258" s="27"/>
      <c r="G258" s="125" t="s">
        <v>1072</v>
      </c>
      <c r="H258" s="10">
        <v>45658.0</v>
      </c>
      <c r="I258" s="126" t="s">
        <v>586</v>
      </c>
      <c r="J258" s="38"/>
      <c r="K258" s="38"/>
      <c r="L258" s="127"/>
      <c r="M258" s="127"/>
      <c r="O258" s="128"/>
      <c r="P258" s="121"/>
      <c r="Q258" s="128"/>
      <c r="R258" s="128"/>
      <c r="S258" s="30"/>
      <c r="U258" s="30"/>
      <c r="V258" s="30"/>
    </row>
    <row r="259" ht="22.5" customHeight="1">
      <c r="A259" s="123" t="s">
        <v>403</v>
      </c>
      <c r="B259" s="27" t="s">
        <v>779</v>
      </c>
      <c r="C259" s="124"/>
      <c r="D259" s="27"/>
      <c r="E259" s="27"/>
      <c r="F259" s="27"/>
      <c r="G259" s="125" t="s">
        <v>548</v>
      </c>
      <c r="H259" s="10">
        <v>45658.0</v>
      </c>
      <c r="I259" s="126" t="s">
        <v>549</v>
      </c>
      <c r="J259" s="38"/>
      <c r="K259" s="38"/>
      <c r="L259" s="127"/>
      <c r="M259" s="127"/>
      <c r="O259" s="128"/>
      <c r="P259" s="121"/>
      <c r="Q259" s="128"/>
      <c r="R259" s="128"/>
      <c r="S259" s="30"/>
      <c r="U259" s="30"/>
      <c r="V259" s="30"/>
    </row>
    <row r="260" ht="22.5" customHeight="1">
      <c r="A260" s="123" t="s">
        <v>403</v>
      </c>
      <c r="B260" s="27" t="s">
        <v>780</v>
      </c>
      <c r="C260" s="124"/>
      <c r="D260" s="27"/>
      <c r="E260" s="27"/>
      <c r="F260" s="27"/>
      <c r="G260" s="125" t="s">
        <v>551</v>
      </c>
      <c r="H260" s="10">
        <v>45658.0</v>
      </c>
      <c r="I260" s="126" t="s">
        <v>549</v>
      </c>
      <c r="J260" s="38"/>
      <c r="K260" s="38"/>
      <c r="L260" s="127"/>
      <c r="M260" s="127"/>
      <c r="O260" s="128"/>
      <c r="P260" s="121"/>
      <c r="Q260" s="128"/>
      <c r="R260" s="128"/>
      <c r="S260" s="30"/>
      <c r="U260" s="30"/>
      <c r="V260" s="30"/>
    </row>
    <row r="261" ht="22.5" customHeight="1">
      <c r="A261" s="129"/>
      <c r="B261" s="27" t="s">
        <v>793</v>
      </c>
      <c r="C261" s="124"/>
      <c r="D261" s="27"/>
      <c r="E261" s="27"/>
      <c r="F261" s="27"/>
      <c r="G261" s="125" t="s">
        <v>1073</v>
      </c>
      <c r="H261" s="10">
        <v>45658.0</v>
      </c>
      <c r="I261" s="126" t="s">
        <v>696</v>
      </c>
      <c r="J261" s="38"/>
      <c r="K261" s="38"/>
      <c r="L261" s="127"/>
      <c r="M261" s="127"/>
      <c r="O261" s="128"/>
      <c r="P261" s="121"/>
      <c r="Q261" s="128"/>
      <c r="R261" s="128"/>
      <c r="S261" s="30"/>
      <c r="U261" s="30"/>
      <c r="V261" s="30"/>
    </row>
    <row r="262" ht="22.5" customHeight="1">
      <c r="A262" s="123" t="s">
        <v>403</v>
      </c>
      <c r="B262" s="27" t="s">
        <v>779</v>
      </c>
      <c r="C262" s="124"/>
      <c r="D262" s="27"/>
      <c r="E262" s="27"/>
      <c r="F262" s="27"/>
      <c r="G262" s="125" t="s">
        <v>548</v>
      </c>
      <c r="H262" s="10">
        <v>45658.0</v>
      </c>
      <c r="I262" s="126" t="s">
        <v>549</v>
      </c>
      <c r="J262" s="38"/>
      <c r="K262" s="38"/>
      <c r="L262" s="127"/>
      <c r="M262" s="127"/>
      <c r="O262" s="128"/>
      <c r="P262" s="121"/>
      <c r="Q262" s="128"/>
      <c r="R262" s="128"/>
      <c r="S262" s="30"/>
      <c r="U262" s="30"/>
      <c r="V262" s="30"/>
    </row>
    <row r="263" ht="22.5" customHeight="1">
      <c r="A263" s="123" t="s">
        <v>403</v>
      </c>
      <c r="B263" s="27" t="s">
        <v>795</v>
      </c>
      <c r="C263" s="124"/>
      <c r="D263" s="27"/>
      <c r="E263" s="27"/>
      <c r="F263" s="27"/>
      <c r="G263" s="125" t="s">
        <v>551</v>
      </c>
      <c r="H263" s="10">
        <v>45658.0</v>
      </c>
      <c r="I263" s="126" t="s">
        <v>549</v>
      </c>
      <c r="J263" s="38"/>
      <c r="K263" s="38"/>
      <c r="L263" s="127"/>
      <c r="M263" s="127"/>
      <c r="O263" s="128"/>
      <c r="P263" s="121"/>
      <c r="Q263" s="128"/>
      <c r="R263" s="128"/>
      <c r="S263" s="30"/>
      <c r="U263" s="30"/>
      <c r="V263" s="30"/>
    </row>
    <row r="264" ht="22.5" customHeight="1">
      <c r="A264" s="129"/>
      <c r="B264" s="27" t="s">
        <v>796</v>
      </c>
      <c r="C264" s="124"/>
      <c r="D264" s="27"/>
      <c r="E264" s="27"/>
      <c r="F264" s="27"/>
      <c r="G264" s="125" t="s">
        <v>1074</v>
      </c>
      <c r="H264" s="10">
        <v>45658.0</v>
      </c>
      <c r="I264" s="126" t="s">
        <v>568</v>
      </c>
      <c r="J264" s="38"/>
      <c r="K264" s="38"/>
      <c r="L264" s="127"/>
      <c r="M264" s="127"/>
      <c r="O264" s="128"/>
      <c r="P264" s="121"/>
      <c r="Q264" s="128"/>
      <c r="R264" s="128"/>
      <c r="S264" s="30"/>
      <c r="U264" s="30"/>
      <c r="V264" s="30"/>
    </row>
    <row r="265" ht="22.5" customHeight="1">
      <c r="A265" s="123" t="s">
        <v>403</v>
      </c>
      <c r="B265" s="27" t="s">
        <v>779</v>
      </c>
      <c r="C265" s="124"/>
      <c r="D265" s="27"/>
      <c r="E265" s="27"/>
      <c r="F265" s="27"/>
      <c r="G265" s="125" t="s">
        <v>548</v>
      </c>
      <c r="H265" s="10">
        <v>45658.0</v>
      </c>
      <c r="I265" s="126" t="s">
        <v>549</v>
      </c>
      <c r="J265" s="38"/>
      <c r="K265" s="38"/>
      <c r="L265" s="127"/>
      <c r="M265" s="127"/>
      <c r="O265" s="128"/>
      <c r="P265" s="121"/>
      <c r="Q265" s="128"/>
      <c r="R265" s="128"/>
      <c r="S265" s="30"/>
      <c r="U265" s="30"/>
      <c r="V265" s="30"/>
    </row>
    <row r="266" ht="22.5" customHeight="1">
      <c r="A266" s="123" t="s">
        <v>403</v>
      </c>
      <c r="B266" s="27" t="s">
        <v>780</v>
      </c>
      <c r="C266" s="124"/>
      <c r="D266" s="27"/>
      <c r="E266" s="27"/>
      <c r="F266" s="27"/>
      <c r="G266" s="125" t="s">
        <v>551</v>
      </c>
      <c r="H266" s="10">
        <v>45658.0</v>
      </c>
      <c r="I266" s="126" t="s">
        <v>549</v>
      </c>
      <c r="J266" s="38"/>
      <c r="K266" s="38"/>
      <c r="L266" s="127"/>
      <c r="M266" s="127"/>
      <c r="O266" s="128"/>
      <c r="P266" s="121"/>
      <c r="Q266" s="128"/>
      <c r="R266" s="128"/>
      <c r="S266" s="30"/>
      <c r="U266" s="30"/>
      <c r="V266" s="30"/>
    </row>
    <row r="267" ht="22.5" customHeight="1">
      <c r="A267" s="123" t="s">
        <v>437</v>
      </c>
      <c r="B267" s="27" t="s">
        <v>797</v>
      </c>
      <c r="C267" s="124"/>
      <c r="D267" s="27"/>
      <c r="E267" s="27"/>
      <c r="F267" s="27"/>
      <c r="G267" s="125" t="s">
        <v>1075</v>
      </c>
      <c r="H267" s="10">
        <v>45658.0</v>
      </c>
      <c r="I267" s="126" t="s">
        <v>613</v>
      </c>
      <c r="J267" s="38"/>
      <c r="K267" s="38"/>
      <c r="L267" s="127"/>
      <c r="M267" s="127"/>
      <c r="O267" s="128"/>
      <c r="P267" s="121"/>
      <c r="Q267" s="128"/>
      <c r="R267" s="128"/>
      <c r="S267" s="30"/>
      <c r="U267" s="30"/>
      <c r="V267" s="30"/>
    </row>
    <row r="268" ht="22.5" customHeight="1">
      <c r="A268" s="123" t="s">
        <v>403</v>
      </c>
      <c r="B268" s="27" t="s">
        <v>779</v>
      </c>
      <c r="C268" s="124"/>
      <c r="D268" s="27"/>
      <c r="E268" s="27"/>
      <c r="F268" s="27"/>
      <c r="G268" s="125" t="s">
        <v>548</v>
      </c>
      <c r="H268" s="10">
        <v>45658.0</v>
      </c>
      <c r="I268" s="126" t="s">
        <v>549</v>
      </c>
      <c r="J268" s="38"/>
      <c r="K268" s="38"/>
      <c r="L268" s="127"/>
      <c r="M268" s="127"/>
      <c r="O268" s="128"/>
      <c r="P268" s="121"/>
      <c r="Q268" s="128"/>
      <c r="R268" s="128"/>
      <c r="S268" s="30"/>
      <c r="U268" s="30"/>
      <c r="V268" s="30"/>
    </row>
    <row r="269" ht="22.5" customHeight="1">
      <c r="A269" s="123" t="s">
        <v>403</v>
      </c>
      <c r="B269" s="27" t="s">
        <v>780</v>
      </c>
      <c r="C269" s="124"/>
      <c r="D269" s="27"/>
      <c r="E269" s="27"/>
      <c r="F269" s="27"/>
      <c r="G269" s="125" t="s">
        <v>551</v>
      </c>
      <c r="H269" s="10">
        <v>45658.0</v>
      </c>
      <c r="I269" s="126" t="s">
        <v>549</v>
      </c>
      <c r="J269" s="38"/>
      <c r="K269" s="38"/>
      <c r="L269" s="127"/>
      <c r="M269" s="127"/>
      <c r="O269" s="128"/>
      <c r="P269" s="121"/>
      <c r="Q269" s="128"/>
      <c r="R269" s="128"/>
      <c r="S269" s="30"/>
      <c r="U269" s="30"/>
      <c r="V269" s="30"/>
    </row>
    <row r="270" ht="22.5" customHeight="1">
      <c r="A270" s="123" t="s">
        <v>528</v>
      </c>
      <c r="B270" s="27" t="s">
        <v>798</v>
      </c>
      <c r="C270" s="124"/>
      <c r="D270" s="27"/>
      <c r="E270" s="27"/>
      <c r="F270" s="27"/>
      <c r="G270" s="125" t="s">
        <v>974</v>
      </c>
      <c r="H270" s="10">
        <v>45658.0</v>
      </c>
      <c r="I270" s="126" t="s">
        <v>559</v>
      </c>
      <c r="J270" s="38"/>
      <c r="K270" s="38"/>
      <c r="L270" s="127"/>
      <c r="M270" s="127"/>
      <c r="O270" s="128"/>
      <c r="P270" s="121"/>
      <c r="Q270" s="128"/>
      <c r="R270" s="128"/>
      <c r="S270" s="30"/>
      <c r="U270" s="30"/>
      <c r="V270" s="30"/>
    </row>
    <row r="271" ht="22.5" customHeight="1">
      <c r="A271" s="129"/>
      <c r="B271" s="27" t="s">
        <v>799</v>
      </c>
      <c r="C271" s="124"/>
      <c r="D271" s="27"/>
      <c r="E271" s="27"/>
      <c r="F271" s="27"/>
      <c r="G271" s="125" t="s">
        <v>1076</v>
      </c>
      <c r="H271" s="10">
        <v>45658.0</v>
      </c>
      <c r="I271" s="126" t="s">
        <v>800</v>
      </c>
      <c r="J271" s="38"/>
      <c r="K271" s="38"/>
      <c r="L271" s="127"/>
      <c r="M271" s="127"/>
      <c r="O271" s="128"/>
      <c r="P271" s="121"/>
      <c r="Q271" s="128"/>
      <c r="R271" s="128"/>
      <c r="S271" s="30"/>
      <c r="U271" s="30"/>
      <c r="V271" s="30"/>
    </row>
    <row r="272" ht="22.5" customHeight="1">
      <c r="A272" s="123" t="s">
        <v>18</v>
      </c>
      <c r="B272" s="27" t="s">
        <v>801</v>
      </c>
      <c r="C272" s="124"/>
      <c r="D272" s="27"/>
      <c r="E272" s="27"/>
      <c r="F272" s="27"/>
      <c r="G272" s="125" t="s">
        <v>1077</v>
      </c>
      <c r="H272" s="10">
        <v>45658.0</v>
      </c>
      <c r="I272" s="126" t="s">
        <v>586</v>
      </c>
      <c r="J272" s="38"/>
      <c r="K272" s="38"/>
      <c r="L272" s="127"/>
      <c r="M272" s="127"/>
      <c r="O272" s="128"/>
      <c r="P272" s="121"/>
      <c r="Q272" s="128"/>
      <c r="R272" s="128"/>
      <c r="S272" s="30"/>
      <c r="U272" s="30"/>
      <c r="V272" s="30"/>
    </row>
    <row r="273" ht="22.5" customHeight="1">
      <c r="A273" s="123" t="s">
        <v>403</v>
      </c>
      <c r="B273" s="27" t="s">
        <v>779</v>
      </c>
      <c r="C273" s="124"/>
      <c r="D273" s="27"/>
      <c r="E273" s="27"/>
      <c r="F273" s="27"/>
      <c r="G273" s="125" t="s">
        <v>548</v>
      </c>
      <c r="H273" s="10">
        <v>45658.0</v>
      </c>
      <c r="I273" s="126" t="s">
        <v>549</v>
      </c>
      <c r="J273" s="38"/>
      <c r="K273" s="38"/>
      <c r="L273" s="127"/>
      <c r="M273" s="127"/>
      <c r="O273" s="128"/>
      <c r="P273" s="121"/>
      <c r="Q273" s="128"/>
      <c r="R273" s="128"/>
      <c r="S273" s="30"/>
      <c r="U273" s="30"/>
      <c r="V273" s="30"/>
    </row>
    <row r="274" ht="22.5" customHeight="1">
      <c r="A274" s="123" t="s">
        <v>403</v>
      </c>
      <c r="B274" s="27" t="s">
        <v>780</v>
      </c>
      <c r="C274" s="124"/>
      <c r="D274" s="27"/>
      <c r="E274" s="27"/>
      <c r="F274" s="27"/>
      <c r="G274" s="125" t="s">
        <v>551</v>
      </c>
      <c r="H274" s="10">
        <v>45658.0</v>
      </c>
      <c r="I274" s="126" t="s">
        <v>549</v>
      </c>
      <c r="J274" s="38"/>
      <c r="K274" s="38"/>
      <c r="L274" s="127"/>
      <c r="M274" s="127"/>
      <c r="O274" s="128"/>
      <c r="P274" s="121"/>
      <c r="Q274" s="128"/>
      <c r="R274" s="128"/>
      <c r="S274" s="30"/>
      <c r="U274" s="30"/>
      <c r="V274" s="30"/>
    </row>
    <row r="275" ht="22.5" customHeight="1">
      <c r="A275" s="123" t="s">
        <v>349</v>
      </c>
      <c r="B275" s="27" t="s">
        <v>803</v>
      </c>
      <c r="C275" s="124"/>
      <c r="D275" s="27"/>
      <c r="E275" s="27"/>
      <c r="F275" s="27"/>
      <c r="G275" s="125" t="s">
        <v>1078</v>
      </c>
      <c r="H275" s="10">
        <v>45658.0</v>
      </c>
      <c r="I275" s="126" t="s">
        <v>581</v>
      </c>
      <c r="J275" s="38"/>
      <c r="K275" s="38"/>
      <c r="L275" s="127"/>
      <c r="M275" s="127"/>
      <c r="O275" s="128"/>
      <c r="P275" s="121"/>
      <c r="Q275" s="128"/>
      <c r="R275" s="128"/>
      <c r="S275" s="30"/>
      <c r="U275" s="30"/>
      <c r="V275" s="30"/>
    </row>
    <row r="276" ht="22.5" customHeight="1">
      <c r="A276" s="129"/>
      <c r="B276" s="27" t="s">
        <v>805</v>
      </c>
      <c r="C276" s="124"/>
      <c r="D276" s="27"/>
      <c r="E276" s="27"/>
      <c r="F276" s="27"/>
      <c r="G276" s="125" t="s">
        <v>1079</v>
      </c>
      <c r="H276" s="10">
        <v>45658.0</v>
      </c>
      <c r="I276" s="126" t="s">
        <v>648</v>
      </c>
      <c r="J276" s="38"/>
      <c r="K276" s="38"/>
      <c r="L276" s="127"/>
      <c r="M276" s="127"/>
      <c r="O276" s="128"/>
      <c r="P276" s="121"/>
      <c r="Q276" s="128"/>
      <c r="R276" s="128"/>
      <c r="S276" s="30"/>
      <c r="U276" s="30"/>
      <c r="V276" s="30"/>
    </row>
    <row r="277" ht="22.5" customHeight="1">
      <c r="A277" s="123" t="s">
        <v>403</v>
      </c>
      <c r="B277" s="27" t="s">
        <v>806</v>
      </c>
      <c r="C277" s="124"/>
      <c r="D277" s="27"/>
      <c r="E277" s="27"/>
      <c r="F277" s="27"/>
      <c r="G277" s="125" t="s">
        <v>548</v>
      </c>
      <c r="H277" s="10">
        <v>45658.0</v>
      </c>
      <c r="I277" s="126" t="s">
        <v>549</v>
      </c>
      <c r="J277" s="38"/>
      <c r="K277" s="38"/>
      <c r="L277" s="127"/>
      <c r="M277" s="127"/>
      <c r="O277" s="128"/>
      <c r="P277" s="121"/>
      <c r="Q277" s="128"/>
      <c r="R277" s="128"/>
      <c r="S277" s="30"/>
      <c r="U277" s="30"/>
      <c r="V277" s="30"/>
    </row>
    <row r="278" ht="22.5" customHeight="1">
      <c r="A278" s="123" t="s">
        <v>403</v>
      </c>
      <c r="B278" s="27" t="s">
        <v>807</v>
      </c>
      <c r="C278" s="124"/>
      <c r="D278" s="27"/>
      <c r="E278" s="27"/>
      <c r="F278" s="27"/>
      <c r="G278" s="125" t="s">
        <v>551</v>
      </c>
      <c r="H278" s="10">
        <v>45658.0</v>
      </c>
      <c r="I278" s="126" t="s">
        <v>549</v>
      </c>
      <c r="J278" s="38"/>
      <c r="K278" s="38"/>
      <c r="L278" s="127"/>
      <c r="M278" s="127"/>
      <c r="O278" s="128"/>
      <c r="P278" s="121"/>
      <c r="Q278" s="128"/>
      <c r="R278" s="128"/>
      <c r="S278" s="30"/>
      <c r="U278" s="30"/>
      <c r="V278" s="30"/>
    </row>
    <row r="279" ht="22.5" customHeight="1">
      <c r="A279" s="129"/>
      <c r="B279" s="27" t="s">
        <v>808</v>
      </c>
      <c r="C279" s="124"/>
      <c r="D279" s="27"/>
      <c r="E279" s="27"/>
      <c r="F279" s="27"/>
      <c r="G279" s="125" t="s">
        <v>1080</v>
      </c>
      <c r="H279" s="10">
        <v>45658.0</v>
      </c>
      <c r="I279" s="126" t="s">
        <v>738</v>
      </c>
      <c r="J279" s="38"/>
      <c r="K279" s="38"/>
      <c r="L279" s="127"/>
      <c r="M279" s="127"/>
      <c r="O279" s="128"/>
      <c r="P279" s="121"/>
      <c r="Q279" s="128"/>
      <c r="R279" s="128"/>
      <c r="S279" s="30"/>
      <c r="U279" s="30"/>
      <c r="V279" s="30"/>
    </row>
    <row r="280" ht="22.5" customHeight="1">
      <c r="A280" s="123" t="s">
        <v>403</v>
      </c>
      <c r="B280" s="27" t="s">
        <v>806</v>
      </c>
      <c r="C280" s="124"/>
      <c r="D280" s="27"/>
      <c r="E280" s="27"/>
      <c r="F280" s="27"/>
      <c r="G280" s="125" t="s">
        <v>548</v>
      </c>
      <c r="H280" s="10">
        <v>45658.0</v>
      </c>
      <c r="I280" s="126" t="s">
        <v>549</v>
      </c>
      <c r="J280" s="38"/>
      <c r="K280" s="38"/>
      <c r="L280" s="127"/>
      <c r="M280" s="127"/>
      <c r="O280" s="128"/>
      <c r="P280" s="121"/>
      <c r="Q280" s="128"/>
      <c r="R280" s="128"/>
      <c r="S280" s="30"/>
      <c r="U280" s="30"/>
      <c r="V280" s="30"/>
    </row>
    <row r="281" ht="22.5" customHeight="1">
      <c r="A281" s="123" t="s">
        <v>403</v>
      </c>
      <c r="B281" s="27" t="s">
        <v>809</v>
      </c>
      <c r="C281" s="124"/>
      <c r="D281" s="27"/>
      <c r="E281" s="27"/>
      <c r="F281" s="27"/>
      <c r="G281" s="125" t="s">
        <v>551</v>
      </c>
      <c r="H281" s="10">
        <v>45658.0</v>
      </c>
      <c r="I281" s="126" t="s">
        <v>549</v>
      </c>
      <c r="J281" s="38"/>
      <c r="K281" s="38"/>
      <c r="L281" s="127"/>
      <c r="M281" s="127"/>
      <c r="O281" s="128"/>
      <c r="P281" s="121"/>
      <c r="Q281" s="128"/>
      <c r="R281" s="128"/>
      <c r="S281" s="30"/>
      <c r="U281" s="30"/>
      <c r="V281" s="30"/>
    </row>
    <row r="282" ht="22.5" customHeight="1">
      <c r="A282" s="123" t="s">
        <v>18</v>
      </c>
      <c r="B282" s="27" t="s">
        <v>810</v>
      </c>
      <c r="C282" s="124"/>
      <c r="D282" s="27"/>
      <c r="E282" s="27"/>
      <c r="F282" s="27"/>
      <c r="G282" s="125" t="s">
        <v>1081</v>
      </c>
      <c r="H282" s="10">
        <v>45658.0</v>
      </c>
      <c r="I282" s="126" t="s">
        <v>586</v>
      </c>
      <c r="J282" s="38"/>
      <c r="K282" s="38"/>
      <c r="L282" s="127"/>
      <c r="M282" s="127"/>
      <c r="O282" s="128"/>
      <c r="P282" s="121"/>
      <c r="Q282" s="128"/>
      <c r="R282" s="128"/>
      <c r="S282" s="30"/>
      <c r="U282" s="30"/>
      <c r="V282" s="30"/>
    </row>
    <row r="283" ht="22.5" customHeight="1">
      <c r="A283" s="123" t="s">
        <v>403</v>
      </c>
      <c r="B283" s="27" t="s">
        <v>806</v>
      </c>
      <c r="C283" s="124"/>
      <c r="D283" s="27"/>
      <c r="E283" s="27"/>
      <c r="F283" s="27"/>
      <c r="G283" s="125" t="s">
        <v>548</v>
      </c>
      <c r="H283" s="10">
        <v>45658.0</v>
      </c>
      <c r="I283" s="126" t="s">
        <v>549</v>
      </c>
      <c r="J283" s="38"/>
      <c r="K283" s="38"/>
      <c r="L283" s="127"/>
      <c r="M283" s="127"/>
      <c r="O283" s="128"/>
      <c r="P283" s="121"/>
      <c r="Q283" s="128"/>
      <c r="R283" s="128"/>
      <c r="S283" s="30"/>
      <c r="U283" s="30"/>
      <c r="V283" s="30"/>
    </row>
    <row r="284" ht="22.5" customHeight="1">
      <c r="A284" s="123" t="s">
        <v>403</v>
      </c>
      <c r="B284" s="27" t="s">
        <v>809</v>
      </c>
      <c r="C284" s="124"/>
      <c r="D284" s="27"/>
      <c r="E284" s="27"/>
      <c r="F284" s="27"/>
      <c r="G284" s="125" t="s">
        <v>551</v>
      </c>
      <c r="H284" s="10">
        <v>45658.0</v>
      </c>
      <c r="I284" s="126" t="s">
        <v>549</v>
      </c>
      <c r="J284" s="38"/>
      <c r="K284" s="38"/>
      <c r="L284" s="127"/>
      <c r="M284" s="127"/>
      <c r="O284" s="128"/>
      <c r="P284" s="121"/>
      <c r="Q284" s="128"/>
      <c r="R284" s="128"/>
      <c r="S284" s="30"/>
      <c r="U284" s="30"/>
      <c r="V284" s="30"/>
    </row>
    <row r="285" ht="22.5" customHeight="1">
      <c r="A285" s="129"/>
      <c r="B285" s="27" t="s">
        <v>812</v>
      </c>
      <c r="C285" s="124"/>
      <c r="D285" s="27"/>
      <c r="E285" s="27"/>
      <c r="F285" s="27"/>
      <c r="G285" s="125" t="s">
        <v>1082</v>
      </c>
      <c r="H285" s="10">
        <v>45658.0</v>
      </c>
      <c r="I285" s="126" t="s">
        <v>738</v>
      </c>
      <c r="J285" s="38"/>
      <c r="K285" s="38"/>
      <c r="L285" s="127"/>
      <c r="M285" s="127"/>
      <c r="O285" s="128"/>
      <c r="P285" s="121"/>
      <c r="Q285" s="128"/>
      <c r="R285" s="128"/>
      <c r="S285" s="30"/>
      <c r="U285" s="30"/>
      <c r="V285" s="30"/>
    </row>
    <row r="286" ht="22.5" customHeight="1">
      <c r="A286" s="129"/>
      <c r="B286" s="27" t="s">
        <v>813</v>
      </c>
      <c r="C286" s="124"/>
      <c r="D286" s="27"/>
      <c r="E286" s="27"/>
      <c r="F286" s="27"/>
      <c r="G286" s="125" t="s">
        <v>1082</v>
      </c>
      <c r="H286" s="10">
        <v>45658.0</v>
      </c>
      <c r="I286" s="126" t="s">
        <v>738</v>
      </c>
      <c r="J286" s="38"/>
      <c r="K286" s="38"/>
      <c r="L286" s="127"/>
      <c r="M286" s="127"/>
      <c r="O286" s="128"/>
      <c r="P286" s="121"/>
      <c r="Q286" s="128"/>
      <c r="R286" s="128"/>
      <c r="S286" s="30"/>
      <c r="U286" s="30"/>
      <c r="V286" s="30"/>
    </row>
    <row r="287" ht="22.5" customHeight="1">
      <c r="A287" s="123" t="s">
        <v>403</v>
      </c>
      <c r="B287" s="27" t="s">
        <v>806</v>
      </c>
      <c r="C287" s="124"/>
      <c r="D287" s="27"/>
      <c r="E287" s="27"/>
      <c r="F287" s="27"/>
      <c r="G287" s="125" t="s">
        <v>548</v>
      </c>
      <c r="H287" s="10">
        <v>45658.0</v>
      </c>
      <c r="I287" s="126" t="s">
        <v>549</v>
      </c>
      <c r="J287" s="38"/>
      <c r="K287" s="38"/>
      <c r="L287" s="127"/>
      <c r="M287" s="127"/>
      <c r="O287" s="128"/>
      <c r="P287" s="121"/>
      <c r="Q287" s="128"/>
      <c r="R287" s="128"/>
      <c r="S287" s="30"/>
      <c r="U287" s="30"/>
      <c r="V287" s="30"/>
    </row>
    <row r="288" ht="22.5" customHeight="1">
      <c r="A288" s="123" t="s">
        <v>403</v>
      </c>
      <c r="B288" s="27" t="s">
        <v>809</v>
      </c>
      <c r="C288" s="124"/>
      <c r="D288" s="27"/>
      <c r="E288" s="27"/>
      <c r="F288" s="27"/>
      <c r="G288" s="125" t="s">
        <v>551</v>
      </c>
      <c r="H288" s="10">
        <v>45658.0</v>
      </c>
      <c r="I288" s="126" t="s">
        <v>549</v>
      </c>
      <c r="J288" s="38"/>
      <c r="K288" s="38"/>
      <c r="L288" s="127"/>
      <c r="M288" s="127"/>
      <c r="O288" s="128"/>
      <c r="P288" s="121"/>
      <c r="Q288" s="128"/>
      <c r="R288" s="128"/>
      <c r="S288" s="30"/>
      <c r="U288" s="30"/>
      <c r="V288" s="30"/>
    </row>
    <row r="289" ht="22.5" customHeight="1">
      <c r="A289" s="123" t="s">
        <v>471</v>
      </c>
      <c r="B289" s="27" t="s">
        <v>814</v>
      </c>
      <c r="C289" s="124"/>
      <c r="D289" s="27"/>
      <c r="E289" s="27"/>
      <c r="F289" s="27"/>
      <c r="G289" s="125" t="s">
        <v>1083</v>
      </c>
      <c r="H289" s="10">
        <v>45658.0</v>
      </c>
      <c r="I289" s="126" t="s">
        <v>815</v>
      </c>
      <c r="J289" s="38"/>
      <c r="K289" s="38"/>
      <c r="L289" s="127"/>
      <c r="M289" s="127"/>
      <c r="O289" s="128"/>
      <c r="P289" s="121"/>
      <c r="Q289" s="128"/>
      <c r="R289" s="128"/>
      <c r="S289" s="30"/>
      <c r="U289" s="30"/>
      <c r="V289" s="30"/>
    </row>
    <row r="290" ht="22.5" customHeight="1">
      <c r="A290" s="123" t="s">
        <v>403</v>
      </c>
      <c r="B290" s="27" t="s">
        <v>806</v>
      </c>
      <c r="C290" s="124"/>
      <c r="D290" s="27"/>
      <c r="E290" s="27"/>
      <c r="F290" s="27"/>
      <c r="G290" s="125" t="s">
        <v>548</v>
      </c>
      <c r="H290" s="10">
        <v>45658.0</v>
      </c>
      <c r="I290" s="126" t="s">
        <v>549</v>
      </c>
      <c r="J290" s="38"/>
      <c r="K290" s="38"/>
      <c r="L290" s="127"/>
      <c r="M290" s="127"/>
      <c r="O290" s="128"/>
      <c r="P290" s="121"/>
      <c r="Q290" s="128"/>
      <c r="R290" s="128"/>
      <c r="S290" s="30"/>
      <c r="U290" s="30"/>
      <c r="V290" s="30"/>
    </row>
    <row r="291" ht="22.5" customHeight="1">
      <c r="A291" s="123" t="s">
        <v>403</v>
      </c>
      <c r="B291" s="27" t="s">
        <v>809</v>
      </c>
      <c r="C291" s="124"/>
      <c r="D291" s="27"/>
      <c r="E291" s="27"/>
      <c r="F291" s="27"/>
      <c r="G291" s="125" t="s">
        <v>551</v>
      </c>
      <c r="H291" s="10">
        <v>45658.0</v>
      </c>
      <c r="I291" s="126" t="s">
        <v>549</v>
      </c>
      <c r="J291" s="38"/>
      <c r="K291" s="38"/>
      <c r="L291" s="127"/>
      <c r="M291" s="127"/>
      <c r="O291" s="128"/>
      <c r="P291" s="121"/>
      <c r="Q291" s="128"/>
      <c r="R291" s="128"/>
      <c r="S291" s="30"/>
      <c r="U291" s="30"/>
      <c r="V291" s="30"/>
    </row>
    <row r="292" ht="22.5" customHeight="1">
      <c r="A292" s="129"/>
      <c r="B292" s="27" t="s">
        <v>816</v>
      </c>
      <c r="C292" s="124"/>
      <c r="D292" s="27"/>
      <c r="E292" s="27"/>
      <c r="F292" s="27"/>
      <c r="G292" s="125" t="s">
        <v>1084</v>
      </c>
      <c r="H292" s="10">
        <v>45658.0</v>
      </c>
      <c r="I292" s="126" t="s">
        <v>818</v>
      </c>
      <c r="J292" s="38"/>
      <c r="K292" s="38"/>
      <c r="L292" s="127"/>
      <c r="M292" s="127"/>
      <c r="O292" s="128"/>
      <c r="P292" s="121"/>
      <c r="Q292" s="128"/>
      <c r="R292" s="128"/>
      <c r="S292" s="30"/>
      <c r="U292" s="30"/>
      <c r="V292" s="30"/>
    </row>
    <row r="293" ht="22.5" customHeight="1">
      <c r="A293" s="129"/>
      <c r="B293" s="27" t="s">
        <v>819</v>
      </c>
      <c r="C293" s="124"/>
      <c r="D293" s="27"/>
      <c r="E293" s="27"/>
      <c r="F293" s="27"/>
      <c r="G293" s="125" t="s">
        <v>1085</v>
      </c>
      <c r="H293" s="10">
        <v>45658.0</v>
      </c>
      <c r="I293" s="126" t="s">
        <v>818</v>
      </c>
      <c r="J293" s="38"/>
      <c r="K293" s="38"/>
      <c r="L293" s="127"/>
      <c r="M293" s="127"/>
      <c r="O293" s="128"/>
      <c r="P293" s="121"/>
      <c r="Q293" s="128"/>
      <c r="R293" s="128"/>
      <c r="S293" s="30"/>
      <c r="U293" s="30"/>
      <c r="V293" s="30"/>
    </row>
    <row r="294" ht="22.5" customHeight="1">
      <c r="A294" s="129"/>
      <c r="B294" s="27" t="s">
        <v>820</v>
      </c>
      <c r="C294" s="124"/>
      <c r="D294" s="27"/>
      <c r="E294" s="27"/>
      <c r="F294" s="27"/>
      <c r="G294" s="125" t="s">
        <v>1086</v>
      </c>
      <c r="H294" s="10">
        <v>45658.0</v>
      </c>
      <c r="I294" s="126" t="s">
        <v>821</v>
      </c>
      <c r="J294" s="38"/>
      <c r="K294" s="38"/>
      <c r="L294" s="127"/>
      <c r="M294" s="127"/>
      <c r="O294" s="128"/>
      <c r="P294" s="121"/>
      <c r="Q294" s="128"/>
      <c r="R294" s="128"/>
      <c r="S294" s="30"/>
      <c r="U294" s="30"/>
      <c r="V294" s="30"/>
    </row>
    <row r="295" ht="22.5" customHeight="1">
      <c r="A295" s="123" t="s">
        <v>349</v>
      </c>
      <c r="B295" s="27" t="s">
        <v>822</v>
      </c>
      <c r="C295" s="124"/>
      <c r="D295" s="27"/>
      <c r="E295" s="27"/>
      <c r="F295" s="27"/>
      <c r="G295" s="125" t="s">
        <v>1087</v>
      </c>
      <c r="H295" s="10">
        <v>45658.0</v>
      </c>
      <c r="I295" s="126" t="s">
        <v>581</v>
      </c>
      <c r="J295" s="38"/>
      <c r="K295" s="38"/>
      <c r="L295" s="127"/>
      <c r="M295" s="127"/>
      <c r="O295" s="128"/>
      <c r="P295" s="121"/>
      <c r="Q295" s="128"/>
      <c r="R295" s="128"/>
      <c r="S295" s="30"/>
      <c r="U295" s="30"/>
      <c r="V295" s="30"/>
    </row>
    <row r="296" ht="22.5" customHeight="1">
      <c r="A296" s="123" t="s">
        <v>403</v>
      </c>
      <c r="B296" s="27" t="s">
        <v>806</v>
      </c>
      <c r="C296" s="124"/>
      <c r="D296" s="27"/>
      <c r="E296" s="27"/>
      <c r="F296" s="27"/>
      <c r="G296" s="125" t="s">
        <v>548</v>
      </c>
      <c r="H296" s="10">
        <v>45658.0</v>
      </c>
      <c r="I296" s="126" t="s">
        <v>549</v>
      </c>
      <c r="J296" s="38"/>
      <c r="K296" s="38"/>
      <c r="L296" s="127"/>
      <c r="M296" s="127"/>
      <c r="O296" s="128"/>
      <c r="P296" s="121"/>
      <c r="Q296" s="128"/>
      <c r="R296" s="128"/>
      <c r="S296" s="30"/>
      <c r="U296" s="30"/>
      <c r="V296" s="30"/>
    </row>
    <row r="297" ht="22.5" customHeight="1">
      <c r="A297" s="123" t="s">
        <v>403</v>
      </c>
      <c r="B297" s="27" t="s">
        <v>807</v>
      </c>
      <c r="C297" s="124"/>
      <c r="D297" s="27"/>
      <c r="E297" s="27"/>
      <c r="F297" s="27"/>
      <c r="G297" s="125" t="s">
        <v>551</v>
      </c>
      <c r="H297" s="10">
        <v>45658.0</v>
      </c>
      <c r="I297" s="126" t="s">
        <v>549</v>
      </c>
      <c r="J297" s="38"/>
      <c r="K297" s="38"/>
      <c r="L297" s="127"/>
      <c r="M297" s="127"/>
      <c r="O297" s="128"/>
      <c r="P297" s="121"/>
      <c r="Q297" s="128"/>
      <c r="R297" s="128"/>
      <c r="S297" s="30"/>
      <c r="U297" s="30"/>
      <c r="V297" s="30"/>
    </row>
    <row r="298" ht="22.5" customHeight="1">
      <c r="A298" s="123" t="s">
        <v>18</v>
      </c>
      <c r="B298" s="27" t="s">
        <v>824</v>
      </c>
      <c r="C298" s="124"/>
      <c r="D298" s="27"/>
      <c r="E298" s="27"/>
      <c r="F298" s="27"/>
      <c r="G298" s="125" t="s">
        <v>1088</v>
      </c>
      <c r="H298" s="10">
        <v>45658.0</v>
      </c>
      <c r="I298" s="126" t="s">
        <v>586</v>
      </c>
      <c r="J298" s="38"/>
      <c r="K298" s="38"/>
      <c r="L298" s="127"/>
      <c r="M298" s="127"/>
      <c r="O298" s="128"/>
      <c r="P298" s="121"/>
      <c r="Q298" s="128"/>
      <c r="R298" s="128"/>
      <c r="S298" s="30"/>
      <c r="U298" s="30"/>
      <c r="V298" s="30"/>
    </row>
    <row r="299" ht="22.5" customHeight="1">
      <c r="A299" s="123" t="s">
        <v>403</v>
      </c>
      <c r="B299" s="27" t="s">
        <v>826</v>
      </c>
      <c r="C299" s="124"/>
      <c r="D299" s="27"/>
      <c r="E299" s="27"/>
      <c r="F299" s="27"/>
      <c r="G299" s="125" t="s">
        <v>548</v>
      </c>
      <c r="H299" s="10">
        <v>45658.0</v>
      </c>
      <c r="I299" s="126" t="s">
        <v>549</v>
      </c>
      <c r="J299" s="38"/>
      <c r="K299" s="38"/>
      <c r="L299" s="127"/>
      <c r="M299" s="127"/>
      <c r="O299" s="128"/>
      <c r="P299" s="121"/>
      <c r="Q299" s="128"/>
      <c r="R299" s="128"/>
      <c r="S299" s="30"/>
      <c r="U299" s="30"/>
      <c r="V299" s="30"/>
    </row>
    <row r="300" ht="22.5" customHeight="1">
      <c r="A300" s="123" t="s">
        <v>403</v>
      </c>
      <c r="B300" s="27" t="s">
        <v>827</v>
      </c>
      <c r="C300" s="124"/>
      <c r="D300" s="27"/>
      <c r="E300" s="27"/>
      <c r="F300" s="27"/>
      <c r="G300" s="125" t="s">
        <v>551</v>
      </c>
      <c r="H300" s="10">
        <v>45658.0</v>
      </c>
      <c r="I300" s="126" t="s">
        <v>549</v>
      </c>
      <c r="J300" s="38"/>
      <c r="K300" s="38"/>
      <c r="L300" s="127"/>
      <c r="M300" s="127"/>
      <c r="O300" s="128"/>
      <c r="P300" s="121"/>
      <c r="Q300" s="128"/>
      <c r="R300" s="128"/>
      <c r="S300" s="30"/>
      <c r="U300" s="30"/>
      <c r="V300" s="30"/>
    </row>
    <row r="301" ht="22.5" customHeight="1">
      <c r="A301" s="123" t="s">
        <v>451</v>
      </c>
      <c r="B301" s="27" t="s">
        <v>828</v>
      </c>
      <c r="C301" s="124"/>
      <c r="D301" s="27"/>
      <c r="E301" s="27"/>
      <c r="F301" s="27"/>
      <c r="G301" s="125" t="s">
        <v>1089</v>
      </c>
      <c r="H301" s="10">
        <v>45658.0</v>
      </c>
      <c r="I301" s="126" t="s">
        <v>643</v>
      </c>
      <c r="J301" s="38"/>
      <c r="K301" s="38"/>
      <c r="L301" s="127"/>
      <c r="M301" s="127"/>
      <c r="O301" s="128"/>
      <c r="P301" s="121"/>
      <c r="Q301" s="128"/>
      <c r="R301" s="128"/>
      <c r="S301" s="30"/>
      <c r="U301" s="30"/>
      <c r="V301" s="30"/>
    </row>
    <row r="302" ht="22.5" customHeight="1">
      <c r="A302" s="123" t="s">
        <v>403</v>
      </c>
      <c r="B302" s="27" t="s">
        <v>826</v>
      </c>
      <c r="C302" s="124"/>
      <c r="D302" s="27"/>
      <c r="E302" s="27"/>
      <c r="F302" s="27"/>
      <c r="G302" s="125" t="s">
        <v>548</v>
      </c>
      <c r="H302" s="10">
        <v>45658.0</v>
      </c>
      <c r="I302" s="126" t="s">
        <v>549</v>
      </c>
      <c r="J302" s="38"/>
      <c r="K302" s="38"/>
      <c r="L302" s="127"/>
      <c r="M302" s="127"/>
      <c r="O302" s="128"/>
      <c r="P302" s="121"/>
      <c r="Q302" s="128"/>
      <c r="R302" s="128"/>
      <c r="S302" s="30"/>
      <c r="U302" s="30"/>
      <c r="V302" s="30"/>
    </row>
    <row r="303" ht="22.5" customHeight="1">
      <c r="A303" s="123" t="s">
        <v>403</v>
      </c>
      <c r="B303" s="27" t="s">
        <v>827</v>
      </c>
      <c r="C303" s="124"/>
      <c r="D303" s="27"/>
      <c r="E303" s="27"/>
      <c r="F303" s="27"/>
      <c r="G303" s="125" t="s">
        <v>551</v>
      </c>
      <c r="H303" s="10">
        <v>45658.0</v>
      </c>
      <c r="I303" s="126" t="s">
        <v>549</v>
      </c>
      <c r="J303" s="38"/>
      <c r="K303" s="38"/>
      <c r="L303" s="127"/>
      <c r="M303" s="127"/>
      <c r="O303" s="128"/>
      <c r="P303" s="121"/>
      <c r="Q303" s="128"/>
      <c r="R303" s="128"/>
      <c r="S303" s="30"/>
      <c r="U303" s="30"/>
      <c r="V303" s="30"/>
    </row>
    <row r="304" ht="22.5" customHeight="1">
      <c r="A304" s="123" t="s">
        <v>18</v>
      </c>
      <c r="B304" s="27" t="s">
        <v>830</v>
      </c>
      <c r="C304" s="124"/>
      <c r="D304" s="27"/>
      <c r="E304" s="27"/>
      <c r="F304" s="27"/>
      <c r="G304" s="125" t="s">
        <v>1021</v>
      </c>
      <c r="H304" s="10">
        <v>45658.0</v>
      </c>
      <c r="I304" s="126" t="s">
        <v>586</v>
      </c>
      <c r="J304" s="38"/>
      <c r="K304" s="38"/>
      <c r="L304" s="127"/>
      <c r="M304" s="127"/>
      <c r="O304" s="128"/>
      <c r="P304" s="121"/>
      <c r="Q304" s="128"/>
      <c r="R304" s="128"/>
      <c r="S304" s="30"/>
      <c r="U304" s="30"/>
      <c r="V304" s="30"/>
    </row>
    <row r="305" ht="22.5" customHeight="1">
      <c r="A305" s="123" t="s">
        <v>403</v>
      </c>
      <c r="B305" s="27" t="s">
        <v>826</v>
      </c>
      <c r="C305" s="124"/>
      <c r="D305" s="27"/>
      <c r="E305" s="27"/>
      <c r="F305" s="27"/>
      <c r="G305" s="125" t="s">
        <v>548</v>
      </c>
      <c r="H305" s="10">
        <v>45658.0</v>
      </c>
      <c r="I305" s="126" t="s">
        <v>549</v>
      </c>
      <c r="J305" s="38"/>
      <c r="K305" s="38"/>
      <c r="L305" s="127"/>
      <c r="M305" s="127"/>
      <c r="O305" s="128"/>
      <c r="P305" s="121"/>
      <c r="Q305" s="128"/>
      <c r="R305" s="128"/>
      <c r="S305" s="30"/>
      <c r="U305" s="30"/>
      <c r="V305" s="30"/>
    </row>
    <row r="306" ht="22.5" customHeight="1">
      <c r="A306" s="123" t="s">
        <v>403</v>
      </c>
      <c r="B306" s="27" t="s">
        <v>827</v>
      </c>
      <c r="C306" s="124"/>
      <c r="D306" s="27"/>
      <c r="E306" s="27"/>
      <c r="F306" s="27"/>
      <c r="G306" s="125" t="s">
        <v>551</v>
      </c>
      <c r="H306" s="10">
        <v>45658.0</v>
      </c>
      <c r="I306" s="126" t="s">
        <v>549</v>
      </c>
      <c r="J306" s="38"/>
      <c r="K306" s="38"/>
      <c r="L306" s="127"/>
      <c r="M306" s="127"/>
      <c r="O306" s="128"/>
      <c r="P306" s="121"/>
      <c r="Q306" s="128"/>
      <c r="R306" s="128"/>
      <c r="S306" s="30"/>
      <c r="U306" s="30"/>
      <c r="V306" s="30"/>
    </row>
    <row r="307" ht="22.5" customHeight="1">
      <c r="A307" s="123" t="s">
        <v>437</v>
      </c>
      <c r="B307" s="27" t="s">
        <v>831</v>
      </c>
      <c r="C307" s="124"/>
      <c r="D307" s="27"/>
      <c r="E307" s="27"/>
      <c r="F307" s="27"/>
      <c r="G307" s="125" t="s">
        <v>1090</v>
      </c>
      <c r="H307" s="10">
        <v>45658.0</v>
      </c>
      <c r="I307" s="126" t="s">
        <v>613</v>
      </c>
      <c r="J307" s="38"/>
      <c r="K307" s="38"/>
      <c r="L307" s="127"/>
      <c r="M307" s="127"/>
      <c r="O307" s="128"/>
      <c r="P307" s="121"/>
      <c r="Q307" s="128"/>
      <c r="R307" s="128"/>
      <c r="S307" s="30"/>
      <c r="U307" s="30"/>
      <c r="V307" s="30"/>
    </row>
    <row r="308" ht="22.5" customHeight="1">
      <c r="A308" s="123" t="s">
        <v>403</v>
      </c>
      <c r="B308" s="27" t="s">
        <v>826</v>
      </c>
      <c r="C308" s="124"/>
      <c r="D308" s="27"/>
      <c r="E308" s="27"/>
      <c r="F308" s="27"/>
      <c r="G308" s="125" t="s">
        <v>548</v>
      </c>
      <c r="H308" s="10">
        <v>45658.0</v>
      </c>
      <c r="I308" s="126" t="s">
        <v>549</v>
      </c>
      <c r="J308" s="38"/>
      <c r="K308" s="38"/>
      <c r="L308" s="127"/>
      <c r="M308" s="127"/>
      <c r="O308" s="128"/>
      <c r="P308" s="121"/>
      <c r="Q308" s="128"/>
      <c r="R308" s="128"/>
      <c r="S308" s="30"/>
      <c r="U308" s="30"/>
      <c r="V308" s="30"/>
    </row>
    <row r="309" ht="22.5" customHeight="1">
      <c r="A309" s="123" t="s">
        <v>403</v>
      </c>
      <c r="B309" s="27" t="s">
        <v>827</v>
      </c>
      <c r="C309" s="124"/>
      <c r="D309" s="27"/>
      <c r="E309" s="27"/>
      <c r="F309" s="27"/>
      <c r="G309" s="125" t="s">
        <v>551</v>
      </c>
      <c r="H309" s="10">
        <v>45658.0</v>
      </c>
      <c r="I309" s="126" t="s">
        <v>549</v>
      </c>
      <c r="J309" s="38"/>
      <c r="K309" s="38"/>
      <c r="L309" s="127"/>
      <c r="M309" s="127"/>
      <c r="O309" s="128"/>
      <c r="P309" s="121"/>
      <c r="Q309" s="128"/>
      <c r="R309" s="128"/>
      <c r="S309" s="30"/>
      <c r="U309" s="30"/>
      <c r="V309" s="30"/>
    </row>
    <row r="310" ht="22.5" customHeight="1">
      <c r="A310" s="129"/>
      <c r="B310" s="27" t="s">
        <v>833</v>
      </c>
      <c r="C310" s="124"/>
      <c r="D310" s="27"/>
      <c r="E310" s="27"/>
      <c r="F310" s="27"/>
      <c r="G310" s="125" t="s">
        <v>1091</v>
      </c>
      <c r="H310" s="10">
        <v>45658.0</v>
      </c>
      <c r="I310" s="126" t="s">
        <v>821</v>
      </c>
      <c r="J310" s="38"/>
      <c r="K310" s="38"/>
      <c r="L310" s="127"/>
      <c r="M310" s="127"/>
      <c r="O310" s="128"/>
      <c r="P310" s="121"/>
      <c r="Q310" s="128"/>
      <c r="R310" s="128"/>
      <c r="S310" s="30"/>
      <c r="U310" s="30"/>
      <c r="V310" s="30"/>
    </row>
    <row r="311" ht="22.5" customHeight="1">
      <c r="A311" s="123" t="s">
        <v>403</v>
      </c>
      <c r="B311" s="27" t="s">
        <v>834</v>
      </c>
      <c r="C311" s="124"/>
      <c r="D311" s="27"/>
      <c r="E311" s="27"/>
      <c r="F311" s="27"/>
      <c r="G311" s="125" t="s">
        <v>548</v>
      </c>
      <c r="H311" s="10">
        <v>45658.0</v>
      </c>
      <c r="I311" s="126" t="s">
        <v>549</v>
      </c>
      <c r="J311" s="38"/>
      <c r="K311" s="38"/>
      <c r="L311" s="127"/>
      <c r="M311" s="127"/>
      <c r="O311" s="128"/>
      <c r="P311" s="121"/>
      <c r="Q311" s="128"/>
      <c r="R311" s="128"/>
      <c r="S311" s="30"/>
      <c r="U311" s="30"/>
      <c r="V311" s="30"/>
    </row>
    <row r="312" ht="22.5" customHeight="1">
      <c r="A312" s="123" t="s">
        <v>403</v>
      </c>
      <c r="B312" s="27" t="s">
        <v>835</v>
      </c>
      <c r="C312" s="124"/>
      <c r="D312" s="27"/>
      <c r="E312" s="27"/>
      <c r="F312" s="27"/>
      <c r="G312" s="125" t="s">
        <v>551</v>
      </c>
      <c r="H312" s="10">
        <v>45658.0</v>
      </c>
      <c r="I312" s="126" t="s">
        <v>549</v>
      </c>
      <c r="J312" s="38"/>
      <c r="K312" s="38"/>
      <c r="L312" s="127"/>
      <c r="M312" s="127"/>
      <c r="O312" s="128"/>
      <c r="P312" s="121"/>
      <c r="Q312" s="128"/>
      <c r="R312" s="128"/>
      <c r="S312" s="30"/>
      <c r="U312" s="30"/>
      <c r="V312" s="30"/>
    </row>
    <row r="313" ht="22.5" customHeight="1">
      <c r="A313" s="123" t="s">
        <v>437</v>
      </c>
      <c r="B313" s="27" t="s">
        <v>836</v>
      </c>
      <c r="C313" s="124"/>
      <c r="D313" s="27"/>
      <c r="E313" s="27"/>
      <c r="F313" s="27"/>
      <c r="G313" s="125" t="s">
        <v>1075</v>
      </c>
      <c r="H313" s="10">
        <v>45658.0</v>
      </c>
      <c r="I313" s="126" t="s">
        <v>613</v>
      </c>
      <c r="J313" s="38"/>
      <c r="K313" s="38"/>
      <c r="L313" s="127"/>
      <c r="M313" s="127"/>
      <c r="O313" s="128"/>
      <c r="P313" s="121"/>
      <c r="Q313" s="128"/>
      <c r="R313" s="128"/>
      <c r="S313" s="30"/>
      <c r="U313" s="30"/>
      <c r="V313" s="30"/>
    </row>
    <row r="314" ht="22.5" customHeight="1">
      <c r="A314" s="123" t="s">
        <v>403</v>
      </c>
      <c r="B314" s="27" t="s">
        <v>834</v>
      </c>
      <c r="C314" s="124"/>
      <c r="D314" s="27"/>
      <c r="E314" s="27"/>
      <c r="F314" s="27"/>
      <c r="G314" s="125" t="s">
        <v>548</v>
      </c>
      <c r="H314" s="10">
        <v>45658.0</v>
      </c>
      <c r="I314" s="126" t="s">
        <v>549</v>
      </c>
      <c r="J314" s="38"/>
      <c r="K314" s="38"/>
      <c r="L314" s="127"/>
      <c r="M314" s="127"/>
      <c r="O314" s="128"/>
      <c r="P314" s="121"/>
      <c r="Q314" s="128"/>
      <c r="R314" s="128"/>
      <c r="S314" s="30"/>
      <c r="U314" s="30"/>
      <c r="V314" s="30"/>
    </row>
    <row r="315" ht="22.5" customHeight="1">
      <c r="A315" s="123" t="s">
        <v>403</v>
      </c>
      <c r="B315" s="27" t="s">
        <v>835</v>
      </c>
      <c r="C315" s="124"/>
      <c r="D315" s="27"/>
      <c r="E315" s="27"/>
      <c r="F315" s="27"/>
      <c r="G315" s="125" t="s">
        <v>551</v>
      </c>
      <c r="H315" s="10">
        <v>45658.0</v>
      </c>
      <c r="I315" s="126" t="s">
        <v>549</v>
      </c>
      <c r="J315" s="38"/>
      <c r="K315" s="38"/>
      <c r="L315" s="127"/>
      <c r="M315" s="127"/>
      <c r="O315" s="128"/>
      <c r="P315" s="121"/>
      <c r="Q315" s="128"/>
      <c r="R315" s="128"/>
      <c r="S315" s="30"/>
      <c r="U315" s="30"/>
      <c r="V315" s="30"/>
    </row>
    <row r="316" ht="22.5" customHeight="1">
      <c r="A316" s="123" t="s">
        <v>437</v>
      </c>
      <c r="B316" s="27" t="s">
        <v>837</v>
      </c>
      <c r="C316" s="124"/>
      <c r="D316" s="27"/>
      <c r="E316" s="27"/>
      <c r="F316" s="27"/>
      <c r="G316" s="125" t="s">
        <v>1092</v>
      </c>
      <c r="H316" s="10">
        <v>45658.0</v>
      </c>
      <c r="I316" s="126" t="s">
        <v>613</v>
      </c>
      <c r="J316" s="38"/>
      <c r="K316" s="38"/>
      <c r="L316" s="127"/>
      <c r="M316" s="127"/>
      <c r="O316" s="128"/>
      <c r="P316" s="121"/>
      <c r="Q316" s="128"/>
      <c r="R316" s="128"/>
      <c r="S316" s="30"/>
      <c r="U316" s="30"/>
      <c r="V316" s="30"/>
    </row>
    <row r="317" ht="22.5" customHeight="1">
      <c r="A317" s="123" t="s">
        <v>403</v>
      </c>
      <c r="B317" s="27" t="s">
        <v>834</v>
      </c>
      <c r="C317" s="124"/>
      <c r="D317" s="27"/>
      <c r="E317" s="27"/>
      <c r="F317" s="27"/>
      <c r="G317" s="125" t="s">
        <v>548</v>
      </c>
      <c r="H317" s="10">
        <v>45658.0</v>
      </c>
      <c r="I317" s="126" t="s">
        <v>549</v>
      </c>
      <c r="J317" s="38"/>
      <c r="K317" s="38"/>
      <c r="L317" s="127"/>
      <c r="M317" s="127"/>
      <c r="O317" s="128"/>
      <c r="P317" s="121"/>
      <c r="Q317" s="128"/>
      <c r="R317" s="128"/>
      <c r="S317" s="30"/>
      <c r="U317" s="30"/>
      <c r="V317" s="30"/>
    </row>
    <row r="318" ht="22.5" customHeight="1">
      <c r="A318" s="123" t="s">
        <v>403</v>
      </c>
      <c r="B318" s="27" t="s">
        <v>835</v>
      </c>
      <c r="C318" s="124"/>
      <c r="D318" s="27"/>
      <c r="E318" s="27"/>
      <c r="F318" s="27"/>
      <c r="G318" s="125" t="s">
        <v>551</v>
      </c>
      <c r="H318" s="10">
        <v>45658.0</v>
      </c>
      <c r="I318" s="126" t="s">
        <v>549</v>
      </c>
      <c r="J318" s="38"/>
      <c r="K318" s="38"/>
      <c r="L318" s="127"/>
      <c r="M318" s="127"/>
      <c r="O318" s="128"/>
      <c r="P318" s="121"/>
      <c r="Q318" s="128"/>
      <c r="R318" s="128"/>
      <c r="S318" s="30"/>
      <c r="U318" s="30"/>
      <c r="V318" s="30"/>
    </row>
    <row r="319" ht="22.5" customHeight="1">
      <c r="A319" s="123" t="s">
        <v>437</v>
      </c>
      <c r="B319" s="27" t="s">
        <v>839</v>
      </c>
      <c r="C319" s="124"/>
      <c r="D319" s="27"/>
      <c r="E319" s="27"/>
      <c r="F319" s="27"/>
      <c r="G319" s="125" t="s">
        <v>1093</v>
      </c>
      <c r="H319" s="10">
        <v>45658.0</v>
      </c>
      <c r="I319" s="126" t="s">
        <v>613</v>
      </c>
      <c r="J319" s="38"/>
      <c r="K319" s="38"/>
      <c r="L319" s="127"/>
      <c r="M319" s="127"/>
      <c r="O319" s="128"/>
      <c r="P319" s="121"/>
      <c r="Q319" s="128"/>
      <c r="R319" s="128"/>
      <c r="S319" s="30"/>
      <c r="U319" s="30"/>
      <c r="V319" s="30"/>
    </row>
    <row r="320" ht="22.5" customHeight="1">
      <c r="A320" s="123" t="s">
        <v>403</v>
      </c>
      <c r="B320" s="27" t="s">
        <v>834</v>
      </c>
      <c r="C320" s="124"/>
      <c r="D320" s="27"/>
      <c r="E320" s="27"/>
      <c r="F320" s="27"/>
      <c r="G320" s="125" t="s">
        <v>548</v>
      </c>
      <c r="H320" s="10">
        <v>45658.0</v>
      </c>
      <c r="I320" s="126" t="s">
        <v>549</v>
      </c>
      <c r="J320" s="38"/>
      <c r="K320" s="38"/>
      <c r="L320" s="127"/>
      <c r="M320" s="127"/>
      <c r="O320" s="128"/>
      <c r="P320" s="121"/>
      <c r="Q320" s="128"/>
      <c r="R320" s="128"/>
      <c r="S320" s="30"/>
      <c r="U320" s="30"/>
      <c r="V320" s="30"/>
    </row>
    <row r="321" ht="22.5" customHeight="1">
      <c r="A321" s="123" t="s">
        <v>403</v>
      </c>
      <c r="B321" s="27" t="s">
        <v>835</v>
      </c>
      <c r="C321" s="124"/>
      <c r="D321" s="27"/>
      <c r="E321" s="27"/>
      <c r="F321" s="27"/>
      <c r="G321" s="125" t="s">
        <v>551</v>
      </c>
      <c r="H321" s="10">
        <v>45658.0</v>
      </c>
      <c r="I321" s="126" t="s">
        <v>549</v>
      </c>
      <c r="J321" s="38"/>
      <c r="K321" s="38"/>
      <c r="L321" s="127"/>
      <c r="M321" s="127"/>
      <c r="O321" s="128"/>
      <c r="P321" s="121"/>
      <c r="Q321" s="128"/>
      <c r="R321" s="128"/>
      <c r="S321" s="30"/>
      <c r="U321" s="30"/>
      <c r="V321" s="30"/>
    </row>
    <row r="322" ht="22.5" customHeight="1">
      <c r="A322" s="135" t="s">
        <v>426</v>
      </c>
      <c r="B322" s="27" t="s">
        <v>840</v>
      </c>
      <c r="C322" s="132" t="s">
        <v>31</v>
      </c>
      <c r="D322" s="27" t="s">
        <v>187</v>
      </c>
      <c r="E322" s="27"/>
      <c r="F322" s="27"/>
      <c r="G322" s="125" t="s">
        <v>1094</v>
      </c>
      <c r="H322" s="10">
        <v>45658.0</v>
      </c>
      <c r="I322" s="126" t="s">
        <v>722</v>
      </c>
      <c r="J322" s="38"/>
      <c r="K322" s="38"/>
      <c r="L322" s="127"/>
      <c r="M322" s="127"/>
      <c r="O322" s="128"/>
      <c r="P322" s="121"/>
      <c r="Q322" s="128"/>
      <c r="R322" s="128"/>
      <c r="S322" s="30"/>
      <c r="U322" s="30"/>
      <c r="V322" s="30"/>
    </row>
    <row r="323" ht="22.5" customHeight="1">
      <c r="A323" s="123" t="s">
        <v>403</v>
      </c>
      <c r="B323" s="27" t="s">
        <v>834</v>
      </c>
      <c r="C323" s="124"/>
      <c r="D323" s="27"/>
      <c r="E323" s="27"/>
      <c r="F323" s="27"/>
      <c r="G323" s="125" t="s">
        <v>548</v>
      </c>
      <c r="H323" s="10">
        <v>45658.0</v>
      </c>
      <c r="I323" s="126" t="s">
        <v>549</v>
      </c>
      <c r="J323" s="38"/>
      <c r="K323" s="38"/>
      <c r="L323" s="127"/>
      <c r="M323" s="127"/>
      <c r="O323" s="128"/>
      <c r="P323" s="121"/>
      <c r="Q323" s="128"/>
      <c r="R323" s="128"/>
      <c r="S323" s="30"/>
      <c r="U323" s="30"/>
      <c r="V323" s="30"/>
    </row>
    <row r="324" ht="22.5" customHeight="1">
      <c r="A324" s="123" t="s">
        <v>403</v>
      </c>
      <c r="B324" s="27" t="s">
        <v>835</v>
      </c>
      <c r="C324" s="124"/>
      <c r="D324" s="27"/>
      <c r="E324" s="27"/>
      <c r="F324" s="27"/>
      <c r="G324" s="125" t="s">
        <v>551</v>
      </c>
      <c r="H324" s="10">
        <v>45658.0</v>
      </c>
      <c r="I324" s="126" t="s">
        <v>549</v>
      </c>
      <c r="J324" s="38"/>
      <c r="K324" s="38"/>
      <c r="L324" s="127"/>
      <c r="M324" s="127"/>
      <c r="O324" s="128"/>
      <c r="P324" s="121"/>
      <c r="Q324" s="128"/>
      <c r="R324" s="128"/>
      <c r="S324" s="30"/>
      <c r="U324" s="30"/>
      <c r="V324" s="30"/>
    </row>
    <row r="325" ht="22.5" customHeight="1">
      <c r="A325" s="129"/>
      <c r="B325" s="27" t="s">
        <v>841</v>
      </c>
      <c r="C325" s="124"/>
      <c r="D325" s="27"/>
      <c r="E325" s="27"/>
      <c r="F325" s="27"/>
      <c r="G325" s="125" t="s">
        <v>1095</v>
      </c>
      <c r="H325" s="10">
        <v>45658.0</v>
      </c>
      <c r="I325" s="126" t="s">
        <v>741</v>
      </c>
      <c r="J325" s="38"/>
      <c r="K325" s="38"/>
      <c r="L325" s="127"/>
      <c r="M325" s="127"/>
      <c r="O325" s="128"/>
      <c r="P325" s="121"/>
      <c r="Q325" s="128"/>
      <c r="R325" s="128"/>
      <c r="S325" s="30"/>
      <c r="U325" s="30"/>
      <c r="V325" s="30"/>
    </row>
    <row r="326" ht="22.5" customHeight="1">
      <c r="A326" s="123" t="s">
        <v>403</v>
      </c>
      <c r="B326" s="27" t="s">
        <v>834</v>
      </c>
      <c r="C326" s="124"/>
      <c r="D326" s="27"/>
      <c r="E326" s="27"/>
      <c r="F326" s="27"/>
      <c r="G326" s="125" t="s">
        <v>548</v>
      </c>
      <c r="H326" s="10">
        <v>45658.0</v>
      </c>
      <c r="I326" s="126" t="s">
        <v>549</v>
      </c>
      <c r="J326" s="38"/>
      <c r="K326" s="38"/>
      <c r="L326" s="127"/>
      <c r="M326" s="127"/>
      <c r="O326" s="128"/>
      <c r="P326" s="121"/>
      <c r="Q326" s="128"/>
      <c r="R326" s="128"/>
      <c r="S326" s="30"/>
      <c r="U326" s="30"/>
      <c r="V326" s="30"/>
    </row>
    <row r="327" ht="22.5" customHeight="1">
      <c r="A327" s="123" t="s">
        <v>403</v>
      </c>
      <c r="B327" s="27" t="s">
        <v>835</v>
      </c>
      <c r="C327" s="124"/>
      <c r="D327" s="27"/>
      <c r="E327" s="27"/>
      <c r="F327" s="27"/>
      <c r="G327" s="125" t="s">
        <v>551</v>
      </c>
      <c r="H327" s="10">
        <v>45658.0</v>
      </c>
      <c r="I327" s="126" t="s">
        <v>549</v>
      </c>
      <c r="J327" s="38"/>
      <c r="K327" s="38"/>
      <c r="L327" s="127"/>
      <c r="M327" s="127"/>
      <c r="O327" s="128"/>
      <c r="P327" s="121"/>
      <c r="Q327" s="128"/>
      <c r="R327" s="128"/>
      <c r="S327" s="30"/>
      <c r="U327" s="30"/>
      <c r="V327" s="30"/>
    </row>
    <row r="328" ht="22.5" customHeight="1">
      <c r="A328" s="123" t="s">
        <v>508</v>
      </c>
      <c r="B328" s="27" t="s">
        <v>842</v>
      </c>
      <c r="C328" s="124"/>
      <c r="D328" s="27"/>
      <c r="E328" s="27"/>
      <c r="F328" s="27"/>
      <c r="G328" s="125" t="s">
        <v>1096</v>
      </c>
      <c r="H328" s="10">
        <v>45658.0</v>
      </c>
      <c r="I328" s="126" t="s">
        <v>509</v>
      </c>
      <c r="J328" s="38"/>
      <c r="K328" s="38"/>
      <c r="L328" s="127"/>
      <c r="M328" s="127"/>
      <c r="O328" s="128"/>
      <c r="P328" s="121"/>
      <c r="Q328" s="128"/>
      <c r="R328" s="128"/>
      <c r="S328" s="30"/>
      <c r="U328" s="30"/>
      <c r="V328" s="30"/>
    </row>
    <row r="329" ht="22.5" customHeight="1">
      <c r="A329" s="123" t="s">
        <v>403</v>
      </c>
      <c r="B329" s="27" t="s">
        <v>834</v>
      </c>
      <c r="C329" s="124"/>
      <c r="D329" s="27"/>
      <c r="E329" s="27"/>
      <c r="F329" s="27"/>
      <c r="G329" s="125" t="s">
        <v>548</v>
      </c>
      <c r="H329" s="10">
        <v>45658.0</v>
      </c>
      <c r="I329" s="126" t="s">
        <v>549</v>
      </c>
      <c r="J329" s="38"/>
      <c r="K329" s="38"/>
      <c r="L329" s="127"/>
      <c r="M329" s="127"/>
      <c r="O329" s="128"/>
      <c r="P329" s="121"/>
      <c r="Q329" s="128"/>
      <c r="R329" s="128"/>
      <c r="S329" s="30"/>
      <c r="U329" s="30"/>
      <c r="V329" s="30"/>
    </row>
    <row r="330" ht="22.5" customHeight="1">
      <c r="A330" s="123" t="s">
        <v>403</v>
      </c>
      <c r="B330" s="27" t="s">
        <v>835</v>
      </c>
      <c r="C330" s="124"/>
      <c r="D330" s="27"/>
      <c r="E330" s="27"/>
      <c r="F330" s="27"/>
      <c r="G330" s="125" t="s">
        <v>551</v>
      </c>
      <c r="H330" s="10">
        <v>45658.0</v>
      </c>
      <c r="I330" s="126" t="s">
        <v>549</v>
      </c>
      <c r="J330" s="38"/>
      <c r="K330" s="38"/>
      <c r="L330" s="127"/>
      <c r="M330" s="127"/>
      <c r="O330" s="128"/>
      <c r="P330" s="121"/>
      <c r="Q330" s="128"/>
      <c r="R330" s="128"/>
      <c r="S330" s="30"/>
      <c r="U330" s="30"/>
      <c r="V330" s="30"/>
    </row>
    <row r="331" ht="22.5" customHeight="1">
      <c r="A331" s="123" t="s">
        <v>479</v>
      </c>
      <c r="B331" s="27" t="s">
        <v>844</v>
      </c>
      <c r="C331" s="124"/>
      <c r="D331" s="27"/>
      <c r="E331" s="27"/>
      <c r="F331" s="27"/>
      <c r="G331" s="125" t="s">
        <v>1097</v>
      </c>
      <c r="H331" s="10">
        <v>45658.0</v>
      </c>
      <c r="I331" s="126" t="s">
        <v>631</v>
      </c>
      <c r="J331" s="38"/>
      <c r="K331" s="38"/>
      <c r="L331" s="127"/>
      <c r="M331" s="127"/>
      <c r="O331" s="128"/>
      <c r="P331" s="121"/>
      <c r="Q331" s="128"/>
      <c r="R331" s="128"/>
      <c r="S331" s="30"/>
      <c r="U331" s="30"/>
      <c r="V331" s="30"/>
    </row>
    <row r="332" ht="22.5" customHeight="1">
      <c r="A332" s="123" t="s">
        <v>403</v>
      </c>
      <c r="B332" s="27" t="s">
        <v>834</v>
      </c>
      <c r="C332" s="124"/>
      <c r="D332" s="27"/>
      <c r="E332" s="27"/>
      <c r="F332" s="27"/>
      <c r="G332" s="125" t="s">
        <v>548</v>
      </c>
      <c r="H332" s="10">
        <v>45658.0</v>
      </c>
      <c r="I332" s="126" t="s">
        <v>549</v>
      </c>
      <c r="J332" s="38"/>
      <c r="K332" s="38"/>
      <c r="L332" s="127"/>
      <c r="M332" s="127"/>
      <c r="O332" s="128"/>
      <c r="P332" s="121"/>
      <c r="Q332" s="128"/>
      <c r="R332" s="128"/>
      <c r="S332" s="30"/>
      <c r="U332" s="30"/>
      <c r="V332" s="30"/>
    </row>
    <row r="333" ht="22.5" customHeight="1">
      <c r="A333" s="123" t="s">
        <v>403</v>
      </c>
      <c r="B333" s="27" t="s">
        <v>835</v>
      </c>
      <c r="C333" s="124"/>
      <c r="D333" s="27"/>
      <c r="E333" s="27"/>
      <c r="F333" s="27"/>
      <c r="G333" s="125" t="s">
        <v>551</v>
      </c>
      <c r="H333" s="10">
        <v>45658.0</v>
      </c>
      <c r="I333" s="126" t="s">
        <v>549</v>
      </c>
      <c r="J333" s="38"/>
      <c r="K333" s="38"/>
      <c r="L333" s="127"/>
      <c r="M333" s="127"/>
      <c r="O333" s="128"/>
      <c r="P333" s="121"/>
      <c r="Q333" s="128"/>
      <c r="R333" s="128"/>
      <c r="S333" s="30"/>
      <c r="U333" s="30"/>
      <c r="V333" s="30"/>
    </row>
    <row r="334" ht="22.5" customHeight="1">
      <c r="A334" s="123" t="s">
        <v>349</v>
      </c>
      <c r="B334" s="27" t="s">
        <v>846</v>
      </c>
      <c r="C334" s="124"/>
      <c r="D334" s="27"/>
      <c r="E334" s="27"/>
      <c r="F334" s="27"/>
      <c r="G334" s="125" t="s">
        <v>1098</v>
      </c>
      <c r="H334" s="10">
        <v>45658.0</v>
      </c>
      <c r="I334" s="126" t="s">
        <v>581</v>
      </c>
      <c r="J334" s="38"/>
      <c r="K334" s="38"/>
      <c r="L334" s="127"/>
      <c r="M334" s="127"/>
      <c r="O334" s="128"/>
      <c r="P334" s="121"/>
      <c r="Q334" s="128"/>
      <c r="R334" s="128"/>
      <c r="S334" s="30"/>
      <c r="U334" s="30"/>
      <c r="V334" s="30"/>
    </row>
    <row r="335" ht="22.5" customHeight="1">
      <c r="A335" s="123" t="s">
        <v>403</v>
      </c>
      <c r="B335" s="27" t="s">
        <v>834</v>
      </c>
      <c r="C335" s="124"/>
      <c r="D335" s="27"/>
      <c r="E335" s="27"/>
      <c r="F335" s="27"/>
      <c r="G335" s="125" t="s">
        <v>548</v>
      </c>
      <c r="H335" s="10">
        <v>45658.0</v>
      </c>
      <c r="I335" s="126" t="s">
        <v>549</v>
      </c>
      <c r="J335" s="38"/>
      <c r="K335" s="38"/>
      <c r="L335" s="127"/>
      <c r="M335" s="127"/>
      <c r="O335" s="128"/>
      <c r="P335" s="121"/>
      <c r="Q335" s="128"/>
      <c r="R335" s="128"/>
      <c r="S335" s="30"/>
      <c r="U335" s="30"/>
      <c r="V335" s="30"/>
    </row>
    <row r="336" ht="22.5" customHeight="1">
      <c r="A336" s="123" t="s">
        <v>403</v>
      </c>
      <c r="B336" s="27" t="s">
        <v>835</v>
      </c>
      <c r="C336" s="124"/>
      <c r="D336" s="27"/>
      <c r="E336" s="27"/>
      <c r="F336" s="27"/>
      <c r="G336" s="125" t="s">
        <v>551</v>
      </c>
      <c r="H336" s="10">
        <v>45658.0</v>
      </c>
      <c r="I336" s="126" t="s">
        <v>549</v>
      </c>
      <c r="J336" s="38"/>
      <c r="K336" s="38"/>
      <c r="L336" s="127"/>
      <c r="M336" s="127"/>
      <c r="O336" s="128"/>
      <c r="P336" s="121"/>
      <c r="Q336" s="128"/>
      <c r="R336" s="128"/>
      <c r="S336" s="30"/>
      <c r="U336" s="30"/>
      <c r="V336" s="30"/>
    </row>
    <row r="337" ht="22.5" customHeight="1">
      <c r="A337" s="123" t="s">
        <v>349</v>
      </c>
      <c r="B337" s="27" t="s">
        <v>848</v>
      </c>
      <c r="C337" s="124"/>
      <c r="D337" s="27"/>
      <c r="E337" s="27"/>
      <c r="F337" s="27"/>
      <c r="G337" s="125" t="s">
        <v>1099</v>
      </c>
      <c r="H337" s="10">
        <v>45658.0</v>
      </c>
      <c r="I337" s="126" t="s">
        <v>581</v>
      </c>
      <c r="J337" s="38"/>
      <c r="K337" s="38"/>
      <c r="L337" s="127"/>
      <c r="M337" s="127"/>
      <c r="O337" s="128"/>
      <c r="P337" s="121"/>
      <c r="Q337" s="128"/>
      <c r="R337" s="128"/>
      <c r="S337" s="30"/>
      <c r="U337" s="30"/>
      <c r="V337" s="30"/>
    </row>
    <row r="338" ht="22.5" customHeight="1">
      <c r="A338" s="123" t="s">
        <v>403</v>
      </c>
      <c r="B338" s="27" t="s">
        <v>834</v>
      </c>
      <c r="C338" s="124"/>
      <c r="D338" s="27"/>
      <c r="E338" s="27"/>
      <c r="F338" s="27"/>
      <c r="G338" s="125" t="s">
        <v>548</v>
      </c>
      <c r="H338" s="10">
        <v>45658.0</v>
      </c>
      <c r="I338" s="126" t="s">
        <v>549</v>
      </c>
      <c r="J338" s="38"/>
      <c r="K338" s="38"/>
      <c r="L338" s="127"/>
      <c r="M338" s="127"/>
      <c r="O338" s="128"/>
      <c r="P338" s="121"/>
      <c r="Q338" s="128"/>
      <c r="R338" s="128"/>
      <c r="S338" s="30"/>
      <c r="U338" s="30"/>
      <c r="V338" s="30"/>
    </row>
    <row r="339" ht="22.5" customHeight="1">
      <c r="A339" s="123" t="s">
        <v>403</v>
      </c>
      <c r="B339" s="27" t="s">
        <v>835</v>
      </c>
      <c r="C339" s="124"/>
      <c r="D339" s="27"/>
      <c r="E339" s="27"/>
      <c r="F339" s="27"/>
      <c r="G339" s="125" t="s">
        <v>551</v>
      </c>
      <c r="H339" s="10">
        <v>45658.0</v>
      </c>
      <c r="I339" s="126" t="s">
        <v>549</v>
      </c>
      <c r="J339" s="38"/>
      <c r="K339" s="38"/>
      <c r="L339" s="127"/>
      <c r="M339" s="127"/>
      <c r="O339" s="128"/>
      <c r="P339" s="121"/>
      <c r="Q339" s="128"/>
      <c r="R339" s="128"/>
      <c r="S339" s="30"/>
      <c r="U339" s="30"/>
      <c r="V339" s="30"/>
    </row>
    <row r="340" ht="22.5" customHeight="1">
      <c r="A340" s="123" t="s">
        <v>349</v>
      </c>
      <c r="B340" s="27" t="s">
        <v>850</v>
      </c>
      <c r="C340" s="124"/>
      <c r="D340" s="27"/>
      <c r="E340" s="27"/>
      <c r="F340" s="27"/>
      <c r="G340" s="125" t="s">
        <v>545</v>
      </c>
      <c r="H340" s="10">
        <v>45658.0</v>
      </c>
      <c r="I340" s="126" t="s">
        <v>546</v>
      </c>
      <c r="J340" s="38"/>
      <c r="K340" s="38"/>
      <c r="L340" s="127"/>
      <c r="M340" s="127"/>
      <c r="O340" s="128"/>
      <c r="P340" s="121"/>
      <c r="Q340" s="128"/>
      <c r="R340" s="128"/>
      <c r="S340" s="30"/>
      <c r="U340" s="30"/>
      <c r="V340" s="30"/>
    </row>
    <row r="341" ht="22.5" customHeight="1">
      <c r="A341" s="123" t="s">
        <v>403</v>
      </c>
      <c r="B341" s="27" t="s">
        <v>834</v>
      </c>
      <c r="C341" s="124"/>
      <c r="D341" s="27"/>
      <c r="E341" s="27"/>
      <c r="F341" s="27"/>
      <c r="G341" s="125" t="s">
        <v>548</v>
      </c>
      <c r="H341" s="10">
        <v>45658.0</v>
      </c>
      <c r="I341" s="126" t="s">
        <v>549</v>
      </c>
      <c r="J341" s="38"/>
      <c r="K341" s="38"/>
      <c r="L341" s="127"/>
      <c r="M341" s="127"/>
      <c r="O341" s="128"/>
      <c r="P341" s="121"/>
      <c r="Q341" s="128"/>
      <c r="R341" s="128"/>
      <c r="S341" s="30"/>
      <c r="U341" s="30"/>
      <c r="V341" s="30"/>
    </row>
    <row r="342" ht="22.5" customHeight="1">
      <c r="A342" s="123" t="s">
        <v>403</v>
      </c>
      <c r="B342" s="27" t="s">
        <v>835</v>
      </c>
      <c r="C342" s="124"/>
      <c r="D342" s="27"/>
      <c r="E342" s="27"/>
      <c r="F342" s="27"/>
      <c r="G342" s="125" t="s">
        <v>551</v>
      </c>
      <c r="H342" s="10">
        <v>45658.0</v>
      </c>
      <c r="I342" s="126" t="s">
        <v>549</v>
      </c>
      <c r="J342" s="38"/>
      <c r="K342" s="38"/>
      <c r="L342" s="127"/>
      <c r="M342" s="127"/>
      <c r="O342" s="128"/>
      <c r="P342" s="121"/>
      <c r="Q342" s="128"/>
      <c r="R342" s="128"/>
      <c r="S342" s="30"/>
      <c r="U342" s="30"/>
      <c r="V342" s="30"/>
    </row>
    <row r="343" ht="22.5" customHeight="1">
      <c r="A343" s="129"/>
      <c r="B343" s="27" t="s">
        <v>852</v>
      </c>
      <c r="C343" s="124"/>
      <c r="D343" s="27"/>
      <c r="E343" s="27"/>
      <c r="F343" s="27"/>
      <c r="G343" s="125" t="s">
        <v>1100</v>
      </c>
      <c r="H343" s="10">
        <v>45658.0</v>
      </c>
      <c r="I343" s="126" t="s">
        <v>854</v>
      </c>
      <c r="J343" s="38"/>
      <c r="K343" s="38"/>
      <c r="L343" s="127"/>
      <c r="M343" s="127"/>
      <c r="O343" s="128"/>
      <c r="P343" s="121"/>
      <c r="Q343" s="128"/>
      <c r="R343" s="128"/>
      <c r="S343" s="30"/>
      <c r="U343" s="30"/>
      <c r="V343" s="30"/>
    </row>
    <row r="344" ht="22.5" customHeight="1">
      <c r="A344" s="123" t="s">
        <v>403</v>
      </c>
      <c r="B344" s="27" t="s">
        <v>834</v>
      </c>
      <c r="C344" s="124"/>
      <c r="D344" s="27"/>
      <c r="E344" s="27"/>
      <c r="F344" s="27"/>
      <c r="G344" s="125" t="s">
        <v>548</v>
      </c>
      <c r="H344" s="10">
        <v>45658.0</v>
      </c>
      <c r="I344" s="126" t="s">
        <v>549</v>
      </c>
      <c r="J344" s="38"/>
      <c r="K344" s="38"/>
      <c r="L344" s="127"/>
      <c r="M344" s="127"/>
      <c r="O344" s="128"/>
      <c r="P344" s="121"/>
      <c r="Q344" s="128"/>
      <c r="R344" s="128"/>
      <c r="S344" s="30"/>
      <c r="U344" s="30"/>
      <c r="V344" s="30"/>
    </row>
    <row r="345" ht="22.5" customHeight="1">
      <c r="A345" s="123" t="s">
        <v>403</v>
      </c>
      <c r="B345" s="27" t="s">
        <v>855</v>
      </c>
      <c r="C345" s="124"/>
      <c r="D345" s="27"/>
      <c r="E345" s="27"/>
      <c r="F345" s="27"/>
      <c r="G345" s="125" t="s">
        <v>551</v>
      </c>
      <c r="H345" s="10">
        <v>45658.0</v>
      </c>
      <c r="I345" s="126" t="s">
        <v>549</v>
      </c>
      <c r="J345" s="38"/>
      <c r="K345" s="38"/>
      <c r="L345" s="127"/>
      <c r="M345" s="127"/>
      <c r="O345" s="128"/>
      <c r="P345" s="121"/>
      <c r="Q345" s="128"/>
      <c r="R345" s="128"/>
      <c r="S345" s="30"/>
      <c r="U345" s="30"/>
      <c r="V345" s="30"/>
    </row>
    <row r="346" ht="22.5" customHeight="1">
      <c r="A346" s="129"/>
      <c r="B346" s="27" t="s">
        <v>856</v>
      </c>
      <c r="C346" s="124"/>
      <c r="D346" s="27"/>
      <c r="E346" s="27"/>
      <c r="F346" s="27"/>
      <c r="G346" s="125" t="s">
        <v>1101</v>
      </c>
      <c r="H346" s="10">
        <v>45658.0</v>
      </c>
      <c r="I346" s="126" t="s">
        <v>854</v>
      </c>
      <c r="J346" s="38"/>
      <c r="K346" s="38"/>
      <c r="L346" s="127"/>
      <c r="M346" s="127"/>
      <c r="O346" s="128"/>
      <c r="P346" s="121"/>
      <c r="Q346" s="128"/>
      <c r="R346" s="128"/>
      <c r="S346" s="30"/>
      <c r="U346" s="30"/>
      <c r="V346" s="30"/>
    </row>
    <row r="347" ht="22.5" customHeight="1">
      <c r="A347" s="129"/>
      <c r="B347" s="27" t="s">
        <v>858</v>
      </c>
      <c r="C347" s="124"/>
      <c r="D347" s="27"/>
      <c r="E347" s="27"/>
      <c r="F347" s="27"/>
      <c r="G347" s="125" t="s">
        <v>1102</v>
      </c>
      <c r="H347" s="10">
        <v>45658.0</v>
      </c>
      <c r="I347" s="126" t="s">
        <v>859</v>
      </c>
      <c r="J347" s="38"/>
      <c r="K347" s="38"/>
      <c r="L347" s="127"/>
      <c r="M347" s="127"/>
      <c r="O347" s="128"/>
      <c r="P347" s="121"/>
      <c r="Q347" s="128"/>
      <c r="R347" s="128"/>
      <c r="S347" s="30"/>
      <c r="U347" s="30"/>
      <c r="V347" s="30"/>
    </row>
    <row r="348" ht="22.5" customHeight="1">
      <c r="A348" s="129"/>
      <c r="B348" s="27" t="s">
        <v>860</v>
      </c>
      <c r="C348" s="124"/>
      <c r="D348" s="27"/>
      <c r="E348" s="27"/>
      <c r="F348" s="27"/>
      <c r="G348" s="125" t="s">
        <v>1103</v>
      </c>
      <c r="H348" s="10">
        <v>45658.0</v>
      </c>
      <c r="I348" s="126" t="s">
        <v>648</v>
      </c>
      <c r="J348" s="38"/>
      <c r="K348" s="38"/>
      <c r="L348" s="127"/>
      <c r="M348" s="127"/>
      <c r="O348" s="128"/>
      <c r="P348" s="121"/>
      <c r="Q348" s="128"/>
      <c r="R348" s="128"/>
      <c r="S348" s="30"/>
      <c r="U348" s="30"/>
      <c r="V348" s="30"/>
    </row>
    <row r="349" ht="22.5" customHeight="1">
      <c r="A349" s="129"/>
      <c r="B349" s="27" t="s">
        <v>861</v>
      </c>
      <c r="C349" s="124"/>
      <c r="D349" s="27"/>
      <c r="E349" s="27"/>
      <c r="F349" s="27"/>
      <c r="G349" s="125" t="s">
        <v>1104</v>
      </c>
      <c r="H349" s="10">
        <v>45658.0</v>
      </c>
      <c r="I349" s="126" t="s">
        <v>648</v>
      </c>
      <c r="J349" s="38"/>
      <c r="K349" s="38"/>
      <c r="L349" s="127"/>
      <c r="M349" s="127"/>
      <c r="O349" s="128"/>
      <c r="P349" s="121"/>
      <c r="Q349" s="128"/>
      <c r="R349" s="128"/>
      <c r="S349" s="30"/>
      <c r="U349" s="30"/>
      <c r="V349" s="30"/>
    </row>
    <row r="350" ht="22.5" customHeight="1">
      <c r="A350" s="129"/>
      <c r="B350" s="27" t="s">
        <v>862</v>
      </c>
      <c r="C350" s="124"/>
      <c r="D350" s="27"/>
      <c r="E350" s="27"/>
      <c r="F350" s="27"/>
      <c r="G350" s="125" t="s">
        <v>1105</v>
      </c>
      <c r="H350" s="10">
        <v>45658.0</v>
      </c>
      <c r="I350" s="126" t="s">
        <v>648</v>
      </c>
      <c r="J350" s="38"/>
      <c r="K350" s="38"/>
      <c r="L350" s="127"/>
      <c r="M350" s="127"/>
      <c r="O350" s="128"/>
      <c r="P350" s="121"/>
      <c r="Q350" s="128"/>
      <c r="R350" s="128"/>
      <c r="S350" s="30"/>
      <c r="U350" s="30"/>
      <c r="V350" s="30"/>
    </row>
    <row r="351" ht="22.5" customHeight="1">
      <c r="A351" s="123" t="s">
        <v>403</v>
      </c>
      <c r="B351" s="27" t="s">
        <v>863</v>
      </c>
      <c r="C351" s="124"/>
      <c r="D351" s="27"/>
      <c r="E351" s="27"/>
      <c r="F351" s="27"/>
      <c r="G351" s="125" t="s">
        <v>548</v>
      </c>
      <c r="H351" s="10">
        <v>45658.0</v>
      </c>
      <c r="I351" s="126" t="s">
        <v>549</v>
      </c>
      <c r="J351" s="38"/>
      <c r="K351" s="38"/>
      <c r="L351" s="127"/>
      <c r="M351" s="127"/>
      <c r="O351" s="128"/>
      <c r="P351" s="121"/>
      <c r="Q351" s="128"/>
      <c r="R351" s="128"/>
      <c r="S351" s="30"/>
      <c r="U351" s="30"/>
      <c r="V351" s="30"/>
    </row>
    <row r="352" ht="22.5" customHeight="1">
      <c r="A352" s="123" t="s">
        <v>403</v>
      </c>
      <c r="B352" s="27" t="s">
        <v>864</v>
      </c>
      <c r="C352" s="124"/>
      <c r="D352" s="27"/>
      <c r="E352" s="27"/>
      <c r="F352" s="27"/>
      <c r="G352" s="125" t="s">
        <v>551</v>
      </c>
      <c r="H352" s="10">
        <v>45658.0</v>
      </c>
      <c r="I352" s="126" t="s">
        <v>549</v>
      </c>
      <c r="J352" s="38"/>
      <c r="K352" s="38"/>
      <c r="L352" s="127"/>
      <c r="M352" s="127"/>
      <c r="O352" s="128"/>
      <c r="P352" s="121"/>
      <c r="Q352" s="128"/>
      <c r="R352" s="128"/>
      <c r="S352" s="30"/>
      <c r="U352" s="30"/>
      <c r="V352" s="30"/>
    </row>
    <row r="353" ht="22.5" customHeight="1">
      <c r="A353" s="129"/>
      <c r="B353" s="27" t="s">
        <v>865</v>
      </c>
      <c r="C353" s="124"/>
      <c r="D353" s="27"/>
      <c r="E353" s="27"/>
      <c r="F353" s="27"/>
      <c r="G353" s="125" t="s">
        <v>1106</v>
      </c>
      <c r="H353" s="10">
        <v>45658.0</v>
      </c>
      <c r="I353" s="126" t="s">
        <v>562</v>
      </c>
      <c r="J353" s="38"/>
      <c r="K353" s="38"/>
      <c r="L353" s="127"/>
      <c r="M353" s="127"/>
      <c r="O353" s="128"/>
      <c r="P353" s="121"/>
      <c r="Q353" s="128"/>
      <c r="R353" s="128"/>
      <c r="S353" s="30"/>
      <c r="U353" s="30"/>
      <c r="V353" s="30"/>
    </row>
    <row r="354" ht="22.5" customHeight="1">
      <c r="A354" s="123" t="s">
        <v>403</v>
      </c>
      <c r="B354" s="27" t="s">
        <v>863</v>
      </c>
      <c r="C354" s="124"/>
      <c r="D354" s="27"/>
      <c r="E354" s="27"/>
      <c r="F354" s="27"/>
      <c r="G354" s="125" t="s">
        <v>548</v>
      </c>
      <c r="H354" s="10">
        <v>45658.0</v>
      </c>
      <c r="I354" s="126" t="s">
        <v>549</v>
      </c>
      <c r="J354" s="38"/>
      <c r="K354" s="38"/>
      <c r="L354" s="127"/>
      <c r="M354" s="127"/>
      <c r="O354" s="128"/>
      <c r="P354" s="121"/>
      <c r="Q354" s="128"/>
      <c r="R354" s="128"/>
      <c r="S354" s="30"/>
      <c r="U354" s="30"/>
      <c r="V354" s="30"/>
    </row>
    <row r="355" ht="22.5" customHeight="1">
      <c r="A355" s="123" t="s">
        <v>403</v>
      </c>
      <c r="B355" s="27" t="s">
        <v>864</v>
      </c>
      <c r="C355" s="124"/>
      <c r="D355" s="27"/>
      <c r="E355" s="27"/>
      <c r="F355" s="27"/>
      <c r="G355" s="125" t="s">
        <v>551</v>
      </c>
      <c r="H355" s="10">
        <v>45658.0</v>
      </c>
      <c r="I355" s="126" t="s">
        <v>549</v>
      </c>
      <c r="J355" s="38"/>
      <c r="K355" s="38"/>
      <c r="L355" s="127"/>
      <c r="M355" s="127"/>
      <c r="O355" s="128"/>
      <c r="P355" s="121"/>
      <c r="Q355" s="128"/>
      <c r="R355" s="128"/>
      <c r="S355" s="30"/>
      <c r="U355" s="30"/>
      <c r="V355" s="30"/>
    </row>
    <row r="356" ht="22.5" customHeight="1">
      <c r="A356" s="123" t="s">
        <v>422</v>
      </c>
      <c r="B356" s="27" t="s">
        <v>867</v>
      </c>
      <c r="C356" s="124"/>
      <c r="D356" s="27"/>
      <c r="E356" s="27"/>
      <c r="F356" s="27"/>
      <c r="G356" s="125" t="s">
        <v>1107</v>
      </c>
      <c r="H356" s="10">
        <v>45658.0</v>
      </c>
      <c r="I356" s="126" t="s">
        <v>869</v>
      </c>
      <c r="J356" s="38"/>
      <c r="K356" s="38"/>
      <c r="L356" s="127"/>
      <c r="M356" s="127"/>
      <c r="O356" s="128"/>
      <c r="P356" s="121"/>
      <c r="Q356" s="128"/>
      <c r="R356" s="128"/>
      <c r="S356" s="30"/>
      <c r="U356" s="30"/>
      <c r="V356" s="30"/>
    </row>
    <row r="357" ht="22.5" customHeight="1">
      <c r="A357" s="123" t="s">
        <v>403</v>
      </c>
      <c r="B357" s="27" t="s">
        <v>863</v>
      </c>
      <c r="C357" s="124"/>
      <c r="D357" s="27"/>
      <c r="E357" s="27"/>
      <c r="F357" s="27"/>
      <c r="G357" s="125" t="s">
        <v>548</v>
      </c>
      <c r="H357" s="10">
        <v>45658.0</v>
      </c>
      <c r="I357" s="126" t="s">
        <v>549</v>
      </c>
      <c r="J357" s="38"/>
      <c r="K357" s="38"/>
      <c r="L357" s="127"/>
      <c r="M357" s="127"/>
      <c r="O357" s="128"/>
      <c r="P357" s="121"/>
      <c r="Q357" s="128"/>
      <c r="R357" s="128"/>
      <c r="S357" s="30"/>
      <c r="U357" s="30"/>
      <c r="V357" s="30"/>
    </row>
    <row r="358" ht="22.5" customHeight="1">
      <c r="A358" s="123" t="s">
        <v>403</v>
      </c>
      <c r="B358" s="27" t="s">
        <v>870</v>
      </c>
      <c r="C358" s="124"/>
      <c r="D358" s="27"/>
      <c r="E358" s="27"/>
      <c r="F358" s="27"/>
      <c r="G358" s="125" t="s">
        <v>551</v>
      </c>
      <c r="H358" s="10">
        <v>45658.0</v>
      </c>
      <c r="I358" s="126" t="s">
        <v>549</v>
      </c>
      <c r="J358" s="38"/>
      <c r="K358" s="38"/>
      <c r="L358" s="127"/>
      <c r="M358" s="127"/>
      <c r="O358" s="128"/>
      <c r="P358" s="121"/>
      <c r="Q358" s="128"/>
      <c r="R358" s="128"/>
      <c r="S358" s="30"/>
      <c r="U358" s="30"/>
      <c r="V358" s="30"/>
    </row>
    <row r="359" ht="22.5" customHeight="1">
      <c r="A359" s="123" t="s">
        <v>18</v>
      </c>
      <c r="B359" s="27" t="s">
        <v>871</v>
      </c>
      <c r="C359" s="124"/>
      <c r="D359" s="27"/>
      <c r="E359" s="27"/>
      <c r="F359" s="27"/>
      <c r="G359" s="125" t="s">
        <v>1108</v>
      </c>
      <c r="H359" s="10">
        <v>45658.0</v>
      </c>
      <c r="I359" s="126" t="s">
        <v>586</v>
      </c>
      <c r="J359" s="38"/>
      <c r="K359" s="38"/>
      <c r="L359" s="127"/>
      <c r="M359" s="127"/>
      <c r="O359" s="128"/>
      <c r="P359" s="121"/>
      <c r="Q359" s="128"/>
      <c r="R359" s="128"/>
      <c r="S359" s="30"/>
      <c r="U359" s="30"/>
      <c r="V359" s="30"/>
    </row>
    <row r="360" ht="22.5" customHeight="1">
      <c r="A360" s="123" t="s">
        <v>403</v>
      </c>
      <c r="B360" s="27" t="s">
        <v>863</v>
      </c>
      <c r="C360" s="124"/>
      <c r="D360" s="27"/>
      <c r="E360" s="27"/>
      <c r="F360" s="27"/>
      <c r="G360" s="125" t="s">
        <v>548</v>
      </c>
      <c r="H360" s="10">
        <v>45658.0</v>
      </c>
      <c r="I360" s="126" t="s">
        <v>549</v>
      </c>
      <c r="J360" s="38"/>
      <c r="K360" s="38"/>
      <c r="L360" s="127"/>
      <c r="M360" s="127"/>
      <c r="O360" s="128"/>
      <c r="P360" s="121"/>
      <c r="Q360" s="128"/>
      <c r="R360" s="128"/>
      <c r="S360" s="30"/>
      <c r="U360" s="30"/>
      <c r="V360" s="30"/>
    </row>
    <row r="361" ht="22.5" customHeight="1">
      <c r="A361" s="123" t="s">
        <v>403</v>
      </c>
      <c r="B361" s="27" t="s">
        <v>864</v>
      </c>
      <c r="C361" s="124"/>
      <c r="D361" s="27"/>
      <c r="E361" s="27"/>
      <c r="F361" s="27"/>
      <c r="G361" s="125" t="s">
        <v>551</v>
      </c>
      <c r="H361" s="10">
        <v>45658.0</v>
      </c>
      <c r="I361" s="126" t="s">
        <v>549</v>
      </c>
      <c r="J361" s="38"/>
      <c r="K361" s="38"/>
      <c r="L361" s="127"/>
      <c r="M361" s="127"/>
      <c r="O361" s="128"/>
      <c r="P361" s="121"/>
      <c r="Q361" s="128"/>
      <c r="R361" s="128"/>
      <c r="S361" s="30"/>
      <c r="U361" s="30"/>
      <c r="V361" s="30"/>
    </row>
    <row r="362" ht="22.5" customHeight="1">
      <c r="A362" s="123" t="s">
        <v>18</v>
      </c>
      <c r="B362" s="27" t="s">
        <v>873</v>
      </c>
      <c r="C362" s="124"/>
      <c r="D362" s="27"/>
      <c r="E362" s="27"/>
      <c r="F362" s="27"/>
      <c r="G362" s="125" t="s">
        <v>1109</v>
      </c>
      <c r="H362" s="10">
        <v>45658.0</v>
      </c>
      <c r="I362" s="126" t="s">
        <v>586</v>
      </c>
      <c r="J362" s="38"/>
      <c r="K362" s="38"/>
      <c r="L362" s="127"/>
      <c r="M362" s="127"/>
      <c r="O362" s="128"/>
      <c r="P362" s="121"/>
      <c r="Q362" s="128"/>
      <c r="R362" s="128"/>
      <c r="S362" s="30"/>
      <c r="U362" s="30"/>
      <c r="V362" s="30"/>
    </row>
    <row r="363" ht="22.5" customHeight="1">
      <c r="A363" s="123" t="s">
        <v>403</v>
      </c>
      <c r="B363" s="27" t="s">
        <v>875</v>
      </c>
      <c r="C363" s="124"/>
      <c r="D363" s="27"/>
      <c r="E363" s="27"/>
      <c r="F363" s="27"/>
      <c r="G363" s="125" t="s">
        <v>548</v>
      </c>
      <c r="H363" s="10">
        <v>45658.0</v>
      </c>
      <c r="I363" s="126" t="s">
        <v>549</v>
      </c>
      <c r="J363" s="38"/>
      <c r="K363" s="38"/>
      <c r="L363" s="127"/>
      <c r="M363" s="127"/>
      <c r="O363" s="128"/>
      <c r="P363" s="121"/>
      <c r="Q363" s="128"/>
      <c r="R363" s="128"/>
      <c r="S363" s="30"/>
      <c r="U363" s="30"/>
      <c r="V363" s="30"/>
    </row>
    <row r="364" ht="22.5" customHeight="1">
      <c r="A364" s="123" t="s">
        <v>403</v>
      </c>
      <c r="B364" s="27" t="s">
        <v>876</v>
      </c>
      <c r="C364" s="124"/>
      <c r="D364" s="27"/>
      <c r="E364" s="27"/>
      <c r="F364" s="27"/>
      <c r="G364" s="125" t="s">
        <v>551</v>
      </c>
      <c r="H364" s="10">
        <v>45658.0</v>
      </c>
      <c r="I364" s="126" t="s">
        <v>549</v>
      </c>
      <c r="J364" s="38"/>
      <c r="K364" s="38"/>
      <c r="L364" s="127"/>
      <c r="M364" s="127"/>
      <c r="O364" s="128"/>
      <c r="P364" s="121"/>
      <c r="Q364" s="128"/>
      <c r="R364" s="128"/>
      <c r="S364" s="30"/>
      <c r="U364" s="30"/>
      <c r="V364" s="30"/>
    </row>
    <row r="365" ht="22.5" customHeight="1">
      <c r="A365" s="129"/>
      <c r="B365" s="27" t="s">
        <v>877</v>
      </c>
      <c r="C365" s="124"/>
      <c r="D365" s="27"/>
      <c r="E365" s="27"/>
      <c r="F365" s="27"/>
      <c r="G365" s="125" t="s">
        <v>1110</v>
      </c>
      <c r="H365" s="10">
        <v>45658.0</v>
      </c>
      <c r="I365" s="126" t="s">
        <v>738</v>
      </c>
      <c r="J365" s="38"/>
      <c r="K365" s="38"/>
      <c r="L365" s="127"/>
      <c r="M365" s="127"/>
      <c r="O365" s="128"/>
      <c r="P365" s="121"/>
      <c r="Q365" s="128"/>
      <c r="R365" s="128"/>
      <c r="S365" s="30"/>
      <c r="U365" s="30"/>
      <c r="V365" s="30"/>
    </row>
    <row r="366" ht="22.5" customHeight="1">
      <c r="A366" s="123" t="s">
        <v>403</v>
      </c>
      <c r="B366" s="27" t="s">
        <v>760</v>
      </c>
      <c r="C366" s="124"/>
      <c r="D366" s="27"/>
      <c r="E366" s="27"/>
      <c r="F366" s="27"/>
      <c r="G366" s="125" t="s">
        <v>1058</v>
      </c>
      <c r="H366" s="10">
        <v>45658.0</v>
      </c>
      <c r="I366" s="126" t="s">
        <v>549</v>
      </c>
      <c r="J366" s="38"/>
      <c r="K366" s="38"/>
      <c r="L366" s="127"/>
      <c r="M366" s="127"/>
      <c r="O366" s="128"/>
      <c r="P366" s="121"/>
      <c r="Q366" s="128"/>
      <c r="R366" s="128"/>
      <c r="S366" s="30"/>
      <c r="U366" s="30"/>
      <c r="V366" s="30"/>
    </row>
    <row r="367" ht="22.5" customHeight="1">
      <c r="A367" s="123" t="s">
        <v>403</v>
      </c>
      <c r="B367" s="27" t="s">
        <v>761</v>
      </c>
      <c r="C367" s="124"/>
      <c r="D367" s="27"/>
      <c r="E367" s="27"/>
      <c r="F367" s="27"/>
      <c r="G367" s="125" t="s">
        <v>1059</v>
      </c>
      <c r="H367" s="10">
        <v>45658.0</v>
      </c>
      <c r="I367" s="126" t="s">
        <v>549</v>
      </c>
      <c r="J367" s="38"/>
      <c r="K367" s="38"/>
      <c r="L367" s="127"/>
      <c r="M367" s="127"/>
      <c r="O367" s="128"/>
      <c r="P367" s="121"/>
      <c r="Q367" s="128"/>
      <c r="R367" s="128"/>
      <c r="S367" s="30"/>
      <c r="U367" s="30"/>
      <c r="V367" s="30"/>
    </row>
    <row r="368" ht="22.5" customHeight="1">
      <c r="A368" s="129"/>
      <c r="B368" s="27" t="s">
        <v>878</v>
      </c>
      <c r="C368" s="124"/>
      <c r="D368" s="27"/>
      <c r="E368" s="27"/>
      <c r="F368" s="27"/>
      <c r="G368" s="125" t="s">
        <v>1110</v>
      </c>
      <c r="H368" s="10">
        <v>45658.0</v>
      </c>
      <c r="I368" s="126" t="s">
        <v>738</v>
      </c>
      <c r="J368" s="38"/>
      <c r="K368" s="38"/>
      <c r="L368" s="127"/>
      <c r="M368" s="127"/>
      <c r="O368" s="128"/>
      <c r="P368" s="121"/>
      <c r="Q368" s="128"/>
      <c r="R368" s="128"/>
      <c r="S368" s="30"/>
      <c r="U368" s="30"/>
      <c r="V368" s="30"/>
    </row>
    <row r="369" ht="22.5" customHeight="1">
      <c r="A369" s="123" t="s">
        <v>403</v>
      </c>
      <c r="B369" s="27" t="s">
        <v>760</v>
      </c>
      <c r="C369" s="124"/>
      <c r="D369" s="27"/>
      <c r="E369" s="27"/>
      <c r="F369" s="27"/>
      <c r="G369" s="125" t="s">
        <v>1058</v>
      </c>
      <c r="H369" s="10">
        <v>45658.0</v>
      </c>
      <c r="I369" s="126" t="s">
        <v>549</v>
      </c>
      <c r="J369" s="38"/>
      <c r="K369" s="38"/>
      <c r="L369" s="127"/>
      <c r="M369" s="127"/>
      <c r="O369" s="128"/>
      <c r="P369" s="121"/>
      <c r="Q369" s="128"/>
      <c r="R369" s="128"/>
      <c r="S369" s="30"/>
      <c r="U369" s="30"/>
      <c r="V369" s="30"/>
    </row>
    <row r="370" ht="22.5" customHeight="1">
      <c r="A370" s="123" t="s">
        <v>403</v>
      </c>
      <c r="B370" s="27" t="s">
        <v>761</v>
      </c>
      <c r="C370" s="124"/>
      <c r="D370" s="27"/>
      <c r="E370" s="27"/>
      <c r="F370" s="27"/>
      <c r="G370" s="125" t="s">
        <v>1059</v>
      </c>
      <c r="H370" s="10">
        <v>45658.0</v>
      </c>
      <c r="I370" s="126" t="s">
        <v>549</v>
      </c>
      <c r="J370" s="38"/>
      <c r="K370" s="38"/>
      <c r="L370" s="127"/>
      <c r="M370" s="127"/>
      <c r="O370" s="128"/>
      <c r="P370" s="121"/>
      <c r="Q370" s="128"/>
      <c r="R370" s="128"/>
      <c r="S370" s="30"/>
      <c r="U370" s="30"/>
      <c r="V370" s="30"/>
    </row>
    <row r="371" ht="22.5" customHeight="1">
      <c r="A371" s="129"/>
      <c r="B371" s="27" t="s">
        <v>879</v>
      </c>
      <c r="C371" s="124"/>
      <c r="D371" s="27"/>
      <c r="E371" s="27"/>
      <c r="F371" s="27"/>
      <c r="G371" s="125" t="s">
        <v>1111</v>
      </c>
      <c r="H371" s="10">
        <v>45658.0</v>
      </c>
      <c r="I371" s="126" t="s">
        <v>738</v>
      </c>
      <c r="J371" s="38"/>
      <c r="K371" s="38"/>
      <c r="L371" s="127"/>
      <c r="M371" s="127"/>
      <c r="O371" s="128"/>
      <c r="P371" s="121"/>
      <c r="Q371" s="128"/>
      <c r="R371" s="128"/>
      <c r="S371" s="30"/>
      <c r="U371" s="30"/>
      <c r="V371" s="30"/>
    </row>
    <row r="372" ht="22.5" customHeight="1">
      <c r="A372" s="123" t="s">
        <v>403</v>
      </c>
      <c r="B372" s="27" t="s">
        <v>760</v>
      </c>
      <c r="C372" s="124"/>
      <c r="D372" s="27"/>
      <c r="E372" s="27"/>
      <c r="F372" s="27"/>
      <c r="G372" s="125" t="s">
        <v>1058</v>
      </c>
      <c r="H372" s="10">
        <v>45658.0</v>
      </c>
      <c r="I372" s="126" t="s">
        <v>549</v>
      </c>
      <c r="J372" s="38"/>
      <c r="K372" s="38"/>
      <c r="L372" s="127"/>
      <c r="M372" s="127"/>
      <c r="O372" s="128"/>
      <c r="P372" s="121"/>
      <c r="Q372" s="128"/>
      <c r="R372" s="128"/>
      <c r="S372" s="30"/>
      <c r="U372" s="30"/>
      <c r="V372" s="30"/>
    </row>
    <row r="373" ht="22.5" customHeight="1">
      <c r="A373" s="123" t="s">
        <v>403</v>
      </c>
      <c r="B373" s="27" t="s">
        <v>761</v>
      </c>
      <c r="C373" s="124"/>
      <c r="D373" s="27"/>
      <c r="E373" s="27"/>
      <c r="F373" s="27"/>
      <c r="G373" s="125" t="s">
        <v>1059</v>
      </c>
      <c r="H373" s="10">
        <v>45658.0</v>
      </c>
      <c r="I373" s="126" t="s">
        <v>549</v>
      </c>
      <c r="J373" s="38"/>
      <c r="K373" s="38"/>
      <c r="L373" s="127"/>
      <c r="M373" s="127"/>
      <c r="O373" s="128"/>
      <c r="P373" s="121"/>
      <c r="Q373" s="128"/>
      <c r="R373" s="128"/>
      <c r="S373" s="30"/>
      <c r="U373" s="30"/>
      <c r="V373" s="30"/>
    </row>
    <row r="374" ht="22.5" customHeight="1">
      <c r="A374" s="123" t="s">
        <v>508</v>
      </c>
      <c r="B374" s="27" t="s">
        <v>880</v>
      </c>
      <c r="C374" s="124"/>
      <c r="D374" s="27"/>
      <c r="E374" s="27"/>
      <c r="F374" s="27"/>
      <c r="G374" s="125" t="s">
        <v>1112</v>
      </c>
      <c r="H374" s="10">
        <v>45658.0</v>
      </c>
      <c r="I374" s="126" t="s">
        <v>509</v>
      </c>
      <c r="J374" s="38"/>
      <c r="K374" s="38"/>
      <c r="L374" s="127"/>
      <c r="M374" s="127"/>
      <c r="O374" s="128"/>
      <c r="P374" s="121"/>
      <c r="Q374" s="128"/>
      <c r="R374" s="128"/>
      <c r="S374" s="30"/>
      <c r="U374" s="30"/>
      <c r="V374" s="30"/>
    </row>
    <row r="375" ht="22.5" customHeight="1">
      <c r="A375" s="123" t="s">
        <v>403</v>
      </c>
      <c r="B375" s="27" t="s">
        <v>882</v>
      </c>
      <c r="C375" s="124"/>
      <c r="D375" s="27"/>
      <c r="E375" s="27"/>
      <c r="F375" s="27"/>
      <c r="G375" s="125" t="s">
        <v>548</v>
      </c>
      <c r="H375" s="10">
        <v>45658.0</v>
      </c>
      <c r="I375" s="126" t="s">
        <v>549</v>
      </c>
      <c r="J375" s="38"/>
      <c r="K375" s="38"/>
      <c r="L375" s="127"/>
      <c r="M375" s="127"/>
      <c r="O375" s="128"/>
      <c r="P375" s="121"/>
      <c r="Q375" s="128"/>
      <c r="R375" s="128"/>
      <c r="S375" s="30"/>
      <c r="U375" s="30"/>
      <c r="V375" s="30"/>
    </row>
    <row r="376" ht="22.5" customHeight="1">
      <c r="A376" s="123" t="s">
        <v>403</v>
      </c>
      <c r="B376" s="27" t="s">
        <v>883</v>
      </c>
      <c r="C376" s="124"/>
      <c r="D376" s="27"/>
      <c r="E376" s="27"/>
      <c r="F376" s="27"/>
      <c r="G376" s="125" t="s">
        <v>551</v>
      </c>
      <c r="H376" s="10">
        <v>45658.0</v>
      </c>
      <c r="I376" s="126" t="s">
        <v>549</v>
      </c>
      <c r="J376" s="38"/>
      <c r="K376" s="38"/>
      <c r="L376" s="127"/>
      <c r="M376" s="127"/>
      <c r="O376" s="128"/>
      <c r="P376" s="121"/>
      <c r="Q376" s="128"/>
      <c r="R376" s="128"/>
      <c r="S376" s="30"/>
      <c r="U376" s="30"/>
      <c r="V376" s="30"/>
    </row>
    <row r="377" ht="22.5" customHeight="1">
      <c r="A377" s="123" t="s">
        <v>508</v>
      </c>
      <c r="B377" s="27" t="s">
        <v>884</v>
      </c>
      <c r="C377" s="124"/>
      <c r="D377" s="27"/>
      <c r="E377" s="27"/>
      <c r="F377" s="27"/>
      <c r="G377" s="125" t="s">
        <v>1113</v>
      </c>
      <c r="H377" s="10">
        <v>45658.0</v>
      </c>
      <c r="I377" s="126" t="s">
        <v>509</v>
      </c>
      <c r="J377" s="38"/>
      <c r="K377" s="38"/>
      <c r="L377" s="127"/>
      <c r="M377" s="127"/>
      <c r="O377" s="128"/>
      <c r="P377" s="121"/>
      <c r="Q377" s="128"/>
      <c r="R377" s="128"/>
      <c r="S377" s="30"/>
      <c r="U377" s="30"/>
      <c r="V377" s="30"/>
    </row>
    <row r="378" ht="22.5" customHeight="1">
      <c r="A378" s="123" t="s">
        <v>403</v>
      </c>
      <c r="B378" s="27" t="s">
        <v>882</v>
      </c>
      <c r="C378" s="124"/>
      <c r="D378" s="27"/>
      <c r="E378" s="27"/>
      <c r="F378" s="27"/>
      <c r="G378" s="125" t="s">
        <v>548</v>
      </c>
      <c r="H378" s="10">
        <v>45658.0</v>
      </c>
      <c r="I378" s="126" t="s">
        <v>549</v>
      </c>
      <c r="J378" s="38"/>
      <c r="K378" s="38"/>
      <c r="L378" s="127"/>
      <c r="M378" s="127"/>
      <c r="O378" s="128"/>
      <c r="P378" s="121"/>
      <c r="Q378" s="128"/>
      <c r="R378" s="128"/>
      <c r="S378" s="30"/>
      <c r="U378" s="30"/>
      <c r="V378" s="30"/>
    </row>
    <row r="379" ht="22.5" customHeight="1">
      <c r="A379" s="123" t="s">
        <v>403</v>
      </c>
      <c r="B379" s="27" t="s">
        <v>883</v>
      </c>
      <c r="C379" s="124"/>
      <c r="D379" s="27"/>
      <c r="E379" s="27"/>
      <c r="F379" s="27"/>
      <c r="G379" s="125" t="s">
        <v>551</v>
      </c>
      <c r="H379" s="10">
        <v>45658.0</v>
      </c>
      <c r="I379" s="126" t="s">
        <v>549</v>
      </c>
      <c r="J379" s="38"/>
      <c r="K379" s="38"/>
      <c r="L379" s="127"/>
      <c r="M379" s="127"/>
      <c r="O379" s="128"/>
      <c r="P379" s="121"/>
      <c r="Q379" s="128"/>
      <c r="R379" s="128"/>
      <c r="S379" s="30"/>
      <c r="U379" s="30"/>
      <c r="V379" s="30"/>
    </row>
    <row r="380" ht="22.5" customHeight="1">
      <c r="A380" s="123" t="s">
        <v>395</v>
      </c>
      <c r="B380" s="27" t="s">
        <v>885</v>
      </c>
      <c r="C380" s="124"/>
      <c r="D380" s="27"/>
      <c r="E380" s="27"/>
      <c r="F380" s="27"/>
      <c r="G380" s="125" t="s">
        <v>1114</v>
      </c>
      <c r="H380" s="10">
        <v>45658.0</v>
      </c>
      <c r="I380" s="126" t="s">
        <v>775</v>
      </c>
      <c r="J380" s="38"/>
      <c r="K380" s="38"/>
      <c r="L380" s="127"/>
      <c r="M380" s="127"/>
      <c r="O380" s="128"/>
      <c r="P380" s="121"/>
      <c r="Q380" s="128"/>
      <c r="R380" s="128"/>
      <c r="S380" s="30"/>
      <c r="U380" s="30"/>
      <c r="V380" s="30"/>
    </row>
    <row r="381" ht="22.5" customHeight="1">
      <c r="A381" s="123" t="s">
        <v>403</v>
      </c>
      <c r="B381" s="27" t="s">
        <v>882</v>
      </c>
      <c r="C381" s="124"/>
      <c r="D381" s="27"/>
      <c r="E381" s="27"/>
      <c r="F381" s="27"/>
      <c r="G381" s="125" t="s">
        <v>548</v>
      </c>
      <c r="H381" s="10">
        <v>45658.0</v>
      </c>
      <c r="I381" s="126" t="s">
        <v>549</v>
      </c>
      <c r="J381" s="38"/>
      <c r="K381" s="38"/>
      <c r="L381" s="127"/>
      <c r="M381" s="127"/>
      <c r="O381" s="128"/>
      <c r="P381" s="121"/>
      <c r="Q381" s="128"/>
      <c r="R381" s="128"/>
      <c r="S381" s="30"/>
      <c r="U381" s="30"/>
      <c r="V381" s="30"/>
    </row>
    <row r="382" ht="22.5" customHeight="1">
      <c r="A382" s="123" t="s">
        <v>403</v>
      </c>
      <c r="B382" s="27" t="s">
        <v>883</v>
      </c>
      <c r="C382" s="124"/>
      <c r="D382" s="27"/>
      <c r="E382" s="27"/>
      <c r="F382" s="27"/>
      <c r="G382" s="125" t="s">
        <v>551</v>
      </c>
      <c r="H382" s="10">
        <v>45658.0</v>
      </c>
      <c r="I382" s="126" t="s">
        <v>549</v>
      </c>
      <c r="J382" s="38"/>
      <c r="K382" s="38"/>
      <c r="L382" s="127"/>
      <c r="M382" s="127"/>
      <c r="O382" s="128"/>
      <c r="P382" s="121"/>
      <c r="Q382" s="128"/>
      <c r="R382" s="128"/>
      <c r="S382" s="30"/>
      <c r="U382" s="30"/>
      <c r="V382" s="30"/>
    </row>
    <row r="383" ht="22.5" customHeight="1">
      <c r="A383" s="123" t="s">
        <v>528</v>
      </c>
      <c r="B383" s="27" t="s">
        <v>886</v>
      </c>
      <c r="C383" s="124"/>
      <c r="D383" s="27"/>
      <c r="E383" s="27"/>
      <c r="F383" s="27"/>
      <c r="G383" s="125" t="s">
        <v>999</v>
      </c>
      <c r="H383" s="10">
        <v>45658.0</v>
      </c>
      <c r="I383" s="126" t="s">
        <v>625</v>
      </c>
      <c r="J383" s="38"/>
      <c r="K383" s="38"/>
      <c r="L383" s="127"/>
      <c r="M383" s="127"/>
      <c r="O383" s="128"/>
      <c r="P383" s="121"/>
      <c r="Q383" s="128"/>
      <c r="R383" s="128"/>
      <c r="S383" s="30"/>
      <c r="U383" s="30"/>
      <c r="V383" s="30"/>
    </row>
    <row r="384" ht="22.5" customHeight="1">
      <c r="A384" s="123" t="s">
        <v>528</v>
      </c>
      <c r="B384" s="27" t="s">
        <v>887</v>
      </c>
      <c r="C384" s="124"/>
      <c r="D384" s="27"/>
      <c r="E384" s="27"/>
      <c r="F384" s="27"/>
      <c r="G384" s="125" t="s">
        <v>1115</v>
      </c>
      <c r="H384" s="10">
        <v>45658.0</v>
      </c>
      <c r="I384" s="126" t="s">
        <v>888</v>
      </c>
      <c r="J384" s="38"/>
      <c r="K384" s="38"/>
      <c r="L384" s="127"/>
      <c r="M384" s="127"/>
      <c r="O384" s="128"/>
      <c r="P384" s="121"/>
      <c r="Q384" s="128"/>
      <c r="R384" s="128"/>
      <c r="S384" s="30"/>
      <c r="U384" s="30"/>
      <c r="V384" s="30"/>
    </row>
    <row r="385" ht="22.5" customHeight="1">
      <c r="A385" s="129"/>
      <c r="B385" s="27" t="s">
        <v>889</v>
      </c>
      <c r="C385" s="124"/>
      <c r="D385" s="27"/>
      <c r="E385" s="27"/>
      <c r="F385" s="27"/>
      <c r="G385" s="125" t="s">
        <v>1116</v>
      </c>
      <c r="H385" s="10">
        <v>45658.0</v>
      </c>
      <c r="I385" s="126" t="s">
        <v>648</v>
      </c>
      <c r="J385" s="38"/>
      <c r="K385" s="38"/>
      <c r="L385" s="127"/>
      <c r="M385" s="127"/>
      <c r="O385" s="128"/>
      <c r="P385" s="121"/>
      <c r="Q385" s="128"/>
      <c r="R385" s="128"/>
      <c r="S385" s="30"/>
      <c r="U385" s="30"/>
      <c r="V385" s="30"/>
    </row>
    <row r="386" ht="22.5" customHeight="1">
      <c r="A386" s="123" t="s">
        <v>403</v>
      </c>
      <c r="B386" s="27" t="s">
        <v>882</v>
      </c>
      <c r="C386" s="124"/>
      <c r="D386" s="27"/>
      <c r="E386" s="27"/>
      <c r="F386" s="27"/>
      <c r="G386" s="125" t="s">
        <v>548</v>
      </c>
      <c r="H386" s="10">
        <v>45658.0</v>
      </c>
      <c r="I386" s="126" t="s">
        <v>549</v>
      </c>
      <c r="J386" s="38"/>
      <c r="K386" s="38"/>
      <c r="L386" s="127"/>
      <c r="M386" s="127"/>
      <c r="O386" s="128"/>
      <c r="P386" s="121"/>
      <c r="Q386" s="128"/>
      <c r="R386" s="128"/>
      <c r="S386" s="30"/>
      <c r="U386" s="30"/>
      <c r="V386" s="30"/>
    </row>
    <row r="387" ht="22.5" customHeight="1">
      <c r="A387" s="123" t="s">
        <v>403</v>
      </c>
      <c r="B387" s="27" t="s">
        <v>883</v>
      </c>
      <c r="C387" s="124"/>
      <c r="D387" s="27"/>
      <c r="E387" s="27"/>
      <c r="F387" s="27"/>
      <c r="G387" s="125" t="s">
        <v>551</v>
      </c>
      <c r="H387" s="10">
        <v>45658.0</v>
      </c>
      <c r="I387" s="126" t="s">
        <v>549</v>
      </c>
      <c r="J387" s="38"/>
      <c r="K387" s="38"/>
      <c r="L387" s="127"/>
      <c r="M387" s="127"/>
      <c r="O387" s="128"/>
      <c r="P387" s="121"/>
      <c r="Q387" s="128"/>
      <c r="R387" s="128"/>
      <c r="S387" s="30"/>
      <c r="U387" s="30"/>
      <c r="V387" s="30"/>
    </row>
    <row r="388" ht="22.5" customHeight="1">
      <c r="A388" s="123" t="s">
        <v>18</v>
      </c>
      <c r="B388" s="27" t="s">
        <v>890</v>
      </c>
      <c r="C388" s="124"/>
      <c r="D388" s="27"/>
      <c r="E388" s="27"/>
      <c r="F388" s="27"/>
      <c r="G388" s="125" t="s">
        <v>1117</v>
      </c>
      <c r="H388" s="10">
        <v>45658.0</v>
      </c>
      <c r="I388" s="126" t="s">
        <v>586</v>
      </c>
      <c r="J388" s="38"/>
      <c r="K388" s="38"/>
      <c r="L388" s="127"/>
      <c r="M388" s="127"/>
      <c r="O388" s="128"/>
      <c r="P388" s="121"/>
      <c r="Q388" s="128"/>
      <c r="R388" s="128"/>
      <c r="S388" s="30"/>
      <c r="U388" s="30"/>
      <c r="V388" s="30"/>
    </row>
    <row r="389" ht="22.5" customHeight="1">
      <c r="A389" s="123" t="s">
        <v>403</v>
      </c>
      <c r="B389" s="27" t="s">
        <v>892</v>
      </c>
      <c r="C389" s="124"/>
      <c r="D389" s="27"/>
      <c r="E389" s="27"/>
      <c r="F389" s="27"/>
      <c r="G389" s="125" t="s">
        <v>548</v>
      </c>
      <c r="H389" s="10">
        <v>45658.0</v>
      </c>
      <c r="I389" s="126" t="s">
        <v>549</v>
      </c>
      <c r="J389" s="38"/>
      <c r="K389" s="38"/>
      <c r="L389" s="127"/>
      <c r="M389" s="127"/>
      <c r="O389" s="128"/>
      <c r="P389" s="121"/>
      <c r="Q389" s="128"/>
      <c r="R389" s="128"/>
      <c r="S389" s="30"/>
      <c r="U389" s="30"/>
      <c r="V389" s="30"/>
    </row>
    <row r="390" ht="22.5" customHeight="1">
      <c r="A390" s="123" t="s">
        <v>403</v>
      </c>
      <c r="B390" s="27" t="s">
        <v>893</v>
      </c>
      <c r="C390" s="124"/>
      <c r="D390" s="27"/>
      <c r="E390" s="27"/>
      <c r="F390" s="27"/>
      <c r="G390" s="125" t="s">
        <v>551</v>
      </c>
      <c r="H390" s="10">
        <v>45658.0</v>
      </c>
      <c r="I390" s="126" t="s">
        <v>549</v>
      </c>
      <c r="J390" s="38"/>
      <c r="K390" s="38"/>
      <c r="L390" s="127"/>
      <c r="M390" s="127"/>
      <c r="O390" s="128"/>
      <c r="P390" s="121"/>
      <c r="Q390" s="128"/>
      <c r="R390" s="128"/>
      <c r="S390" s="30"/>
      <c r="U390" s="30"/>
      <c r="V390" s="30"/>
    </row>
    <row r="391" ht="22.5" customHeight="1">
      <c r="A391" s="123" t="s">
        <v>18</v>
      </c>
      <c r="B391" s="27" t="s">
        <v>894</v>
      </c>
      <c r="C391" s="124"/>
      <c r="D391" s="27"/>
      <c r="E391" s="27"/>
      <c r="F391" s="27"/>
      <c r="G391" s="125" t="s">
        <v>1118</v>
      </c>
      <c r="H391" s="10">
        <v>45658.0</v>
      </c>
      <c r="I391" s="126" t="s">
        <v>586</v>
      </c>
      <c r="J391" s="38"/>
      <c r="K391" s="38"/>
      <c r="L391" s="127"/>
      <c r="M391" s="127"/>
      <c r="O391" s="128"/>
      <c r="P391" s="121"/>
      <c r="Q391" s="128"/>
      <c r="R391" s="128"/>
      <c r="S391" s="30"/>
      <c r="U391" s="30"/>
      <c r="V391" s="30"/>
    </row>
    <row r="392" ht="22.5" customHeight="1">
      <c r="A392" s="123" t="s">
        <v>403</v>
      </c>
      <c r="B392" s="27" t="s">
        <v>896</v>
      </c>
      <c r="C392" s="124"/>
      <c r="D392" s="27"/>
      <c r="E392" s="27"/>
      <c r="F392" s="27"/>
      <c r="G392" s="125" t="s">
        <v>548</v>
      </c>
      <c r="H392" s="10">
        <v>45658.0</v>
      </c>
      <c r="I392" s="126" t="s">
        <v>549</v>
      </c>
      <c r="J392" s="38"/>
      <c r="K392" s="38"/>
      <c r="L392" s="127"/>
      <c r="M392" s="127"/>
      <c r="O392" s="128"/>
      <c r="P392" s="121"/>
      <c r="Q392" s="128"/>
      <c r="R392" s="128"/>
      <c r="S392" s="30"/>
      <c r="U392" s="30"/>
      <c r="V392" s="30"/>
    </row>
    <row r="393" ht="22.5" customHeight="1">
      <c r="A393" s="123" t="s">
        <v>403</v>
      </c>
      <c r="B393" s="27" t="s">
        <v>897</v>
      </c>
      <c r="C393" s="124"/>
      <c r="D393" s="27"/>
      <c r="E393" s="27"/>
      <c r="F393" s="27"/>
      <c r="G393" s="125" t="s">
        <v>551</v>
      </c>
      <c r="H393" s="10">
        <v>45658.0</v>
      </c>
      <c r="I393" s="126" t="s">
        <v>549</v>
      </c>
      <c r="J393" s="38"/>
      <c r="K393" s="38"/>
      <c r="L393" s="127"/>
      <c r="M393" s="127"/>
      <c r="O393" s="128"/>
      <c r="P393" s="121"/>
      <c r="Q393" s="128"/>
      <c r="R393" s="128"/>
      <c r="S393" s="30"/>
      <c r="U393" s="30"/>
      <c r="V393" s="30"/>
    </row>
    <row r="394" ht="22.5" customHeight="1">
      <c r="A394" s="123" t="s">
        <v>385</v>
      </c>
      <c r="B394" s="27" t="s">
        <v>898</v>
      </c>
      <c r="C394" s="132" t="s">
        <v>31</v>
      </c>
      <c r="D394" s="27" t="s">
        <v>187</v>
      </c>
      <c r="E394" s="27"/>
      <c r="F394" s="27"/>
      <c r="G394" s="125" t="s">
        <v>977</v>
      </c>
      <c r="H394" s="10">
        <v>45658.0</v>
      </c>
      <c r="I394" s="126" t="s">
        <v>899</v>
      </c>
      <c r="J394" s="38"/>
      <c r="K394" s="38"/>
      <c r="L394" s="127"/>
      <c r="M394" s="127"/>
      <c r="O394" s="128"/>
      <c r="P394" s="121"/>
      <c r="Q394" s="128"/>
      <c r="R394" s="128"/>
      <c r="S394" s="30"/>
      <c r="U394" s="30"/>
      <c r="V394" s="30"/>
    </row>
    <row r="395" ht="22.5" customHeight="1">
      <c r="A395" s="123" t="s">
        <v>403</v>
      </c>
      <c r="B395" s="27" t="s">
        <v>892</v>
      </c>
      <c r="C395" s="124"/>
      <c r="D395" s="27"/>
      <c r="E395" s="27"/>
      <c r="F395" s="27"/>
      <c r="G395" s="125" t="s">
        <v>548</v>
      </c>
      <c r="H395" s="10">
        <v>45658.0</v>
      </c>
      <c r="I395" s="126" t="s">
        <v>549</v>
      </c>
      <c r="J395" s="38"/>
      <c r="K395" s="38"/>
      <c r="L395" s="127"/>
      <c r="M395" s="127"/>
      <c r="O395" s="128"/>
      <c r="P395" s="121"/>
      <c r="Q395" s="128"/>
      <c r="R395" s="128"/>
      <c r="S395" s="30"/>
      <c r="U395" s="30"/>
      <c r="V395" s="30"/>
    </row>
    <row r="396" ht="22.5" customHeight="1">
      <c r="A396" s="123" t="s">
        <v>403</v>
      </c>
      <c r="B396" s="27" t="s">
        <v>893</v>
      </c>
      <c r="C396" s="124"/>
      <c r="D396" s="27"/>
      <c r="E396" s="27"/>
      <c r="F396" s="27"/>
      <c r="G396" s="125" t="s">
        <v>551</v>
      </c>
      <c r="H396" s="10">
        <v>45658.0</v>
      </c>
      <c r="I396" s="126" t="s">
        <v>549</v>
      </c>
      <c r="J396" s="38"/>
      <c r="K396" s="38"/>
      <c r="L396" s="127"/>
      <c r="M396" s="127"/>
      <c r="O396" s="128"/>
      <c r="P396" s="121"/>
      <c r="Q396" s="128"/>
      <c r="R396" s="128"/>
      <c r="S396" s="30"/>
      <c r="U396" s="30"/>
      <c r="V396" s="30"/>
    </row>
    <row r="397" ht="22.5" customHeight="1">
      <c r="A397" s="129"/>
      <c r="B397" s="27" t="s">
        <v>900</v>
      </c>
      <c r="C397" s="124"/>
      <c r="D397" s="27"/>
      <c r="E397" s="27"/>
      <c r="F397" s="27"/>
      <c r="G397" s="125" t="s">
        <v>1119</v>
      </c>
      <c r="H397" s="10">
        <v>45658.0</v>
      </c>
      <c r="I397" s="126" t="s">
        <v>901</v>
      </c>
      <c r="J397" s="38"/>
      <c r="K397" s="38"/>
      <c r="L397" s="127"/>
      <c r="M397" s="127"/>
      <c r="O397" s="128"/>
      <c r="P397" s="121"/>
      <c r="Q397" s="128"/>
      <c r="R397" s="128"/>
      <c r="S397" s="30"/>
      <c r="U397" s="30"/>
      <c r="V397" s="30"/>
    </row>
    <row r="398" ht="22.5" customHeight="1">
      <c r="A398" s="123" t="s">
        <v>403</v>
      </c>
      <c r="B398" s="27" t="s">
        <v>892</v>
      </c>
      <c r="C398" s="124"/>
      <c r="D398" s="27"/>
      <c r="E398" s="27"/>
      <c r="F398" s="27"/>
      <c r="G398" s="125" t="s">
        <v>548</v>
      </c>
      <c r="H398" s="10">
        <v>45658.0</v>
      </c>
      <c r="I398" s="126" t="s">
        <v>549</v>
      </c>
      <c r="J398" s="38"/>
      <c r="K398" s="38"/>
      <c r="L398" s="127"/>
      <c r="M398" s="127"/>
      <c r="O398" s="128"/>
      <c r="P398" s="121"/>
      <c r="Q398" s="128"/>
      <c r="R398" s="128"/>
      <c r="S398" s="30"/>
      <c r="U398" s="30"/>
      <c r="V398" s="30"/>
    </row>
    <row r="399" ht="22.5" customHeight="1">
      <c r="A399" s="123" t="s">
        <v>403</v>
      </c>
      <c r="B399" s="27" t="s">
        <v>893</v>
      </c>
      <c r="C399" s="124"/>
      <c r="D399" s="27"/>
      <c r="E399" s="27"/>
      <c r="F399" s="27"/>
      <c r="G399" s="125" t="s">
        <v>551</v>
      </c>
      <c r="H399" s="10">
        <v>45658.0</v>
      </c>
      <c r="I399" s="126" t="s">
        <v>549</v>
      </c>
      <c r="J399" s="38"/>
      <c r="K399" s="38"/>
      <c r="L399" s="127"/>
      <c r="M399" s="127"/>
      <c r="O399" s="128"/>
      <c r="P399" s="121"/>
      <c r="Q399" s="128"/>
      <c r="R399" s="128"/>
      <c r="S399" s="30"/>
      <c r="U399" s="30"/>
      <c r="V399" s="30"/>
    </row>
    <row r="400" ht="22.5" customHeight="1">
      <c r="A400" s="129"/>
      <c r="B400" s="27" t="s">
        <v>902</v>
      </c>
      <c r="C400" s="124"/>
      <c r="D400" s="27"/>
      <c r="E400" s="27"/>
      <c r="F400" s="27"/>
      <c r="G400" s="125" t="s">
        <v>1062</v>
      </c>
      <c r="H400" s="10">
        <v>45658.0</v>
      </c>
      <c r="I400" s="4" t="s">
        <v>903</v>
      </c>
      <c r="J400" s="38"/>
      <c r="K400" s="38"/>
      <c r="L400" s="127"/>
      <c r="M400" s="127"/>
      <c r="O400" s="128"/>
      <c r="P400" s="121"/>
      <c r="Q400" s="128"/>
      <c r="R400" s="128"/>
      <c r="S400" s="30"/>
      <c r="U400" s="30"/>
      <c r="V400" s="30"/>
    </row>
    <row r="401" ht="22.5" customHeight="1">
      <c r="A401" s="123" t="s">
        <v>403</v>
      </c>
      <c r="B401" s="27" t="s">
        <v>892</v>
      </c>
      <c r="C401" s="124"/>
      <c r="D401" s="27"/>
      <c r="E401" s="27"/>
      <c r="F401" s="27"/>
      <c r="G401" s="125" t="s">
        <v>548</v>
      </c>
      <c r="H401" s="10">
        <v>45658.0</v>
      </c>
      <c r="I401" s="126" t="s">
        <v>549</v>
      </c>
      <c r="J401" s="38"/>
      <c r="K401" s="38"/>
      <c r="L401" s="127"/>
      <c r="M401" s="127"/>
      <c r="O401" s="128"/>
      <c r="P401" s="121"/>
      <c r="Q401" s="128"/>
      <c r="R401" s="128"/>
      <c r="S401" s="30"/>
      <c r="U401" s="30"/>
      <c r="V401" s="30"/>
    </row>
    <row r="402" ht="22.5" customHeight="1">
      <c r="A402" s="123" t="s">
        <v>403</v>
      </c>
      <c r="B402" s="27" t="s">
        <v>893</v>
      </c>
      <c r="C402" s="124"/>
      <c r="D402" s="27"/>
      <c r="E402" s="27"/>
      <c r="F402" s="27"/>
      <c r="G402" s="125" t="s">
        <v>551</v>
      </c>
      <c r="H402" s="10">
        <v>45658.0</v>
      </c>
      <c r="I402" s="126" t="s">
        <v>549</v>
      </c>
      <c r="J402" s="38"/>
      <c r="K402" s="38"/>
      <c r="L402" s="127"/>
      <c r="M402" s="127"/>
      <c r="O402" s="128"/>
      <c r="P402" s="121"/>
      <c r="Q402" s="128"/>
      <c r="R402" s="128"/>
      <c r="S402" s="30"/>
      <c r="U402" s="30"/>
      <c r="V402" s="30"/>
    </row>
    <row r="403" ht="22.5" customHeight="1">
      <c r="A403" s="123" t="s">
        <v>479</v>
      </c>
      <c r="B403" s="27" t="s">
        <v>904</v>
      </c>
      <c r="C403" s="124"/>
      <c r="D403" s="27"/>
      <c r="E403" s="27"/>
      <c r="F403" s="27"/>
      <c r="G403" s="125" t="s">
        <v>1120</v>
      </c>
      <c r="H403" s="10">
        <v>45658.0</v>
      </c>
      <c r="I403" s="126" t="s">
        <v>631</v>
      </c>
      <c r="J403" s="38"/>
      <c r="K403" s="38"/>
      <c r="L403" s="127"/>
      <c r="M403" s="127"/>
      <c r="O403" s="128"/>
      <c r="P403" s="121"/>
      <c r="Q403" s="128"/>
      <c r="R403" s="128"/>
      <c r="S403" s="30"/>
      <c r="U403" s="30"/>
      <c r="V403" s="30"/>
    </row>
    <row r="404" ht="22.5" customHeight="1">
      <c r="A404" s="123" t="s">
        <v>403</v>
      </c>
      <c r="B404" s="27" t="s">
        <v>892</v>
      </c>
      <c r="C404" s="124"/>
      <c r="D404" s="27"/>
      <c r="E404" s="27"/>
      <c r="F404" s="27"/>
      <c r="G404" s="125" t="s">
        <v>548</v>
      </c>
      <c r="H404" s="10">
        <v>45658.0</v>
      </c>
      <c r="I404" s="126" t="s">
        <v>549</v>
      </c>
      <c r="J404" s="38"/>
      <c r="K404" s="38"/>
      <c r="L404" s="127"/>
      <c r="M404" s="127"/>
      <c r="O404" s="128"/>
      <c r="P404" s="121"/>
      <c r="Q404" s="128"/>
      <c r="R404" s="128"/>
      <c r="S404" s="30"/>
      <c r="U404" s="30"/>
      <c r="V404" s="30"/>
    </row>
    <row r="405" ht="22.5" customHeight="1">
      <c r="A405" s="123" t="s">
        <v>403</v>
      </c>
      <c r="B405" s="27" t="s">
        <v>893</v>
      </c>
      <c r="C405" s="124"/>
      <c r="D405" s="27"/>
      <c r="E405" s="27"/>
      <c r="F405" s="27"/>
      <c r="G405" s="125" t="s">
        <v>551</v>
      </c>
      <c r="H405" s="10">
        <v>45658.0</v>
      </c>
      <c r="I405" s="126" t="s">
        <v>549</v>
      </c>
      <c r="J405" s="38"/>
      <c r="K405" s="38"/>
      <c r="L405" s="127"/>
      <c r="M405" s="127"/>
      <c r="O405" s="128"/>
      <c r="P405" s="121"/>
      <c r="Q405" s="128"/>
      <c r="R405" s="128"/>
      <c r="S405" s="30"/>
      <c r="U405" s="30"/>
      <c r="V405" s="30"/>
    </row>
    <row r="406" ht="22.5" customHeight="1">
      <c r="A406" s="123" t="s">
        <v>471</v>
      </c>
      <c r="B406" s="27" t="s">
        <v>906</v>
      </c>
      <c r="C406" s="124"/>
      <c r="D406" s="27"/>
      <c r="E406" s="27"/>
      <c r="F406" s="27"/>
      <c r="G406" s="125" t="s">
        <v>1121</v>
      </c>
      <c r="H406" s="10">
        <v>45658.0</v>
      </c>
      <c r="I406" s="126" t="s">
        <v>815</v>
      </c>
      <c r="J406" s="38"/>
      <c r="K406" s="38"/>
      <c r="L406" s="127"/>
      <c r="M406" s="127"/>
      <c r="O406" s="128"/>
      <c r="P406" s="121"/>
      <c r="Q406" s="128"/>
      <c r="R406" s="128"/>
      <c r="S406" s="30"/>
      <c r="U406" s="30"/>
      <c r="V406" s="30"/>
    </row>
    <row r="407" ht="22.5" customHeight="1">
      <c r="A407" s="123" t="s">
        <v>403</v>
      </c>
      <c r="B407" s="27" t="s">
        <v>892</v>
      </c>
      <c r="C407" s="124"/>
      <c r="D407" s="27"/>
      <c r="E407" s="27"/>
      <c r="F407" s="27"/>
      <c r="G407" s="125" t="s">
        <v>548</v>
      </c>
      <c r="H407" s="10">
        <v>45658.0</v>
      </c>
      <c r="I407" s="126" t="s">
        <v>549</v>
      </c>
      <c r="J407" s="38"/>
      <c r="K407" s="38"/>
      <c r="L407" s="127"/>
      <c r="M407" s="127"/>
      <c r="O407" s="128"/>
      <c r="P407" s="121"/>
      <c r="Q407" s="128"/>
      <c r="R407" s="128"/>
      <c r="S407" s="30"/>
      <c r="U407" s="30"/>
      <c r="V407" s="30"/>
    </row>
    <row r="408" ht="22.5" customHeight="1">
      <c r="A408" s="123" t="s">
        <v>403</v>
      </c>
      <c r="B408" s="27" t="s">
        <v>893</v>
      </c>
      <c r="C408" s="124"/>
      <c r="D408" s="27"/>
      <c r="E408" s="27"/>
      <c r="F408" s="27"/>
      <c r="G408" s="125" t="s">
        <v>551</v>
      </c>
      <c r="H408" s="10">
        <v>45658.0</v>
      </c>
      <c r="I408" s="126" t="s">
        <v>549</v>
      </c>
      <c r="J408" s="38"/>
      <c r="K408" s="38"/>
      <c r="L408" s="127"/>
      <c r="M408" s="127"/>
      <c r="O408" s="128"/>
      <c r="P408" s="121"/>
      <c r="Q408" s="128"/>
      <c r="R408" s="128"/>
      <c r="S408" s="30"/>
      <c r="U408" s="30"/>
      <c r="V408" s="30"/>
    </row>
    <row r="409" ht="22.5" customHeight="1">
      <c r="A409" s="123" t="s">
        <v>395</v>
      </c>
      <c r="B409" s="27" t="s">
        <v>908</v>
      </c>
      <c r="C409" s="124"/>
      <c r="D409" s="27"/>
      <c r="E409" s="27"/>
      <c r="F409" s="27"/>
      <c r="G409" s="125" t="s">
        <v>1122</v>
      </c>
      <c r="H409" s="10">
        <v>45658.0</v>
      </c>
      <c r="I409" s="126" t="s">
        <v>658</v>
      </c>
      <c r="J409" s="38"/>
      <c r="K409" s="38"/>
      <c r="L409" s="127"/>
      <c r="M409" s="127"/>
      <c r="O409" s="128"/>
      <c r="P409" s="121"/>
      <c r="Q409" s="128"/>
      <c r="R409" s="128"/>
      <c r="S409" s="30"/>
      <c r="U409" s="30"/>
      <c r="V409" s="30"/>
    </row>
    <row r="410" ht="22.5" customHeight="1">
      <c r="A410" s="123" t="s">
        <v>403</v>
      </c>
      <c r="B410" s="27" t="s">
        <v>896</v>
      </c>
      <c r="C410" s="124"/>
      <c r="D410" s="27"/>
      <c r="E410" s="27"/>
      <c r="F410" s="27"/>
      <c r="G410" s="125" t="s">
        <v>548</v>
      </c>
      <c r="H410" s="10">
        <v>45658.0</v>
      </c>
      <c r="I410" s="126" t="s">
        <v>549</v>
      </c>
      <c r="J410" s="38"/>
      <c r="K410" s="38"/>
      <c r="L410" s="127"/>
      <c r="M410" s="127"/>
      <c r="O410" s="128"/>
      <c r="P410" s="121"/>
      <c r="Q410" s="128"/>
      <c r="R410" s="128"/>
      <c r="S410" s="30"/>
      <c r="U410" s="30"/>
      <c r="V410" s="30"/>
    </row>
    <row r="411" ht="22.5" customHeight="1">
      <c r="A411" s="123" t="s">
        <v>403</v>
      </c>
      <c r="B411" s="27" t="s">
        <v>897</v>
      </c>
      <c r="C411" s="124"/>
      <c r="D411" s="27"/>
      <c r="E411" s="27"/>
      <c r="F411" s="27"/>
      <c r="G411" s="125" t="s">
        <v>551</v>
      </c>
      <c r="H411" s="10">
        <v>45658.0</v>
      </c>
      <c r="I411" s="126" t="s">
        <v>549</v>
      </c>
      <c r="J411" s="38"/>
      <c r="K411" s="38"/>
      <c r="L411" s="127"/>
      <c r="M411" s="127"/>
      <c r="O411" s="128"/>
      <c r="P411" s="121"/>
      <c r="Q411" s="128"/>
      <c r="R411" s="128"/>
      <c r="S411" s="30"/>
      <c r="U411" s="30"/>
      <c r="V411" s="30"/>
    </row>
    <row r="412" ht="22.5" customHeight="1">
      <c r="A412" s="123" t="s">
        <v>483</v>
      </c>
      <c r="B412" s="131" t="s">
        <v>910</v>
      </c>
      <c r="C412" s="124"/>
      <c r="D412" s="27"/>
      <c r="E412" s="27"/>
      <c r="F412" s="27"/>
      <c r="G412" s="125" t="s">
        <v>1123</v>
      </c>
      <c r="H412" s="10">
        <v>45658.0</v>
      </c>
      <c r="I412" s="126" t="s">
        <v>911</v>
      </c>
      <c r="J412" s="38"/>
      <c r="K412" s="38"/>
      <c r="L412" s="127"/>
      <c r="M412" s="127"/>
      <c r="O412" s="128"/>
      <c r="P412" s="121"/>
      <c r="Q412" s="128"/>
      <c r="R412" s="128"/>
      <c r="S412" s="38"/>
      <c r="U412" s="30"/>
      <c r="V412" s="30"/>
    </row>
    <row r="413" ht="22.5" customHeight="1">
      <c r="A413" s="123" t="s">
        <v>403</v>
      </c>
      <c r="B413" s="27" t="s">
        <v>892</v>
      </c>
      <c r="C413" s="124"/>
      <c r="D413" s="27"/>
      <c r="E413" s="27"/>
      <c r="F413" s="27"/>
      <c r="G413" s="125" t="s">
        <v>548</v>
      </c>
      <c r="H413" s="10">
        <v>45658.0</v>
      </c>
      <c r="I413" s="126" t="s">
        <v>549</v>
      </c>
      <c r="J413" s="38"/>
      <c r="K413" s="38"/>
      <c r="L413" s="127"/>
      <c r="M413" s="127"/>
      <c r="O413" s="128"/>
      <c r="P413" s="121"/>
      <c r="Q413" s="128"/>
      <c r="R413" s="128"/>
      <c r="S413" s="30"/>
      <c r="U413" s="30"/>
      <c r="V413" s="30"/>
    </row>
    <row r="414" ht="22.5" customHeight="1">
      <c r="A414" s="123" t="s">
        <v>403</v>
      </c>
      <c r="B414" s="27" t="s">
        <v>893</v>
      </c>
      <c r="C414" s="124"/>
      <c r="D414" s="27"/>
      <c r="E414" s="27"/>
      <c r="F414" s="27"/>
      <c r="G414" s="125" t="s">
        <v>551</v>
      </c>
      <c r="H414" s="10">
        <v>45658.0</v>
      </c>
      <c r="I414" s="126" t="s">
        <v>549</v>
      </c>
      <c r="J414" s="38"/>
      <c r="K414" s="38"/>
      <c r="L414" s="127"/>
      <c r="M414" s="127"/>
      <c r="O414" s="128"/>
      <c r="P414" s="121"/>
      <c r="Q414" s="128"/>
      <c r="R414" s="128"/>
      <c r="S414" s="30"/>
      <c r="U414" s="30"/>
      <c r="V414" s="30"/>
    </row>
    <row r="415" ht="22.5" customHeight="1">
      <c r="A415" s="129"/>
      <c r="B415" s="27" t="s">
        <v>912</v>
      </c>
      <c r="C415" s="124"/>
      <c r="D415" s="27"/>
      <c r="E415" s="27"/>
      <c r="F415" s="27"/>
      <c r="G415" s="125" t="s">
        <v>1124</v>
      </c>
      <c r="H415" s="10">
        <v>45658.0</v>
      </c>
      <c r="I415" s="126" t="s">
        <v>648</v>
      </c>
      <c r="J415" s="38"/>
      <c r="K415" s="38"/>
      <c r="L415" s="127"/>
      <c r="M415" s="127"/>
      <c r="O415" s="128"/>
      <c r="P415" s="121"/>
      <c r="Q415" s="128"/>
      <c r="R415" s="128"/>
      <c r="S415" s="30"/>
      <c r="U415" s="30"/>
      <c r="V415" s="30"/>
    </row>
    <row r="416" ht="22.5" customHeight="1">
      <c r="A416" s="123" t="s">
        <v>403</v>
      </c>
      <c r="B416" s="27" t="s">
        <v>892</v>
      </c>
      <c r="C416" s="124"/>
      <c r="D416" s="27"/>
      <c r="E416" s="27"/>
      <c r="F416" s="27"/>
      <c r="G416" s="125" t="s">
        <v>548</v>
      </c>
      <c r="H416" s="10">
        <v>45658.0</v>
      </c>
      <c r="I416" s="126" t="s">
        <v>549</v>
      </c>
      <c r="J416" s="38"/>
      <c r="K416" s="38"/>
      <c r="L416" s="127"/>
      <c r="M416" s="127"/>
      <c r="O416" s="128"/>
      <c r="P416" s="121"/>
      <c r="Q416" s="128"/>
      <c r="R416" s="128"/>
      <c r="S416" s="30"/>
      <c r="U416" s="30"/>
      <c r="V416" s="30"/>
    </row>
    <row r="417" ht="22.5" customHeight="1">
      <c r="A417" s="123" t="s">
        <v>403</v>
      </c>
      <c r="B417" s="27" t="s">
        <v>893</v>
      </c>
      <c r="C417" s="124"/>
      <c r="D417" s="27"/>
      <c r="E417" s="27"/>
      <c r="F417" s="27"/>
      <c r="G417" s="125" t="s">
        <v>551</v>
      </c>
      <c r="H417" s="10">
        <v>45658.0</v>
      </c>
      <c r="I417" s="126" t="s">
        <v>549</v>
      </c>
      <c r="J417" s="38"/>
      <c r="K417" s="38"/>
      <c r="L417" s="127"/>
      <c r="M417" s="127"/>
      <c r="O417" s="128"/>
      <c r="P417" s="121"/>
      <c r="Q417" s="128"/>
      <c r="R417" s="128"/>
      <c r="S417" s="30"/>
      <c r="U417" s="30"/>
      <c r="V417" s="30"/>
    </row>
    <row r="418" ht="22.5" customHeight="1">
      <c r="A418" s="123" t="s">
        <v>18</v>
      </c>
      <c r="B418" s="27" t="s">
        <v>913</v>
      </c>
      <c r="C418" s="124"/>
      <c r="D418" s="27"/>
      <c r="E418" s="27"/>
      <c r="F418" s="27"/>
      <c r="G418" s="125" t="s">
        <v>1125</v>
      </c>
      <c r="H418" s="10">
        <v>45658.0</v>
      </c>
      <c r="I418" s="126" t="s">
        <v>586</v>
      </c>
      <c r="J418" s="38"/>
      <c r="K418" s="38"/>
      <c r="L418" s="127"/>
      <c r="M418" s="127"/>
      <c r="O418" s="128"/>
      <c r="P418" s="121"/>
      <c r="Q418" s="128"/>
      <c r="R418" s="128"/>
      <c r="S418" s="30"/>
      <c r="U418" s="30"/>
      <c r="V418" s="30"/>
    </row>
    <row r="419" ht="22.5" customHeight="1">
      <c r="A419" s="123" t="s">
        <v>403</v>
      </c>
      <c r="B419" s="27" t="s">
        <v>892</v>
      </c>
      <c r="C419" s="124"/>
      <c r="D419" s="27"/>
      <c r="E419" s="27"/>
      <c r="F419" s="27"/>
      <c r="G419" s="125" t="s">
        <v>548</v>
      </c>
      <c r="H419" s="10">
        <v>45658.0</v>
      </c>
      <c r="I419" s="126" t="s">
        <v>549</v>
      </c>
      <c r="J419" s="38"/>
      <c r="K419" s="38"/>
      <c r="L419" s="127"/>
      <c r="M419" s="127"/>
      <c r="O419" s="128"/>
      <c r="P419" s="121"/>
      <c r="Q419" s="128"/>
      <c r="R419" s="128"/>
      <c r="S419" s="30"/>
      <c r="U419" s="30"/>
      <c r="V419" s="30"/>
    </row>
    <row r="420" ht="22.5" customHeight="1">
      <c r="A420" s="123" t="s">
        <v>403</v>
      </c>
      <c r="B420" s="27" t="s">
        <v>893</v>
      </c>
      <c r="C420" s="124"/>
      <c r="D420" s="27"/>
      <c r="E420" s="27"/>
      <c r="F420" s="27"/>
      <c r="G420" s="125" t="s">
        <v>551</v>
      </c>
      <c r="H420" s="10">
        <v>45658.0</v>
      </c>
      <c r="I420" s="126" t="s">
        <v>549</v>
      </c>
      <c r="J420" s="38"/>
      <c r="K420" s="38"/>
      <c r="L420" s="127"/>
      <c r="M420" s="127"/>
      <c r="O420" s="128"/>
      <c r="P420" s="121"/>
      <c r="Q420" s="128"/>
      <c r="R420" s="128"/>
      <c r="S420" s="30"/>
      <c r="U420" s="30"/>
      <c r="V420" s="30"/>
    </row>
    <row r="421" ht="22.5" customHeight="1">
      <c r="A421" s="123" t="s">
        <v>422</v>
      </c>
      <c r="B421" s="27" t="s">
        <v>915</v>
      </c>
      <c r="C421" s="124"/>
      <c r="D421" s="27"/>
      <c r="E421" s="27"/>
      <c r="F421" s="27"/>
      <c r="G421" s="125" t="s">
        <v>1126</v>
      </c>
      <c r="H421" s="10">
        <v>45658.0</v>
      </c>
      <c r="I421" s="126" t="s">
        <v>917</v>
      </c>
      <c r="J421" s="38"/>
      <c r="K421" s="38"/>
      <c r="L421" s="127"/>
      <c r="M421" s="127"/>
      <c r="O421" s="128"/>
      <c r="P421" s="121"/>
      <c r="Q421" s="128"/>
      <c r="R421" s="128"/>
      <c r="S421" s="30"/>
      <c r="U421" s="30"/>
      <c r="V421" s="30"/>
    </row>
    <row r="422" ht="22.5" customHeight="1">
      <c r="A422" s="123" t="s">
        <v>349</v>
      </c>
      <c r="B422" s="27" t="s">
        <v>918</v>
      </c>
      <c r="C422" s="124"/>
      <c r="D422" s="27"/>
      <c r="E422" s="27"/>
      <c r="F422" s="27"/>
      <c r="G422" s="125" t="s">
        <v>1127</v>
      </c>
      <c r="H422" s="10">
        <v>45658.0</v>
      </c>
      <c r="I422" s="126" t="s">
        <v>546</v>
      </c>
      <c r="J422" s="38"/>
      <c r="K422" s="38"/>
      <c r="L422" s="127"/>
      <c r="M422" s="127"/>
      <c r="O422" s="128"/>
      <c r="P422" s="121"/>
      <c r="Q422" s="128"/>
      <c r="R422" s="128"/>
      <c r="S422" s="30"/>
      <c r="U422" s="30"/>
      <c r="V422" s="30"/>
    </row>
    <row r="423" ht="22.5" customHeight="1">
      <c r="A423" s="123" t="s">
        <v>403</v>
      </c>
      <c r="B423" s="27" t="s">
        <v>920</v>
      </c>
      <c r="C423" s="124"/>
      <c r="D423" s="27"/>
      <c r="E423" s="27"/>
      <c r="F423" s="27"/>
      <c r="G423" s="125" t="s">
        <v>548</v>
      </c>
      <c r="H423" s="10">
        <v>45658.0</v>
      </c>
      <c r="I423" s="126" t="s">
        <v>549</v>
      </c>
      <c r="J423" s="38"/>
      <c r="K423" s="38"/>
      <c r="L423" s="127"/>
      <c r="M423" s="127"/>
      <c r="O423" s="128"/>
      <c r="P423" s="121"/>
      <c r="Q423" s="128"/>
      <c r="R423" s="128"/>
      <c r="S423" s="30"/>
      <c r="U423" s="30"/>
      <c r="V423" s="30"/>
    </row>
    <row r="424" ht="22.5" customHeight="1">
      <c r="A424" s="123" t="s">
        <v>403</v>
      </c>
      <c r="B424" s="27" t="s">
        <v>921</v>
      </c>
      <c r="C424" s="124"/>
      <c r="D424" s="27"/>
      <c r="E424" s="27"/>
      <c r="F424" s="27"/>
      <c r="G424" s="125" t="s">
        <v>551</v>
      </c>
      <c r="H424" s="10">
        <v>45658.0</v>
      </c>
      <c r="I424" s="126" t="s">
        <v>549</v>
      </c>
      <c r="J424" s="38"/>
      <c r="K424" s="38"/>
      <c r="L424" s="127"/>
      <c r="M424" s="127"/>
      <c r="O424" s="128"/>
      <c r="P424" s="121"/>
      <c r="Q424" s="128"/>
      <c r="R424" s="128"/>
      <c r="S424" s="30"/>
      <c r="U424" s="30"/>
      <c r="V424" s="30"/>
    </row>
    <row r="425" ht="22.5" customHeight="1">
      <c r="A425" s="123" t="s">
        <v>471</v>
      </c>
      <c r="B425" s="27" t="s">
        <v>922</v>
      </c>
      <c r="C425" s="124"/>
      <c r="D425" s="27"/>
      <c r="E425" s="27"/>
      <c r="F425" s="27"/>
      <c r="G425" s="125" t="s">
        <v>1128</v>
      </c>
      <c r="H425" s="10">
        <v>45658.0</v>
      </c>
      <c r="I425" s="126" t="s">
        <v>815</v>
      </c>
      <c r="J425" s="38"/>
      <c r="K425" s="38"/>
      <c r="L425" s="127"/>
      <c r="M425" s="127"/>
      <c r="O425" s="128"/>
      <c r="P425" s="121"/>
      <c r="Q425" s="128"/>
      <c r="R425" s="128"/>
      <c r="S425" s="30"/>
      <c r="U425" s="30"/>
      <c r="V425" s="30"/>
    </row>
    <row r="426" ht="22.5" customHeight="1">
      <c r="A426" s="123" t="s">
        <v>403</v>
      </c>
      <c r="B426" s="27" t="s">
        <v>920</v>
      </c>
      <c r="C426" s="124"/>
      <c r="D426" s="27"/>
      <c r="E426" s="27"/>
      <c r="F426" s="27"/>
      <c r="G426" s="125" t="s">
        <v>548</v>
      </c>
      <c r="H426" s="10">
        <v>45658.0</v>
      </c>
      <c r="I426" s="126" t="s">
        <v>549</v>
      </c>
      <c r="J426" s="38"/>
      <c r="K426" s="38"/>
      <c r="L426" s="127"/>
      <c r="M426" s="127"/>
      <c r="O426" s="128"/>
      <c r="P426" s="121"/>
      <c r="Q426" s="128"/>
      <c r="R426" s="128"/>
      <c r="S426" s="30"/>
      <c r="U426" s="30"/>
      <c r="V426" s="30"/>
    </row>
    <row r="427" ht="22.5" customHeight="1">
      <c r="A427" s="123" t="s">
        <v>403</v>
      </c>
      <c r="B427" s="27" t="s">
        <v>921</v>
      </c>
      <c r="C427" s="124"/>
      <c r="D427" s="27"/>
      <c r="E427" s="27"/>
      <c r="F427" s="27"/>
      <c r="G427" s="125" t="s">
        <v>551</v>
      </c>
      <c r="H427" s="10">
        <v>45658.0</v>
      </c>
      <c r="I427" s="126" t="s">
        <v>549</v>
      </c>
      <c r="J427" s="38"/>
      <c r="K427" s="38"/>
      <c r="L427" s="127"/>
      <c r="M427" s="127"/>
      <c r="O427" s="128"/>
      <c r="P427" s="121"/>
      <c r="Q427" s="128"/>
      <c r="R427" s="128"/>
      <c r="S427" s="30"/>
      <c r="U427" s="30"/>
      <c r="V427" s="30"/>
    </row>
    <row r="428" ht="22.5" customHeight="1">
      <c r="A428" s="123" t="s">
        <v>367</v>
      </c>
      <c r="B428" s="27" t="s">
        <v>923</v>
      </c>
      <c r="C428" s="132" t="s">
        <v>924</v>
      </c>
      <c r="D428" s="27"/>
      <c r="E428" s="27"/>
      <c r="F428" s="27"/>
      <c r="G428" s="125" t="s">
        <v>1129</v>
      </c>
      <c r="H428" s="10">
        <v>45658.0</v>
      </c>
      <c r="I428" s="130"/>
      <c r="J428" s="38"/>
      <c r="K428" s="38"/>
      <c r="L428" s="127"/>
      <c r="M428" s="127"/>
      <c r="O428" s="128"/>
      <c r="P428" s="121"/>
      <c r="Q428" s="128"/>
      <c r="R428" s="128"/>
      <c r="S428" s="30"/>
      <c r="U428" s="30"/>
      <c r="V428" s="30"/>
    </row>
    <row r="429" ht="22.5" customHeight="1">
      <c r="A429" s="123" t="s">
        <v>403</v>
      </c>
      <c r="B429" s="27" t="s">
        <v>920</v>
      </c>
      <c r="C429" s="124"/>
      <c r="D429" s="27"/>
      <c r="E429" s="27"/>
      <c r="F429" s="27"/>
      <c r="G429" s="125" t="s">
        <v>548</v>
      </c>
      <c r="H429" s="10">
        <v>45658.0</v>
      </c>
      <c r="I429" s="126" t="s">
        <v>549</v>
      </c>
      <c r="J429" s="38"/>
      <c r="K429" s="38"/>
      <c r="L429" s="127"/>
      <c r="M429" s="127"/>
      <c r="O429" s="128"/>
      <c r="P429" s="121"/>
      <c r="Q429" s="128"/>
      <c r="R429" s="128"/>
      <c r="S429" s="30"/>
      <c r="U429" s="30"/>
      <c r="V429" s="30"/>
    </row>
    <row r="430" ht="22.5" customHeight="1">
      <c r="A430" s="123" t="s">
        <v>403</v>
      </c>
      <c r="B430" s="27" t="s">
        <v>921</v>
      </c>
      <c r="C430" s="124"/>
      <c r="D430" s="27"/>
      <c r="E430" s="27"/>
      <c r="F430" s="27"/>
      <c r="G430" s="125" t="s">
        <v>551</v>
      </c>
      <c r="H430" s="10">
        <v>45658.0</v>
      </c>
      <c r="I430" s="126" t="s">
        <v>549</v>
      </c>
      <c r="J430" s="38"/>
      <c r="K430" s="38"/>
      <c r="L430" s="127"/>
      <c r="M430" s="127"/>
      <c r="O430" s="128"/>
      <c r="P430" s="121"/>
      <c r="Q430" s="128"/>
      <c r="R430" s="128"/>
      <c r="S430" s="30"/>
      <c r="U430" s="30"/>
      <c r="V430" s="30"/>
    </row>
    <row r="431" ht="22.5" customHeight="1">
      <c r="A431" s="123" t="s">
        <v>349</v>
      </c>
      <c r="B431" s="27" t="s">
        <v>925</v>
      </c>
      <c r="C431" s="124"/>
      <c r="D431" s="27"/>
      <c r="E431" s="27"/>
      <c r="F431" s="27"/>
      <c r="G431" s="125" t="s">
        <v>1130</v>
      </c>
      <c r="H431" s="10">
        <v>45658.0</v>
      </c>
      <c r="I431" s="126" t="s">
        <v>581</v>
      </c>
      <c r="J431" s="38"/>
      <c r="K431" s="38"/>
      <c r="L431" s="127"/>
      <c r="M431" s="127"/>
      <c r="O431" s="128"/>
      <c r="P431" s="121"/>
      <c r="Q431" s="128"/>
      <c r="R431" s="128"/>
      <c r="S431" s="30"/>
      <c r="U431" s="30"/>
      <c r="V431" s="30"/>
    </row>
    <row r="432" ht="22.5" customHeight="1">
      <c r="A432" s="123" t="s">
        <v>403</v>
      </c>
      <c r="B432" s="27" t="s">
        <v>920</v>
      </c>
      <c r="C432" s="124"/>
      <c r="D432" s="27"/>
      <c r="E432" s="27"/>
      <c r="F432" s="27"/>
      <c r="G432" s="125" t="s">
        <v>548</v>
      </c>
      <c r="H432" s="10">
        <v>45658.0</v>
      </c>
      <c r="I432" s="126" t="s">
        <v>549</v>
      </c>
      <c r="J432" s="38"/>
      <c r="K432" s="38"/>
      <c r="L432" s="127"/>
      <c r="M432" s="127"/>
      <c r="O432" s="128"/>
      <c r="P432" s="121"/>
      <c r="Q432" s="128"/>
      <c r="R432" s="128"/>
      <c r="S432" s="30"/>
      <c r="U432" s="30"/>
      <c r="V432" s="30"/>
    </row>
    <row r="433" ht="22.5" customHeight="1">
      <c r="A433" s="123" t="s">
        <v>403</v>
      </c>
      <c r="B433" s="27" t="s">
        <v>921</v>
      </c>
      <c r="C433" s="124"/>
      <c r="D433" s="27"/>
      <c r="E433" s="27"/>
      <c r="F433" s="27"/>
      <c r="G433" s="125" t="s">
        <v>551</v>
      </c>
      <c r="H433" s="10">
        <v>45658.0</v>
      </c>
      <c r="I433" s="126" t="s">
        <v>549</v>
      </c>
      <c r="J433" s="38"/>
      <c r="K433" s="38"/>
      <c r="L433" s="127"/>
      <c r="M433" s="127"/>
      <c r="O433" s="128"/>
      <c r="P433" s="121"/>
      <c r="Q433" s="128"/>
      <c r="R433" s="128"/>
      <c r="S433" s="30"/>
      <c r="U433" s="30"/>
      <c r="V433" s="30"/>
    </row>
    <row r="434" ht="22.5" customHeight="1">
      <c r="A434" s="123" t="s">
        <v>349</v>
      </c>
      <c r="B434" s="27" t="s">
        <v>927</v>
      </c>
      <c r="C434" s="124"/>
      <c r="D434" s="27"/>
      <c r="E434" s="27"/>
      <c r="F434" s="27"/>
      <c r="G434" s="125" t="s">
        <v>1131</v>
      </c>
      <c r="H434" s="10">
        <v>45658.0</v>
      </c>
      <c r="I434" s="126" t="s">
        <v>581</v>
      </c>
      <c r="J434" s="38"/>
      <c r="K434" s="38"/>
      <c r="L434" s="127"/>
      <c r="M434" s="127"/>
      <c r="O434" s="128"/>
      <c r="P434" s="121"/>
      <c r="Q434" s="128"/>
      <c r="R434" s="128"/>
      <c r="S434" s="30"/>
      <c r="U434" s="30"/>
      <c r="V434" s="30"/>
    </row>
    <row r="435" ht="22.5" customHeight="1">
      <c r="A435" s="123" t="s">
        <v>403</v>
      </c>
      <c r="B435" s="27" t="s">
        <v>920</v>
      </c>
      <c r="C435" s="124"/>
      <c r="D435" s="27"/>
      <c r="E435" s="27"/>
      <c r="F435" s="27"/>
      <c r="G435" s="125" t="s">
        <v>548</v>
      </c>
      <c r="H435" s="10">
        <v>45658.0</v>
      </c>
      <c r="I435" s="126" t="s">
        <v>549</v>
      </c>
      <c r="J435" s="38"/>
      <c r="K435" s="38"/>
      <c r="L435" s="127"/>
      <c r="M435" s="127"/>
      <c r="O435" s="128"/>
      <c r="P435" s="121"/>
      <c r="Q435" s="128"/>
      <c r="R435" s="128"/>
      <c r="S435" s="30"/>
      <c r="U435" s="30"/>
      <c r="V435" s="30"/>
    </row>
    <row r="436" ht="22.5" customHeight="1">
      <c r="A436" s="123" t="s">
        <v>403</v>
      </c>
      <c r="B436" s="27" t="s">
        <v>921</v>
      </c>
      <c r="C436" s="124"/>
      <c r="D436" s="27"/>
      <c r="E436" s="27"/>
      <c r="F436" s="27"/>
      <c r="G436" s="125" t="s">
        <v>551</v>
      </c>
      <c r="H436" s="10">
        <v>45658.0</v>
      </c>
      <c r="I436" s="126" t="s">
        <v>549</v>
      </c>
      <c r="J436" s="38"/>
      <c r="K436" s="38"/>
      <c r="L436" s="127"/>
      <c r="M436" s="127"/>
      <c r="O436" s="128"/>
      <c r="P436" s="121"/>
      <c r="Q436" s="128"/>
      <c r="R436" s="128"/>
      <c r="S436" s="30"/>
      <c r="U436" s="30"/>
      <c r="V436" s="30"/>
    </row>
    <row r="437" ht="22.5" customHeight="1">
      <c r="A437" s="123" t="s">
        <v>18</v>
      </c>
      <c r="B437" s="27" t="s">
        <v>929</v>
      </c>
      <c r="C437" s="124"/>
      <c r="D437" s="27"/>
      <c r="E437" s="27"/>
      <c r="F437" s="27"/>
      <c r="G437" s="125" t="s">
        <v>1132</v>
      </c>
      <c r="H437" s="10">
        <v>45658.0</v>
      </c>
      <c r="I437" s="126" t="s">
        <v>752</v>
      </c>
      <c r="J437" s="38"/>
      <c r="K437" s="38"/>
      <c r="L437" s="127"/>
      <c r="M437" s="127"/>
      <c r="O437" s="128"/>
      <c r="P437" s="121"/>
      <c r="Q437" s="128"/>
      <c r="R437" s="128"/>
      <c r="S437" s="30"/>
      <c r="U437" s="38" t="s">
        <v>1054</v>
      </c>
      <c r="V437" s="38" t="s">
        <v>70</v>
      </c>
    </row>
    <row r="438" ht="22.5" customHeight="1">
      <c r="A438" s="123" t="s">
        <v>403</v>
      </c>
      <c r="B438" s="27" t="s">
        <v>920</v>
      </c>
      <c r="C438" s="124"/>
      <c r="D438" s="27"/>
      <c r="E438" s="27"/>
      <c r="F438" s="27"/>
      <c r="G438" s="125" t="s">
        <v>548</v>
      </c>
      <c r="H438" s="10">
        <v>45658.0</v>
      </c>
      <c r="I438" s="126" t="s">
        <v>549</v>
      </c>
      <c r="J438" s="38"/>
      <c r="K438" s="38"/>
      <c r="L438" s="127"/>
      <c r="M438" s="127"/>
      <c r="O438" s="128"/>
      <c r="P438" s="121"/>
      <c r="Q438" s="128"/>
      <c r="R438" s="128"/>
      <c r="S438" s="30"/>
      <c r="U438" s="30"/>
      <c r="V438" s="30"/>
    </row>
    <row r="439" ht="22.5" customHeight="1">
      <c r="A439" s="123" t="s">
        <v>403</v>
      </c>
      <c r="B439" s="27" t="s">
        <v>921</v>
      </c>
      <c r="C439" s="124"/>
      <c r="D439" s="27"/>
      <c r="E439" s="27"/>
      <c r="F439" s="27"/>
      <c r="G439" s="125" t="s">
        <v>551</v>
      </c>
      <c r="H439" s="10">
        <v>45658.0</v>
      </c>
      <c r="I439" s="126" t="s">
        <v>549</v>
      </c>
      <c r="J439" s="38"/>
      <c r="K439" s="38"/>
      <c r="L439" s="127"/>
      <c r="M439" s="127"/>
      <c r="O439" s="128"/>
      <c r="P439" s="121"/>
      <c r="Q439" s="128"/>
      <c r="R439" s="128"/>
      <c r="S439" s="30"/>
      <c r="U439" s="30"/>
      <c r="V439" s="30"/>
    </row>
    <row r="440" ht="22.5" customHeight="1">
      <c r="A440" s="123" t="s">
        <v>18</v>
      </c>
      <c r="B440" s="27" t="s">
        <v>931</v>
      </c>
      <c r="C440" s="124"/>
      <c r="D440" s="27"/>
      <c r="E440" s="27"/>
      <c r="F440" s="27"/>
      <c r="G440" s="125" t="s">
        <v>1133</v>
      </c>
      <c r="H440" s="10">
        <v>45658.0</v>
      </c>
      <c r="I440" s="126" t="s">
        <v>752</v>
      </c>
      <c r="J440" s="38"/>
      <c r="K440" s="38"/>
      <c r="L440" s="127"/>
      <c r="M440" s="127"/>
      <c r="O440" s="128"/>
      <c r="P440" s="121"/>
      <c r="Q440" s="128"/>
      <c r="R440" s="128"/>
      <c r="S440" s="30"/>
      <c r="U440" s="38" t="s">
        <v>1054</v>
      </c>
      <c r="V440" s="38" t="s">
        <v>70</v>
      </c>
    </row>
    <row r="441" ht="22.5" customHeight="1">
      <c r="A441" s="123" t="s">
        <v>403</v>
      </c>
      <c r="B441" s="27" t="s">
        <v>920</v>
      </c>
      <c r="C441" s="124"/>
      <c r="D441" s="27"/>
      <c r="E441" s="27"/>
      <c r="F441" s="27"/>
      <c r="G441" s="125" t="s">
        <v>548</v>
      </c>
      <c r="H441" s="10">
        <v>45658.0</v>
      </c>
      <c r="I441" s="126" t="s">
        <v>549</v>
      </c>
      <c r="J441" s="38"/>
      <c r="K441" s="38"/>
      <c r="L441" s="127"/>
      <c r="M441" s="127"/>
      <c r="O441" s="128"/>
      <c r="P441" s="121"/>
      <c r="Q441" s="128"/>
      <c r="R441" s="128"/>
      <c r="S441" s="30"/>
      <c r="U441" s="30"/>
      <c r="V441" s="30"/>
    </row>
    <row r="442" ht="22.5" customHeight="1">
      <c r="A442" s="123" t="s">
        <v>403</v>
      </c>
      <c r="B442" s="27" t="s">
        <v>921</v>
      </c>
      <c r="C442" s="124"/>
      <c r="D442" s="27"/>
      <c r="E442" s="27"/>
      <c r="F442" s="27"/>
      <c r="G442" s="125" t="s">
        <v>551</v>
      </c>
      <c r="H442" s="10">
        <v>45658.0</v>
      </c>
      <c r="I442" s="126" t="s">
        <v>549</v>
      </c>
      <c r="J442" s="38"/>
      <c r="K442" s="38"/>
      <c r="L442" s="127"/>
      <c r="M442" s="127"/>
      <c r="O442" s="128"/>
      <c r="P442" s="121"/>
      <c r="Q442" s="128"/>
      <c r="R442" s="128"/>
      <c r="S442" s="30"/>
      <c r="U442" s="30"/>
      <c r="V442" s="30"/>
    </row>
    <row r="443" ht="22.5" customHeight="1">
      <c r="A443" s="123" t="s">
        <v>18</v>
      </c>
      <c r="B443" s="27" t="s">
        <v>933</v>
      </c>
      <c r="C443" s="124"/>
      <c r="D443" s="27"/>
      <c r="E443" s="27"/>
      <c r="F443" s="27"/>
      <c r="G443" s="125" t="s">
        <v>1134</v>
      </c>
      <c r="H443" s="10">
        <v>45658.0</v>
      </c>
      <c r="I443" s="126" t="s">
        <v>586</v>
      </c>
      <c r="J443" s="38"/>
      <c r="K443" s="38"/>
      <c r="L443" s="127"/>
      <c r="M443" s="127"/>
      <c r="O443" s="128"/>
      <c r="P443" s="121"/>
      <c r="Q443" s="128"/>
      <c r="R443" s="128"/>
      <c r="S443" s="30"/>
      <c r="U443" s="30"/>
      <c r="V443" s="30"/>
    </row>
    <row r="444" ht="22.5" customHeight="1">
      <c r="A444" s="123" t="s">
        <v>403</v>
      </c>
      <c r="B444" s="27" t="s">
        <v>920</v>
      </c>
      <c r="C444" s="124"/>
      <c r="D444" s="27"/>
      <c r="E444" s="27"/>
      <c r="F444" s="27"/>
      <c r="G444" s="125" t="s">
        <v>548</v>
      </c>
      <c r="H444" s="10">
        <v>45658.0</v>
      </c>
      <c r="I444" s="126" t="s">
        <v>549</v>
      </c>
      <c r="J444" s="38"/>
      <c r="K444" s="38"/>
      <c r="L444" s="127"/>
      <c r="M444" s="127"/>
      <c r="O444" s="128"/>
      <c r="P444" s="121"/>
      <c r="Q444" s="128"/>
      <c r="R444" s="128"/>
      <c r="S444" s="30"/>
      <c r="U444" s="30"/>
      <c r="V444" s="30"/>
    </row>
    <row r="445" ht="22.5" customHeight="1">
      <c r="A445" s="123" t="s">
        <v>403</v>
      </c>
      <c r="B445" s="27" t="s">
        <v>921</v>
      </c>
      <c r="C445" s="124"/>
      <c r="D445" s="27"/>
      <c r="E445" s="27"/>
      <c r="F445" s="27"/>
      <c r="G445" s="125" t="s">
        <v>551</v>
      </c>
      <c r="H445" s="10">
        <v>45658.0</v>
      </c>
      <c r="I445" s="126" t="s">
        <v>549</v>
      </c>
      <c r="J445" s="38"/>
      <c r="K445" s="38"/>
      <c r="L445" s="127"/>
      <c r="M445" s="127"/>
      <c r="O445" s="128"/>
      <c r="P445" s="121"/>
      <c r="Q445" s="128"/>
      <c r="R445" s="128"/>
      <c r="S445" s="30"/>
      <c r="U445" s="30"/>
      <c r="V445" s="30"/>
    </row>
    <row r="446" ht="22.5" customHeight="1">
      <c r="A446" s="123" t="s">
        <v>483</v>
      </c>
      <c r="B446" s="131" t="s">
        <v>935</v>
      </c>
      <c r="C446" s="124"/>
      <c r="D446" s="27"/>
      <c r="E446" s="27"/>
      <c r="F446" s="27"/>
      <c r="G446" s="125" t="s">
        <v>1135</v>
      </c>
      <c r="H446" s="10">
        <v>45658.0</v>
      </c>
      <c r="I446" s="126" t="s">
        <v>911</v>
      </c>
      <c r="J446" s="38"/>
      <c r="K446" s="38"/>
      <c r="L446" s="127"/>
      <c r="M446" s="127"/>
      <c r="O446" s="128"/>
      <c r="P446" s="121"/>
      <c r="Q446" s="128"/>
      <c r="R446" s="128"/>
      <c r="S446" s="38"/>
      <c r="U446" s="30"/>
      <c r="V446" s="30"/>
    </row>
    <row r="447" ht="22.5" customHeight="1">
      <c r="A447" s="123" t="s">
        <v>437</v>
      </c>
      <c r="B447" s="27" t="s">
        <v>936</v>
      </c>
      <c r="C447" s="124"/>
      <c r="D447" s="27"/>
      <c r="E447" s="27"/>
      <c r="F447" s="27"/>
      <c r="G447" s="125" t="s">
        <v>1136</v>
      </c>
      <c r="H447" s="10">
        <v>45658.0</v>
      </c>
      <c r="I447" s="126" t="s">
        <v>613</v>
      </c>
      <c r="J447" s="38"/>
      <c r="K447" s="38"/>
      <c r="L447" s="127"/>
      <c r="M447" s="127"/>
      <c r="O447" s="128"/>
      <c r="P447" s="121"/>
      <c r="Q447" s="128"/>
      <c r="R447" s="128"/>
      <c r="S447" s="30"/>
      <c r="U447" s="30"/>
      <c r="V447" s="30"/>
    </row>
    <row r="448" ht="22.5" customHeight="1">
      <c r="A448" s="123" t="s">
        <v>403</v>
      </c>
      <c r="B448" s="27" t="s">
        <v>920</v>
      </c>
      <c r="C448" s="124"/>
      <c r="D448" s="27"/>
      <c r="E448" s="27"/>
      <c r="F448" s="27"/>
      <c r="G448" s="125" t="s">
        <v>548</v>
      </c>
      <c r="H448" s="10">
        <v>45658.0</v>
      </c>
      <c r="I448" s="126" t="s">
        <v>549</v>
      </c>
      <c r="J448" s="38"/>
      <c r="K448" s="38"/>
      <c r="L448" s="127"/>
      <c r="M448" s="127"/>
      <c r="O448" s="128"/>
      <c r="P448" s="121"/>
      <c r="Q448" s="128"/>
      <c r="R448" s="128"/>
      <c r="S448" s="30"/>
      <c r="U448" s="30"/>
      <c r="V448" s="30"/>
    </row>
    <row r="449" ht="22.5" customHeight="1">
      <c r="A449" s="123" t="s">
        <v>403</v>
      </c>
      <c r="B449" s="27" t="s">
        <v>921</v>
      </c>
      <c r="C449" s="124"/>
      <c r="D449" s="27"/>
      <c r="E449" s="27"/>
      <c r="F449" s="27"/>
      <c r="G449" s="125" t="s">
        <v>551</v>
      </c>
      <c r="H449" s="10">
        <v>45658.0</v>
      </c>
      <c r="I449" s="126" t="s">
        <v>549</v>
      </c>
      <c r="J449" s="38"/>
      <c r="K449" s="38"/>
      <c r="L449" s="127"/>
      <c r="M449" s="127"/>
      <c r="O449" s="128"/>
      <c r="P449" s="121"/>
      <c r="Q449" s="128"/>
      <c r="R449" s="128"/>
      <c r="S449" s="30"/>
      <c r="U449" s="30"/>
      <c r="V449" s="30"/>
    </row>
    <row r="450" ht="22.5" customHeight="1">
      <c r="A450" s="123" t="s">
        <v>437</v>
      </c>
      <c r="B450" s="27" t="s">
        <v>937</v>
      </c>
      <c r="C450" s="124"/>
      <c r="D450" s="27"/>
      <c r="E450" s="27"/>
      <c r="F450" s="27"/>
      <c r="G450" s="125" t="s">
        <v>1137</v>
      </c>
      <c r="H450" s="10">
        <v>45658.0</v>
      </c>
      <c r="I450" s="126" t="s">
        <v>613</v>
      </c>
      <c r="J450" s="38"/>
      <c r="K450" s="38"/>
      <c r="L450" s="127"/>
      <c r="M450" s="127"/>
      <c r="O450" s="128"/>
      <c r="P450" s="121"/>
      <c r="Q450" s="128"/>
      <c r="R450" s="128"/>
      <c r="S450" s="30"/>
      <c r="U450" s="30"/>
      <c r="V450" s="30"/>
    </row>
    <row r="451" ht="22.5" customHeight="1">
      <c r="A451" s="129"/>
      <c r="B451" s="27" t="s">
        <v>939</v>
      </c>
      <c r="C451" s="124"/>
      <c r="D451" s="27"/>
      <c r="E451" s="27"/>
      <c r="F451" s="27"/>
      <c r="G451" s="125" t="s">
        <v>1138</v>
      </c>
      <c r="H451" s="10">
        <v>45658.0</v>
      </c>
      <c r="I451" s="126" t="s">
        <v>696</v>
      </c>
      <c r="J451" s="38"/>
      <c r="K451" s="38"/>
      <c r="L451" s="127"/>
      <c r="M451" s="127"/>
      <c r="O451" s="128"/>
      <c r="P451" s="121"/>
      <c r="Q451" s="128"/>
      <c r="R451" s="128"/>
      <c r="S451" s="30"/>
      <c r="U451" s="30"/>
      <c r="V451" s="30"/>
    </row>
    <row r="452" ht="22.5" customHeight="1">
      <c r="A452" s="123" t="s">
        <v>403</v>
      </c>
      <c r="B452" s="27" t="s">
        <v>920</v>
      </c>
      <c r="C452" s="124"/>
      <c r="D452" s="27"/>
      <c r="E452" s="27"/>
      <c r="F452" s="27"/>
      <c r="G452" s="125" t="s">
        <v>548</v>
      </c>
      <c r="H452" s="10">
        <v>45658.0</v>
      </c>
      <c r="I452" s="126" t="s">
        <v>549</v>
      </c>
      <c r="J452" s="38"/>
      <c r="K452" s="38"/>
      <c r="L452" s="127"/>
      <c r="M452" s="127"/>
      <c r="O452" s="128"/>
      <c r="P452" s="121"/>
      <c r="Q452" s="128"/>
      <c r="R452" s="128"/>
      <c r="S452" s="30"/>
      <c r="U452" s="30"/>
      <c r="V452" s="30"/>
    </row>
    <row r="453" ht="22.5" customHeight="1">
      <c r="A453" s="123" t="s">
        <v>403</v>
      </c>
      <c r="B453" s="27" t="s">
        <v>921</v>
      </c>
      <c r="C453" s="124"/>
      <c r="D453" s="27"/>
      <c r="E453" s="27"/>
      <c r="F453" s="27"/>
      <c r="G453" s="125" t="s">
        <v>551</v>
      </c>
      <c r="H453" s="10">
        <v>45658.0</v>
      </c>
      <c r="I453" s="126" t="s">
        <v>549</v>
      </c>
      <c r="J453" s="38"/>
      <c r="K453" s="38"/>
      <c r="L453" s="127"/>
      <c r="M453" s="127"/>
      <c r="O453" s="128"/>
      <c r="P453" s="121"/>
      <c r="Q453" s="128"/>
      <c r="R453" s="128"/>
      <c r="S453" s="30"/>
      <c r="U453" s="30"/>
      <c r="V453" s="30"/>
    </row>
    <row r="454" ht="22.5" customHeight="1">
      <c r="A454" s="133" t="s">
        <v>349</v>
      </c>
      <c r="B454" s="27" t="s">
        <v>940</v>
      </c>
      <c r="C454" s="124"/>
      <c r="D454" s="27"/>
      <c r="E454" s="27"/>
      <c r="F454" s="27"/>
      <c r="G454" s="125" t="s">
        <v>1139</v>
      </c>
      <c r="H454" s="10">
        <v>45658.0</v>
      </c>
      <c r="I454" s="126" t="s">
        <v>568</v>
      </c>
      <c r="J454" s="38"/>
      <c r="K454" s="38"/>
      <c r="L454" s="127"/>
      <c r="M454" s="127"/>
      <c r="O454" s="128"/>
      <c r="P454" s="121"/>
      <c r="Q454" s="128"/>
      <c r="R454" s="128"/>
      <c r="S454" s="30"/>
      <c r="U454" s="30"/>
      <c r="V454" s="30"/>
    </row>
    <row r="455" ht="22.5" customHeight="1">
      <c r="A455" s="123" t="s">
        <v>403</v>
      </c>
      <c r="B455" s="27" t="s">
        <v>920</v>
      </c>
      <c r="C455" s="124"/>
      <c r="D455" s="27"/>
      <c r="E455" s="27"/>
      <c r="F455" s="27"/>
      <c r="G455" s="125" t="s">
        <v>548</v>
      </c>
      <c r="H455" s="10">
        <v>45658.0</v>
      </c>
      <c r="I455" s="126" t="s">
        <v>549</v>
      </c>
      <c r="J455" s="38"/>
      <c r="K455" s="38"/>
      <c r="L455" s="127"/>
      <c r="M455" s="127"/>
      <c r="O455" s="128"/>
      <c r="P455" s="121"/>
      <c r="Q455" s="128"/>
      <c r="R455" s="128"/>
      <c r="S455" s="30"/>
      <c r="U455" s="30"/>
      <c r="V455" s="30"/>
    </row>
    <row r="456" ht="22.5" customHeight="1">
      <c r="A456" s="123" t="s">
        <v>403</v>
      </c>
      <c r="B456" s="27" t="s">
        <v>921</v>
      </c>
      <c r="C456" s="124"/>
      <c r="D456" s="27"/>
      <c r="E456" s="27"/>
      <c r="F456" s="27"/>
      <c r="G456" s="125" t="s">
        <v>551</v>
      </c>
      <c r="H456" s="10">
        <v>45658.0</v>
      </c>
      <c r="I456" s="126" t="s">
        <v>549</v>
      </c>
      <c r="J456" s="38"/>
      <c r="K456" s="38"/>
      <c r="L456" s="127"/>
      <c r="M456" s="127"/>
      <c r="O456" s="128"/>
      <c r="P456" s="121"/>
      <c r="Q456" s="128"/>
      <c r="R456" s="128"/>
      <c r="S456" s="30"/>
      <c r="U456" s="30"/>
      <c r="V456" s="30"/>
    </row>
    <row r="457" ht="22.5" customHeight="1">
      <c r="A457" s="123" t="s">
        <v>508</v>
      </c>
      <c r="B457" s="27" t="s">
        <v>942</v>
      </c>
      <c r="C457" s="124"/>
      <c r="D457" s="27"/>
      <c r="E457" s="27"/>
      <c r="F457" s="27"/>
      <c r="G457" s="125" t="s">
        <v>1140</v>
      </c>
      <c r="H457" s="10">
        <v>45658.0</v>
      </c>
      <c r="I457" s="126" t="s">
        <v>943</v>
      </c>
      <c r="J457" s="38"/>
      <c r="K457" s="38"/>
      <c r="L457" s="127"/>
      <c r="M457" s="127"/>
      <c r="O457" s="128"/>
      <c r="P457" s="121"/>
      <c r="Q457" s="128"/>
      <c r="R457" s="128"/>
      <c r="S457" s="30"/>
      <c r="U457" s="38" t="s">
        <v>20</v>
      </c>
      <c r="V457" s="38" t="s">
        <v>21</v>
      </c>
    </row>
    <row r="458" ht="22.5" customHeight="1">
      <c r="A458" s="123" t="s">
        <v>403</v>
      </c>
      <c r="B458" s="27" t="s">
        <v>920</v>
      </c>
      <c r="C458" s="124"/>
      <c r="D458" s="27"/>
      <c r="E458" s="27"/>
      <c r="F458" s="27"/>
      <c r="G458" s="125" t="s">
        <v>548</v>
      </c>
      <c r="H458" s="10">
        <v>45658.0</v>
      </c>
      <c r="I458" s="126" t="s">
        <v>549</v>
      </c>
      <c r="J458" s="38"/>
      <c r="K458" s="38"/>
      <c r="L458" s="127"/>
      <c r="M458" s="127"/>
      <c r="O458" s="128"/>
      <c r="P458" s="121"/>
      <c r="Q458" s="128"/>
      <c r="R458" s="128"/>
      <c r="S458" s="30"/>
      <c r="U458" s="30"/>
      <c r="V458" s="30"/>
    </row>
    <row r="459" ht="22.5" customHeight="1">
      <c r="A459" s="123" t="s">
        <v>403</v>
      </c>
      <c r="B459" s="27" t="s">
        <v>921</v>
      </c>
      <c r="C459" s="124"/>
      <c r="D459" s="27"/>
      <c r="E459" s="27"/>
      <c r="F459" s="27"/>
      <c r="G459" s="125" t="s">
        <v>551</v>
      </c>
      <c r="H459" s="10">
        <v>45658.0</v>
      </c>
      <c r="I459" s="126" t="s">
        <v>549</v>
      </c>
      <c r="J459" s="38"/>
      <c r="K459" s="38"/>
      <c r="L459" s="127"/>
      <c r="M459" s="127"/>
      <c r="O459" s="128"/>
      <c r="P459" s="121"/>
      <c r="Q459" s="128"/>
      <c r="R459" s="128"/>
      <c r="S459" s="30"/>
      <c r="U459" s="30"/>
      <c r="V459" s="30"/>
    </row>
    <row r="460" ht="22.5" customHeight="1">
      <c r="A460" s="123" t="s">
        <v>467</v>
      </c>
      <c r="B460" s="27" t="s">
        <v>944</v>
      </c>
      <c r="C460" s="124"/>
      <c r="D460" s="27"/>
      <c r="E460" s="27"/>
      <c r="F460" s="27"/>
      <c r="G460" s="125" t="s">
        <v>1141</v>
      </c>
      <c r="H460" s="10">
        <v>45658.0</v>
      </c>
      <c r="I460" s="126" t="s">
        <v>537</v>
      </c>
      <c r="J460" s="38"/>
      <c r="K460" s="38"/>
      <c r="L460" s="127"/>
      <c r="M460" s="127"/>
      <c r="O460" s="128"/>
      <c r="P460" s="121"/>
      <c r="Q460" s="128"/>
      <c r="R460" s="128"/>
      <c r="S460" s="30"/>
      <c r="U460" s="30"/>
      <c r="V460" s="30"/>
    </row>
    <row r="461" ht="22.5" customHeight="1">
      <c r="A461" s="123" t="s">
        <v>403</v>
      </c>
      <c r="B461" s="27" t="s">
        <v>920</v>
      </c>
      <c r="C461" s="124"/>
      <c r="D461" s="27"/>
      <c r="E461" s="27"/>
      <c r="F461" s="27"/>
      <c r="G461" s="125" t="s">
        <v>548</v>
      </c>
      <c r="H461" s="10">
        <v>45658.0</v>
      </c>
      <c r="I461" s="126" t="s">
        <v>549</v>
      </c>
      <c r="J461" s="38"/>
      <c r="K461" s="38"/>
      <c r="L461" s="127"/>
      <c r="M461" s="127"/>
      <c r="O461" s="128"/>
      <c r="P461" s="121"/>
      <c r="Q461" s="128"/>
      <c r="R461" s="128"/>
      <c r="S461" s="30"/>
      <c r="U461" s="30"/>
      <c r="V461" s="30"/>
    </row>
    <row r="462" ht="22.5" customHeight="1">
      <c r="A462" s="123" t="s">
        <v>403</v>
      </c>
      <c r="B462" s="27" t="s">
        <v>921</v>
      </c>
      <c r="C462" s="124"/>
      <c r="D462" s="27"/>
      <c r="E462" s="27"/>
      <c r="F462" s="27"/>
      <c r="G462" s="125" t="s">
        <v>551</v>
      </c>
      <c r="H462" s="10">
        <v>45658.0</v>
      </c>
      <c r="I462" s="126" t="s">
        <v>549</v>
      </c>
      <c r="J462" s="38"/>
      <c r="K462" s="38"/>
      <c r="L462" s="127"/>
      <c r="M462" s="127"/>
      <c r="O462" s="128"/>
      <c r="P462" s="121"/>
      <c r="Q462" s="128"/>
      <c r="R462" s="128"/>
      <c r="S462" s="30"/>
      <c r="U462" s="30"/>
      <c r="V462" s="30"/>
    </row>
    <row r="463" ht="22.5" customHeight="1">
      <c r="A463" s="123" t="s">
        <v>787</v>
      </c>
      <c r="B463" s="27" t="s">
        <v>945</v>
      </c>
      <c r="C463" s="124"/>
      <c r="D463" s="27"/>
      <c r="E463" s="27"/>
      <c r="F463" s="27"/>
      <c r="G463" s="125" t="s">
        <v>1142</v>
      </c>
      <c r="H463" s="10">
        <v>45658.0</v>
      </c>
      <c r="I463" s="126" t="s">
        <v>790</v>
      </c>
      <c r="J463" s="38"/>
      <c r="K463" s="38"/>
      <c r="L463" s="127"/>
      <c r="M463" s="127"/>
      <c r="O463" s="128"/>
      <c r="P463" s="121"/>
      <c r="Q463" s="128"/>
      <c r="R463" s="128"/>
      <c r="S463" s="30"/>
      <c r="U463" s="30"/>
      <c r="V463" s="30"/>
    </row>
    <row r="464" ht="22.5" customHeight="1">
      <c r="A464" s="123" t="s">
        <v>403</v>
      </c>
      <c r="B464" s="27" t="s">
        <v>920</v>
      </c>
      <c r="C464" s="124"/>
      <c r="D464" s="27"/>
      <c r="E464" s="27"/>
      <c r="F464" s="27"/>
      <c r="G464" s="125" t="s">
        <v>548</v>
      </c>
      <c r="H464" s="10">
        <v>45658.0</v>
      </c>
      <c r="I464" s="126" t="s">
        <v>549</v>
      </c>
      <c r="J464" s="38"/>
      <c r="K464" s="38"/>
      <c r="L464" s="127"/>
      <c r="M464" s="127"/>
      <c r="O464" s="128"/>
      <c r="P464" s="121"/>
      <c r="Q464" s="128"/>
      <c r="R464" s="128"/>
      <c r="S464" s="30"/>
      <c r="U464" s="30"/>
      <c r="V464" s="30"/>
    </row>
    <row r="465" ht="22.5" customHeight="1">
      <c r="A465" s="123" t="s">
        <v>403</v>
      </c>
      <c r="B465" s="27" t="s">
        <v>921</v>
      </c>
      <c r="C465" s="124"/>
      <c r="D465" s="27"/>
      <c r="E465" s="27"/>
      <c r="F465" s="27"/>
      <c r="G465" s="125" t="s">
        <v>551</v>
      </c>
      <c r="H465" s="10">
        <v>45658.0</v>
      </c>
      <c r="I465" s="126" t="s">
        <v>549</v>
      </c>
      <c r="J465" s="38"/>
      <c r="K465" s="38"/>
      <c r="L465" s="127"/>
      <c r="M465" s="127"/>
      <c r="O465" s="128"/>
      <c r="P465" s="121"/>
      <c r="Q465" s="128"/>
      <c r="R465" s="128"/>
      <c r="S465" s="30"/>
      <c r="U465" s="30"/>
      <c r="V465" s="30"/>
    </row>
    <row r="466" ht="22.5" customHeight="1">
      <c r="A466" s="123" t="s">
        <v>367</v>
      </c>
      <c r="B466" s="27" t="s">
        <v>947</v>
      </c>
      <c r="C466" s="124"/>
      <c r="D466" s="27"/>
      <c r="E466" s="27"/>
      <c r="F466" s="27"/>
      <c r="G466" s="125" t="s">
        <v>1143</v>
      </c>
      <c r="H466" s="10">
        <v>45658.0</v>
      </c>
      <c r="I466" s="126" t="s">
        <v>572</v>
      </c>
      <c r="J466" s="38"/>
      <c r="K466" s="38"/>
      <c r="L466" s="127"/>
      <c r="M466" s="127"/>
      <c r="O466" s="128"/>
      <c r="P466" s="121"/>
      <c r="Q466" s="128"/>
      <c r="R466" s="128"/>
      <c r="S466" s="30"/>
      <c r="U466" s="30"/>
      <c r="V466" s="30"/>
    </row>
    <row r="467" ht="22.5" customHeight="1">
      <c r="A467" s="123" t="s">
        <v>403</v>
      </c>
      <c r="B467" s="27" t="s">
        <v>920</v>
      </c>
      <c r="C467" s="124"/>
      <c r="D467" s="27"/>
      <c r="E467" s="27"/>
      <c r="F467" s="27"/>
      <c r="G467" s="125" t="s">
        <v>548</v>
      </c>
      <c r="H467" s="10">
        <v>45658.0</v>
      </c>
      <c r="I467" s="126" t="s">
        <v>549</v>
      </c>
      <c r="J467" s="38"/>
      <c r="K467" s="38"/>
      <c r="L467" s="127"/>
      <c r="M467" s="127"/>
      <c r="O467" s="128"/>
      <c r="P467" s="121"/>
      <c r="Q467" s="128"/>
      <c r="R467" s="128"/>
      <c r="S467" s="30"/>
      <c r="U467" s="30"/>
      <c r="V467" s="30"/>
    </row>
    <row r="468" ht="22.5" customHeight="1">
      <c r="A468" s="123" t="s">
        <v>403</v>
      </c>
      <c r="B468" s="27" t="s">
        <v>921</v>
      </c>
      <c r="C468" s="124"/>
      <c r="D468" s="27"/>
      <c r="E468" s="27"/>
      <c r="F468" s="27"/>
      <c r="G468" s="125" t="s">
        <v>551</v>
      </c>
      <c r="H468" s="10">
        <v>45658.0</v>
      </c>
      <c r="I468" s="126" t="s">
        <v>549</v>
      </c>
      <c r="J468" s="38"/>
      <c r="K468" s="38"/>
      <c r="L468" s="127"/>
      <c r="M468" s="127"/>
      <c r="O468" s="128"/>
      <c r="P468" s="121"/>
      <c r="Q468" s="128"/>
      <c r="R468" s="128"/>
      <c r="S468" s="30"/>
      <c r="U468" s="30"/>
      <c r="V468" s="30"/>
    </row>
    <row r="469" ht="22.5" customHeight="1">
      <c r="A469" s="123" t="s">
        <v>385</v>
      </c>
      <c r="B469" s="27" t="s">
        <v>948</v>
      </c>
      <c r="C469" s="124"/>
      <c r="D469" s="27"/>
      <c r="E469" s="27"/>
      <c r="F469" s="27"/>
      <c r="G469" s="125" t="s">
        <v>1144</v>
      </c>
      <c r="H469" s="10">
        <v>45658.0</v>
      </c>
      <c r="I469" s="126" t="s">
        <v>949</v>
      </c>
      <c r="J469" s="38"/>
      <c r="K469" s="38"/>
      <c r="L469" s="127"/>
      <c r="M469" s="127"/>
      <c r="O469" s="128"/>
      <c r="P469" s="121"/>
      <c r="Q469" s="128"/>
      <c r="R469" s="128"/>
      <c r="S469" s="38"/>
      <c r="U469" s="30"/>
      <c r="V469" s="30"/>
    </row>
    <row r="470" ht="22.5" customHeight="1">
      <c r="A470" s="123" t="s">
        <v>437</v>
      </c>
      <c r="B470" s="27" t="s">
        <v>950</v>
      </c>
      <c r="C470" s="124"/>
      <c r="D470" s="27"/>
      <c r="E470" s="27"/>
      <c r="F470" s="27"/>
      <c r="G470" s="125" t="s">
        <v>1145</v>
      </c>
      <c r="H470" s="10">
        <v>45658.0</v>
      </c>
      <c r="I470" s="126" t="s">
        <v>613</v>
      </c>
      <c r="J470" s="38"/>
      <c r="K470" s="38"/>
      <c r="L470" s="127"/>
      <c r="M470" s="127"/>
      <c r="O470" s="128"/>
      <c r="P470" s="121"/>
      <c r="Q470" s="128"/>
      <c r="R470" s="128"/>
      <c r="S470" s="30"/>
      <c r="U470" s="30"/>
      <c r="V470" s="30"/>
    </row>
    <row r="471" ht="22.5" customHeight="1">
      <c r="A471" s="123" t="s">
        <v>403</v>
      </c>
      <c r="B471" s="27" t="s">
        <v>920</v>
      </c>
      <c r="C471" s="124"/>
      <c r="D471" s="27"/>
      <c r="E471" s="27"/>
      <c r="F471" s="27"/>
      <c r="G471" s="125" t="s">
        <v>548</v>
      </c>
      <c r="H471" s="10">
        <v>45658.0</v>
      </c>
      <c r="I471" s="126" t="s">
        <v>549</v>
      </c>
      <c r="J471" s="38"/>
      <c r="K471" s="38"/>
      <c r="L471" s="127"/>
      <c r="M471" s="127"/>
      <c r="O471" s="128"/>
      <c r="P471" s="121"/>
      <c r="Q471" s="128"/>
      <c r="R471" s="128"/>
      <c r="S471" s="30"/>
      <c r="U471" s="30"/>
      <c r="V471" s="30"/>
    </row>
    <row r="472" ht="22.5" customHeight="1">
      <c r="A472" s="123" t="s">
        <v>403</v>
      </c>
      <c r="B472" s="27" t="s">
        <v>921</v>
      </c>
      <c r="C472" s="124"/>
      <c r="D472" s="27"/>
      <c r="E472" s="27"/>
      <c r="F472" s="27"/>
      <c r="G472" s="125" t="s">
        <v>551</v>
      </c>
      <c r="H472" s="10">
        <v>45658.0</v>
      </c>
      <c r="I472" s="126" t="s">
        <v>549</v>
      </c>
      <c r="J472" s="38"/>
      <c r="K472" s="38"/>
      <c r="L472" s="127"/>
      <c r="M472" s="127"/>
      <c r="O472" s="128"/>
      <c r="P472" s="121"/>
      <c r="Q472" s="128"/>
      <c r="R472" s="128"/>
      <c r="S472" s="30"/>
      <c r="U472" s="30"/>
      <c r="V472" s="30"/>
    </row>
    <row r="473" ht="22.5" customHeight="1">
      <c r="A473" s="123" t="s">
        <v>437</v>
      </c>
      <c r="B473" s="27" t="s">
        <v>951</v>
      </c>
      <c r="C473" s="124"/>
      <c r="D473" s="27"/>
      <c r="E473" s="27"/>
      <c r="F473" s="27"/>
      <c r="G473" s="125" t="s">
        <v>1075</v>
      </c>
      <c r="H473" s="10">
        <v>45658.0</v>
      </c>
      <c r="I473" s="126" t="s">
        <v>613</v>
      </c>
      <c r="J473" s="38"/>
      <c r="K473" s="38"/>
      <c r="L473" s="127"/>
      <c r="M473" s="127"/>
      <c r="O473" s="128"/>
      <c r="P473" s="121"/>
      <c r="Q473" s="128"/>
      <c r="R473" s="128"/>
      <c r="S473" s="30"/>
      <c r="U473" s="30"/>
      <c r="V473" s="30"/>
    </row>
    <row r="474" ht="22.5" customHeight="1">
      <c r="A474" s="123" t="s">
        <v>403</v>
      </c>
      <c r="B474" s="27" t="s">
        <v>920</v>
      </c>
      <c r="C474" s="124"/>
      <c r="D474" s="27"/>
      <c r="E474" s="27"/>
      <c r="F474" s="27"/>
      <c r="G474" s="125" t="s">
        <v>548</v>
      </c>
      <c r="H474" s="10">
        <v>45658.0</v>
      </c>
      <c r="I474" s="126" t="s">
        <v>549</v>
      </c>
      <c r="J474" s="38"/>
      <c r="K474" s="38"/>
      <c r="L474" s="127"/>
      <c r="M474" s="127"/>
      <c r="O474" s="128"/>
      <c r="P474" s="121"/>
      <c r="Q474" s="128"/>
      <c r="R474" s="128"/>
      <c r="S474" s="30"/>
      <c r="U474" s="30"/>
      <c r="V474" s="30"/>
    </row>
    <row r="475" ht="22.5" customHeight="1">
      <c r="A475" s="123" t="s">
        <v>403</v>
      </c>
      <c r="B475" s="27" t="s">
        <v>921</v>
      </c>
      <c r="C475" s="124"/>
      <c r="D475" s="27"/>
      <c r="E475" s="27"/>
      <c r="F475" s="27"/>
      <c r="G475" s="125" t="s">
        <v>551</v>
      </c>
      <c r="H475" s="10">
        <v>45658.0</v>
      </c>
      <c r="I475" s="126" t="s">
        <v>549</v>
      </c>
      <c r="J475" s="38"/>
      <c r="K475" s="38"/>
      <c r="L475" s="127"/>
      <c r="M475" s="127"/>
      <c r="O475" s="128"/>
      <c r="P475" s="121"/>
      <c r="Q475" s="128"/>
      <c r="R475" s="128"/>
      <c r="S475" s="30"/>
      <c r="U475" s="30"/>
      <c r="V475" s="30"/>
    </row>
    <row r="476" ht="22.5" customHeight="1">
      <c r="A476" s="123" t="s">
        <v>483</v>
      </c>
      <c r="B476" s="27" t="s">
        <v>952</v>
      </c>
      <c r="C476" s="124"/>
      <c r="D476" s="27"/>
      <c r="E476" s="27"/>
      <c r="F476" s="27"/>
      <c r="G476" s="125" t="s">
        <v>1146</v>
      </c>
      <c r="H476" s="10">
        <v>45658.0</v>
      </c>
      <c r="I476" s="126" t="s">
        <v>953</v>
      </c>
      <c r="J476" s="38"/>
      <c r="K476" s="38"/>
      <c r="L476" s="127"/>
      <c r="M476" s="127"/>
      <c r="O476" s="128"/>
      <c r="P476" s="121"/>
      <c r="Q476" s="128"/>
      <c r="R476" s="128"/>
      <c r="S476" s="30"/>
      <c r="U476" s="30"/>
      <c r="V476" s="30"/>
    </row>
    <row r="477" ht="22.5" customHeight="1">
      <c r="A477" s="123" t="s">
        <v>403</v>
      </c>
      <c r="B477" s="27" t="s">
        <v>920</v>
      </c>
      <c r="C477" s="124"/>
      <c r="D477" s="27"/>
      <c r="E477" s="27"/>
      <c r="F477" s="27"/>
      <c r="G477" s="125" t="s">
        <v>548</v>
      </c>
      <c r="H477" s="10">
        <v>45658.0</v>
      </c>
      <c r="I477" s="126" t="s">
        <v>549</v>
      </c>
      <c r="J477" s="38"/>
      <c r="K477" s="38"/>
      <c r="L477" s="127"/>
      <c r="M477" s="127"/>
      <c r="O477" s="128"/>
      <c r="P477" s="121"/>
      <c r="Q477" s="128"/>
      <c r="R477" s="128"/>
      <c r="S477" s="30"/>
      <c r="U477" s="30"/>
      <c r="V477" s="30"/>
    </row>
    <row r="478" ht="22.5" customHeight="1">
      <c r="A478" s="123" t="s">
        <v>403</v>
      </c>
      <c r="B478" s="27" t="s">
        <v>954</v>
      </c>
      <c r="C478" s="124"/>
      <c r="D478" s="27"/>
      <c r="E478" s="27"/>
      <c r="F478" s="27"/>
      <c r="G478" s="125" t="s">
        <v>551</v>
      </c>
      <c r="H478" s="10">
        <v>45658.0</v>
      </c>
      <c r="I478" s="126" t="s">
        <v>549</v>
      </c>
      <c r="J478" s="38"/>
      <c r="K478" s="38"/>
      <c r="L478" s="127"/>
      <c r="M478" s="127"/>
      <c r="O478" s="128"/>
      <c r="P478" s="121"/>
      <c r="Q478" s="128"/>
      <c r="R478" s="128"/>
      <c r="S478" s="30"/>
      <c r="U478" s="30"/>
      <c r="V478" s="30"/>
    </row>
    <row r="479" ht="22.5" customHeight="1">
      <c r="A479" s="136" t="s">
        <v>440</v>
      </c>
      <c r="B479" s="137" t="s">
        <v>955</v>
      </c>
      <c r="C479" s="124"/>
      <c r="D479" s="27"/>
      <c r="E479" s="27"/>
      <c r="F479" s="27"/>
      <c r="G479" s="138">
        <v>7464.0</v>
      </c>
      <c r="H479" s="10">
        <v>45658.0</v>
      </c>
      <c r="I479" s="126" t="s">
        <v>956</v>
      </c>
    </row>
    <row r="480" ht="22.5" customHeight="1">
      <c r="A480" s="136" t="s">
        <v>440</v>
      </c>
      <c r="B480" s="137" t="s">
        <v>955</v>
      </c>
      <c r="C480" s="124"/>
      <c r="D480" s="27"/>
      <c r="E480" s="27"/>
      <c r="F480" s="27"/>
      <c r="G480" s="138">
        <v>4343.0</v>
      </c>
      <c r="H480" s="10">
        <v>45658.0</v>
      </c>
      <c r="I480" s="126" t="s">
        <v>956</v>
      </c>
    </row>
    <row r="481" ht="22.5" customHeight="1">
      <c r="A481" s="136" t="s">
        <v>505</v>
      </c>
      <c r="B481" s="137" t="s">
        <v>955</v>
      </c>
      <c r="C481" s="124"/>
      <c r="D481" s="27"/>
      <c r="E481" s="27"/>
      <c r="F481" s="27"/>
      <c r="G481" s="138">
        <v>1037.0</v>
      </c>
      <c r="H481" s="10">
        <v>45658.0</v>
      </c>
      <c r="I481" s="126" t="s">
        <v>957</v>
      </c>
    </row>
    <row r="482" ht="22.5" customHeight="1">
      <c r="A482" s="136" t="s">
        <v>505</v>
      </c>
      <c r="B482" s="137" t="s">
        <v>955</v>
      </c>
      <c r="C482" s="139"/>
      <c r="D482" s="140"/>
      <c r="E482" s="140"/>
      <c r="F482" s="140"/>
      <c r="G482" s="138">
        <v>1448.0</v>
      </c>
      <c r="H482" s="10">
        <v>45658.0</v>
      </c>
      <c r="I482" s="126" t="s">
        <v>957</v>
      </c>
    </row>
    <row r="483" ht="22.5" customHeight="1">
      <c r="A483" s="136" t="s">
        <v>505</v>
      </c>
      <c r="B483" s="137" t="s">
        <v>955</v>
      </c>
      <c r="C483" s="139"/>
      <c r="D483" s="140"/>
      <c r="E483" s="140"/>
      <c r="F483" s="140"/>
      <c r="G483" s="138">
        <v>1737.0</v>
      </c>
      <c r="H483" s="10">
        <v>45658.0</v>
      </c>
      <c r="I483" s="126" t="s">
        <v>957</v>
      </c>
    </row>
    <row r="484" ht="22.5" customHeight="1">
      <c r="A484" s="136" t="s">
        <v>505</v>
      </c>
      <c r="B484" s="137" t="s">
        <v>955</v>
      </c>
      <c r="C484" s="139"/>
      <c r="D484" s="140"/>
      <c r="E484" s="140"/>
      <c r="F484" s="140"/>
      <c r="G484" s="138">
        <v>1054.0</v>
      </c>
      <c r="H484" s="10">
        <v>45658.0</v>
      </c>
      <c r="I484" s="126" t="s">
        <v>957</v>
      </c>
    </row>
    <row r="485" ht="22.5" customHeight="1">
      <c r="A485" s="141" t="s">
        <v>403</v>
      </c>
      <c r="B485" s="137" t="s">
        <v>958</v>
      </c>
      <c r="C485" s="139"/>
      <c r="D485" s="140"/>
      <c r="E485" s="140"/>
      <c r="F485" s="140"/>
      <c r="G485" s="142">
        <v>620.0</v>
      </c>
      <c r="H485" s="10">
        <v>45658.0</v>
      </c>
      <c r="I485" s="143"/>
    </row>
    <row r="486" ht="22.5" customHeight="1">
      <c r="A486" s="141" t="s">
        <v>403</v>
      </c>
      <c r="B486" s="137" t="s">
        <v>959</v>
      </c>
      <c r="C486" s="139"/>
      <c r="D486" s="140"/>
      <c r="E486" s="140"/>
      <c r="F486" s="140"/>
      <c r="G486" s="144" t="s">
        <v>960</v>
      </c>
      <c r="H486" s="10">
        <v>45658.0</v>
      </c>
      <c r="I486" s="143"/>
    </row>
    <row r="487" ht="22.5" customHeight="1">
      <c r="A487" s="141" t="s">
        <v>18</v>
      </c>
      <c r="B487" s="145" t="s">
        <v>961</v>
      </c>
      <c r="C487" s="139"/>
      <c r="D487" s="140"/>
      <c r="E487" s="140"/>
      <c r="F487" s="140"/>
      <c r="G487" s="146">
        <v>54453.65</v>
      </c>
      <c r="H487" s="10">
        <v>45658.0</v>
      </c>
      <c r="I487" s="143"/>
    </row>
    <row r="488" ht="22.5" customHeight="1">
      <c r="A488" s="141" t="s">
        <v>18</v>
      </c>
      <c r="B488" s="145" t="s">
        <v>961</v>
      </c>
      <c r="C488" s="139"/>
      <c r="D488" s="140"/>
      <c r="E488" s="140"/>
      <c r="F488" s="140"/>
      <c r="G488" s="146">
        <v>2548.3</v>
      </c>
      <c r="H488" s="10">
        <v>45658.0</v>
      </c>
      <c r="I488" s="143"/>
    </row>
    <row r="489" ht="22.5" customHeight="1">
      <c r="A489" s="141" t="s">
        <v>18</v>
      </c>
      <c r="B489" s="145" t="s">
        <v>961</v>
      </c>
      <c r="C489" s="139"/>
      <c r="D489" s="140"/>
      <c r="E489" s="140"/>
      <c r="F489" s="140"/>
      <c r="G489" s="146">
        <v>53476.31</v>
      </c>
      <c r="H489" s="10">
        <v>45658.0</v>
      </c>
      <c r="I489" s="143"/>
    </row>
    <row r="490" ht="22.5" customHeight="1">
      <c r="A490" s="141" t="s">
        <v>403</v>
      </c>
      <c r="B490" s="145" t="s">
        <v>964</v>
      </c>
      <c r="C490" s="139"/>
      <c r="D490" s="140"/>
      <c r="E490" s="140"/>
      <c r="F490" s="140"/>
      <c r="G490" s="146">
        <v>85.0</v>
      </c>
      <c r="H490" s="10">
        <v>45658.0</v>
      </c>
      <c r="I490" s="143"/>
    </row>
    <row r="491" ht="22.5" customHeight="1">
      <c r="A491" s="141" t="s">
        <v>403</v>
      </c>
      <c r="B491" s="145" t="s">
        <v>965</v>
      </c>
      <c r="C491" s="139"/>
      <c r="D491" s="140"/>
      <c r="E491" s="140"/>
      <c r="F491" s="140"/>
      <c r="G491" s="146">
        <v>13.6</v>
      </c>
      <c r="H491" s="10">
        <v>45658.0</v>
      </c>
      <c r="I491" s="143"/>
    </row>
    <row r="492" ht="22.5" customHeight="1">
      <c r="A492" s="141" t="s">
        <v>403</v>
      </c>
      <c r="B492" s="145" t="s">
        <v>966</v>
      </c>
      <c r="C492" s="139"/>
      <c r="D492" s="140"/>
      <c r="E492" s="140"/>
      <c r="F492" s="140"/>
      <c r="G492" s="146">
        <v>171.55</v>
      </c>
      <c r="H492" s="10">
        <v>45658.0</v>
      </c>
      <c r="I492" s="143"/>
    </row>
    <row r="493" ht="22.5" customHeight="1">
      <c r="A493" s="141" t="s">
        <v>403</v>
      </c>
      <c r="B493" s="145" t="s">
        <v>968</v>
      </c>
      <c r="C493" s="139"/>
      <c r="D493" s="140"/>
      <c r="E493" s="140"/>
      <c r="F493" s="140"/>
      <c r="G493" s="146">
        <v>27.45</v>
      </c>
      <c r="H493" s="10">
        <v>45658.0</v>
      </c>
      <c r="I493" s="143"/>
    </row>
    <row r="494" ht="22.5" customHeight="1">
      <c r="A494" s="141" t="s">
        <v>487</v>
      </c>
      <c r="B494" s="147" t="s">
        <v>970</v>
      </c>
      <c r="C494" s="139"/>
      <c r="D494" s="140"/>
      <c r="E494" s="140"/>
      <c r="F494" s="140"/>
      <c r="G494" s="148">
        <v>11434.3</v>
      </c>
      <c r="H494" s="10">
        <v>45658.0</v>
      </c>
      <c r="I494" s="143"/>
    </row>
    <row r="495" ht="22.5" customHeight="1">
      <c r="A495" s="141"/>
      <c r="B495" s="145"/>
      <c r="C495" s="139"/>
      <c r="D495" s="140"/>
      <c r="E495" s="140"/>
      <c r="F495" s="140"/>
      <c r="G495" s="149"/>
      <c r="H495" s="150"/>
      <c r="I495" s="143"/>
    </row>
    <row r="496" ht="22.5" customHeight="1">
      <c r="A496" s="141"/>
      <c r="B496" s="145"/>
      <c r="C496" s="139"/>
      <c r="D496" s="140"/>
      <c r="E496" s="140"/>
      <c r="F496" s="140"/>
      <c r="G496" s="149"/>
      <c r="H496" s="150"/>
      <c r="I496" s="143"/>
    </row>
    <row r="497">
      <c r="B497" s="151"/>
    </row>
    <row r="498">
      <c r="B498" s="151"/>
    </row>
    <row r="499">
      <c r="B499" s="151"/>
    </row>
    <row r="500">
      <c r="B500" s="151"/>
    </row>
    <row r="501">
      <c r="B501" s="151"/>
    </row>
    <row r="502">
      <c r="B502" s="151"/>
    </row>
    <row r="503">
      <c r="B503" s="151"/>
    </row>
    <row r="504">
      <c r="B504" s="151"/>
    </row>
    <row r="505">
      <c r="B505" s="151"/>
    </row>
    <row r="506">
      <c r="B506" s="151"/>
    </row>
    <row r="507">
      <c r="B507" s="151"/>
    </row>
    <row r="508">
      <c r="B508" s="151"/>
    </row>
    <row r="509">
      <c r="B509" s="151"/>
    </row>
    <row r="510">
      <c r="B510" s="151"/>
    </row>
    <row r="511">
      <c r="B511" s="151"/>
    </row>
    <row r="512">
      <c r="B512" s="151"/>
    </row>
    <row r="513">
      <c r="B513" s="151"/>
    </row>
    <row r="514">
      <c r="B514" s="151"/>
    </row>
    <row r="515">
      <c r="B515" s="151"/>
    </row>
    <row r="516">
      <c r="B516" s="151"/>
    </row>
    <row r="517">
      <c r="B517" s="151"/>
    </row>
    <row r="518">
      <c r="B518" s="151"/>
    </row>
    <row r="519">
      <c r="B519" s="151"/>
    </row>
    <row r="520">
      <c r="B520" s="151"/>
    </row>
    <row r="521">
      <c r="B521" s="151"/>
    </row>
    <row r="522">
      <c r="B522" s="151"/>
    </row>
    <row r="523">
      <c r="B523" s="151"/>
    </row>
    <row r="524">
      <c r="B524" s="151"/>
    </row>
    <row r="525">
      <c r="B525" s="151"/>
    </row>
    <row r="526">
      <c r="B526" s="151"/>
    </row>
    <row r="527">
      <c r="B527" s="151"/>
    </row>
    <row r="528">
      <c r="B528" s="151"/>
    </row>
    <row r="529">
      <c r="B529" s="151"/>
    </row>
    <row r="530">
      <c r="B530" s="151"/>
    </row>
    <row r="531">
      <c r="B531" s="151"/>
    </row>
    <row r="532">
      <c r="B532" s="151"/>
    </row>
    <row r="533">
      <c r="B533" s="151"/>
    </row>
    <row r="534">
      <c r="B534" s="151"/>
    </row>
    <row r="535">
      <c r="B535" s="151"/>
    </row>
    <row r="536">
      <c r="B536" s="151"/>
    </row>
    <row r="537">
      <c r="B537" s="151"/>
    </row>
    <row r="538">
      <c r="B538" s="151"/>
    </row>
    <row r="539">
      <c r="B539" s="151"/>
    </row>
    <row r="540">
      <c r="B540" s="151"/>
    </row>
    <row r="541">
      <c r="B541" s="151"/>
    </row>
    <row r="542">
      <c r="B542" s="151"/>
    </row>
    <row r="543">
      <c r="B543" s="151"/>
    </row>
    <row r="544">
      <c r="B544" s="151"/>
    </row>
    <row r="545">
      <c r="B545" s="151"/>
    </row>
    <row r="546">
      <c r="B546" s="151"/>
    </row>
    <row r="547">
      <c r="B547" s="151"/>
    </row>
    <row r="548">
      <c r="B548" s="151"/>
    </row>
    <row r="549">
      <c r="B549" s="151"/>
    </row>
    <row r="550">
      <c r="B550" s="151"/>
    </row>
    <row r="551">
      <c r="B551" s="151"/>
    </row>
    <row r="552">
      <c r="B552" s="151"/>
    </row>
    <row r="553">
      <c r="B553" s="151"/>
    </row>
    <row r="554">
      <c r="B554" s="151"/>
    </row>
    <row r="555">
      <c r="B555" s="151"/>
    </row>
    <row r="556">
      <c r="B556" s="151"/>
    </row>
    <row r="557">
      <c r="B557" s="151"/>
    </row>
    <row r="558">
      <c r="B558" s="151"/>
    </row>
    <row r="559">
      <c r="B559" s="151"/>
    </row>
    <row r="560">
      <c r="B560" s="151"/>
    </row>
    <row r="561">
      <c r="B561" s="151"/>
    </row>
    <row r="562">
      <c r="B562" s="151"/>
    </row>
    <row r="563">
      <c r="B563" s="151"/>
    </row>
    <row r="564">
      <c r="B564" s="151"/>
    </row>
    <row r="565">
      <c r="B565" s="151"/>
    </row>
    <row r="566">
      <c r="B566" s="151"/>
    </row>
    <row r="567">
      <c r="B567" s="151"/>
    </row>
    <row r="568">
      <c r="B568" s="151"/>
    </row>
    <row r="569">
      <c r="B569" s="151"/>
    </row>
    <row r="570">
      <c r="B570" s="151"/>
    </row>
    <row r="571">
      <c r="B571" s="151"/>
    </row>
    <row r="572">
      <c r="B572" s="151"/>
    </row>
    <row r="573">
      <c r="B573" s="151"/>
    </row>
    <row r="574">
      <c r="B574" s="151"/>
    </row>
    <row r="575">
      <c r="B575" s="151"/>
    </row>
    <row r="576">
      <c r="B576" s="151"/>
    </row>
    <row r="577">
      <c r="B577" s="151"/>
    </row>
    <row r="578">
      <c r="B578" s="151"/>
    </row>
    <row r="579">
      <c r="B579" s="151"/>
    </row>
    <row r="580">
      <c r="B580" s="151"/>
    </row>
    <row r="581">
      <c r="B581" s="151"/>
    </row>
    <row r="582">
      <c r="B582" s="151"/>
    </row>
    <row r="583">
      <c r="B583" s="151"/>
    </row>
    <row r="584">
      <c r="B584" s="151"/>
    </row>
    <row r="585">
      <c r="B585" s="151"/>
    </row>
    <row r="586">
      <c r="B586" s="151"/>
    </row>
    <row r="587">
      <c r="B587" s="151"/>
    </row>
    <row r="588">
      <c r="B588" s="151"/>
    </row>
    <row r="589">
      <c r="B589" s="151"/>
    </row>
    <row r="590">
      <c r="B590" s="151"/>
    </row>
    <row r="591">
      <c r="B591" s="151"/>
    </row>
    <row r="592">
      <c r="B592" s="151"/>
    </row>
    <row r="593">
      <c r="B593" s="151"/>
    </row>
    <row r="594">
      <c r="B594" s="151"/>
    </row>
    <row r="595">
      <c r="B595" s="151"/>
    </row>
    <row r="596">
      <c r="B596" s="151"/>
    </row>
    <row r="597">
      <c r="B597" s="151"/>
    </row>
    <row r="598">
      <c r="B598" s="151"/>
    </row>
    <row r="599">
      <c r="B599" s="151"/>
    </row>
    <row r="600">
      <c r="B600" s="151"/>
    </row>
    <row r="601">
      <c r="B601" s="151"/>
    </row>
    <row r="602">
      <c r="B602" s="151"/>
    </row>
    <row r="603">
      <c r="B603" s="151"/>
    </row>
    <row r="604">
      <c r="B604" s="151"/>
    </row>
    <row r="605">
      <c r="B605" s="151"/>
    </row>
    <row r="606">
      <c r="B606" s="151"/>
    </row>
    <row r="607">
      <c r="B607" s="151"/>
    </row>
    <row r="608">
      <c r="B608" s="151"/>
    </row>
    <row r="609">
      <c r="B609" s="151"/>
    </row>
    <row r="610">
      <c r="B610" s="151"/>
    </row>
    <row r="611">
      <c r="B611" s="151"/>
    </row>
    <row r="612">
      <c r="B612" s="151"/>
    </row>
    <row r="613">
      <c r="B613" s="151"/>
    </row>
    <row r="614">
      <c r="B614" s="151"/>
    </row>
    <row r="615">
      <c r="B615" s="151"/>
    </row>
    <row r="616">
      <c r="B616" s="151"/>
    </row>
    <row r="617">
      <c r="B617" s="151"/>
    </row>
    <row r="618">
      <c r="B618" s="151"/>
    </row>
    <row r="619">
      <c r="B619" s="151"/>
    </row>
    <row r="620">
      <c r="B620" s="151"/>
    </row>
    <row r="621">
      <c r="B621" s="151"/>
    </row>
    <row r="622">
      <c r="B622" s="151"/>
    </row>
    <row r="623">
      <c r="B623" s="151"/>
    </row>
    <row r="624">
      <c r="B624" s="151"/>
    </row>
    <row r="625">
      <c r="B625" s="151"/>
    </row>
    <row r="626">
      <c r="B626" s="151"/>
    </row>
    <row r="627">
      <c r="B627" s="151"/>
    </row>
    <row r="628">
      <c r="B628" s="151"/>
    </row>
    <row r="629">
      <c r="B629" s="151"/>
    </row>
    <row r="630">
      <c r="B630" s="151"/>
    </row>
    <row r="631">
      <c r="B631" s="151"/>
    </row>
    <row r="632">
      <c r="B632" s="151"/>
    </row>
    <row r="633">
      <c r="B633" s="151"/>
    </row>
    <row r="634">
      <c r="B634" s="151"/>
    </row>
    <row r="635">
      <c r="B635" s="151"/>
    </row>
    <row r="636">
      <c r="B636" s="151"/>
    </row>
    <row r="637">
      <c r="B637" s="151"/>
    </row>
    <row r="638">
      <c r="B638" s="151"/>
    </row>
    <row r="639">
      <c r="B639" s="151"/>
    </row>
    <row r="640">
      <c r="B640" s="151"/>
    </row>
    <row r="641">
      <c r="B641" s="151"/>
    </row>
    <row r="642">
      <c r="B642" s="151"/>
    </row>
    <row r="643">
      <c r="B643" s="151"/>
    </row>
    <row r="644">
      <c r="B644" s="151"/>
    </row>
    <row r="645">
      <c r="B645" s="151"/>
    </row>
    <row r="646">
      <c r="B646" s="151"/>
    </row>
    <row r="647">
      <c r="B647" s="151"/>
    </row>
    <row r="648">
      <c r="B648" s="151"/>
    </row>
    <row r="649">
      <c r="B649" s="151"/>
    </row>
    <row r="650">
      <c r="B650" s="151"/>
    </row>
    <row r="651">
      <c r="B651" s="151"/>
    </row>
    <row r="652">
      <c r="B652" s="151"/>
    </row>
    <row r="653">
      <c r="B653" s="151"/>
    </row>
    <row r="654">
      <c r="B654" s="151"/>
    </row>
    <row r="655">
      <c r="B655" s="151"/>
    </row>
    <row r="656">
      <c r="B656" s="151"/>
    </row>
    <row r="657">
      <c r="B657" s="151"/>
    </row>
    <row r="658">
      <c r="B658" s="151"/>
    </row>
    <row r="659">
      <c r="B659" s="151"/>
    </row>
    <row r="660">
      <c r="B660" s="151"/>
    </row>
    <row r="661">
      <c r="B661" s="151"/>
    </row>
    <row r="662">
      <c r="B662" s="151"/>
    </row>
    <row r="663">
      <c r="B663" s="151"/>
    </row>
    <row r="664">
      <c r="B664" s="151"/>
    </row>
    <row r="665">
      <c r="B665" s="151"/>
    </row>
    <row r="666">
      <c r="B666" s="151"/>
    </row>
    <row r="667">
      <c r="B667" s="151"/>
    </row>
    <row r="668">
      <c r="B668" s="151"/>
    </row>
    <row r="669">
      <c r="B669" s="151"/>
    </row>
    <row r="670">
      <c r="B670" s="151"/>
    </row>
    <row r="671">
      <c r="B671" s="151"/>
    </row>
    <row r="672">
      <c r="B672" s="151"/>
    </row>
    <row r="673">
      <c r="B673" s="151"/>
    </row>
    <row r="674">
      <c r="B674" s="151"/>
    </row>
    <row r="675">
      <c r="B675" s="151"/>
    </row>
    <row r="676">
      <c r="B676" s="151"/>
    </row>
    <row r="677">
      <c r="B677" s="151"/>
    </row>
    <row r="678">
      <c r="B678" s="151"/>
    </row>
    <row r="679">
      <c r="B679" s="151"/>
    </row>
    <row r="680">
      <c r="B680" s="151"/>
    </row>
    <row r="681">
      <c r="B681" s="151"/>
    </row>
    <row r="682">
      <c r="B682" s="151"/>
    </row>
    <row r="683">
      <c r="B683" s="151"/>
    </row>
    <row r="684">
      <c r="B684" s="151"/>
    </row>
    <row r="685">
      <c r="B685" s="151"/>
    </row>
    <row r="686">
      <c r="B686" s="151"/>
    </row>
    <row r="687">
      <c r="B687" s="151"/>
    </row>
    <row r="688">
      <c r="B688" s="151"/>
    </row>
    <row r="689">
      <c r="B689" s="151"/>
    </row>
    <row r="690">
      <c r="B690" s="151"/>
    </row>
    <row r="691">
      <c r="B691" s="151"/>
    </row>
    <row r="692">
      <c r="B692" s="151"/>
    </row>
    <row r="693">
      <c r="B693" s="151"/>
    </row>
    <row r="694">
      <c r="B694" s="151"/>
    </row>
    <row r="695">
      <c r="B695" s="151"/>
    </row>
    <row r="696">
      <c r="B696" s="151"/>
    </row>
    <row r="697">
      <c r="B697" s="151"/>
    </row>
    <row r="698">
      <c r="B698" s="151"/>
    </row>
    <row r="699">
      <c r="B699" s="151"/>
    </row>
    <row r="700">
      <c r="B700" s="151"/>
    </row>
    <row r="701">
      <c r="B701" s="151"/>
    </row>
    <row r="702">
      <c r="B702" s="151"/>
    </row>
    <row r="703">
      <c r="B703" s="151"/>
    </row>
    <row r="704">
      <c r="B704" s="151"/>
    </row>
    <row r="705">
      <c r="B705" s="151"/>
    </row>
    <row r="706">
      <c r="B706" s="151"/>
    </row>
    <row r="707">
      <c r="B707" s="151"/>
    </row>
    <row r="708">
      <c r="B708" s="151"/>
    </row>
    <row r="709">
      <c r="B709" s="151"/>
    </row>
    <row r="710">
      <c r="B710" s="151"/>
    </row>
    <row r="711">
      <c r="B711" s="151"/>
    </row>
    <row r="712">
      <c r="B712" s="151"/>
    </row>
    <row r="713">
      <c r="B713" s="151"/>
    </row>
    <row r="714">
      <c r="B714" s="151"/>
    </row>
    <row r="715">
      <c r="B715" s="151"/>
    </row>
    <row r="716">
      <c r="B716" s="151"/>
    </row>
    <row r="717">
      <c r="B717" s="151"/>
    </row>
    <row r="718">
      <c r="B718" s="151"/>
    </row>
    <row r="719">
      <c r="B719" s="151"/>
    </row>
    <row r="720">
      <c r="B720" s="151"/>
    </row>
    <row r="721">
      <c r="B721" s="151"/>
    </row>
    <row r="722">
      <c r="B722" s="151"/>
    </row>
    <row r="723">
      <c r="B723" s="151"/>
    </row>
    <row r="724">
      <c r="B724" s="151"/>
    </row>
    <row r="725">
      <c r="B725" s="151"/>
    </row>
    <row r="726">
      <c r="B726" s="151"/>
    </row>
    <row r="727">
      <c r="B727" s="151"/>
    </row>
    <row r="728">
      <c r="B728" s="151"/>
    </row>
    <row r="729">
      <c r="B729" s="151"/>
    </row>
    <row r="730">
      <c r="B730" s="151"/>
    </row>
    <row r="731">
      <c r="B731" s="151"/>
    </row>
    <row r="732">
      <c r="B732" s="151"/>
    </row>
    <row r="733">
      <c r="B733" s="151"/>
    </row>
    <row r="734">
      <c r="B734" s="151"/>
    </row>
    <row r="735">
      <c r="B735" s="151"/>
    </row>
    <row r="736">
      <c r="B736" s="151"/>
    </row>
    <row r="737">
      <c r="B737" s="151"/>
    </row>
    <row r="738">
      <c r="B738" s="151"/>
    </row>
    <row r="739">
      <c r="B739" s="151"/>
    </row>
    <row r="740">
      <c r="B740" s="151"/>
    </row>
    <row r="741">
      <c r="B741" s="151"/>
    </row>
    <row r="742">
      <c r="B742" s="151"/>
    </row>
    <row r="743">
      <c r="B743" s="151"/>
    </row>
    <row r="744">
      <c r="B744" s="151"/>
    </row>
    <row r="745">
      <c r="B745" s="151"/>
    </row>
    <row r="746">
      <c r="B746" s="151"/>
    </row>
    <row r="747">
      <c r="B747" s="151"/>
    </row>
    <row r="748">
      <c r="B748" s="151"/>
    </row>
    <row r="749">
      <c r="B749" s="151"/>
    </row>
    <row r="750">
      <c r="B750" s="151"/>
    </row>
    <row r="751">
      <c r="B751" s="151"/>
    </row>
    <row r="752">
      <c r="B752" s="151"/>
    </row>
    <row r="753">
      <c r="B753" s="151"/>
    </row>
    <row r="754">
      <c r="B754" s="151"/>
    </row>
    <row r="755">
      <c r="B755" s="151"/>
    </row>
    <row r="756">
      <c r="B756" s="151"/>
    </row>
    <row r="757">
      <c r="B757" s="151"/>
    </row>
    <row r="758">
      <c r="B758" s="151"/>
    </row>
    <row r="759">
      <c r="B759" s="151"/>
    </row>
    <row r="760">
      <c r="B760" s="151"/>
    </row>
    <row r="761">
      <c r="B761" s="151"/>
    </row>
    <row r="762">
      <c r="B762" s="151"/>
    </row>
    <row r="763">
      <c r="B763" s="151"/>
    </row>
    <row r="764">
      <c r="B764" s="151"/>
    </row>
    <row r="765">
      <c r="B765" s="151"/>
    </row>
    <row r="766">
      <c r="B766" s="151"/>
    </row>
    <row r="767">
      <c r="B767" s="151"/>
    </row>
    <row r="768">
      <c r="B768" s="151"/>
    </row>
    <row r="769">
      <c r="B769" s="151"/>
    </row>
    <row r="770">
      <c r="B770" s="151"/>
    </row>
    <row r="771">
      <c r="B771" s="151"/>
    </row>
    <row r="772">
      <c r="B772" s="151"/>
    </row>
    <row r="773">
      <c r="B773" s="151"/>
    </row>
    <row r="774">
      <c r="B774" s="151"/>
    </row>
    <row r="775">
      <c r="B775" s="151"/>
    </row>
    <row r="776">
      <c r="B776" s="151"/>
    </row>
    <row r="777">
      <c r="B777" s="151"/>
    </row>
    <row r="778">
      <c r="B778" s="151"/>
    </row>
    <row r="779">
      <c r="B779" s="151"/>
    </row>
    <row r="780">
      <c r="B780" s="151"/>
    </row>
    <row r="781">
      <c r="B781" s="151"/>
    </row>
    <row r="782">
      <c r="B782" s="151"/>
    </row>
    <row r="783">
      <c r="B783" s="151"/>
    </row>
    <row r="784">
      <c r="B784" s="151"/>
    </row>
    <row r="785">
      <c r="B785" s="151"/>
    </row>
    <row r="786">
      <c r="B786" s="151"/>
    </row>
    <row r="787">
      <c r="B787" s="151"/>
    </row>
    <row r="788">
      <c r="B788" s="151"/>
    </row>
    <row r="789">
      <c r="B789" s="151"/>
    </row>
    <row r="790">
      <c r="B790" s="151"/>
    </row>
    <row r="791">
      <c r="B791" s="151"/>
    </row>
    <row r="792">
      <c r="B792" s="151"/>
    </row>
    <row r="793">
      <c r="B793" s="151"/>
    </row>
    <row r="794">
      <c r="B794" s="151"/>
    </row>
    <row r="795">
      <c r="B795" s="151"/>
    </row>
    <row r="796">
      <c r="B796" s="151"/>
    </row>
    <row r="797">
      <c r="B797" s="151"/>
    </row>
    <row r="798">
      <c r="B798" s="151"/>
    </row>
    <row r="799">
      <c r="B799" s="151"/>
    </row>
    <row r="800">
      <c r="B800" s="151"/>
    </row>
    <row r="801">
      <c r="B801" s="151"/>
    </row>
    <row r="802">
      <c r="B802" s="151"/>
    </row>
    <row r="803">
      <c r="B803" s="151"/>
    </row>
    <row r="804">
      <c r="B804" s="151"/>
    </row>
    <row r="805">
      <c r="B805" s="151"/>
    </row>
    <row r="806">
      <c r="B806" s="151"/>
    </row>
    <row r="807">
      <c r="B807" s="151"/>
    </row>
    <row r="808">
      <c r="B808" s="151"/>
    </row>
    <row r="809">
      <c r="B809" s="151"/>
    </row>
    <row r="810">
      <c r="B810" s="151"/>
    </row>
    <row r="811">
      <c r="B811" s="151"/>
    </row>
    <row r="812">
      <c r="B812" s="151"/>
    </row>
    <row r="813">
      <c r="B813" s="151"/>
    </row>
    <row r="814">
      <c r="B814" s="151"/>
    </row>
    <row r="815">
      <c r="B815" s="151"/>
    </row>
    <row r="816">
      <c r="B816" s="151"/>
    </row>
    <row r="817">
      <c r="B817" s="151"/>
    </row>
    <row r="818">
      <c r="B818" s="151"/>
    </row>
    <row r="819">
      <c r="B819" s="151"/>
    </row>
    <row r="820">
      <c r="B820" s="151"/>
    </row>
    <row r="821">
      <c r="B821" s="151"/>
    </row>
    <row r="822">
      <c r="B822" s="151"/>
    </row>
    <row r="823">
      <c r="B823" s="151"/>
    </row>
    <row r="824">
      <c r="B824" s="151"/>
    </row>
    <row r="825">
      <c r="B825" s="151"/>
    </row>
    <row r="826">
      <c r="B826" s="151"/>
    </row>
    <row r="827">
      <c r="B827" s="151"/>
    </row>
    <row r="828">
      <c r="B828" s="151"/>
    </row>
    <row r="829">
      <c r="B829" s="151"/>
    </row>
    <row r="830">
      <c r="B830" s="151"/>
    </row>
    <row r="831">
      <c r="B831" s="151"/>
    </row>
    <row r="832">
      <c r="B832" s="151"/>
    </row>
    <row r="833">
      <c r="B833" s="151"/>
    </row>
    <row r="834">
      <c r="B834" s="151"/>
    </row>
    <row r="835">
      <c r="B835" s="151"/>
    </row>
    <row r="836">
      <c r="B836" s="151"/>
    </row>
    <row r="837">
      <c r="B837" s="151"/>
    </row>
    <row r="838">
      <c r="B838" s="151"/>
    </row>
    <row r="839">
      <c r="B839" s="151"/>
    </row>
    <row r="840">
      <c r="B840" s="151"/>
    </row>
    <row r="841">
      <c r="B841" s="151"/>
    </row>
    <row r="842">
      <c r="B842" s="151"/>
    </row>
    <row r="843">
      <c r="B843" s="151"/>
    </row>
    <row r="844">
      <c r="B844" s="151"/>
    </row>
    <row r="845">
      <c r="B845" s="151"/>
    </row>
    <row r="846">
      <c r="B846" s="151"/>
    </row>
    <row r="847">
      <c r="B847" s="151"/>
    </row>
    <row r="848">
      <c r="B848" s="151"/>
    </row>
    <row r="849">
      <c r="B849" s="151"/>
    </row>
    <row r="850">
      <c r="B850" s="151"/>
    </row>
    <row r="851">
      <c r="B851" s="151"/>
    </row>
    <row r="852">
      <c r="B852" s="151"/>
    </row>
    <row r="853">
      <c r="B853" s="151"/>
    </row>
    <row r="854">
      <c r="B854" s="151"/>
    </row>
    <row r="855">
      <c r="B855" s="151"/>
    </row>
    <row r="856">
      <c r="B856" s="151"/>
    </row>
    <row r="857">
      <c r="B857" s="151"/>
    </row>
    <row r="858">
      <c r="B858" s="151"/>
    </row>
    <row r="859">
      <c r="B859" s="151"/>
    </row>
    <row r="860">
      <c r="B860" s="151"/>
    </row>
    <row r="861">
      <c r="B861" s="151"/>
    </row>
    <row r="862">
      <c r="B862" s="151"/>
    </row>
    <row r="863">
      <c r="B863" s="151"/>
    </row>
    <row r="864">
      <c r="B864" s="151"/>
    </row>
    <row r="865">
      <c r="B865" s="151"/>
    </row>
    <row r="866">
      <c r="B866" s="151"/>
    </row>
    <row r="867">
      <c r="B867" s="151"/>
    </row>
    <row r="868">
      <c r="B868" s="151"/>
    </row>
    <row r="869">
      <c r="B869" s="151"/>
    </row>
    <row r="870">
      <c r="B870" s="151"/>
    </row>
    <row r="871">
      <c r="B871" s="151"/>
    </row>
    <row r="872">
      <c r="B872" s="151"/>
    </row>
    <row r="873">
      <c r="B873" s="151"/>
    </row>
    <row r="874">
      <c r="B874" s="151"/>
    </row>
    <row r="875">
      <c r="B875" s="151"/>
    </row>
    <row r="876">
      <c r="B876" s="151"/>
    </row>
    <row r="877">
      <c r="B877" s="151"/>
    </row>
    <row r="878">
      <c r="B878" s="151"/>
    </row>
    <row r="879">
      <c r="B879" s="151"/>
    </row>
    <row r="880">
      <c r="B880" s="151"/>
    </row>
    <row r="881">
      <c r="B881" s="151"/>
    </row>
    <row r="882">
      <c r="B882" s="151"/>
    </row>
    <row r="883">
      <c r="B883" s="151"/>
    </row>
    <row r="884">
      <c r="B884" s="151"/>
    </row>
    <row r="885">
      <c r="B885" s="151"/>
    </row>
    <row r="886">
      <c r="B886" s="151"/>
    </row>
    <row r="887">
      <c r="B887" s="151"/>
    </row>
    <row r="888">
      <c r="B888" s="151"/>
    </row>
    <row r="889">
      <c r="B889" s="151"/>
    </row>
    <row r="890">
      <c r="B890" s="151"/>
    </row>
    <row r="891">
      <c r="B891" s="151"/>
    </row>
    <row r="892">
      <c r="B892" s="151"/>
    </row>
    <row r="893">
      <c r="B893" s="151"/>
    </row>
    <row r="894">
      <c r="B894" s="151"/>
    </row>
    <row r="895">
      <c r="B895" s="151"/>
    </row>
    <row r="896">
      <c r="B896" s="151"/>
    </row>
    <row r="897">
      <c r="B897" s="151"/>
    </row>
    <row r="898">
      <c r="B898" s="151"/>
    </row>
    <row r="899">
      <c r="B899" s="151"/>
    </row>
    <row r="900">
      <c r="B900" s="151"/>
    </row>
    <row r="901">
      <c r="B901" s="151"/>
    </row>
    <row r="902">
      <c r="B902" s="151"/>
    </row>
    <row r="903">
      <c r="B903" s="151"/>
    </row>
    <row r="904">
      <c r="B904" s="151"/>
    </row>
    <row r="905">
      <c r="B905" s="151"/>
    </row>
    <row r="906">
      <c r="B906" s="151"/>
    </row>
    <row r="907">
      <c r="B907" s="151"/>
    </row>
    <row r="908">
      <c r="B908" s="151"/>
    </row>
    <row r="909">
      <c r="B909" s="151"/>
    </row>
    <row r="910">
      <c r="B910" s="151"/>
    </row>
    <row r="911">
      <c r="B911" s="151"/>
    </row>
    <row r="912">
      <c r="B912" s="151"/>
    </row>
    <row r="913">
      <c r="B913" s="151"/>
    </row>
    <row r="914">
      <c r="B914" s="151"/>
    </row>
    <row r="915">
      <c r="B915" s="151"/>
    </row>
    <row r="916">
      <c r="B916" s="151"/>
    </row>
    <row r="917">
      <c r="B917" s="151"/>
    </row>
    <row r="918">
      <c r="B918" s="151"/>
    </row>
    <row r="919">
      <c r="B919" s="151"/>
    </row>
    <row r="920">
      <c r="B920" s="151"/>
    </row>
    <row r="921">
      <c r="B921" s="151"/>
    </row>
    <row r="922">
      <c r="B922" s="151"/>
    </row>
    <row r="923">
      <c r="B923" s="151"/>
    </row>
    <row r="924">
      <c r="B924" s="151"/>
    </row>
    <row r="925">
      <c r="B925" s="151"/>
    </row>
    <row r="926">
      <c r="B926" s="151"/>
    </row>
    <row r="927">
      <c r="B927" s="151"/>
    </row>
    <row r="928">
      <c r="B928" s="151"/>
    </row>
    <row r="929">
      <c r="B929" s="151"/>
    </row>
    <row r="930">
      <c r="B930" s="151"/>
    </row>
    <row r="931">
      <c r="B931" s="151"/>
    </row>
    <row r="932">
      <c r="B932" s="151"/>
    </row>
    <row r="933">
      <c r="B933" s="151"/>
    </row>
    <row r="934">
      <c r="B934" s="151"/>
    </row>
    <row r="935">
      <c r="B935" s="151"/>
    </row>
    <row r="936">
      <c r="B936" s="151"/>
    </row>
    <row r="937">
      <c r="B937" s="151"/>
    </row>
    <row r="938">
      <c r="B938" s="151"/>
    </row>
    <row r="939">
      <c r="B939" s="151"/>
    </row>
    <row r="940">
      <c r="B940" s="151"/>
    </row>
    <row r="941">
      <c r="B941" s="151"/>
    </row>
    <row r="942">
      <c r="B942" s="151"/>
    </row>
    <row r="943">
      <c r="B943" s="151"/>
    </row>
    <row r="944">
      <c r="B944" s="151"/>
    </row>
    <row r="945">
      <c r="B945" s="151"/>
    </row>
    <row r="946">
      <c r="B946" s="151"/>
    </row>
    <row r="947">
      <c r="B947" s="151"/>
    </row>
    <row r="948">
      <c r="B948" s="151"/>
    </row>
    <row r="949">
      <c r="B949" s="151"/>
    </row>
    <row r="950">
      <c r="B950" s="151"/>
    </row>
    <row r="951">
      <c r="B951" s="151"/>
    </row>
    <row r="952">
      <c r="B952" s="151"/>
    </row>
    <row r="953">
      <c r="B953" s="151"/>
    </row>
    <row r="954">
      <c r="B954" s="151"/>
    </row>
    <row r="955">
      <c r="B955" s="151"/>
    </row>
    <row r="956">
      <c r="B956" s="151"/>
    </row>
    <row r="957">
      <c r="B957" s="151"/>
    </row>
    <row r="958">
      <c r="B958" s="151"/>
    </row>
    <row r="959">
      <c r="B959" s="151"/>
    </row>
    <row r="960">
      <c r="B960" s="151"/>
    </row>
    <row r="961">
      <c r="B961" s="151"/>
    </row>
    <row r="962">
      <c r="B962" s="151"/>
    </row>
    <row r="963">
      <c r="B963" s="151"/>
    </row>
    <row r="964">
      <c r="B964" s="151"/>
    </row>
    <row r="965">
      <c r="B965" s="151"/>
    </row>
    <row r="966">
      <c r="B966" s="151"/>
    </row>
    <row r="967">
      <c r="B967" s="151"/>
    </row>
    <row r="968">
      <c r="B968" s="151"/>
    </row>
    <row r="969">
      <c r="B969" s="151"/>
    </row>
    <row r="970">
      <c r="B970" s="151"/>
    </row>
    <row r="971">
      <c r="B971" s="151"/>
    </row>
    <row r="972">
      <c r="B972" s="151"/>
    </row>
    <row r="973">
      <c r="B973" s="151"/>
    </row>
    <row r="974">
      <c r="B974" s="151"/>
    </row>
    <row r="975">
      <c r="B975" s="151"/>
    </row>
    <row r="976">
      <c r="B976" s="151"/>
    </row>
    <row r="977">
      <c r="B977" s="151"/>
    </row>
    <row r="978">
      <c r="B978" s="151"/>
    </row>
    <row r="979">
      <c r="B979" s="151"/>
    </row>
    <row r="980">
      <c r="B980" s="151"/>
    </row>
    <row r="981">
      <c r="B981" s="151"/>
    </row>
    <row r="982">
      <c r="B982" s="151"/>
    </row>
    <row r="983">
      <c r="B983" s="151"/>
    </row>
    <row r="984">
      <c r="B984" s="151"/>
    </row>
    <row r="985">
      <c r="B985" s="151"/>
    </row>
    <row r="986">
      <c r="B986" s="151"/>
    </row>
    <row r="987">
      <c r="B987" s="151"/>
    </row>
    <row r="988">
      <c r="B988" s="151"/>
    </row>
    <row r="989">
      <c r="B989" s="151"/>
    </row>
    <row r="990">
      <c r="B990" s="151"/>
    </row>
    <row r="991">
      <c r="B991" s="151"/>
    </row>
    <row r="992">
      <c r="B992" s="151"/>
    </row>
    <row r="993">
      <c r="B993" s="151"/>
    </row>
    <row r="994">
      <c r="B994" s="151"/>
    </row>
    <row r="995">
      <c r="B995" s="151"/>
    </row>
  </sheetData>
  <dataValidations>
    <dataValidation type="list" allowBlank="1" showErrorMessage="1" sqref="A2:A496">
      <formula1>#REF!</formula1>
    </dataValidation>
    <dataValidation type="list" allowBlank="1" showErrorMessage="1" sqref="A115 A136 A140 A454 A479:A484">
      <formula1>#REF!</formula1>
    </dataValidation>
    <dataValidation type="custom" allowBlank="1" showDropDown="1" sqref="H2:H496">
      <formula1>OR(NOT(ISERROR(DATEVALUE(H2))), AND(ISNUMBER(H2), LEFT(CELL("format", H2))="D"))</formula1>
    </dataValidation>
    <dataValidation type="custom" allowBlank="1" showDropDown="1" sqref="G2:G496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71"/>
  </cols>
  <sheetData>
    <row r="2">
      <c r="A2" s="40" t="s">
        <v>1147</v>
      </c>
      <c r="B2" s="152" t="s">
        <v>1148</v>
      </c>
    </row>
    <row r="3">
      <c r="B3" s="152" t="s">
        <v>1149</v>
      </c>
    </row>
    <row r="4">
      <c r="A4" s="153" t="s">
        <v>100</v>
      </c>
      <c r="B4" s="152" t="s">
        <v>1150</v>
      </c>
    </row>
    <row r="5">
      <c r="A5" s="40" t="s">
        <v>125</v>
      </c>
      <c r="B5" s="152" t="s">
        <v>1150</v>
      </c>
    </row>
    <row r="6">
      <c r="A6" s="40" t="s">
        <v>155</v>
      </c>
      <c r="B6" s="152" t="s">
        <v>1150</v>
      </c>
    </row>
    <row r="7">
      <c r="A7" s="154" t="s">
        <v>166</v>
      </c>
      <c r="B7" s="152" t="s">
        <v>1148</v>
      </c>
    </row>
    <row r="8">
      <c r="A8" s="40" t="s">
        <v>182</v>
      </c>
      <c r="B8" s="152" t="s">
        <v>1150</v>
      </c>
    </row>
    <row r="9">
      <c r="A9" s="40" t="s">
        <v>210</v>
      </c>
      <c r="B9" s="152" t="s">
        <v>1150</v>
      </c>
    </row>
    <row r="10">
      <c r="A10" s="155" t="s">
        <v>218</v>
      </c>
      <c r="B10" s="152" t="s">
        <v>1150</v>
      </c>
    </row>
    <row r="11">
      <c r="A11" s="40" t="s">
        <v>228</v>
      </c>
      <c r="B11" s="152" t="s">
        <v>1150</v>
      </c>
    </row>
    <row r="12">
      <c r="A12" s="40" t="s">
        <v>257</v>
      </c>
      <c r="B12" s="152" t="s">
        <v>1150</v>
      </c>
    </row>
    <row r="14">
      <c r="A14" s="40" t="s">
        <v>220</v>
      </c>
      <c r="B14" s="152" t="s">
        <v>1151</v>
      </c>
    </row>
    <row r="15">
      <c r="A15" s="152" t="s">
        <v>1152</v>
      </c>
    </row>
    <row r="16">
      <c r="A16" s="152" t="s">
        <v>1153</v>
      </c>
      <c r="K16" s="152" t="s">
        <v>70</v>
      </c>
    </row>
    <row r="17">
      <c r="A17" s="152" t="s">
        <v>1154</v>
      </c>
      <c r="K17" s="152" t="s">
        <v>1155</v>
      </c>
    </row>
    <row r="18">
      <c r="A18" s="152" t="s">
        <v>1156</v>
      </c>
      <c r="K18" s="152" t="s">
        <v>1157</v>
      </c>
    </row>
    <row r="19">
      <c r="A19" s="152" t="s">
        <v>1158</v>
      </c>
      <c r="K19" s="152" t="s">
        <v>1159</v>
      </c>
    </row>
    <row r="20">
      <c r="A20" s="152" t="s">
        <v>1160</v>
      </c>
      <c r="B20" s="152" t="s">
        <v>1161</v>
      </c>
      <c r="K20" s="152" t="s">
        <v>1162</v>
      </c>
    </row>
    <row r="21">
      <c r="A21" s="38" t="s">
        <v>1163</v>
      </c>
      <c r="B21" s="156"/>
      <c r="C21" s="157"/>
      <c r="K21" s="152" t="s">
        <v>1164</v>
      </c>
    </row>
    <row r="22">
      <c r="A22" s="38" t="s">
        <v>1165</v>
      </c>
      <c r="B22" s="156"/>
      <c r="C22" s="157"/>
      <c r="K22" s="152" t="s">
        <v>1166</v>
      </c>
    </row>
    <row r="23">
      <c r="A23" s="156" t="s">
        <v>1167</v>
      </c>
      <c r="B23" s="157"/>
      <c r="C23" s="156" t="s">
        <v>1168</v>
      </c>
      <c r="K23" s="152" t="s">
        <v>1169</v>
      </c>
    </row>
    <row r="24">
      <c r="A24" s="156" t="s">
        <v>1170</v>
      </c>
      <c r="B24" s="157"/>
      <c r="C24" s="157"/>
      <c r="K24" s="152" t="s">
        <v>1171</v>
      </c>
    </row>
    <row r="25">
      <c r="A25" s="156" t="s">
        <v>1172</v>
      </c>
      <c r="B25" s="157"/>
      <c r="C25" s="157"/>
      <c r="K25" s="152" t="s">
        <v>1173</v>
      </c>
    </row>
    <row r="26">
      <c r="A26" s="156" t="s">
        <v>1174</v>
      </c>
      <c r="B26" s="157"/>
      <c r="C26" s="157"/>
      <c r="K26" s="152" t="s">
        <v>1175</v>
      </c>
    </row>
    <row r="28">
      <c r="K28" s="152" t="s">
        <v>1176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53.29"/>
  </cols>
  <sheetData>
    <row r="1">
      <c r="A1" s="158" t="s">
        <v>11</v>
      </c>
      <c r="B1" s="158" t="s">
        <v>12</v>
      </c>
      <c r="C1" s="158" t="s">
        <v>13</v>
      </c>
      <c r="D1" s="158" t="s">
        <v>1</v>
      </c>
      <c r="E1" s="158" t="s">
        <v>1177</v>
      </c>
      <c r="F1" s="158" t="s">
        <v>1178</v>
      </c>
      <c r="G1" s="158" t="s">
        <v>14</v>
      </c>
      <c r="H1" s="158" t="s">
        <v>1179</v>
      </c>
      <c r="I1" s="158" t="s">
        <v>1180</v>
      </c>
      <c r="J1" s="30"/>
    </row>
    <row r="2">
      <c r="A2" s="30" t="s">
        <v>359</v>
      </c>
      <c r="B2" s="30" t="s">
        <v>354</v>
      </c>
      <c r="C2" s="159">
        <v>297.0</v>
      </c>
      <c r="D2" s="30" t="s">
        <v>1181</v>
      </c>
      <c r="E2" s="30"/>
      <c r="F2" s="159">
        <v>146471.83</v>
      </c>
      <c r="G2" s="30" t="s">
        <v>18</v>
      </c>
      <c r="H2" s="159">
        <v>0.0</v>
      </c>
      <c r="I2" s="159">
        <v>146471.83</v>
      </c>
      <c r="J2" s="30"/>
    </row>
    <row r="3">
      <c r="A3" s="30" t="s">
        <v>359</v>
      </c>
      <c r="B3" s="30" t="s">
        <v>354</v>
      </c>
      <c r="C3" s="159">
        <v>500.0</v>
      </c>
      <c r="D3" s="30" t="s">
        <v>418</v>
      </c>
      <c r="E3" s="30" t="s">
        <v>1182</v>
      </c>
      <c r="F3" s="159">
        <v>13833.01</v>
      </c>
      <c r="G3" s="30" t="s">
        <v>417</v>
      </c>
      <c r="H3" s="159">
        <v>0.0</v>
      </c>
      <c r="I3" s="159">
        <v>13833.01</v>
      </c>
      <c r="J3" s="30"/>
    </row>
    <row r="4">
      <c r="A4" s="30" t="s">
        <v>359</v>
      </c>
      <c r="B4" s="30" t="s">
        <v>354</v>
      </c>
      <c r="C4" s="159">
        <v>501.0</v>
      </c>
      <c r="D4" s="30" t="s">
        <v>1183</v>
      </c>
      <c r="E4" s="30" t="s">
        <v>1184</v>
      </c>
      <c r="F4" s="159">
        <v>3569.0</v>
      </c>
      <c r="G4" s="30" t="s">
        <v>1185</v>
      </c>
      <c r="H4" s="159">
        <v>0.0</v>
      </c>
      <c r="I4" s="159">
        <v>3569.0</v>
      </c>
      <c r="J4" s="30"/>
    </row>
    <row r="5">
      <c r="A5" s="30" t="s">
        <v>359</v>
      </c>
      <c r="B5" s="30" t="s">
        <v>354</v>
      </c>
      <c r="C5" s="159">
        <v>280.0</v>
      </c>
      <c r="D5" s="30" t="s">
        <v>1186</v>
      </c>
      <c r="E5" s="30" t="s">
        <v>1187</v>
      </c>
      <c r="F5" s="159">
        <v>179.18</v>
      </c>
      <c r="G5" s="30" t="s">
        <v>397</v>
      </c>
      <c r="H5" s="159">
        <v>0.0</v>
      </c>
      <c r="I5" s="159">
        <v>179.18</v>
      </c>
      <c r="J5" s="30"/>
    </row>
    <row r="6">
      <c r="A6" s="30" t="s">
        <v>359</v>
      </c>
      <c r="B6" s="30" t="s">
        <v>354</v>
      </c>
      <c r="C6" s="159">
        <v>280.0</v>
      </c>
      <c r="D6" s="30" t="s">
        <v>1186</v>
      </c>
      <c r="E6" s="30" t="s">
        <v>1188</v>
      </c>
      <c r="F6" s="159">
        <v>1260.0</v>
      </c>
      <c r="G6" s="30" t="s">
        <v>397</v>
      </c>
      <c r="H6" s="159">
        <v>0.0</v>
      </c>
      <c r="I6" s="159">
        <v>1439.18</v>
      </c>
      <c r="J6" s="30"/>
    </row>
    <row r="7">
      <c r="A7" s="30" t="s">
        <v>359</v>
      </c>
      <c r="B7" s="30" t="s">
        <v>354</v>
      </c>
      <c r="C7" s="159">
        <v>280.0</v>
      </c>
      <c r="D7" s="30" t="s">
        <v>1186</v>
      </c>
      <c r="E7" s="30" t="s">
        <v>1189</v>
      </c>
      <c r="F7" s="159">
        <v>2616.0</v>
      </c>
      <c r="G7" s="30" t="s">
        <v>397</v>
      </c>
      <c r="H7" s="159">
        <v>0.0</v>
      </c>
      <c r="I7" s="159">
        <v>4055.18</v>
      </c>
      <c r="J7" s="30"/>
    </row>
    <row r="8">
      <c r="A8" s="30" t="s">
        <v>359</v>
      </c>
      <c r="B8" s="30" t="s">
        <v>354</v>
      </c>
      <c r="C8" s="159">
        <v>280.0</v>
      </c>
      <c r="D8" s="30" t="s">
        <v>1186</v>
      </c>
      <c r="E8" s="30" t="s">
        <v>1190</v>
      </c>
      <c r="F8" s="159">
        <v>51405.6</v>
      </c>
      <c r="G8" s="30" t="s">
        <v>397</v>
      </c>
      <c r="H8" s="159">
        <v>0.0</v>
      </c>
      <c r="I8" s="159">
        <v>55460.78</v>
      </c>
      <c r="J8" s="30"/>
    </row>
    <row r="9">
      <c r="A9" s="30" t="s">
        <v>359</v>
      </c>
      <c r="B9" s="30" t="s">
        <v>354</v>
      </c>
      <c r="C9" s="159">
        <v>280.0</v>
      </c>
      <c r="D9" s="30" t="s">
        <v>1186</v>
      </c>
      <c r="E9" s="30" t="s">
        <v>1191</v>
      </c>
      <c r="F9" s="159">
        <v>215465.96</v>
      </c>
      <c r="G9" s="30" t="s">
        <v>397</v>
      </c>
      <c r="H9" s="159">
        <v>0.0</v>
      </c>
      <c r="I9" s="159">
        <v>270926.74</v>
      </c>
      <c r="J9" s="30"/>
    </row>
    <row r="10">
      <c r="A10" s="30" t="s">
        <v>359</v>
      </c>
      <c r="B10" s="30" t="s">
        <v>354</v>
      </c>
      <c r="C10" s="159">
        <v>280.0</v>
      </c>
      <c r="D10" s="30" t="s">
        <v>1186</v>
      </c>
      <c r="E10" s="30" t="s">
        <v>1192</v>
      </c>
      <c r="F10" s="159">
        <v>228035.56</v>
      </c>
      <c r="G10" s="30" t="s">
        <v>397</v>
      </c>
      <c r="H10" s="159">
        <v>0.0</v>
      </c>
      <c r="I10" s="159">
        <v>498962.3</v>
      </c>
      <c r="J10" s="30"/>
    </row>
    <row r="11">
      <c r="A11" s="30" t="s">
        <v>359</v>
      </c>
      <c r="B11" s="30" t="s">
        <v>354</v>
      </c>
      <c r="C11" s="159">
        <v>288.0</v>
      </c>
      <c r="D11" s="30" t="s">
        <v>1193</v>
      </c>
      <c r="E11" s="30" t="s">
        <v>1194</v>
      </c>
      <c r="F11" s="159">
        <v>4613.53</v>
      </c>
      <c r="G11" s="30" t="s">
        <v>397</v>
      </c>
      <c r="H11" s="159">
        <v>0.0</v>
      </c>
      <c r="I11" s="159">
        <v>503575.83</v>
      </c>
      <c r="J11" s="30"/>
    </row>
    <row r="12">
      <c r="A12" s="30" t="s">
        <v>359</v>
      </c>
      <c r="B12" s="30" t="s">
        <v>354</v>
      </c>
      <c r="C12" s="159">
        <v>288.0</v>
      </c>
      <c r="D12" s="30" t="s">
        <v>1193</v>
      </c>
      <c r="E12" s="30" t="s">
        <v>1195</v>
      </c>
      <c r="F12" s="159">
        <v>4613.53</v>
      </c>
      <c r="G12" s="30" t="s">
        <v>397</v>
      </c>
      <c r="H12" s="159">
        <v>0.0</v>
      </c>
      <c r="I12" s="159">
        <v>508189.36</v>
      </c>
      <c r="J12" s="30"/>
    </row>
    <row r="13">
      <c r="A13" s="30" t="s">
        <v>359</v>
      </c>
      <c r="B13" s="30" t="s">
        <v>354</v>
      </c>
      <c r="C13" s="159">
        <v>288.0</v>
      </c>
      <c r="D13" s="30" t="s">
        <v>1193</v>
      </c>
      <c r="E13" s="30" t="s">
        <v>1196</v>
      </c>
      <c r="F13" s="159">
        <v>4613.53</v>
      </c>
      <c r="G13" s="30" t="s">
        <v>397</v>
      </c>
      <c r="H13" s="159">
        <v>0.0</v>
      </c>
      <c r="I13" s="159">
        <v>512802.89</v>
      </c>
      <c r="J13" s="30"/>
    </row>
    <row r="14">
      <c r="A14" s="30" t="s">
        <v>359</v>
      </c>
      <c r="B14" s="30" t="s">
        <v>354</v>
      </c>
      <c r="C14" s="159">
        <v>288.0</v>
      </c>
      <c r="D14" s="30" t="s">
        <v>1193</v>
      </c>
      <c r="E14" s="30" t="s">
        <v>1197</v>
      </c>
      <c r="F14" s="159">
        <v>4613.53</v>
      </c>
      <c r="G14" s="30" t="s">
        <v>397</v>
      </c>
      <c r="H14" s="159">
        <v>0.0</v>
      </c>
      <c r="I14" s="159">
        <v>517416.42</v>
      </c>
      <c r="J14" s="30"/>
    </row>
    <row r="15">
      <c r="A15" s="30" t="s">
        <v>359</v>
      </c>
      <c r="B15" s="30" t="s">
        <v>354</v>
      </c>
      <c r="C15" s="159">
        <v>288.0</v>
      </c>
      <c r="D15" s="30" t="s">
        <v>1193</v>
      </c>
      <c r="E15" s="30" t="s">
        <v>1198</v>
      </c>
      <c r="F15" s="159">
        <v>80876.59</v>
      </c>
      <c r="G15" s="30" t="s">
        <v>397</v>
      </c>
      <c r="H15" s="159">
        <v>0.0</v>
      </c>
      <c r="I15" s="159">
        <v>598293.01</v>
      </c>
      <c r="J15" s="30"/>
    </row>
    <row r="16">
      <c r="A16" s="30" t="s">
        <v>359</v>
      </c>
      <c r="B16" s="30" t="s">
        <v>354</v>
      </c>
      <c r="C16" s="159">
        <v>288.0</v>
      </c>
      <c r="D16" s="30" t="s">
        <v>1193</v>
      </c>
      <c r="E16" s="30" t="s">
        <v>1199</v>
      </c>
      <c r="F16" s="159">
        <v>81037.77</v>
      </c>
      <c r="G16" s="30" t="s">
        <v>397</v>
      </c>
      <c r="H16" s="159">
        <v>0.0</v>
      </c>
      <c r="I16" s="159">
        <v>679330.78</v>
      </c>
      <c r="J16" s="30"/>
    </row>
    <row r="17">
      <c r="A17" s="30" t="s">
        <v>359</v>
      </c>
      <c r="B17" s="30" t="s">
        <v>354</v>
      </c>
      <c r="C17" s="159">
        <v>288.0</v>
      </c>
      <c r="D17" s="30" t="s">
        <v>1200</v>
      </c>
      <c r="E17" s="30" t="s">
        <v>1201</v>
      </c>
      <c r="F17" s="159">
        <v>20324.14</v>
      </c>
      <c r="G17" s="30" t="s">
        <v>397</v>
      </c>
      <c r="H17" s="159">
        <v>0.0</v>
      </c>
      <c r="I17" s="159">
        <v>699654.92</v>
      </c>
      <c r="J17" s="30"/>
    </row>
    <row r="18">
      <c r="A18" s="30" t="s">
        <v>359</v>
      </c>
      <c r="B18" s="30" t="s">
        <v>354</v>
      </c>
      <c r="C18" s="159">
        <v>288.0</v>
      </c>
      <c r="D18" s="30" t="s">
        <v>1202</v>
      </c>
      <c r="E18" s="30" t="s">
        <v>1203</v>
      </c>
      <c r="F18" s="159">
        <v>11663.0</v>
      </c>
      <c r="G18" s="30" t="s">
        <v>397</v>
      </c>
      <c r="H18" s="159">
        <v>0.0</v>
      </c>
      <c r="I18" s="159">
        <v>711317.92</v>
      </c>
      <c r="J18" s="30"/>
    </row>
    <row r="19">
      <c r="A19" s="30" t="s">
        <v>359</v>
      </c>
      <c r="B19" s="30" t="s">
        <v>354</v>
      </c>
      <c r="C19" s="159">
        <v>288.0</v>
      </c>
      <c r="D19" s="30" t="s">
        <v>1202</v>
      </c>
      <c r="E19" s="30" t="s">
        <v>1204</v>
      </c>
      <c r="F19" s="159">
        <v>12547.5</v>
      </c>
      <c r="G19" s="30" t="s">
        <v>397</v>
      </c>
      <c r="H19" s="159">
        <v>0.0</v>
      </c>
      <c r="I19" s="159">
        <v>723865.42</v>
      </c>
      <c r="J19" s="30"/>
    </row>
    <row r="20">
      <c r="A20" s="30" t="s">
        <v>359</v>
      </c>
      <c r="B20" s="30" t="s">
        <v>354</v>
      </c>
      <c r="C20" s="159">
        <v>288.0</v>
      </c>
      <c r="D20" s="30" t="s">
        <v>1202</v>
      </c>
      <c r="E20" s="30" t="s">
        <v>1205</v>
      </c>
      <c r="F20" s="159">
        <v>22877.4</v>
      </c>
      <c r="G20" s="30" t="s">
        <v>397</v>
      </c>
      <c r="H20" s="159">
        <v>0.0</v>
      </c>
      <c r="I20" s="159">
        <v>746742.82</v>
      </c>
      <c r="J20" s="30"/>
    </row>
    <row r="21">
      <c r="A21" s="30" t="s">
        <v>359</v>
      </c>
      <c r="B21" s="30" t="s">
        <v>354</v>
      </c>
      <c r="C21" s="159">
        <v>288.0</v>
      </c>
      <c r="D21" s="30" t="s">
        <v>1202</v>
      </c>
      <c r="E21" s="30" t="s">
        <v>1206</v>
      </c>
      <c r="F21" s="159">
        <v>24991.05</v>
      </c>
      <c r="G21" s="30" t="s">
        <v>397</v>
      </c>
      <c r="H21" s="159">
        <v>0.0</v>
      </c>
      <c r="I21" s="159">
        <v>771733.87</v>
      </c>
      <c r="J21" s="30"/>
    </row>
    <row r="22">
      <c r="A22" s="30" t="s">
        <v>359</v>
      </c>
      <c r="B22" s="30" t="s">
        <v>354</v>
      </c>
      <c r="C22" s="159">
        <v>288.0</v>
      </c>
      <c r="D22" s="30" t="s">
        <v>1202</v>
      </c>
      <c r="E22" s="30" t="s">
        <v>1207</v>
      </c>
      <c r="F22" s="159">
        <v>26250.0</v>
      </c>
      <c r="G22" s="30" t="s">
        <v>397</v>
      </c>
      <c r="H22" s="159">
        <v>0.0</v>
      </c>
      <c r="I22" s="159">
        <v>797983.87</v>
      </c>
      <c r="J22" s="30"/>
    </row>
    <row r="23">
      <c r="A23" s="30" t="s">
        <v>359</v>
      </c>
      <c r="B23" s="30" t="s">
        <v>354</v>
      </c>
      <c r="C23" s="159">
        <v>288.0</v>
      </c>
      <c r="D23" s="30" t="s">
        <v>1202</v>
      </c>
      <c r="E23" s="30" t="s">
        <v>1208</v>
      </c>
      <c r="F23" s="159">
        <v>42682.5</v>
      </c>
      <c r="G23" s="30" t="s">
        <v>397</v>
      </c>
      <c r="H23" s="159">
        <v>0.0</v>
      </c>
      <c r="I23" s="159">
        <v>840666.37</v>
      </c>
      <c r="J23" s="30"/>
    </row>
    <row r="24">
      <c r="A24" s="30" t="s">
        <v>359</v>
      </c>
      <c r="B24" s="30" t="s">
        <v>354</v>
      </c>
      <c r="C24" s="159">
        <v>288.0</v>
      </c>
      <c r="D24" s="30" t="s">
        <v>1202</v>
      </c>
      <c r="E24" s="30" t="s">
        <v>1209</v>
      </c>
      <c r="F24" s="159">
        <v>45150.0</v>
      </c>
      <c r="G24" s="30" t="s">
        <v>397</v>
      </c>
      <c r="H24" s="159">
        <v>0.0</v>
      </c>
      <c r="I24" s="159">
        <v>885816.37</v>
      </c>
      <c r="J24" s="30"/>
    </row>
    <row r="25">
      <c r="A25" s="30" t="s">
        <v>359</v>
      </c>
      <c r="B25" s="30" t="s">
        <v>354</v>
      </c>
      <c r="C25" s="159">
        <v>288.0</v>
      </c>
      <c r="D25" s="30" t="s">
        <v>1202</v>
      </c>
      <c r="E25" s="30" t="s">
        <v>1210</v>
      </c>
      <c r="F25" s="159">
        <v>57698.55</v>
      </c>
      <c r="G25" s="30" t="s">
        <v>397</v>
      </c>
      <c r="H25" s="159">
        <v>0.0</v>
      </c>
      <c r="I25" s="159">
        <v>943514.92</v>
      </c>
      <c r="J25" s="30"/>
    </row>
    <row r="26">
      <c r="A26" s="30" t="s">
        <v>359</v>
      </c>
      <c r="B26" s="30" t="s">
        <v>354</v>
      </c>
      <c r="C26" s="159">
        <v>288.0</v>
      </c>
      <c r="D26" s="30" t="s">
        <v>1202</v>
      </c>
      <c r="E26" s="30" t="s">
        <v>1211</v>
      </c>
      <c r="F26" s="159">
        <v>296563.26</v>
      </c>
      <c r="G26" s="30" t="s">
        <v>397</v>
      </c>
      <c r="H26" s="159">
        <v>0.0</v>
      </c>
      <c r="I26" s="159">
        <v>1240078.18</v>
      </c>
      <c r="J26" s="30"/>
    </row>
    <row r="27">
      <c r="A27" s="30" t="s">
        <v>359</v>
      </c>
      <c r="B27" s="30" t="s">
        <v>354</v>
      </c>
      <c r="C27" s="159">
        <v>288.0</v>
      </c>
      <c r="D27" s="30" t="s">
        <v>1202</v>
      </c>
      <c r="E27" s="30" t="s">
        <v>1212</v>
      </c>
      <c r="F27" s="159">
        <v>310692.3</v>
      </c>
      <c r="G27" s="30" t="s">
        <v>397</v>
      </c>
      <c r="H27" s="159">
        <v>0.0</v>
      </c>
      <c r="I27" s="159">
        <v>1550770.48</v>
      </c>
      <c r="J27" s="30"/>
    </row>
    <row r="28">
      <c r="A28" s="30" t="s">
        <v>359</v>
      </c>
      <c r="B28" s="30" t="s">
        <v>354</v>
      </c>
      <c r="C28" s="159">
        <v>288.0</v>
      </c>
      <c r="D28" s="30" t="s">
        <v>1213</v>
      </c>
      <c r="E28" s="30" t="s">
        <v>1214</v>
      </c>
      <c r="F28" s="159">
        <v>86206.9</v>
      </c>
      <c r="G28" s="30" t="s">
        <v>397</v>
      </c>
      <c r="H28" s="159">
        <v>0.0</v>
      </c>
      <c r="I28" s="159">
        <v>1636977.38</v>
      </c>
      <c r="J28" s="30"/>
    </row>
    <row r="29">
      <c r="A29" s="30" t="s">
        <v>359</v>
      </c>
      <c r="B29" s="30" t="s">
        <v>354</v>
      </c>
      <c r="C29" s="159">
        <v>288.0</v>
      </c>
      <c r="D29" s="30" t="s">
        <v>1215</v>
      </c>
      <c r="E29" s="30" t="s">
        <v>1216</v>
      </c>
      <c r="F29" s="159">
        <v>29000.0</v>
      </c>
      <c r="G29" s="30" t="s">
        <v>397</v>
      </c>
      <c r="H29" s="159">
        <v>0.0</v>
      </c>
      <c r="I29" s="159">
        <v>1665977.38</v>
      </c>
      <c r="J29" s="30"/>
    </row>
    <row r="30">
      <c r="A30" s="30" t="s">
        <v>359</v>
      </c>
      <c r="B30" s="30" t="s">
        <v>354</v>
      </c>
      <c r="C30" s="159">
        <v>288.0</v>
      </c>
      <c r="D30" s="30" t="s">
        <v>1217</v>
      </c>
      <c r="E30" s="30" t="s">
        <v>1218</v>
      </c>
      <c r="F30" s="159">
        <v>15735.68</v>
      </c>
      <c r="G30" s="30" t="s">
        <v>397</v>
      </c>
      <c r="H30" s="159">
        <v>0.0</v>
      </c>
      <c r="I30" s="159">
        <v>1681713.06</v>
      </c>
      <c r="J30" s="30"/>
    </row>
    <row r="31">
      <c r="A31" s="30" t="s">
        <v>359</v>
      </c>
      <c r="B31" s="30" t="s">
        <v>354</v>
      </c>
      <c r="C31" s="159">
        <v>288.0</v>
      </c>
      <c r="D31" s="30" t="s">
        <v>1217</v>
      </c>
      <c r="E31" s="30" t="s">
        <v>1219</v>
      </c>
      <c r="F31" s="159">
        <v>130033.73</v>
      </c>
      <c r="G31" s="30" t="s">
        <v>397</v>
      </c>
      <c r="H31" s="159">
        <v>0.0</v>
      </c>
      <c r="I31" s="159">
        <v>1811746.79</v>
      </c>
      <c r="J31" s="30"/>
    </row>
    <row r="32">
      <c r="A32" s="30" t="s">
        <v>359</v>
      </c>
      <c r="B32" s="30" t="s">
        <v>354</v>
      </c>
      <c r="C32" s="159">
        <v>288.0</v>
      </c>
      <c r="D32" s="30" t="s">
        <v>1217</v>
      </c>
      <c r="E32" s="30" t="s">
        <v>1220</v>
      </c>
      <c r="F32" s="159">
        <v>131303.68</v>
      </c>
      <c r="G32" s="30" t="s">
        <v>397</v>
      </c>
      <c r="H32" s="159">
        <v>0.0</v>
      </c>
      <c r="I32" s="159">
        <v>1943050.47</v>
      </c>
      <c r="J32" s="30"/>
    </row>
    <row r="33">
      <c r="A33" s="30" t="s">
        <v>359</v>
      </c>
      <c r="B33" s="30" t="s">
        <v>354</v>
      </c>
      <c r="C33" s="159">
        <v>288.0</v>
      </c>
      <c r="D33" s="30" t="s">
        <v>1221</v>
      </c>
      <c r="E33" s="30" t="s">
        <v>1222</v>
      </c>
      <c r="F33" s="159">
        <v>10100.44</v>
      </c>
      <c r="G33" s="30" t="s">
        <v>397</v>
      </c>
      <c r="H33" s="159">
        <v>0.0</v>
      </c>
      <c r="I33" s="159">
        <v>1953150.91</v>
      </c>
      <c r="J33" s="30"/>
    </row>
    <row r="34">
      <c r="A34" s="30" t="s">
        <v>359</v>
      </c>
      <c r="B34" s="30" t="s">
        <v>354</v>
      </c>
      <c r="C34" s="159">
        <v>288.0</v>
      </c>
      <c r="D34" s="30" t="s">
        <v>1221</v>
      </c>
      <c r="E34" s="30" t="s">
        <v>1223</v>
      </c>
      <c r="F34" s="159">
        <v>10190.96</v>
      </c>
      <c r="G34" s="30" t="s">
        <v>397</v>
      </c>
      <c r="H34" s="159">
        <v>0.0</v>
      </c>
      <c r="I34" s="159">
        <v>1963341.87</v>
      </c>
      <c r="J34" s="30"/>
    </row>
    <row r="35">
      <c r="A35" s="30" t="s">
        <v>359</v>
      </c>
      <c r="B35" s="30" t="s">
        <v>354</v>
      </c>
      <c r="C35" s="159">
        <v>288.0</v>
      </c>
      <c r="D35" s="30" t="s">
        <v>1224</v>
      </c>
      <c r="E35" s="30" t="s">
        <v>1225</v>
      </c>
      <c r="F35" s="159">
        <v>592.52</v>
      </c>
      <c r="G35" s="30" t="s">
        <v>397</v>
      </c>
      <c r="H35" s="159">
        <v>0.0</v>
      </c>
      <c r="I35" s="159">
        <v>1963934.39</v>
      </c>
      <c r="J35" s="30"/>
    </row>
    <row r="36">
      <c r="A36" s="30" t="s">
        <v>359</v>
      </c>
      <c r="B36" s="30" t="s">
        <v>354</v>
      </c>
      <c r="C36" s="159">
        <v>288.0</v>
      </c>
      <c r="D36" s="30" t="s">
        <v>1224</v>
      </c>
      <c r="E36" s="30" t="s">
        <v>1226</v>
      </c>
      <c r="F36" s="159">
        <v>723.43</v>
      </c>
      <c r="G36" s="30" t="s">
        <v>397</v>
      </c>
      <c r="H36" s="159">
        <v>0.0</v>
      </c>
      <c r="I36" s="159">
        <v>1964657.82</v>
      </c>
      <c r="J36" s="30"/>
    </row>
    <row r="37">
      <c r="A37" s="30" t="s">
        <v>359</v>
      </c>
      <c r="B37" s="30" t="s">
        <v>354</v>
      </c>
      <c r="C37" s="159">
        <v>288.0</v>
      </c>
      <c r="D37" s="30" t="s">
        <v>1224</v>
      </c>
      <c r="E37" s="30" t="s">
        <v>1227</v>
      </c>
      <c r="F37" s="159">
        <v>13189.0</v>
      </c>
      <c r="G37" s="30" t="s">
        <v>397</v>
      </c>
      <c r="H37" s="159">
        <v>0.0</v>
      </c>
      <c r="I37" s="159">
        <v>1977846.82</v>
      </c>
      <c r="J37" s="30"/>
    </row>
    <row r="38">
      <c r="A38" s="30" t="s">
        <v>359</v>
      </c>
      <c r="B38" s="30" t="s">
        <v>354</v>
      </c>
      <c r="C38" s="159">
        <v>288.0</v>
      </c>
      <c r="D38" s="30" t="s">
        <v>1224</v>
      </c>
      <c r="E38" s="30" t="s">
        <v>1228</v>
      </c>
      <c r="F38" s="159">
        <v>348599.35</v>
      </c>
      <c r="G38" s="30" t="s">
        <v>397</v>
      </c>
      <c r="H38" s="159">
        <v>0.0</v>
      </c>
      <c r="I38" s="159">
        <v>2326446.17</v>
      </c>
      <c r="J38" s="30"/>
    </row>
    <row r="39">
      <c r="A39" s="30" t="s">
        <v>359</v>
      </c>
      <c r="B39" s="30" t="s">
        <v>354</v>
      </c>
      <c r="C39" s="159">
        <v>288.0</v>
      </c>
      <c r="D39" s="30" t="s">
        <v>1224</v>
      </c>
      <c r="E39" s="30" t="s">
        <v>1229</v>
      </c>
      <c r="F39" s="159">
        <v>379447.53</v>
      </c>
      <c r="G39" s="30" t="s">
        <v>397</v>
      </c>
      <c r="H39" s="159">
        <v>0.0</v>
      </c>
      <c r="I39" s="159">
        <v>2705893.7</v>
      </c>
      <c r="J39" s="30"/>
    </row>
    <row r="40">
      <c r="A40" s="30" t="s">
        <v>359</v>
      </c>
      <c r="B40" s="30" t="s">
        <v>354</v>
      </c>
      <c r="C40" s="159">
        <v>288.0</v>
      </c>
      <c r="D40" s="30" t="s">
        <v>1230</v>
      </c>
      <c r="E40" s="30" t="s">
        <v>1231</v>
      </c>
      <c r="F40" s="159">
        <v>5244.76</v>
      </c>
      <c r="G40" s="30" t="s">
        <v>397</v>
      </c>
      <c r="H40" s="159">
        <v>0.0</v>
      </c>
      <c r="I40" s="159">
        <v>2711138.46</v>
      </c>
      <c r="J40" s="30"/>
    </row>
    <row r="41">
      <c r="A41" s="30" t="s">
        <v>359</v>
      </c>
      <c r="B41" s="30" t="s">
        <v>354</v>
      </c>
      <c r="C41" s="159">
        <v>288.0</v>
      </c>
      <c r="D41" s="30" t="s">
        <v>1232</v>
      </c>
      <c r="E41" s="30" t="s">
        <v>1231</v>
      </c>
      <c r="F41" s="159">
        <v>8500.0</v>
      </c>
      <c r="G41" s="30" t="s">
        <v>397</v>
      </c>
      <c r="H41" s="159">
        <v>0.0</v>
      </c>
      <c r="I41" s="159">
        <v>2719638.46</v>
      </c>
      <c r="J41" s="30"/>
    </row>
    <row r="42">
      <c r="A42" s="30" t="s">
        <v>359</v>
      </c>
      <c r="B42" s="30" t="s">
        <v>354</v>
      </c>
      <c r="C42" s="159">
        <v>288.0</v>
      </c>
      <c r="D42" s="30" t="s">
        <v>1233</v>
      </c>
      <c r="E42" s="30" t="s">
        <v>1234</v>
      </c>
      <c r="F42" s="159">
        <v>35920.32</v>
      </c>
      <c r="G42" s="30" t="s">
        <v>397</v>
      </c>
      <c r="H42" s="159">
        <v>0.0</v>
      </c>
      <c r="I42" s="159">
        <v>2755558.78</v>
      </c>
      <c r="J42" s="30"/>
    </row>
    <row r="43">
      <c r="A43" s="30" t="s">
        <v>359</v>
      </c>
      <c r="B43" s="30" t="s">
        <v>354</v>
      </c>
      <c r="C43" s="159">
        <v>288.0</v>
      </c>
      <c r="D43" s="30" t="s">
        <v>1233</v>
      </c>
      <c r="E43" s="30" t="s">
        <v>1235</v>
      </c>
      <c r="F43" s="159">
        <v>36202.97</v>
      </c>
      <c r="G43" s="30" t="s">
        <v>397</v>
      </c>
      <c r="H43" s="159">
        <v>0.0</v>
      </c>
      <c r="I43" s="159">
        <v>2791761.75</v>
      </c>
      <c r="J43" s="30"/>
    </row>
    <row r="44">
      <c r="A44" s="30" t="s">
        <v>359</v>
      </c>
      <c r="B44" s="30" t="s">
        <v>354</v>
      </c>
      <c r="C44" s="159">
        <v>288.0</v>
      </c>
      <c r="D44" s="30" t="s">
        <v>1233</v>
      </c>
      <c r="E44" s="30" t="s">
        <v>1236</v>
      </c>
      <c r="F44" s="159">
        <v>81868.31</v>
      </c>
      <c r="G44" s="30" t="s">
        <v>397</v>
      </c>
      <c r="H44" s="159">
        <v>0.0</v>
      </c>
      <c r="I44" s="159">
        <v>2873630.06</v>
      </c>
      <c r="J44" s="30"/>
    </row>
    <row r="45">
      <c r="A45" s="30" t="s">
        <v>359</v>
      </c>
      <c r="B45" s="30" t="s">
        <v>354</v>
      </c>
      <c r="C45" s="159">
        <v>272.0</v>
      </c>
      <c r="D45" s="30" t="s">
        <v>1237</v>
      </c>
      <c r="E45" s="30" t="s">
        <v>1238</v>
      </c>
      <c r="F45" s="159">
        <v>4258.36</v>
      </c>
      <c r="G45" s="30" t="s">
        <v>366</v>
      </c>
      <c r="H45" s="159">
        <v>0.0</v>
      </c>
      <c r="I45" s="159">
        <v>4258.36</v>
      </c>
      <c r="J45" s="30"/>
    </row>
    <row r="46">
      <c r="A46" s="30" t="s">
        <v>359</v>
      </c>
      <c r="B46" s="30" t="s">
        <v>354</v>
      </c>
      <c r="C46" s="159">
        <v>272.0</v>
      </c>
      <c r="D46" s="30" t="s">
        <v>1239</v>
      </c>
      <c r="E46" s="30" t="s">
        <v>1240</v>
      </c>
      <c r="F46" s="159">
        <v>7343.97</v>
      </c>
      <c r="G46" s="30" t="s">
        <v>367</v>
      </c>
      <c r="H46" s="159">
        <v>0.0</v>
      </c>
      <c r="I46" s="159">
        <v>7343.97</v>
      </c>
      <c r="J46" s="30"/>
    </row>
    <row r="47">
      <c r="A47" s="30" t="s">
        <v>359</v>
      </c>
      <c r="B47" s="30" t="s">
        <v>354</v>
      </c>
      <c r="C47" s="159">
        <v>272.0</v>
      </c>
      <c r="D47" s="30" t="s">
        <v>1237</v>
      </c>
      <c r="E47" s="30" t="s">
        <v>1241</v>
      </c>
      <c r="F47" s="159">
        <v>15365.54</v>
      </c>
      <c r="G47" s="30" t="s">
        <v>367</v>
      </c>
      <c r="H47" s="159">
        <v>0.0</v>
      </c>
      <c r="I47" s="159">
        <v>22709.51</v>
      </c>
      <c r="J47" s="30"/>
    </row>
    <row r="48">
      <c r="A48" s="30" t="s">
        <v>359</v>
      </c>
      <c r="B48" s="30" t="s">
        <v>354</v>
      </c>
      <c r="C48" s="159">
        <v>272.0</v>
      </c>
      <c r="D48" s="30" t="s">
        <v>1237</v>
      </c>
      <c r="E48" s="30" t="s">
        <v>1242</v>
      </c>
      <c r="F48" s="159">
        <v>17316.68</v>
      </c>
      <c r="G48" s="30" t="s">
        <v>367</v>
      </c>
      <c r="H48" s="159">
        <v>0.0</v>
      </c>
      <c r="I48" s="159">
        <v>40026.19</v>
      </c>
      <c r="J48" s="30"/>
    </row>
    <row r="49">
      <c r="A49" s="30" t="s">
        <v>359</v>
      </c>
      <c r="B49" s="30" t="s">
        <v>354</v>
      </c>
      <c r="C49" s="159">
        <v>272.0</v>
      </c>
      <c r="D49" s="30" t="s">
        <v>1243</v>
      </c>
      <c r="E49" s="30" t="s">
        <v>1244</v>
      </c>
      <c r="F49" s="159">
        <v>8900.0</v>
      </c>
      <c r="G49" s="30" t="s">
        <v>367</v>
      </c>
      <c r="H49" s="159">
        <v>0.0</v>
      </c>
      <c r="I49" s="159">
        <v>48926.19</v>
      </c>
      <c r="J49" s="30"/>
    </row>
    <row r="50">
      <c r="A50" s="30" t="s">
        <v>359</v>
      </c>
      <c r="B50" s="30" t="s">
        <v>354</v>
      </c>
      <c r="C50" s="159">
        <v>272.0</v>
      </c>
      <c r="D50" s="30" t="s">
        <v>1245</v>
      </c>
      <c r="E50" s="30" t="s">
        <v>1246</v>
      </c>
      <c r="F50" s="159">
        <v>114992.67</v>
      </c>
      <c r="G50" s="30" t="s">
        <v>367</v>
      </c>
      <c r="H50" s="159">
        <v>0.0</v>
      </c>
      <c r="I50" s="159">
        <v>163918.86</v>
      </c>
      <c r="J50" s="30"/>
    </row>
    <row r="51">
      <c r="A51" s="30" t="s">
        <v>359</v>
      </c>
      <c r="B51" s="30" t="s">
        <v>354</v>
      </c>
      <c r="C51" s="159">
        <v>272.0</v>
      </c>
      <c r="D51" s="30" t="s">
        <v>1247</v>
      </c>
      <c r="E51" s="30" t="s">
        <v>1248</v>
      </c>
      <c r="F51" s="159">
        <v>3985.76</v>
      </c>
      <c r="G51" s="30" t="s">
        <v>367</v>
      </c>
      <c r="H51" s="159">
        <v>0.0</v>
      </c>
      <c r="I51" s="159">
        <v>167904.62</v>
      </c>
      <c r="J51" s="30"/>
    </row>
    <row r="52">
      <c r="A52" s="30" t="s">
        <v>359</v>
      </c>
      <c r="B52" s="30" t="s">
        <v>354</v>
      </c>
      <c r="C52" s="159">
        <v>272.0</v>
      </c>
      <c r="D52" s="30" t="s">
        <v>1247</v>
      </c>
      <c r="E52" s="30" t="s">
        <v>1249</v>
      </c>
      <c r="F52" s="159">
        <v>4172.27</v>
      </c>
      <c r="G52" s="30" t="s">
        <v>367</v>
      </c>
      <c r="H52" s="159">
        <v>0.0</v>
      </c>
      <c r="I52" s="159">
        <v>172076.89</v>
      </c>
      <c r="J52" s="30"/>
    </row>
    <row r="53">
      <c r="A53" s="30" t="s">
        <v>359</v>
      </c>
      <c r="B53" s="30" t="s">
        <v>354</v>
      </c>
      <c r="C53" s="159">
        <v>272.0</v>
      </c>
      <c r="D53" s="30" t="s">
        <v>1247</v>
      </c>
      <c r="E53" s="30" t="s">
        <v>1250</v>
      </c>
      <c r="F53" s="159">
        <v>4578.49</v>
      </c>
      <c r="G53" s="30" t="s">
        <v>367</v>
      </c>
      <c r="H53" s="159">
        <v>0.0</v>
      </c>
      <c r="I53" s="159">
        <v>176655.38</v>
      </c>
      <c r="J53" s="30"/>
    </row>
    <row r="54">
      <c r="A54" s="30" t="s">
        <v>359</v>
      </c>
      <c r="B54" s="30" t="s">
        <v>354</v>
      </c>
      <c r="C54" s="159">
        <v>272.0</v>
      </c>
      <c r="D54" s="30" t="s">
        <v>1247</v>
      </c>
      <c r="E54" s="30" t="s">
        <v>1251</v>
      </c>
      <c r="F54" s="159">
        <v>6890.7</v>
      </c>
      <c r="G54" s="30" t="s">
        <v>367</v>
      </c>
      <c r="H54" s="159">
        <v>0.0</v>
      </c>
      <c r="I54" s="159">
        <v>183546.08</v>
      </c>
      <c r="J54" s="30"/>
    </row>
    <row r="55">
      <c r="A55" s="30" t="s">
        <v>359</v>
      </c>
      <c r="B55" s="30" t="s">
        <v>354</v>
      </c>
      <c r="C55" s="159">
        <v>272.0</v>
      </c>
      <c r="D55" s="30" t="s">
        <v>1247</v>
      </c>
      <c r="E55" s="30" t="s">
        <v>1252</v>
      </c>
      <c r="F55" s="159">
        <v>7734.15</v>
      </c>
      <c r="G55" s="30" t="s">
        <v>367</v>
      </c>
      <c r="H55" s="159">
        <v>0.0</v>
      </c>
      <c r="I55" s="159">
        <v>191280.23</v>
      </c>
      <c r="J55" s="30"/>
    </row>
    <row r="56">
      <c r="A56" s="30" t="s">
        <v>359</v>
      </c>
      <c r="B56" s="30" t="s">
        <v>354</v>
      </c>
      <c r="C56" s="159">
        <v>272.0</v>
      </c>
      <c r="D56" s="30" t="s">
        <v>1247</v>
      </c>
      <c r="E56" s="30" t="s">
        <v>1253</v>
      </c>
      <c r="F56" s="159">
        <v>9987.58</v>
      </c>
      <c r="G56" s="30" t="s">
        <v>367</v>
      </c>
      <c r="H56" s="159">
        <v>0.0</v>
      </c>
      <c r="I56" s="159">
        <v>201267.81</v>
      </c>
      <c r="J56" s="30"/>
    </row>
    <row r="57">
      <c r="A57" s="30" t="s">
        <v>359</v>
      </c>
      <c r="B57" s="30" t="s">
        <v>354</v>
      </c>
      <c r="C57" s="159">
        <v>272.0</v>
      </c>
      <c r="D57" s="30" t="s">
        <v>1247</v>
      </c>
      <c r="E57" s="30" t="s">
        <v>1254</v>
      </c>
      <c r="F57" s="159">
        <v>11796.17</v>
      </c>
      <c r="G57" s="30" t="s">
        <v>367</v>
      </c>
      <c r="H57" s="159">
        <v>0.0</v>
      </c>
      <c r="I57" s="159">
        <v>213063.98</v>
      </c>
      <c r="J57" s="30"/>
    </row>
    <row r="58">
      <c r="A58" s="30" t="s">
        <v>359</v>
      </c>
      <c r="B58" s="30" t="s">
        <v>354</v>
      </c>
      <c r="C58" s="159">
        <v>272.0</v>
      </c>
      <c r="D58" s="30" t="s">
        <v>1255</v>
      </c>
      <c r="E58" s="30" t="s">
        <v>1256</v>
      </c>
      <c r="F58" s="159">
        <v>11900.0</v>
      </c>
      <c r="G58" s="30" t="s">
        <v>367</v>
      </c>
      <c r="H58" s="159">
        <v>0.0</v>
      </c>
      <c r="I58" s="159">
        <v>224963.98</v>
      </c>
      <c r="J58" s="30"/>
    </row>
    <row r="59">
      <c r="A59" s="30" t="s">
        <v>359</v>
      </c>
      <c r="B59" s="30" t="s">
        <v>354</v>
      </c>
      <c r="C59" s="159">
        <v>272.0</v>
      </c>
      <c r="D59" s="30" t="s">
        <v>1257</v>
      </c>
      <c r="E59" s="30" t="s">
        <v>1258</v>
      </c>
      <c r="F59" s="159">
        <v>19503.8</v>
      </c>
      <c r="G59" s="30" t="s">
        <v>367</v>
      </c>
      <c r="H59" s="159">
        <v>0.0</v>
      </c>
      <c r="I59" s="159">
        <v>244467.78</v>
      </c>
      <c r="J59" s="30"/>
    </row>
    <row r="60">
      <c r="A60" s="30" t="s">
        <v>359</v>
      </c>
      <c r="B60" s="30" t="s">
        <v>354</v>
      </c>
      <c r="C60" s="159">
        <v>272.0</v>
      </c>
      <c r="D60" s="30" t="s">
        <v>1259</v>
      </c>
      <c r="E60" s="30" t="s">
        <v>1260</v>
      </c>
      <c r="F60" s="159">
        <v>2392.85</v>
      </c>
      <c r="G60" s="30" t="s">
        <v>367</v>
      </c>
      <c r="H60" s="159">
        <v>0.0</v>
      </c>
      <c r="I60" s="159">
        <v>246860.63</v>
      </c>
      <c r="J60" s="30"/>
    </row>
    <row r="61">
      <c r="A61" s="30" t="s">
        <v>359</v>
      </c>
      <c r="B61" s="30" t="s">
        <v>354</v>
      </c>
      <c r="C61" s="159">
        <v>272.0</v>
      </c>
      <c r="D61" s="30" t="s">
        <v>1259</v>
      </c>
      <c r="E61" s="30" t="s">
        <v>1261</v>
      </c>
      <c r="F61" s="159">
        <v>2758.62</v>
      </c>
      <c r="G61" s="30" t="s">
        <v>367</v>
      </c>
      <c r="H61" s="159">
        <v>0.0</v>
      </c>
      <c r="I61" s="159">
        <v>249619.25</v>
      </c>
      <c r="J61" s="30"/>
    </row>
    <row r="62">
      <c r="A62" s="30" t="s">
        <v>359</v>
      </c>
      <c r="B62" s="30" t="s">
        <v>354</v>
      </c>
      <c r="C62" s="159">
        <v>272.0</v>
      </c>
      <c r="D62" s="30" t="s">
        <v>1259</v>
      </c>
      <c r="E62" s="30" t="s">
        <v>1262</v>
      </c>
      <c r="F62" s="159">
        <v>5475.37</v>
      </c>
      <c r="G62" s="30" t="s">
        <v>367</v>
      </c>
      <c r="H62" s="159">
        <v>0.0</v>
      </c>
      <c r="I62" s="159">
        <v>255094.62</v>
      </c>
      <c r="J62" s="30"/>
    </row>
    <row r="63">
      <c r="A63" s="30" t="s">
        <v>359</v>
      </c>
      <c r="B63" s="30" t="s">
        <v>354</v>
      </c>
      <c r="C63" s="159">
        <v>272.0</v>
      </c>
      <c r="D63" s="30" t="s">
        <v>1263</v>
      </c>
      <c r="E63" s="30" t="s">
        <v>1235</v>
      </c>
      <c r="F63" s="159">
        <v>17306.48</v>
      </c>
      <c r="G63" s="30" t="s">
        <v>367</v>
      </c>
      <c r="H63" s="159">
        <v>0.0</v>
      </c>
      <c r="I63" s="159">
        <v>272401.1</v>
      </c>
      <c r="J63" s="30"/>
    </row>
    <row r="64">
      <c r="A64" s="30" t="s">
        <v>359</v>
      </c>
      <c r="B64" s="30" t="s">
        <v>354</v>
      </c>
      <c r="C64" s="159">
        <v>272.0</v>
      </c>
      <c r="D64" s="30" t="s">
        <v>1264</v>
      </c>
      <c r="E64" s="30" t="s">
        <v>1265</v>
      </c>
      <c r="F64" s="159">
        <v>156000.0</v>
      </c>
      <c r="G64" s="30" t="s">
        <v>367</v>
      </c>
      <c r="H64" s="159">
        <v>0.0</v>
      </c>
      <c r="I64" s="159">
        <v>428401.1</v>
      </c>
      <c r="J64" s="30"/>
    </row>
    <row r="65">
      <c r="A65" s="30" t="s">
        <v>359</v>
      </c>
      <c r="B65" s="30" t="s">
        <v>354</v>
      </c>
      <c r="C65" s="159">
        <v>272.0</v>
      </c>
      <c r="D65" s="30" t="s">
        <v>1264</v>
      </c>
      <c r="E65" s="30" t="s">
        <v>1266</v>
      </c>
      <c r="F65" s="159">
        <v>156000.0</v>
      </c>
      <c r="G65" s="30" t="s">
        <v>367</v>
      </c>
      <c r="H65" s="159">
        <v>0.0</v>
      </c>
      <c r="I65" s="159">
        <v>584401.1</v>
      </c>
      <c r="J65" s="30"/>
    </row>
    <row r="66">
      <c r="A66" s="30" t="s">
        <v>359</v>
      </c>
      <c r="B66" s="30" t="s">
        <v>354</v>
      </c>
      <c r="C66" s="159">
        <v>272.0</v>
      </c>
      <c r="D66" s="30" t="s">
        <v>1264</v>
      </c>
      <c r="E66" s="30" t="s">
        <v>1267</v>
      </c>
      <c r="F66" s="159">
        <v>156000.0</v>
      </c>
      <c r="G66" s="30" t="s">
        <v>367</v>
      </c>
      <c r="H66" s="159">
        <v>0.0</v>
      </c>
      <c r="I66" s="159">
        <v>740401.1</v>
      </c>
      <c r="J66" s="30"/>
    </row>
    <row r="67">
      <c r="A67" s="30" t="s">
        <v>359</v>
      </c>
      <c r="B67" s="30" t="s">
        <v>354</v>
      </c>
      <c r="C67" s="159">
        <v>272.0</v>
      </c>
      <c r="D67" s="30" t="s">
        <v>1268</v>
      </c>
      <c r="E67" s="30" t="s">
        <v>1269</v>
      </c>
      <c r="F67" s="159">
        <v>20826.33</v>
      </c>
      <c r="G67" s="30" t="s">
        <v>367</v>
      </c>
      <c r="H67" s="159">
        <v>0.0</v>
      </c>
      <c r="I67" s="159">
        <v>761227.43</v>
      </c>
      <c r="J67" s="30"/>
    </row>
    <row r="68">
      <c r="A68" s="30" t="s">
        <v>359</v>
      </c>
      <c r="B68" s="30" t="s">
        <v>354</v>
      </c>
      <c r="C68" s="159">
        <v>260.0</v>
      </c>
      <c r="D68" s="30" t="s">
        <v>1270</v>
      </c>
      <c r="E68" s="30" t="s">
        <v>1271</v>
      </c>
      <c r="F68" s="159">
        <v>19833.79</v>
      </c>
      <c r="G68" s="30" t="s">
        <v>401</v>
      </c>
      <c r="H68" s="159">
        <v>0.0</v>
      </c>
      <c r="I68" s="159">
        <v>19833.79</v>
      </c>
      <c r="J68" s="30"/>
    </row>
    <row r="69">
      <c r="A69" s="30" t="s">
        <v>359</v>
      </c>
      <c r="B69" s="30" t="s">
        <v>354</v>
      </c>
      <c r="C69" s="159">
        <v>261.0</v>
      </c>
      <c r="D69" s="30" t="s">
        <v>1272</v>
      </c>
      <c r="E69" s="30" t="s">
        <v>1231</v>
      </c>
      <c r="F69" s="159">
        <v>187444.54</v>
      </c>
      <c r="G69" s="30" t="s">
        <v>1273</v>
      </c>
      <c r="H69" s="159">
        <v>0.0</v>
      </c>
      <c r="I69" s="159">
        <v>187444.54</v>
      </c>
      <c r="J69" s="30"/>
    </row>
    <row r="70">
      <c r="A70" s="30" t="s">
        <v>359</v>
      </c>
      <c r="B70" s="30" t="s">
        <v>354</v>
      </c>
      <c r="C70" s="159">
        <v>259.0</v>
      </c>
      <c r="D70" s="30" t="s">
        <v>1274</v>
      </c>
      <c r="E70" s="30" t="s">
        <v>1271</v>
      </c>
      <c r="F70" s="159">
        <v>34362.04</v>
      </c>
      <c r="G70" s="30" t="s">
        <v>375</v>
      </c>
      <c r="H70" s="159">
        <v>0.0</v>
      </c>
      <c r="I70" s="159">
        <v>34362.04</v>
      </c>
      <c r="J70" s="30"/>
    </row>
    <row r="71">
      <c r="A71" s="30" t="s">
        <v>359</v>
      </c>
      <c r="B71" s="30" t="s">
        <v>354</v>
      </c>
      <c r="C71" s="159">
        <v>275.0</v>
      </c>
      <c r="D71" s="30" t="s">
        <v>1275</v>
      </c>
      <c r="E71" s="30" t="s">
        <v>1276</v>
      </c>
      <c r="F71" s="159">
        <v>4346.25</v>
      </c>
      <c r="G71" s="30" t="s">
        <v>375</v>
      </c>
      <c r="H71" s="159">
        <v>0.0</v>
      </c>
      <c r="I71" s="159">
        <v>38708.29</v>
      </c>
      <c r="J71" s="30"/>
    </row>
    <row r="72">
      <c r="A72" s="30" t="s">
        <v>359</v>
      </c>
      <c r="B72" s="30" t="s">
        <v>354</v>
      </c>
      <c r="C72" s="159">
        <v>268.0</v>
      </c>
      <c r="D72" s="30" t="s">
        <v>1277</v>
      </c>
      <c r="E72" s="30" t="s">
        <v>1271</v>
      </c>
      <c r="F72" s="159">
        <v>53400.61</v>
      </c>
      <c r="G72" s="30" t="s">
        <v>536</v>
      </c>
      <c r="H72" s="159">
        <v>0.0</v>
      </c>
      <c r="I72" s="159">
        <v>53400.61</v>
      </c>
      <c r="J72" s="30"/>
    </row>
    <row r="73">
      <c r="A73" s="30" t="s">
        <v>359</v>
      </c>
      <c r="B73" s="30" t="s">
        <v>354</v>
      </c>
      <c r="C73" s="159">
        <v>263.0</v>
      </c>
      <c r="D73" s="30" t="s">
        <v>1278</v>
      </c>
      <c r="E73" s="30" t="s">
        <v>1271</v>
      </c>
      <c r="F73" s="159">
        <v>86816.1</v>
      </c>
      <c r="G73" s="30" t="s">
        <v>1279</v>
      </c>
      <c r="H73" s="159">
        <v>0.0</v>
      </c>
      <c r="I73" s="159">
        <v>86816.1</v>
      </c>
      <c r="J73" s="30"/>
    </row>
    <row r="74">
      <c r="A74" s="30" t="s">
        <v>359</v>
      </c>
      <c r="B74" s="30" t="s">
        <v>354</v>
      </c>
      <c r="C74" s="159">
        <v>258.0</v>
      </c>
      <c r="D74" s="30" t="s">
        <v>1280</v>
      </c>
      <c r="E74" s="30" t="s">
        <v>1271</v>
      </c>
      <c r="F74" s="159">
        <v>37055.35</v>
      </c>
      <c r="G74" s="30" t="s">
        <v>1281</v>
      </c>
      <c r="H74" s="159">
        <v>0.0</v>
      </c>
      <c r="I74" s="159">
        <v>37055.35</v>
      </c>
      <c r="J74" s="30"/>
    </row>
    <row r="75">
      <c r="A75" s="30" t="s">
        <v>359</v>
      </c>
      <c r="B75" s="30" t="s">
        <v>354</v>
      </c>
      <c r="C75" s="159">
        <v>270.0</v>
      </c>
      <c r="D75" s="30" t="s">
        <v>1282</v>
      </c>
      <c r="E75" s="30" t="s">
        <v>1271</v>
      </c>
      <c r="F75" s="159">
        <v>2799.47</v>
      </c>
      <c r="G75" s="30" t="s">
        <v>377</v>
      </c>
      <c r="H75" s="159">
        <v>0.0</v>
      </c>
      <c r="I75" s="159">
        <v>2799.47</v>
      </c>
      <c r="J75" s="30"/>
    </row>
    <row r="76">
      <c r="A76" s="30" t="s">
        <v>359</v>
      </c>
      <c r="B76" s="30" t="s">
        <v>354</v>
      </c>
      <c r="C76" s="159">
        <v>293.0</v>
      </c>
      <c r="D76" s="30" t="s">
        <v>1283</v>
      </c>
      <c r="E76" s="30" t="s">
        <v>1284</v>
      </c>
      <c r="F76" s="159">
        <v>113697.66</v>
      </c>
      <c r="G76" s="30" t="s">
        <v>377</v>
      </c>
      <c r="H76" s="159">
        <v>0.0</v>
      </c>
      <c r="I76" s="159">
        <v>116497.13</v>
      </c>
      <c r="J76" s="30"/>
    </row>
    <row r="77">
      <c r="A77" s="30" t="s">
        <v>359</v>
      </c>
      <c r="B77" s="30" t="s">
        <v>354</v>
      </c>
      <c r="C77" s="159">
        <v>293.0</v>
      </c>
      <c r="D77" s="30" t="s">
        <v>1285</v>
      </c>
      <c r="E77" s="30" t="s">
        <v>1286</v>
      </c>
      <c r="F77" s="159">
        <v>4456.0</v>
      </c>
      <c r="G77" s="30" t="s">
        <v>377</v>
      </c>
      <c r="H77" s="159">
        <v>0.0</v>
      </c>
      <c r="I77" s="159">
        <v>120953.13</v>
      </c>
      <c r="J77" s="30"/>
    </row>
    <row r="78">
      <c r="A78" s="30" t="s">
        <v>359</v>
      </c>
      <c r="B78" s="30" t="s">
        <v>354</v>
      </c>
      <c r="C78" s="159">
        <v>293.0</v>
      </c>
      <c r="D78" s="30" t="s">
        <v>1285</v>
      </c>
      <c r="E78" s="30" t="s">
        <v>1287</v>
      </c>
      <c r="F78" s="159">
        <v>4456.0</v>
      </c>
      <c r="G78" s="30" t="s">
        <v>377</v>
      </c>
      <c r="H78" s="159">
        <v>0.0</v>
      </c>
      <c r="I78" s="159">
        <v>125409.13</v>
      </c>
      <c r="J78" s="30"/>
    </row>
    <row r="79">
      <c r="A79" s="30" t="s">
        <v>359</v>
      </c>
      <c r="B79" s="30" t="s">
        <v>354</v>
      </c>
      <c r="C79" s="159">
        <v>290.0</v>
      </c>
      <c r="D79" s="30" t="s">
        <v>1288</v>
      </c>
      <c r="E79" s="30" t="s">
        <v>1289</v>
      </c>
      <c r="F79" s="159">
        <v>15000.0</v>
      </c>
      <c r="G79" s="30" t="s">
        <v>493</v>
      </c>
      <c r="H79" s="159">
        <v>0.0</v>
      </c>
      <c r="I79" s="159">
        <v>15000.0</v>
      </c>
      <c r="J79" s="30"/>
    </row>
    <row r="80">
      <c r="A80" s="30" t="s">
        <v>359</v>
      </c>
      <c r="B80" s="30" t="s">
        <v>354</v>
      </c>
      <c r="C80" s="159">
        <v>290.0</v>
      </c>
      <c r="D80" s="30" t="s">
        <v>1290</v>
      </c>
      <c r="E80" s="30" t="s">
        <v>1291</v>
      </c>
      <c r="F80" s="159">
        <v>17.24</v>
      </c>
      <c r="G80" s="30" t="s">
        <v>493</v>
      </c>
      <c r="H80" s="159">
        <v>0.0</v>
      </c>
      <c r="I80" s="159">
        <v>15017.24</v>
      </c>
      <c r="J80" s="30"/>
    </row>
    <row r="81">
      <c r="A81" s="30" t="s">
        <v>359</v>
      </c>
      <c r="B81" s="30" t="s">
        <v>354</v>
      </c>
      <c r="C81" s="159">
        <v>290.0</v>
      </c>
      <c r="D81" s="30" t="s">
        <v>1292</v>
      </c>
      <c r="E81" s="30" t="s">
        <v>1293</v>
      </c>
      <c r="F81" s="159">
        <v>36844.28</v>
      </c>
      <c r="G81" s="30" t="s">
        <v>493</v>
      </c>
      <c r="H81" s="159">
        <v>0.0</v>
      </c>
      <c r="I81" s="159">
        <v>51861.52</v>
      </c>
      <c r="J81" s="30"/>
    </row>
    <row r="82">
      <c r="A82" s="30" t="s">
        <v>359</v>
      </c>
      <c r="B82" s="30" t="s">
        <v>354</v>
      </c>
      <c r="C82" s="159">
        <v>290.0</v>
      </c>
      <c r="D82" s="30" t="s">
        <v>1294</v>
      </c>
      <c r="E82" s="30" t="s">
        <v>1231</v>
      </c>
      <c r="F82" s="159">
        <v>473.28</v>
      </c>
      <c r="G82" s="30" t="s">
        <v>493</v>
      </c>
      <c r="H82" s="159">
        <v>0.0</v>
      </c>
      <c r="I82" s="159">
        <v>52334.8</v>
      </c>
      <c r="J82" s="30"/>
    </row>
    <row r="83">
      <c r="A83" s="30" t="s">
        <v>359</v>
      </c>
      <c r="B83" s="30" t="s">
        <v>354</v>
      </c>
      <c r="C83" s="159">
        <v>290.0</v>
      </c>
      <c r="D83" s="30" t="s">
        <v>1294</v>
      </c>
      <c r="E83" s="30" t="s">
        <v>1231</v>
      </c>
      <c r="F83" s="159">
        <v>688.79</v>
      </c>
      <c r="G83" s="30" t="s">
        <v>493</v>
      </c>
      <c r="H83" s="159">
        <v>0.0</v>
      </c>
      <c r="I83" s="159">
        <v>53023.59</v>
      </c>
      <c r="J83" s="30"/>
    </row>
    <row r="84">
      <c r="A84" s="30" t="s">
        <v>359</v>
      </c>
      <c r="B84" s="30" t="s">
        <v>354</v>
      </c>
      <c r="C84" s="159">
        <v>290.0</v>
      </c>
      <c r="D84" s="30" t="s">
        <v>1295</v>
      </c>
      <c r="E84" s="30" t="s">
        <v>1231</v>
      </c>
      <c r="F84" s="159">
        <v>194.39</v>
      </c>
      <c r="G84" s="30" t="s">
        <v>493</v>
      </c>
      <c r="H84" s="159">
        <v>0.0</v>
      </c>
      <c r="I84" s="159">
        <v>53217.98</v>
      </c>
      <c r="J84" s="30"/>
    </row>
    <row r="85">
      <c r="A85" s="30" t="s">
        <v>359</v>
      </c>
      <c r="B85" s="30" t="s">
        <v>354</v>
      </c>
      <c r="C85" s="159">
        <v>290.0</v>
      </c>
      <c r="D85" s="30" t="s">
        <v>1294</v>
      </c>
      <c r="E85" s="30" t="s">
        <v>1231</v>
      </c>
      <c r="F85" s="159">
        <v>473.28</v>
      </c>
      <c r="G85" s="30" t="s">
        <v>493</v>
      </c>
      <c r="H85" s="159">
        <v>0.0</v>
      </c>
      <c r="I85" s="159">
        <v>53691.26</v>
      </c>
      <c r="J85" s="30"/>
    </row>
    <row r="86">
      <c r="A86" s="30" t="s">
        <v>359</v>
      </c>
      <c r="B86" s="30" t="s">
        <v>354</v>
      </c>
      <c r="C86" s="159">
        <v>290.0</v>
      </c>
      <c r="D86" s="30" t="s">
        <v>1296</v>
      </c>
      <c r="E86" s="30" t="s">
        <v>1231</v>
      </c>
      <c r="F86" s="159">
        <v>86.52</v>
      </c>
      <c r="G86" s="30" t="s">
        <v>493</v>
      </c>
      <c r="H86" s="159">
        <v>0.0</v>
      </c>
      <c r="I86" s="159">
        <v>53777.78</v>
      </c>
      <c r="J86" s="30"/>
    </row>
    <row r="87">
      <c r="A87" s="30" t="s">
        <v>359</v>
      </c>
      <c r="B87" s="30" t="s">
        <v>354</v>
      </c>
      <c r="C87" s="159">
        <v>271.0</v>
      </c>
      <c r="D87" s="30" t="s">
        <v>1297</v>
      </c>
      <c r="E87" s="30" t="s">
        <v>1298</v>
      </c>
      <c r="F87" s="159">
        <v>106.0</v>
      </c>
      <c r="G87" s="30" t="s">
        <v>357</v>
      </c>
      <c r="H87" s="159">
        <v>0.0</v>
      </c>
      <c r="I87" s="159">
        <v>106.0</v>
      </c>
      <c r="J87" s="30"/>
    </row>
    <row r="88">
      <c r="A88" s="30" t="s">
        <v>359</v>
      </c>
      <c r="B88" s="30" t="s">
        <v>354</v>
      </c>
      <c r="C88" s="159">
        <v>271.0</v>
      </c>
      <c r="D88" s="30" t="s">
        <v>1297</v>
      </c>
      <c r="E88" s="30" t="s">
        <v>1299</v>
      </c>
      <c r="F88" s="159">
        <v>192.0</v>
      </c>
      <c r="G88" s="30" t="s">
        <v>357</v>
      </c>
      <c r="H88" s="159">
        <v>0.0</v>
      </c>
      <c r="I88" s="159">
        <v>298.0</v>
      </c>
      <c r="J88" s="30"/>
    </row>
    <row r="89">
      <c r="A89" s="30" t="s">
        <v>359</v>
      </c>
      <c r="B89" s="30" t="s">
        <v>354</v>
      </c>
      <c r="C89" s="159">
        <v>271.0</v>
      </c>
      <c r="D89" s="30" t="s">
        <v>1300</v>
      </c>
      <c r="E89" s="30" t="s">
        <v>1231</v>
      </c>
      <c r="F89" s="159">
        <v>430.0</v>
      </c>
      <c r="G89" s="30" t="s">
        <v>357</v>
      </c>
      <c r="H89" s="159">
        <v>0.0</v>
      </c>
      <c r="I89" s="159">
        <v>728.0</v>
      </c>
      <c r="J89" s="30"/>
    </row>
    <row r="90">
      <c r="A90" s="30" t="s">
        <v>359</v>
      </c>
      <c r="B90" s="30" t="s">
        <v>354</v>
      </c>
      <c r="C90" s="159">
        <v>271.0</v>
      </c>
      <c r="D90" s="30" t="s">
        <v>1300</v>
      </c>
      <c r="E90" s="30" t="s">
        <v>1231</v>
      </c>
      <c r="F90" s="159">
        <v>1897.5</v>
      </c>
      <c r="G90" s="30" t="s">
        <v>357</v>
      </c>
      <c r="H90" s="159">
        <v>0.0</v>
      </c>
      <c r="I90" s="159">
        <v>2625.5</v>
      </c>
      <c r="J90" s="30"/>
    </row>
    <row r="91">
      <c r="A91" s="30" t="s">
        <v>359</v>
      </c>
      <c r="B91" s="30" t="s">
        <v>354</v>
      </c>
      <c r="C91" s="159">
        <v>283.0</v>
      </c>
      <c r="D91" s="30" t="s">
        <v>1301</v>
      </c>
      <c r="E91" s="30" t="s">
        <v>1302</v>
      </c>
      <c r="F91" s="159">
        <v>5921.68</v>
      </c>
      <c r="G91" s="30" t="s">
        <v>469</v>
      </c>
      <c r="H91" s="159">
        <v>0.0</v>
      </c>
      <c r="I91" s="159">
        <v>5921.68</v>
      </c>
      <c r="J91" s="30"/>
    </row>
    <row r="92">
      <c r="A92" s="30" t="s">
        <v>359</v>
      </c>
      <c r="B92" s="30" t="s">
        <v>354</v>
      </c>
      <c r="C92" s="159">
        <v>283.0</v>
      </c>
      <c r="D92" s="30" t="s">
        <v>1303</v>
      </c>
      <c r="E92" s="30" t="s">
        <v>1231</v>
      </c>
      <c r="F92" s="159">
        <v>5000.0</v>
      </c>
      <c r="G92" s="30" t="s">
        <v>469</v>
      </c>
      <c r="H92" s="159">
        <v>0.0</v>
      </c>
      <c r="I92" s="159">
        <v>10921.68</v>
      </c>
      <c r="J92" s="30"/>
    </row>
    <row r="93">
      <c r="A93" s="30" t="s">
        <v>359</v>
      </c>
      <c r="B93" s="30" t="s">
        <v>354</v>
      </c>
      <c r="C93" s="159">
        <v>283.0</v>
      </c>
      <c r="D93" s="30" t="s">
        <v>1303</v>
      </c>
      <c r="E93" s="30" t="s">
        <v>1304</v>
      </c>
      <c r="F93" s="159">
        <v>758.62</v>
      </c>
      <c r="G93" s="30" t="s">
        <v>469</v>
      </c>
      <c r="H93" s="159">
        <v>0.0</v>
      </c>
      <c r="I93" s="159">
        <v>11680.3</v>
      </c>
      <c r="J93" s="30"/>
    </row>
    <row r="94">
      <c r="A94" s="30" t="s">
        <v>359</v>
      </c>
      <c r="B94" s="30" t="s">
        <v>354</v>
      </c>
      <c r="C94" s="159">
        <v>266.0</v>
      </c>
      <c r="D94" s="30" t="s">
        <v>1305</v>
      </c>
      <c r="E94" s="30" t="s">
        <v>1306</v>
      </c>
      <c r="F94" s="159">
        <v>14653.38</v>
      </c>
      <c r="G94" s="30" t="s">
        <v>475</v>
      </c>
      <c r="H94" s="159">
        <v>0.0</v>
      </c>
      <c r="I94" s="159">
        <v>14653.38</v>
      </c>
      <c r="J94" s="30"/>
    </row>
    <row r="95">
      <c r="A95" s="30" t="s">
        <v>359</v>
      </c>
      <c r="B95" s="30" t="s">
        <v>354</v>
      </c>
      <c r="C95" s="159">
        <v>286.0</v>
      </c>
      <c r="D95" s="30" t="s">
        <v>1307</v>
      </c>
      <c r="E95" s="30" t="s">
        <v>1308</v>
      </c>
      <c r="F95" s="159">
        <v>3580.45</v>
      </c>
      <c r="G95" s="30" t="s">
        <v>475</v>
      </c>
      <c r="H95" s="159">
        <v>0.0</v>
      </c>
      <c r="I95" s="159">
        <v>18233.83</v>
      </c>
      <c r="J95" s="30"/>
    </row>
    <row r="96">
      <c r="A96" s="30" t="s">
        <v>359</v>
      </c>
      <c r="B96" s="30" t="s">
        <v>354</v>
      </c>
      <c r="C96" s="159">
        <v>286.0</v>
      </c>
      <c r="D96" s="30" t="s">
        <v>1309</v>
      </c>
      <c r="E96" s="30" t="s">
        <v>1310</v>
      </c>
      <c r="F96" s="159">
        <v>13054.18</v>
      </c>
      <c r="G96" s="30" t="s">
        <v>475</v>
      </c>
      <c r="H96" s="159">
        <v>0.0</v>
      </c>
      <c r="I96" s="159">
        <v>31288.01</v>
      </c>
      <c r="J96" s="30"/>
    </row>
    <row r="97">
      <c r="A97" s="30" t="s">
        <v>359</v>
      </c>
      <c r="B97" s="30" t="s">
        <v>354</v>
      </c>
      <c r="C97" s="159">
        <v>286.0</v>
      </c>
      <c r="D97" s="30" t="s">
        <v>1311</v>
      </c>
      <c r="E97" s="30" t="s">
        <v>1312</v>
      </c>
      <c r="F97" s="159">
        <v>1618.88</v>
      </c>
      <c r="G97" s="30" t="s">
        <v>475</v>
      </c>
      <c r="H97" s="159">
        <v>0.0</v>
      </c>
      <c r="I97" s="159">
        <v>32906.89</v>
      </c>
      <c r="J97" s="30"/>
    </row>
    <row r="98">
      <c r="A98" s="30" t="s">
        <v>359</v>
      </c>
      <c r="B98" s="30" t="s">
        <v>354</v>
      </c>
      <c r="C98" s="159">
        <v>264.0</v>
      </c>
      <c r="D98" s="30" t="s">
        <v>1313</v>
      </c>
      <c r="E98" s="30" t="s">
        <v>1271</v>
      </c>
      <c r="F98" s="159">
        <v>6425.56</v>
      </c>
      <c r="G98" s="30" t="s">
        <v>393</v>
      </c>
      <c r="H98" s="159">
        <v>0.0</v>
      </c>
      <c r="I98" s="159">
        <v>6425.56</v>
      </c>
      <c r="J98" s="30"/>
    </row>
    <row r="99">
      <c r="A99" s="30" t="s">
        <v>359</v>
      </c>
      <c r="B99" s="30" t="s">
        <v>354</v>
      </c>
      <c r="C99" s="159">
        <v>284.0</v>
      </c>
      <c r="D99" s="30" t="s">
        <v>1314</v>
      </c>
      <c r="E99" s="30" t="s">
        <v>1315</v>
      </c>
      <c r="F99" s="159">
        <v>934.0</v>
      </c>
      <c r="G99" s="30" t="s">
        <v>393</v>
      </c>
      <c r="H99" s="159">
        <v>0.0</v>
      </c>
      <c r="I99" s="159">
        <v>7359.56</v>
      </c>
      <c r="J99" s="30"/>
    </row>
    <row r="100">
      <c r="A100" s="30" t="s">
        <v>359</v>
      </c>
      <c r="B100" s="30" t="s">
        <v>354</v>
      </c>
      <c r="C100" s="159">
        <v>284.0</v>
      </c>
      <c r="D100" s="30" t="s">
        <v>1316</v>
      </c>
      <c r="E100" s="30" t="s">
        <v>1317</v>
      </c>
      <c r="F100" s="159">
        <v>6397.41</v>
      </c>
      <c r="G100" s="30" t="s">
        <v>393</v>
      </c>
      <c r="H100" s="159">
        <v>0.0</v>
      </c>
      <c r="I100" s="159">
        <v>13756.97</v>
      </c>
      <c r="J100" s="30"/>
    </row>
    <row r="101">
      <c r="A101" s="30" t="s">
        <v>359</v>
      </c>
      <c r="B101" s="30" t="s">
        <v>354</v>
      </c>
      <c r="C101" s="159">
        <v>284.0</v>
      </c>
      <c r="D101" s="30" t="s">
        <v>1316</v>
      </c>
      <c r="E101" s="30" t="s">
        <v>1318</v>
      </c>
      <c r="F101" s="159">
        <v>8505.17</v>
      </c>
      <c r="G101" s="30" t="s">
        <v>393</v>
      </c>
      <c r="H101" s="159">
        <v>0.0</v>
      </c>
      <c r="I101" s="159">
        <v>22262.14</v>
      </c>
      <c r="J101" s="30"/>
    </row>
    <row r="102">
      <c r="A102" s="30" t="s">
        <v>359</v>
      </c>
      <c r="B102" s="30" t="s">
        <v>354</v>
      </c>
      <c r="C102" s="159">
        <v>284.0</v>
      </c>
      <c r="D102" s="30" t="s">
        <v>1319</v>
      </c>
      <c r="E102" s="30" t="s">
        <v>1320</v>
      </c>
      <c r="F102" s="159">
        <v>3370.7</v>
      </c>
      <c r="G102" s="30" t="s">
        <v>393</v>
      </c>
      <c r="H102" s="159">
        <v>0.0</v>
      </c>
      <c r="I102" s="159">
        <v>25632.84</v>
      </c>
      <c r="J102" s="30"/>
    </row>
    <row r="103">
      <c r="A103" s="30" t="s">
        <v>359</v>
      </c>
      <c r="B103" s="30" t="s">
        <v>354</v>
      </c>
      <c r="C103" s="159">
        <v>287.0</v>
      </c>
      <c r="D103" s="30" t="s">
        <v>1321</v>
      </c>
      <c r="E103" s="30" t="s">
        <v>1322</v>
      </c>
      <c r="F103" s="159">
        <v>25000.0</v>
      </c>
      <c r="G103" s="30" t="s">
        <v>422</v>
      </c>
      <c r="H103" s="159">
        <v>0.0</v>
      </c>
      <c r="I103" s="159">
        <v>25000.0</v>
      </c>
      <c r="J103" s="30"/>
    </row>
    <row r="104">
      <c r="A104" s="30" t="s">
        <v>526</v>
      </c>
      <c r="B104" s="30" t="s">
        <v>408</v>
      </c>
      <c r="C104" s="159">
        <v>2.0</v>
      </c>
      <c r="D104" s="30" t="s">
        <v>1323</v>
      </c>
      <c r="E104" s="159">
        <v>48728.0</v>
      </c>
      <c r="F104" s="159">
        <v>3608.33</v>
      </c>
      <c r="G104" s="30" t="s">
        <v>422</v>
      </c>
      <c r="H104" s="159">
        <v>0.0</v>
      </c>
      <c r="I104" s="159">
        <v>28608.33</v>
      </c>
      <c r="J104" s="30"/>
    </row>
    <row r="105">
      <c r="A105" s="30" t="s">
        <v>458</v>
      </c>
      <c r="B105" s="30" t="s">
        <v>408</v>
      </c>
      <c r="C105" s="159">
        <v>79.0</v>
      </c>
      <c r="D105" s="30" t="s">
        <v>1323</v>
      </c>
      <c r="E105" s="159">
        <v>48938.0</v>
      </c>
      <c r="F105" s="159">
        <v>53535.0</v>
      </c>
      <c r="G105" s="30" t="s">
        <v>422</v>
      </c>
      <c r="H105" s="159">
        <v>0.0</v>
      </c>
      <c r="I105" s="159">
        <v>82143.33</v>
      </c>
      <c r="J105" s="30"/>
    </row>
    <row r="106">
      <c r="A106" s="30" t="s">
        <v>421</v>
      </c>
      <c r="B106" s="30" t="s">
        <v>408</v>
      </c>
      <c r="C106" s="159">
        <v>148.0</v>
      </c>
      <c r="D106" s="30" t="s">
        <v>1324</v>
      </c>
      <c r="E106" s="159">
        <v>49147.0</v>
      </c>
      <c r="F106" s="159">
        <v>5700.83</v>
      </c>
      <c r="G106" s="30" t="s">
        <v>422</v>
      </c>
      <c r="H106" s="159">
        <v>0.0</v>
      </c>
      <c r="I106" s="159">
        <v>87844.16</v>
      </c>
      <c r="J106" s="30"/>
    </row>
    <row r="107">
      <c r="A107" s="30" t="s">
        <v>359</v>
      </c>
      <c r="B107" s="30" t="s">
        <v>354</v>
      </c>
      <c r="C107" s="159">
        <v>262.0</v>
      </c>
      <c r="D107" s="30" t="s">
        <v>1325</v>
      </c>
      <c r="E107" s="30" t="s">
        <v>1271</v>
      </c>
      <c r="F107" s="159">
        <v>585.56</v>
      </c>
      <c r="G107" s="30" t="s">
        <v>385</v>
      </c>
      <c r="H107" s="159">
        <v>0.0</v>
      </c>
      <c r="I107" s="159">
        <v>585.56</v>
      </c>
      <c r="J107" s="30"/>
    </row>
    <row r="108">
      <c r="A108" s="30" t="s">
        <v>359</v>
      </c>
      <c r="B108" s="30" t="s">
        <v>354</v>
      </c>
      <c r="C108" s="159">
        <v>276.0</v>
      </c>
      <c r="D108" s="30" t="s">
        <v>1326</v>
      </c>
      <c r="E108" s="30" t="s">
        <v>1327</v>
      </c>
      <c r="F108" s="159">
        <v>1227.1</v>
      </c>
      <c r="G108" s="30" t="s">
        <v>385</v>
      </c>
      <c r="H108" s="159">
        <v>0.0</v>
      </c>
      <c r="I108" s="159">
        <v>1812.66</v>
      </c>
      <c r="J108" s="30"/>
    </row>
    <row r="109">
      <c r="A109" s="30" t="s">
        <v>359</v>
      </c>
      <c r="B109" s="30" t="s">
        <v>354</v>
      </c>
      <c r="C109" s="159">
        <v>276.0</v>
      </c>
      <c r="D109" s="30" t="s">
        <v>1326</v>
      </c>
      <c r="E109" s="30" t="s">
        <v>1328</v>
      </c>
      <c r="F109" s="159">
        <v>4275.0</v>
      </c>
      <c r="G109" s="30" t="s">
        <v>385</v>
      </c>
      <c r="H109" s="159">
        <v>0.0</v>
      </c>
      <c r="I109" s="159">
        <v>6087.66</v>
      </c>
      <c r="J109" s="30"/>
    </row>
    <row r="110">
      <c r="A110" s="30" t="s">
        <v>359</v>
      </c>
      <c r="B110" s="30" t="s">
        <v>354</v>
      </c>
      <c r="C110" s="159">
        <v>276.0</v>
      </c>
      <c r="D110" s="30" t="s">
        <v>1326</v>
      </c>
      <c r="E110" s="30" t="s">
        <v>1329</v>
      </c>
      <c r="F110" s="159">
        <v>18254.66</v>
      </c>
      <c r="G110" s="30" t="s">
        <v>385</v>
      </c>
      <c r="H110" s="159">
        <v>0.0</v>
      </c>
      <c r="I110" s="159">
        <v>24342.32</v>
      </c>
      <c r="J110" s="30"/>
    </row>
    <row r="111">
      <c r="A111" s="30" t="s">
        <v>359</v>
      </c>
      <c r="B111" s="30" t="s">
        <v>354</v>
      </c>
      <c r="C111" s="159">
        <v>276.0</v>
      </c>
      <c r="D111" s="30" t="s">
        <v>1330</v>
      </c>
      <c r="E111" s="30" t="s">
        <v>1331</v>
      </c>
      <c r="F111" s="159">
        <v>4500.0</v>
      </c>
      <c r="G111" s="30" t="s">
        <v>385</v>
      </c>
      <c r="H111" s="159">
        <v>0.0</v>
      </c>
      <c r="I111" s="159">
        <v>28842.32</v>
      </c>
      <c r="J111" s="30"/>
    </row>
    <row r="112">
      <c r="A112" s="30" t="s">
        <v>359</v>
      </c>
      <c r="B112" s="30" t="s">
        <v>354</v>
      </c>
      <c r="C112" s="159">
        <v>276.0</v>
      </c>
      <c r="D112" s="30" t="s">
        <v>1330</v>
      </c>
      <c r="E112" s="30" t="s">
        <v>1332</v>
      </c>
      <c r="F112" s="159">
        <v>3190.0</v>
      </c>
      <c r="G112" s="30" t="s">
        <v>385</v>
      </c>
      <c r="H112" s="159">
        <v>0.0</v>
      </c>
      <c r="I112" s="159">
        <v>32032.32</v>
      </c>
      <c r="J112" s="30"/>
    </row>
    <row r="113">
      <c r="A113" s="30" t="s">
        <v>359</v>
      </c>
      <c r="B113" s="30" t="s">
        <v>354</v>
      </c>
      <c r="C113" s="159">
        <v>276.0</v>
      </c>
      <c r="D113" s="30" t="s">
        <v>1333</v>
      </c>
      <c r="E113" s="30" t="s">
        <v>1334</v>
      </c>
      <c r="F113" s="159">
        <v>3864.0</v>
      </c>
      <c r="G113" s="30" t="s">
        <v>385</v>
      </c>
      <c r="H113" s="159">
        <v>0.0</v>
      </c>
      <c r="I113" s="159">
        <v>35896.32</v>
      </c>
      <c r="J113" s="30"/>
    </row>
    <row r="114">
      <c r="A114" s="30" t="s">
        <v>359</v>
      </c>
      <c r="B114" s="30" t="s">
        <v>354</v>
      </c>
      <c r="C114" s="159">
        <v>281.0</v>
      </c>
      <c r="D114" s="30" t="s">
        <v>1335</v>
      </c>
      <c r="E114" s="30" t="s">
        <v>1336</v>
      </c>
      <c r="F114" s="159">
        <v>-5233.75</v>
      </c>
      <c r="G114" s="30" t="s">
        <v>385</v>
      </c>
      <c r="H114" s="159">
        <v>0.0</v>
      </c>
      <c r="I114" s="159">
        <v>30662.57</v>
      </c>
      <c r="J114" s="30"/>
    </row>
    <row r="115">
      <c r="A115" s="30" t="s">
        <v>359</v>
      </c>
      <c r="B115" s="30" t="s">
        <v>354</v>
      </c>
      <c r="C115" s="159">
        <v>281.0</v>
      </c>
      <c r="D115" s="30" t="s">
        <v>1335</v>
      </c>
      <c r="E115" s="30" t="s">
        <v>1337</v>
      </c>
      <c r="F115" s="159">
        <v>-3274.32</v>
      </c>
      <c r="G115" s="30" t="s">
        <v>385</v>
      </c>
      <c r="H115" s="159">
        <v>0.0</v>
      </c>
      <c r="I115" s="159">
        <v>27388.25</v>
      </c>
      <c r="J115" s="30"/>
    </row>
    <row r="116">
      <c r="A116" s="30" t="s">
        <v>359</v>
      </c>
      <c r="B116" s="30" t="s">
        <v>354</v>
      </c>
      <c r="C116" s="159">
        <v>281.0</v>
      </c>
      <c r="D116" s="30" t="s">
        <v>1335</v>
      </c>
      <c r="E116" s="30" t="s">
        <v>1338</v>
      </c>
      <c r="F116" s="159">
        <v>8508.07</v>
      </c>
      <c r="G116" s="30" t="s">
        <v>385</v>
      </c>
      <c r="H116" s="159">
        <v>0.0</v>
      </c>
      <c r="I116" s="159">
        <v>35896.32</v>
      </c>
      <c r="J116" s="30"/>
    </row>
    <row r="117">
      <c r="A117" s="30" t="s">
        <v>359</v>
      </c>
      <c r="B117" s="30" t="s">
        <v>354</v>
      </c>
      <c r="C117" s="159">
        <v>281.0</v>
      </c>
      <c r="D117" s="30" t="s">
        <v>1335</v>
      </c>
      <c r="E117" s="30" t="s">
        <v>1339</v>
      </c>
      <c r="F117" s="159">
        <v>8620.69</v>
      </c>
      <c r="G117" s="30" t="s">
        <v>385</v>
      </c>
      <c r="H117" s="159">
        <v>0.0</v>
      </c>
      <c r="I117" s="159">
        <v>44517.01</v>
      </c>
      <c r="J117" s="30"/>
    </row>
    <row r="118">
      <c r="A118" s="30" t="s">
        <v>359</v>
      </c>
      <c r="B118" s="30" t="s">
        <v>354</v>
      </c>
      <c r="C118" s="159">
        <v>282.0</v>
      </c>
      <c r="D118" s="30" t="s">
        <v>1340</v>
      </c>
      <c r="E118" s="30" t="s">
        <v>1231</v>
      </c>
      <c r="F118" s="159">
        <v>46093.1</v>
      </c>
      <c r="G118" s="30" t="s">
        <v>385</v>
      </c>
      <c r="H118" s="159">
        <v>0.0</v>
      </c>
      <c r="I118" s="159">
        <v>90610.11</v>
      </c>
      <c r="J118" s="30"/>
    </row>
    <row r="119">
      <c r="A119" s="30" t="s">
        <v>497</v>
      </c>
      <c r="B119" s="30" t="s">
        <v>408</v>
      </c>
      <c r="C119" s="159">
        <v>106.0</v>
      </c>
      <c r="D119" s="30" t="s">
        <v>1341</v>
      </c>
      <c r="E119" s="159">
        <v>49013.0</v>
      </c>
      <c r="F119" s="159">
        <v>7067.24</v>
      </c>
      <c r="G119" s="30" t="s">
        <v>385</v>
      </c>
      <c r="H119" s="159">
        <v>0.0</v>
      </c>
      <c r="I119" s="159">
        <v>97677.35</v>
      </c>
      <c r="J119" s="30"/>
    </row>
    <row r="120">
      <c r="A120" s="30" t="s">
        <v>498</v>
      </c>
      <c r="B120" s="30" t="s">
        <v>408</v>
      </c>
      <c r="C120" s="159">
        <v>220.0</v>
      </c>
      <c r="D120" s="30" t="s">
        <v>1342</v>
      </c>
      <c r="E120" s="30" t="s">
        <v>1343</v>
      </c>
      <c r="F120" s="159">
        <v>3052.96</v>
      </c>
      <c r="G120" s="30" t="s">
        <v>385</v>
      </c>
      <c r="H120" s="159">
        <v>0.0</v>
      </c>
      <c r="I120" s="159">
        <v>100730.31</v>
      </c>
      <c r="J120" s="30"/>
    </row>
    <row r="121">
      <c r="A121" s="30" t="s">
        <v>498</v>
      </c>
      <c r="B121" s="30" t="s">
        <v>408</v>
      </c>
      <c r="C121" s="159">
        <v>235.0</v>
      </c>
      <c r="D121" s="30" t="s">
        <v>1342</v>
      </c>
      <c r="E121" s="30" t="s">
        <v>499</v>
      </c>
      <c r="F121" s="159">
        <v>14460.38</v>
      </c>
      <c r="G121" s="30" t="s">
        <v>385</v>
      </c>
      <c r="H121" s="159">
        <v>0.0</v>
      </c>
      <c r="I121" s="159">
        <v>115190.69</v>
      </c>
      <c r="J121" s="30"/>
    </row>
    <row r="122">
      <c r="A122" s="30" t="s">
        <v>498</v>
      </c>
      <c r="B122" s="30" t="s">
        <v>408</v>
      </c>
      <c r="C122" s="159">
        <v>236.0</v>
      </c>
      <c r="D122" s="30" t="s">
        <v>1342</v>
      </c>
      <c r="E122" s="30" t="s">
        <v>1344</v>
      </c>
      <c r="F122" s="159">
        <v>28237.34</v>
      </c>
      <c r="G122" s="30" t="s">
        <v>385</v>
      </c>
      <c r="H122" s="159">
        <v>0.0</v>
      </c>
      <c r="I122" s="159">
        <v>143428.03</v>
      </c>
      <c r="J122" s="30"/>
    </row>
    <row r="123">
      <c r="A123" s="30" t="s">
        <v>411</v>
      </c>
      <c r="B123" s="30" t="s">
        <v>408</v>
      </c>
      <c r="C123" s="159">
        <v>237.0</v>
      </c>
      <c r="D123" s="30" t="s">
        <v>1345</v>
      </c>
      <c r="E123" s="30" t="s">
        <v>499</v>
      </c>
      <c r="F123" s="159">
        <v>6454.65</v>
      </c>
      <c r="G123" s="30" t="s">
        <v>385</v>
      </c>
      <c r="H123" s="159">
        <v>0.0</v>
      </c>
      <c r="I123" s="159">
        <v>149882.68</v>
      </c>
      <c r="J123" s="30"/>
    </row>
    <row r="124">
      <c r="A124" s="30" t="s">
        <v>411</v>
      </c>
      <c r="B124" s="30" t="s">
        <v>408</v>
      </c>
      <c r="C124" s="159">
        <v>238.0</v>
      </c>
      <c r="D124" s="30" t="s">
        <v>1345</v>
      </c>
      <c r="E124" s="30" t="s">
        <v>499</v>
      </c>
      <c r="F124" s="159">
        <v>2422.94</v>
      </c>
      <c r="G124" s="30" t="s">
        <v>385</v>
      </c>
      <c r="H124" s="159">
        <v>0.0</v>
      </c>
      <c r="I124" s="159">
        <v>152305.62</v>
      </c>
      <c r="J124" s="30"/>
    </row>
    <row r="125">
      <c r="A125" s="30" t="s">
        <v>501</v>
      </c>
      <c r="B125" s="30" t="s">
        <v>408</v>
      </c>
      <c r="C125" s="159">
        <v>241.0</v>
      </c>
      <c r="D125" s="30" t="s">
        <v>499</v>
      </c>
      <c r="E125" s="30" t="s">
        <v>499</v>
      </c>
      <c r="F125" s="159">
        <v>86195.46</v>
      </c>
      <c r="G125" s="30" t="s">
        <v>385</v>
      </c>
      <c r="H125" s="159">
        <v>0.0</v>
      </c>
      <c r="I125" s="159">
        <v>238501.08</v>
      </c>
      <c r="J125" s="30"/>
    </row>
    <row r="126">
      <c r="A126" s="30" t="s">
        <v>501</v>
      </c>
      <c r="B126" s="30" t="s">
        <v>408</v>
      </c>
      <c r="C126" s="159">
        <v>252.0</v>
      </c>
      <c r="D126" s="30" t="s">
        <v>500</v>
      </c>
      <c r="E126" s="30" t="s">
        <v>499</v>
      </c>
      <c r="F126" s="159">
        <v>2478.51</v>
      </c>
      <c r="G126" s="30" t="s">
        <v>385</v>
      </c>
      <c r="H126" s="159">
        <v>0.0</v>
      </c>
      <c r="I126" s="159">
        <v>240979.59</v>
      </c>
      <c r="J126" s="30"/>
    </row>
    <row r="127">
      <c r="A127" s="30" t="s">
        <v>359</v>
      </c>
      <c r="B127" s="30" t="s">
        <v>354</v>
      </c>
      <c r="C127" s="159">
        <v>292.0</v>
      </c>
      <c r="D127" s="30" t="s">
        <v>1346</v>
      </c>
      <c r="E127" s="30" t="s">
        <v>1347</v>
      </c>
      <c r="F127" s="159">
        <v>32000.0</v>
      </c>
      <c r="G127" s="30" t="s">
        <v>538</v>
      </c>
      <c r="H127" s="159">
        <v>0.0</v>
      </c>
      <c r="I127" s="159">
        <v>32000.0</v>
      </c>
      <c r="J127" s="30"/>
    </row>
    <row r="128">
      <c r="A128" s="30" t="s">
        <v>359</v>
      </c>
      <c r="B128" s="30" t="s">
        <v>354</v>
      </c>
      <c r="C128" s="159">
        <v>269.0</v>
      </c>
      <c r="D128" s="30" t="s">
        <v>1348</v>
      </c>
      <c r="E128" s="30" t="s">
        <v>1271</v>
      </c>
      <c r="F128" s="159">
        <v>6378.42</v>
      </c>
      <c r="G128" s="30" t="s">
        <v>467</v>
      </c>
      <c r="H128" s="159">
        <v>0.0</v>
      </c>
      <c r="I128" s="159">
        <v>6378.42</v>
      </c>
      <c r="J128" s="30"/>
    </row>
    <row r="129">
      <c r="A129" s="30" t="s">
        <v>359</v>
      </c>
      <c r="B129" s="30" t="s">
        <v>354</v>
      </c>
      <c r="C129" s="159">
        <v>294.0</v>
      </c>
      <c r="D129" s="30" t="s">
        <v>1349</v>
      </c>
      <c r="E129" s="30" t="s">
        <v>1350</v>
      </c>
      <c r="F129" s="159">
        <v>4212.0</v>
      </c>
      <c r="G129" s="30" t="s">
        <v>467</v>
      </c>
      <c r="H129" s="159">
        <v>0.0</v>
      </c>
      <c r="I129" s="159">
        <v>10590.42</v>
      </c>
      <c r="J129" s="30"/>
    </row>
    <row r="130">
      <c r="A130" s="30" t="s">
        <v>359</v>
      </c>
      <c r="B130" s="30" t="s">
        <v>354</v>
      </c>
      <c r="C130" s="159">
        <v>294.0</v>
      </c>
      <c r="D130" s="30" t="s">
        <v>1349</v>
      </c>
      <c r="E130" s="30" t="s">
        <v>1351</v>
      </c>
      <c r="F130" s="159">
        <v>14762.0</v>
      </c>
      <c r="G130" s="30" t="s">
        <v>467</v>
      </c>
      <c r="H130" s="159">
        <v>0.0</v>
      </c>
      <c r="I130" s="159">
        <v>25352.42</v>
      </c>
      <c r="J130" s="30"/>
    </row>
    <row r="131">
      <c r="A131" s="30" t="s">
        <v>359</v>
      </c>
      <c r="B131" s="30" t="s">
        <v>354</v>
      </c>
      <c r="C131" s="159">
        <v>294.0</v>
      </c>
      <c r="D131" s="30" t="s">
        <v>1352</v>
      </c>
      <c r="E131" s="30" t="s">
        <v>1353</v>
      </c>
      <c r="F131" s="159">
        <v>583.4</v>
      </c>
      <c r="G131" s="30" t="s">
        <v>467</v>
      </c>
      <c r="H131" s="159">
        <v>0.0</v>
      </c>
      <c r="I131" s="159">
        <v>25935.82</v>
      </c>
      <c r="J131" s="30"/>
    </row>
    <row r="132">
      <c r="A132" s="30" t="s">
        <v>359</v>
      </c>
      <c r="B132" s="30" t="s">
        <v>354</v>
      </c>
      <c r="C132" s="159">
        <v>294.0</v>
      </c>
      <c r="D132" s="30" t="s">
        <v>1352</v>
      </c>
      <c r="E132" s="30" t="s">
        <v>1354</v>
      </c>
      <c r="F132" s="159">
        <v>7029.5</v>
      </c>
      <c r="G132" s="30" t="s">
        <v>467</v>
      </c>
      <c r="H132" s="159">
        <v>0.0</v>
      </c>
      <c r="I132" s="159">
        <v>32965.32</v>
      </c>
      <c r="J132" s="30"/>
    </row>
    <row r="133">
      <c r="A133" s="30" t="s">
        <v>486</v>
      </c>
      <c r="B133" s="30" t="s">
        <v>408</v>
      </c>
      <c r="C133" s="159">
        <v>4.0</v>
      </c>
      <c r="D133" s="30" t="s">
        <v>1355</v>
      </c>
      <c r="E133" s="30" t="s">
        <v>1356</v>
      </c>
      <c r="F133" s="159">
        <v>400.0</v>
      </c>
      <c r="G133" s="30" t="s">
        <v>459</v>
      </c>
      <c r="H133" s="159">
        <v>0.0</v>
      </c>
      <c r="I133" s="159">
        <v>400.0</v>
      </c>
      <c r="J133" s="30"/>
    </row>
    <row r="134">
      <c r="A134" s="30" t="s">
        <v>486</v>
      </c>
      <c r="B134" s="30" t="s">
        <v>408</v>
      </c>
      <c r="C134" s="159">
        <v>200.0</v>
      </c>
      <c r="D134" s="30" t="s">
        <v>1357</v>
      </c>
      <c r="E134" s="30" t="s">
        <v>1358</v>
      </c>
      <c r="F134" s="159">
        <v>272.02</v>
      </c>
      <c r="G134" s="30" t="s">
        <v>459</v>
      </c>
      <c r="H134" s="159">
        <v>0.0</v>
      </c>
      <c r="I134" s="159">
        <v>672.02</v>
      </c>
      <c r="J134" s="30"/>
    </row>
    <row r="135">
      <c r="A135" s="30" t="s">
        <v>407</v>
      </c>
      <c r="B135" s="30" t="s">
        <v>408</v>
      </c>
      <c r="C135" s="159">
        <v>27.0</v>
      </c>
      <c r="D135" s="30" t="s">
        <v>1245</v>
      </c>
      <c r="E135" s="159">
        <v>48793.0</v>
      </c>
      <c r="F135" s="159">
        <v>0.01</v>
      </c>
      <c r="G135" s="30" t="s">
        <v>459</v>
      </c>
      <c r="H135" s="159">
        <v>0.0</v>
      </c>
      <c r="I135" s="159">
        <v>672.03</v>
      </c>
      <c r="J135" s="30"/>
    </row>
    <row r="136">
      <c r="A136" s="30" t="s">
        <v>407</v>
      </c>
      <c r="B136" s="30" t="s">
        <v>408</v>
      </c>
      <c r="C136" s="159">
        <v>28.0</v>
      </c>
      <c r="D136" s="30" t="s">
        <v>1359</v>
      </c>
      <c r="E136" s="159">
        <v>48794.0</v>
      </c>
      <c r="F136" s="159">
        <v>14252.68</v>
      </c>
      <c r="G136" s="30" t="s">
        <v>459</v>
      </c>
      <c r="H136" s="159">
        <v>0.0</v>
      </c>
      <c r="I136" s="159">
        <v>14924.71</v>
      </c>
      <c r="J136" s="30"/>
    </row>
    <row r="137">
      <c r="A137" s="30" t="s">
        <v>458</v>
      </c>
      <c r="B137" s="30" t="s">
        <v>408</v>
      </c>
      <c r="C137" s="159">
        <v>78.0</v>
      </c>
      <c r="D137" s="30" t="s">
        <v>456</v>
      </c>
      <c r="E137" s="159">
        <v>48935.0</v>
      </c>
      <c r="F137" s="159">
        <v>1849.04</v>
      </c>
      <c r="G137" s="30" t="s">
        <v>459</v>
      </c>
      <c r="H137" s="159">
        <v>0.0</v>
      </c>
      <c r="I137" s="159">
        <v>16773.75</v>
      </c>
      <c r="J137" s="30"/>
    </row>
    <row r="138">
      <c r="A138" s="30" t="s">
        <v>460</v>
      </c>
      <c r="B138" s="30" t="s">
        <v>408</v>
      </c>
      <c r="C138" s="159">
        <v>95.0</v>
      </c>
      <c r="D138" s="30" t="s">
        <v>456</v>
      </c>
      <c r="E138" s="159">
        <v>48981.0</v>
      </c>
      <c r="F138" s="159">
        <v>428.0</v>
      </c>
      <c r="G138" s="30" t="s">
        <v>459</v>
      </c>
      <c r="H138" s="159">
        <v>0.0</v>
      </c>
      <c r="I138" s="159">
        <v>17201.75</v>
      </c>
      <c r="J138" s="30"/>
    </row>
    <row r="139">
      <c r="A139" s="30" t="s">
        <v>498</v>
      </c>
      <c r="B139" s="30" t="s">
        <v>408</v>
      </c>
      <c r="C139" s="159">
        <v>234.0</v>
      </c>
      <c r="D139" s="30" t="s">
        <v>499</v>
      </c>
      <c r="E139" s="30" t="s">
        <v>499</v>
      </c>
      <c r="F139" s="159">
        <v>1256.54</v>
      </c>
      <c r="G139" s="30" t="s">
        <v>459</v>
      </c>
      <c r="H139" s="159">
        <v>0.0</v>
      </c>
      <c r="I139" s="159">
        <v>18458.29</v>
      </c>
      <c r="J139" s="30"/>
    </row>
    <row r="140">
      <c r="A140" s="30" t="s">
        <v>411</v>
      </c>
      <c r="B140" s="30" t="s">
        <v>408</v>
      </c>
      <c r="C140" s="159">
        <v>222.0</v>
      </c>
      <c r="D140" s="30" t="s">
        <v>456</v>
      </c>
      <c r="E140" s="30" t="s">
        <v>1360</v>
      </c>
      <c r="F140" s="159">
        <v>4958.17</v>
      </c>
      <c r="G140" s="30" t="s">
        <v>459</v>
      </c>
      <c r="H140" s="159">
        <v>0.0</v>
      </c>
      <c r="I140" s="159">
        <v>23416.46</v>
      </c>
      <c r="J140" s="30"/>
    </row>
    <row r="141">
      <c r="A141" s="30" t="s">
        <v>414</v>
      </c>
      <c r="B141" s="30" t="s">
        <v>408</v>
      </c>
      <c r="C141" s="159">
        <v>242.0</v>
      </c>
      <c r="D141" s="30" t="s">
        <v>1361</v>
      </c>
      <c r="E141" s="30" t="s">
        <v>1361</v>
      </c>
      <c r="F141" s="159">
        <v>1121.46</v>
      </c>
      <c r="G141" s="30" t="s">
        <v>459</v>
      </c>
      <c r="H141" s="159">
        <v>0.0</v>
      </c>
      <c r="I141" s="159">
        <v>24537.92</v>
      </c>
      <c r="J141" s="30"/>
    </row>
    <row r="142">
      <c r="A142" s="30" t="s">
        <v>359</v>
      </c>
      <c r="B142" s="30" t="s">
        <v>354</v>
      </c>
      <c r="C142" s="159">
        <v>285.0</v>
      </c>
      <c r="D142" s="30" t="s">
        <v>1362</v>
      </c>
      <c r="E142" s="30" t="s">
        <v>1363</v>
      </c>
      <c r="F142" s="159">
        <v>1614.2</v>
      </c>
      <c r="G142" s="30" t="s">
        <v>479</v>
      </c>
      <c r="H142" s="159">
        <v>0.0</v>
      </c>
      <c r="I142" s="159">
        <v>1614.2</v>
      </c>
      <c r="J142" s="30"/>
    </row>
    <row r="143">
      <c r="A143" s="30" t="s">
        <v>359</v>
      </c>
      <c r="B143" s="30" t="s">
        <v>354</v>
      </c>
      <c r="C143" s="159">
        <v>285.0</v>
      </c>
      <c r="D143" s="30" t="s">
        <v>1362</v>
      </c>
      <c r="E143" s="30" t="s">
        <v>1364</v>
      </c>
      <c r="F143" s="159">
        <v>8686.68</v>
      </c>
      <c r="G143" s="30" t="s">
        <v>479</v>
      </c>
      <c r="H143" s="159">
        <v>0.0</v>
      </c>
      <c r="I143" s="159">
        <v>10300.88</v>
      </c>
      <c r="J143" s="30"/>
    </row>
    <row r="144">
      <c r="A144" s="30" t="s">
        <v>359</v>
      </c>
      <c r="B144" s="30" t="s">
        <v>354</v>
      </c>
      <c r="C144" s="159">
        <v>285.0</v>
      </c>
      <c r="D144" s="30" t="s">
        <v>1362</v>
      </c>
      <c r="E144" s="30" t="s">
        <v>1365</v>
      </c>
      <c r="F144" s="159">
        <v>12420.34</v>
      </c>
      <c r="G144" s="30" t="s">
        <v>479</v>
      </c>
      <c r="H144" s="159">
        <v>0.0</v>
      </c>
      <c r="I144" s="159">
        <v>22721.22</v>
      </c>
      <c r="J144" s="30"/>
    </row>
    <row r="145">
      <c r="A145" s="30" t="s">
        <v>359</v>
      </c>
      <c r="B145" s="30" t="s">
        <v>354</v>
      </c>
      <c r="C145" s="159">
        <v>285.0</v>
      </c>
      <c r="D145" s="30" t="s">
        <v>1362</v>
      </c>
      <c r="E145" s="30" t="s">
        <v>1366</v>
      </c>
      <c r="F145" s="159">
        <v>14372.07</v>
      </c>
      <c r="G145" s="30" t="s">
        <v>479</v>
      </c>
      <c r="H145" s="159">
        <v>0.0</v>
      </c>
      <c r="I145" s="159">
        <v>37093.29</v>
      </c>
      <c r="J145" s="30"/>
    </row>
    <row r="146">
      <c r="A146" s="30" t="s">
        <v>359</v>
      </c>
      <c r="B146" s="30" t="s">
        <v>354</v>
      </c>
      <c r="C146" s="159">
        <v>285.0</v>
      </c>
      <c r="D146" s="30" t="s">
        <v>1362</v>
      </c>
      <c r="E146" s="30" t="s">
        <v>1367</v>
      </c>
      <c r="F146" s="159">
        <v>15416.65</v>
      </c>
      <c r="G146" s="30" t="s">
        <v>479</v>
      </c>
      <c r="H146" s="159">
        <v>0.0</v>
      </c>
      <c r="I146" s="159">
        <v>52509.94</v>
      </c>
      <c r="J146" s="30"/>
    </row>
    <row r="147">
      <c r="A147" s="30" t="s">
        <v>359</v>
      </c>
      <c r="B147" s="30" t="s">
        <v>354</v>
      </c>
      <c r="C147" s="159">
        <v>278.0</v>
      </c>
      <c r="D147" s="30" t="s">
        <v>438</v>
      </c>
      <c r="E147" s="30" t="s">
        <v>1368</v>
      </c>
      <c r="F147" s="159">
        <v>8000.0</v>
      </c>
      <c r="G147" s="30" t="s">
        <v>437</v>
      </c>
      <c r="H147" s="159">
        <v>0.0</v>
      </c>
      <c r="I147" s="159">
        <v>8000.0</v>
      </c>
      <c r="J147" s="30"/>
    </row>
    <row r="148">
      <c r="A148" s="30" t="s">
        <v>359</v>
      </c>
      <c r="B148" s="30" t="s">
        <v>354</v>
      </c>
      <c r="C148" s="159">
        <v>278.0</v>
      </c>
      <c r="D148" s="30" t="s">
        <v>1369</v>
      </c>
      <c r="E148" s="30" t="s">
        <v>1370</v>
      </c>
      <c r="F148" s="159">
        <v>24124.7</v>
      </c>
      <c r="G148" s="30" t="s">
        <v>437</v>
      </c>
      <c r="H148" s="159">
        <v>0.0</v>
      </c>
      <c r="I148" s="159">
        <v>32124.7</v>
      </c>
      <c r="J148" s="30"/>
    </row>
    <row r="149">
      <c r="A149" s="30" t="s">
        <v>359</v>
      </c>
      <c r="B149" s="30" t="s">
        <v>354</v>
      </c>
      <c r="C149" s="159">
        <v>278.0</v>
      </c>
      <c r="D149" s="30" t="s">
        <v>1371</v>
      </c>
      <c r="E149" s="30" t="s">
        <v>1231</v>
      </c>
      <c r="F149" s="159">
        <v>8208.0</v>
      </c>
      <c r="G149" s="30" t="s">
        <v>437</v>
      </c>
      <c r="H149" s="159">
        <v>0.0</v>
      </c>
      <c r="I149" s="159">
        <v>40332.7</v>
      </c>
      <c r="J149" s="30"/>
    </row>
    <row r="150">
      <c r="A150" s="30" t="s">
        <v>359</v>
      </c>
      <c r="B150" s="30" t="s">
        <v>354</v>
      </c>
      <c r="C150" s="159">
        <v>278.0</v>
      </c>
      <c r="D150" s="30" t="s">
        <v>1372</v>
      </c>
      <c r="E150" s="30" t="s">
        <v>1231</v>
      </c>
      <c r="F150" s="159">
        <v>689.66</v>
      </c>
      <c r="G150" s="30" t="s">
        <v>437</v>
      </c>
      <c r="H150" s="159">
        <v>0.0</v>
      </c>
      <c r="I150" s="159">
        <v>41022.36</v>
      </c>
      <c r="J150" s="30"/>
    </row>
    <row r="151">
      <c r="A151" s="30" t="s">
        <v>359</v>
      </c>
      <c r="B151" s="30" t="s">
        <v>354</v>
      </c>
      <c r="C151" s="159">
        <v>278.0</v>
      </c>
      <c r="D151" s="30" t="s">
        <v>1372</v>
      </c>
      <c r="E151" s="30" t="s">
        <v>1231</v>
      </c>
      <c r="F151" s="159">
        <v>900.0</v>
      </c>
      <c r="G151" s="30" t="s">
        <v>437</v>
      </c>
      <c r="H151" s="159">
        <v>0.0</v>
      </c>
      <c r="I151" s="159">
        <v>41922.36</v>
      </c>
      <c r="J151" s="30"/>
    </row>
    <row r="152">
      <c r="A152" s="30" t="s">
        <v>359</v>
      </c>
      <c r="B152" s="30" t="s">
        <v>354</v>
      </c>
      <c r="C152" s="159">
        <v>278.0</v>
      </c>
      <c r="D152" s="30" t="s">
        <v>1372</v>
      </c>
      <c r="E152" s="30" t="s">
        <v>1231</v>
      </c>
      <c r="F152" s="159">
        <v>1000.0</v>
      </c>
      <c r="G152" s="30" t="s">
        <v>437</v>
      </c>
      <c r="H152" s="159">
        <v>0.0</v>
      </c>
      <c r="I152" s="159">
        <v>42922.36</v>
      </c>
      <c r="J152" s="30"/>
    </row>
    <row r="153">
      <c r="A153" s="30" t="s">
        <v>359</v>
      </c>
      <c r="B153" s="30" t="s">
        <v>354</v>
      </c>
      <c r="C153" s="159">
        <v>278.0</v>
      </c>
      <c r="D153" s="30" t="s">
        <v>1372</v>
      </c>
      <c r="E153" s="30" t="s">
        <v>1231</v>
      </c>
      <c r="F153" s="159">
        <v>1000.0</v>
      </c>
      <c r="G153" s="30" t="s">
        <v>437</v>
      </c>
      <c r="H153" s="159">
        <v>0.0</v>
      </c>
      <c r="I153" s="159">
        <v>43922.36</v>
      </c>
      <c r="J153" s="30"/>
    </row>
    <row r="154">
      <c r="A154" s="30" t="s">
        <v>359</v>
      </c>
      <c r="B154" s="30" t="s">
        <v>354</v>
      </c>
      <c r="C154" s="159">
        <v>278.0</v>
      </c>
      <c r="D154" s="30" t="s">
        <v>1373</v>
      </c>
      <c r="E154" s="30" t="s">
        <v>1374</v>
      </c>
      <c r="F154" s="159">
        <v>14000.0</v>
      </c>
      <c r="G154" s="30" t="s">
        <v>437</v>
      </c>
      <c r="H154" s="159">
        <v>0.0</v>
      </c>
      <c r="I154" s="159">
        <v>57922.36</v>
      </c>
      <c r="J154" s="30"/>
    </row>
    <row r="155">
      <c r="A155" s="30" t="s">
        <v>359</v>
      </c>
      <c r="B155" s="30" t="s">
        <v>354</v>
      </c>
      <c r="C155" s="159">
        <v>278.0</v>
      </c>
      <c r="D155" s="30" t="s">
        <v>1373</v>
      </c>
      <c r="E155" s="30" t="s">
        <v>1375</v>
      </c>
      <c r="F155" s="159">
        <v>18500.0</v>
      </c>
      <c r="G155" s="30" t="s">
        <v>437</v>
      </c>
      <c r="H155" s="159">
        <v>0.0</v>
      </c>
      <c r="I155" s="159">
        <v>76422.36</v>
      </c>
      <c r="J155" s="30"/>
    </row>
    <row r="156">
      <c r="A156" s="30" t="s">
        <v>359</v>
      </c>
      <c r="B156" s="30" t="s">
        <v>354</v>
      </c>
      <c r="C156" s="159">
        <v>278.0</v>
      </c>
      <c r="D156" s="30" t="s">
        <v>1376</v>
      </c>
      <c r="E156" s="30" t="s">
        <v>1377</v>
      </c>
      <c r="F156" s="159">
        <v>14595.06</v>
      </c>
      <c r="G156" s="30" t="s">
        <v>437</v>
      </c>
      <c r="H156" s="159">
        <v>0.0</v>
      </c>
      <c r="I156" s="159">
        <v>91017.42</v>
      </c>
      <c r="J156" s="30"/>
    </row>
    <row r="157">
      <c r="A157" s="30" t="s">
        <v>359</v>
      </c>
      <c r="B157" s="30" t="s">
        <v>354</v>
      </c>
      <c r="C157" s="159">
        <v>278.0</v>
      </c>
      <c r="D157" s="30" t="s">
        <v>1376</v>
      </c>
      <c r="E157" s="30" t="s">
        <v>1378</v>
      </c>
      <c r="F157" s="159">
        <v>14595.06</v>
      </c>
      <c r="G157" s="30" t="s">
        <v>437</v>
      </c>
      <c r="H157" s="159">
        <v>0.0</v>
      </c>
      <c r="I157" s="159">
        <v>105612.48</v>
      </c>
      <c r="J157" s="30"/>
    </row>
    <row r="158">
      <c r="A158" s="30" t="s">
        <v>359</v>
      </c>
      <c r="B158" s="30" t="s">
        <v>354</v>
      </c>
      <c r="C158" s="159">
        <v>278.0</v>
      </c>
      <c r="D158" s="30" t="s">
        <v>1379</v>
      </c>
      <c r="E158" s="30" t="s">
        <v>1380</v>
      </c>
      <c r="F158" s="159">
        <v>3097.23</v>
      </c>
      <c r="G158" s="30" t="s">
        <v>437</v>
      </c>
      <c r="H158" s="159">
        <v>0.0</v>
      </c>
      <c r="I158" s="159">
        <v>108709.71</v>
      </c>
      <c r="J158" s="30"/>
    </row>
    <row r="159">
      <c r="A159" s="30" t="s">
        <v>359</v>
      </c>
      <c r="B159" s="30" t="s">
        <v>354</v>
      </c>
      <c r="C159" s="159">
        <v>278.0</v>
      </c>
      <c r="D159" s="30" t="s">
        <v>1379</v>
      </c>
      <c r="E159" s="30" t="s">
        <v>1381</v>
      </c>
      <c r="F159" s="159">
        <v>4386.83</v>
      </c>
      <c r="G159" s="30" t="s">
        <v>437</v>
      </c>
      <c r="H159" s="159">
        <v>0.0</v>
      </c>
      <c r="I159" s="159">
        <v>113096.54</v>
      </c>
      <c r="J159" s="30"/>
    </row>
    <row r="160">
      <c r="A160" s="30" t="s">
        <v>359</v>
      </c>
      <c r="B160" s="30" t="s">
        <v>354</v>
      </c>
      <c r="C160" s="159">
        <v>278.0</v>
      </c>
      <c r="D160" s="30" t="s">
        <v>1379</v>
      </c>
      <c r="E160" s="30" t="s">
        <v>1382</v>
      </c>
      <c r="F160" s="159">
        <v>6000.0</v>
      </c>
      <c r="G160" s="30" t="s">
        <v>437</v>
      </c>
      <c r="H160" s="159">
        <v>0.0</v>
      </c>
      <c r="I160" s="159">
        <v>119096.54</v>
      </c>
      <c r="J160" s="30"/>
    </row>
    <row r="161">
      <c r="A161" s="30" t="s">
        <v>359</v>
      </c>
      <c r="B161" s="30" t="s">
        <v>354</v>
      </c>
      <c r="C161" s="159">
        <v>278.0</v>
      </c>
      <c r="D161" s="30" t="s">
        <v>1383</v>
      </c>
      <c r="E161" s="30" t="s">
        <v>1384</v>
      </c>
      <c r="F161" s="159">
        <v>6500.0</v>
      </c>
      <c r="G161" s="30" t="s">
        <v>437</v>
      </c>
      <c r="H161" s="159">
        <v>0.0</v>
      </c>
      <c r="I161" s="159">
        <v>125596.54</v>
      </c>
      <c r="J161" s="30"/>
    </row>
    <row r="162">
      <c r="A162" s="30" t="s">
        <v>359</v>
      </c>
      <c r="B162" s="30" t="s">
        <v>354</v>
      </c>
      <c r="C162" s="159">
        <v>278.0</v>
      </c>
      <c r="D162" s="30" t="s">
        <v>1385</v>
      </c>
      <c r="E162" s="30" t="s">
        <v>1386</v>
      </c>
      <c r="F162" s="159">
        <v>18000.0</v>
      </c>
      <c r="G162" s="30" t="s">
        <v>437</v>
      </c>
      <c r="H162" s="159">
        <v>0.0</v>
      </c>
      <c r="I162" s="159">
        <v>143596.54</v>
      </c>
      <c r="J162" s="30"/>
    </row>
    <row r="163">
      <c r="A163" s="30" t="s">
        <v>359</v>
      </c>
      <c r="B163" s="30" t="s">
        <v>354</v>
      </c>
      <c r="C163" s="159">
        <v>278.0</v>
      </c>
      <c r="D163" s="30" t="s">
        <v>1387</v>
      </c>
      <c r="E163" s="30" t="s">
        <v>1231</v>
      </c>
      <c r="F163" s="159">
        <v>13200.0</v>
      </c>
      <c r="G163" s="30" t="s">
        <v>437</v>
      </c>
      <c r="H163" s="159">
        <v>0.0</v>
      </c>
      <c r="I163" s="159">
        <v>156796.54</v>
      </c>
      <c r="J163" s="30"/>
    </row>
    <row r="164">
      <c r="A164" s="30" t="s">
        <v>359</v>
      </c>
      <c r="B164" s="30" t="s">
        <v>354</v>
      </c>
      <c r="C164" s="159">
        <v>278.0</v>
      </c>
      <c r="D164" s="30" t="s">
        <v>1388</v>
      </c>
      <c r="E164" s="30" t="s">
        <v>1389</v>
      </c>
      <c r="F164" s="159">
        <v>3500.0</v>
      </c>
      <c r="G164" s="30" t="s">
        <v>437</v>
      </c>
      <c r="H164" s="159">
        <v>0.0</v>
      </c>
      <c r="I164" s="159">
        <v>160296.54</v>
      </c>
      <c r="J164" s="30"/>
    </row>
    <row r="165">
      <c r="A165" s="30" t="s">
        <v>359</v>
      </c>
      <c r="B165" s="30" t="s">
        <v>354</v>
      </c>
      <c r="C165" s="159">
        <v>278.0</v>
      </c>
      <c r="D165" s="30" t="s">
        <v>1388</v>
      </c>
      <c r="E165" s="30" t="s">
        <v>1390</v>
      </c>
      <c r="F165" s="159">
        <v>7000.0</v>
      </c>
      <c r="G165" s="30" t="s">
        <v>437</v>
      </c>
      <c r="H165" s="159">
        <v>0.0</v>
      </c>
      <c r="I165" s="159">
        <v>167296.54</v>
      </c>
      <c r="J165" s="30"/>
    </row>
    <row r="166">
      <c r="A166" s="30" t="s">
        <v>359</v>
      </c>
      <c r="B166" s="30" t="s">
        <v>354</v>
      </c>
      <c r="C166" s="159">
        <v>278.0</v>
      </c>
      <c r="D166" s="30" t="s">
        <v>1388</v>
      </c>
      <c r="E166" s="30" t="s">
        <v>1391</v>
      </c>
      <c r="F166" s="159">
        <v>25250.0</v>
      </c>
      <c r="G166" s="30" t="s">
        <v>437</v>
      </c>
      <c r="H166" s="159">
        <v>0.0</v>
      </c>
      <c r="I166" s="159">
        <v>192546.54</v>
      </c>
      <c r="J166" s="30"/>
    </row>
    <row r="167">
      <c r="A167" s="30" t="s">
        <v>359</v>
      </c>
      <c r="B167" s="30" t="s">
        <v>354</v>
      </c>
      <c r="C167" s="159">
        <v>278.0</v>
      </c>
      <c r="D167" s="30" t="s">
        <v>1392</v>
      </c>
      <c r="E167" s="30" t="s">
        <v>1393</v>
      </c>
      <c r="F167" s="159">
        <v>446.09</v>
      </c>
      <c r="G167" s="30" t="s">
        <v>437</v>
      </c>
      <c r="H167" s="159">
        <v>0.0</v>
      </c>
      <c r="I167" s="159">
        <v>192992.63</v>
      </c>
      <c r="J167" s="30"/>
    </row>
    <row r="168">
      <c r="A168" s="30" t="s">
        <v>359</v>
      </c>
      <c r="B168" s="30" t="s">
        <v>354</v>
      </c>
      <c r="C168" s="159">
        <v>278.0</v>
      </c>
      <c r="D168" s="30" t="s">
        <v>1392</v>
      </c>
      <c r="E168" s="30" t="s">
        <v>1394</v>
      </c>
      <c r="F168" s="159">
        <v>446.09</v>
      </c>
      <c r="G168" s="30" t="s">
        <v>437</v>
      </c>
      <c r="H168" s="159">
        <v>0.0</v>
      </c>
      <c r="I168" s="159">
        <v>193438.72</v>
      </c>
      <c r="J168" s="30"/>
    </row>
    <row r="169">
      <c r="A169" s="30" t="s">
        <v>359</v>
      </c>
      <c r="B169" s="30" t="s">
        <v>354</v>
      </c>
      <c r="C169" s="159">
        <v>278.0</v>
      </c>
      <c r="D169" s="30" t="s">
        <v>1395</v>
      </c>
      <c r="E169" s="30" t="s">
        <v>1231</v>
      </c>
      <c r="F169" s="159">
        <v>1011.71</v>
      </c>
      <c r="G169" s="30" t="s">
        <v>437</v>
      </c>
      <c r="H169" s="159">
        <v>0.0</v>
      </c>
      <c r="I169" s="159">
        <v>194450.43</v>
      </c>
      <c r="J169" s="30"/>
    </row>
    <row r="170">
      <c r="A170" s="30" t="s">
        <v>359</v>
      </c>
      <c r="B170" s="30" t="s">
        <v>354</v>
      </c>
      <c r="C170" s="159">
        <v>278.0</v>
      </c>
      <c r="D170" s="30" t="s">
        <v>1396</v>
      </c>
      <c r="E170" s="30" t="s">
        <v>1397</v>
      </c>
      <c r="F170" s="159">
        <v>6500.0</v>
      </c>
      <c r="G170" s="30" t="s">
        <v>437</v>
      </c>
      <c r="H170" s="159">
        <v>0.0</v>
      </c>
      <c r="I170" s="159">
        <v>200950.43</v>
      </c>
      <c r="J170" s="30"/>
    </row>
    <row r="171">
      <c r="A171" s="30" t="s">
        <v>359</v>
      </c>
      <c r="B171" s="30" t="s">
        <v>354</v>
      </c>
      <c r="C171" s="159">
        <v>278.0</v>
      </c>
      <c r="D171" s="30" t="s">
        <v>1396</v>
      </c>
      <c r="E171" s="30" t="s">
        <v>1398</v>
      </c>
      <c r="F171" s="159">
        <v>40000.0</v>
      </c>
      <c r="G171" s="30" t="s">
        <v>437</v>
      </c>
      <c r="H171" s="159">
        <v>0.0</v>
      </c>
      <c r="I171" s="159">
        <v>240950.43</v>
      </c>
      <c r="J171" s="30"/>
    </row>
    <row r="172">
      <c r="A172" s="30" t="s">
        <v>359</v>
      </c>
      <c r="B172" s="30" t="s">
        <v>354</v>
      </c>
      <c r="C172" s="159">
        <v>278.0</v>
      </c>
      <c r="D172" s="30" t="s">
        <v>1399</v>
      </c>
      <c r="E172" s="30" t="s">
        <v>1231</v>
      </c>
      <c r="F172" s="159">
        <v>23500.0</v>
      </c>
      <c r="G172" s="30" t="s">
        <v>437</v>
      </c>
      <c r="H172" s="159">
        <v>0.0</v>
      </c>
      <c r="I172" s="159">
        <v>264450.43</v>
      </c>
      <c r="J172" s="30"/>
    </row>
    <row r="173">
      <c r="A173" s="30" t="s">
        <v>359</v>
      </c>
      <c r="B173" s="30" t="s">
        <v>354</v>
      </c>
      <c r="C173" s="159">
        <v>278.0</v>
      </c>
      <c r="D173" s="30" t="s">
        <v>1400</v>
      </c>
      <c r="E173" s="30" t="s">
        <v>1231</v>
      </c>
      <c r="F173" s="159">
        <v>600.0</v>
      </c>
      <c r="G173" s="30" t="s">
        <v>437</v>
      </c>
      <c r="H173" s="159">
        <v>0.0</v>
      </c>
      <c r="I173" s="159">
        <v>265050.43</v>
      </c>
      <c r="J173" s="30"/>
    </row>
    <row r="174">
      <c r="A174" s="30" t="s">
        <v>359</v>
      </c>
      <c r="B174" s="30" t="s">
        <v>354</v>
      </c>
      <c r="C174" s="159">
        <v>278.0</v>
      </c>
      <c r="D174" s="30" t="s">
        <v>1400</v>
      </c>
      <c r="E174" s="30" t="s">
        <v>1231</v>
      </c>
      <c r="F174" s="159">
        <v>980.0</v>
      </c>
      <c r="G174" s="30" t="s">
        <v>437</v>
      </c>
      <c r="H174" s="159">
        <v>0.0</v>
      </c>
      <c r="I174" s="159">
        <v>266030.43</v>
      </c>
      <c r="J174" s="30"/>
    </row>
    <row r="175">
      <c r="A175" s="30" t="s">
        <v>359</v>
      </c>
      <c r="B175" s="30" t="s">
        <v>354</v>
      </c>
      <c r="C175" s="159">
        <v>278.0</v>
      </c>
      <c r="D175" s="30" t="s">
        <v>1401</v>
      </c>
      <c r="E175" s="30" t="s">
        <v>1402</v>
      </c>
      <c r="F175" s="159">
        <v>23093.68</v>
      </c>
      <c r="G175" s="30" t="s">
        <v>437</v>
      </c>
      <c r="H175" s="159">
        <v>0.0</v>
      </c>
      <c r="I175" s="159">
        <v>289124.11</v>
      </c>
      <c r="J175" s="30"/>
    </row>
    <row r="176">
      <c r="A176" s="30" t="s">
        <v>359</v>
      </c>
      <c r="B176" s="30" t="s">
        <v>354</v>
      </c>
      <c r="C176" s="159">
        <v>265.0</v>
      </c>
      <c r="D176" s="30" t="s">
        <v>1403</v>
      </c>
      <c r="E176" s="30" t="s">
        <v>1404</v>
      </c>
      <c r="F176" s="159">
        <v>690.52</v>
      </c>
      <c r="G176" s="30" t="s">
        <v>453</v>
      </c>
      <c r="H176" s="159">
        <v>0.0</v>
      </c>
      <c r="I176" s="159">
        <v>690.52</v>
      </c>
      <c r="J176" s="30"/>
    </row>
    <row r="177">
      <c r="A177" s="30" t="s">
        <v>359</v>
      </c>
      <c r="B177" s="30" t="s">
        <v>354</v>
      </c>
      <c r="C177" s="159">
        <v>289.0</v>
      </c>
      <c r="D177" s="30" t="s">
        <v>464</v>
      </c>
      <c r="E177" s="30" t="s">
        <v>1231</v>
      </c>
      <c r="F177" s="159">
        <v>314.69</v>
      </c>
      <c r="G177" s="30" t="s">
        <v>453</v>
      </c>
      <c r="H177" s="159">
        <v>0.0</v>
      </c>
      <c r="I177" s="159">
        <v>1005.21</v>
      </c>
      <c r="J177" s="30"/>
    </row>
    <row r="178">
      <c r="A178" s="30" t="s">
        <v>359</v>
      </c>
      <c r="B178" s="30" t="s">
        <v>354</v>
      </c>
      <c r="C178" s="159">
        <v>274.0</v>
      </c>
      <c r="D178" s="30" t="s">
        <v>1405</v>
      </c>
      <c r="E178" s="30" t="s">
        <v>1406</v>
      </c>
      <c r="F178" s="159">
        <v>5500.0</v>
      </c>
      <c r="G178" s="30" t="s">
        <v>395</v>
      </c>
      <c r="H178" s="159">
        <v>0.0</v>
      </c>
      <c r="I178" s="159">
        <v>5500.0</v>
      </c>
      <c r="J178" s="30"/>
    </row>
    <row r="179">
      <c r="A179" s="30" t="s">
        <v>359</v>
      </c>
      <c r="B179" s="30" t="s">
        <v>354</v>
      </c>
      <c r="C179" s="159">
        <v>274.0</v>
      </c>
      <c r="D179" s="30" t="s">
        <v>1407</v>
      </c>
      <c r="E179" s="30" t="s">
        <v>1408</v>
      </c>
      <c r="F179" s="159">
        <v>2689.66</v>
      </c>
      <c r="G179" s="30" t="s">
        <v>395</v>
      </c>
      <c r="H179" s="159">
        <v>0.0</v>
      </c>
      <c r="I179" s="159">
        <v>8189.66</v>
      </c>
      <c r="J179" s="30"/>
    </row>
    <row r="180">
      <c r="A180" s="30" t="s">
        <v>359</v>
      </c>
      <c r="B180" s="30" t="s">
        <v>354</v>
      </c>
      <c r="C180" s="159">
        <v>273.0</v>
      </c>
      <c r="D180" s="30" t="s">
        <v>1409</v>
      </c>
      <c r="E180" s="30" t="s">
        <v>1306</v>
      </c>
      <c r="F180" s="159">
        <v>344.82</v>
      </c>
      <c r="G180" s="30" t="s">
        <v>391</v>
      </c>
      <c r="H180" s="159">
        <v>0.0</v>
      </c>
      <c r="I180" s="159">
        <v>344.82</v>
      </c>
      <c r="J180" s="30"/>
    </row>
    <row r="181">
      <c r="A181" s="30" t="s">
        <v>359</v>
      </c>
      <c r="B181" s="30" t="s">
        <v>354</v>
      </c>
      <c r="C181" s="159">
        <v>273.0</v>
      </c>
      <c r="D181" s="30" t="s">
        <v>1410</v>
      </c>
      <c r="E181" s="30" t="s">
        <v>1411</v>
      </c>
      <c r="F181" s="159">
        <v>45000.0</v>
      </c>
      <c r="G181" s="30" t="s">
        <v>391</v>
      </c>
      <c r="H181" s="159">
        <v>0.0</v>
      </c>
      <c r="I181" s="159">
        <v>45344.82</v>
      </c>
      <c r="J181" s="30"/>
    </row>
    <row r="182">
      <c r="A182" s="30" t="s">
        <v>359</v>
      </c>
      <c r="B182" s="30" t="s">
        <v>354</v>
      </c>
      <c r="C182" s="159">
        <v>279.0</v>
      </c>
      <c r="D182" s="30" t="s">
        <v>1412</v>
      </c>
      <c r="E182" s="30" t="s">
        <v>1413</v>
      </c>
      <c r="F182" s="159">
        <v>12551.3</v>
      </c>
      <c r="G182" s="30" t="s">
        <v>355</v>
      </c>
      <c r="H182" s="159">
        <v>0.0</v>
      </c>
      <c r="I182" s="159">
        <v>12551.3</v>
      </c>
      <c r="J182" s="30"/>
    </row>
    <row r="183">
      <c r="A183" s="30" t="s">
        <v>359</v>
      </c>
      <c r="B183" s="30" t="s">
        <v>354</v>
      </c>
      <c r="C183" s="159">
        <v>279.0</v>
      </c>
      <c r="D183" s="30" t="s">
        <v>1412</v>
      </c>
      <c r="E183" s="30" t="s">
        <v>1414</v>
      </c>
      <c r="F183" s="159">
        <v>70700.0</v>
      </c>
      <c r="G183" s="30" t="s">
        <v>355</v>
      </c>
      <c r="H183" s="159">
        <v>0.0</v>
      </c>
      <c r="I183" s="159">
        <v>83251.3</v>
      </c>
      <c r="J183" s="30"/>
    </row>
    <row r="184">
      <c r="A184" s="30" t="s">
        <v>359</v>
      </c>
      <c r="B184" s="30" t="s">
        <v>354</v>
      </c>
      <c r="C184" s="159">
        <v>279.0</v>
      </c>
      <c r="D184" s="30" t="s">
        <v>1415</v>
      </c>
      <c r="E184" s="30" t="s">
        <v>1416</v>
      </c>
      <c r="F184" s="159">
        <v>1308.0</v>
      </c>
      <c r="G184" s="30" t="s">
        <v>355</v>
      </c>
      <c r="H184" s="159">
        <v>0.0</v>
      </c>
      <c r="I184" s="159">
        <v>84559.3</v>
      </c>
      <c r="J184" s="30"/>
    </row>
    <row r="185">
      <c r="A185" s="30" t="s">
        <v>359</v>
      </c>
      <c r="B185" s="30" t="s">
        <v>354</v>
      </c>
      <c r="C185" s="159">
        <v>279.0</v>
      </c>
      <c r="D185" s="30" t="s">
        <v>1415</v>
      </c>
      <c r="E185" s="30" t="s">
        <v>1417</v>
      </c>
      <c r="F185" s="159">
        <v>43814.46</v>
      </c>
      <c r="G185" s="30" t="s">
        <v>355</v>
      </c>
      <c r="H185" s="159">
        <v>0.0</v>
      </c>
      <c r="I185" s="159">
        <v>128373.76</v>
      </c>
      <c r="J185" s="30"/>
    </row>
    <row r="186">
      <c r="A186" s="30" t="s">
        <v>359</v>
      </c>
      <c r="B186" s="30" t="s">
        <v>354</v>
      </c>
      <c r="C186" s="159">
        <v>279.0</v>
      </c>
      <c r="D186" s="30" t="s">
        <v>1415</v>
      </c>
      <c r="E186" s="30" t="s">
        <v>1418</v>
      </c>
      <c r="F186" s="159">
        <v>44276.98</v>
      </c>
      <c r="G186" s="30" t="s">
        <v>355</v>
      </c>
      <c r="H186" s="159">
        <v>0.0</v>
      </c>
      <c r="I186" s="159">
        <v>172650.74</v>
      </c>
      <c r="J186" s="30"/>
    </row>
    <row r="187">
      <c r="A187" s="30" t="s">
        <v>359</v>
      </c>
      <c r="B187" s="30" t="s">
        <v>354</v>
      </c>
      <c r="C187" s="159">
        <v>279.0</v>
      </c>
      <c r="D187" s="30" t="s">
        <v>1415</v>
      </c>
      <c r="E187" s="30" t="s">
        <v>1419</v>
      </c>
      <c r="F187" s="159">
        <v>136500.0</v>
      </c>
      <c r="G187" s="30" t="s">
        <v>355</v>
      </c>
      <c r="H187" s="159">
        <v>0.0</v>
      </c>
      <c r="I187" s="159">
        <v>309150.74</v>
      </c>
      <c r="J187" s="30"/>
    </row>
    <row r="188">
      <c r="A188" s="30" t="s">
        <v>359</v>
      </c>
      <c r="B188" s="30" t="s">
        <v>354</v>
      </c>
      <c r="C188" s="159">
        <v>279.0</v>
      </c>
      <c r="D188" s="30" t="s">
        <v>1415</v>
      </c>
      <c r="E188" s="30" t="s">
        <v>1420</v>
      </c>
      <c r="F188" s="159">
        <v>262500.0</v>
      </c>
      <c r="G188" s="30" t="s">
        <v>355</v>
      </c>
      <c r="H188" s="159">
        <v>0.0</v>
      </c>
      <c r="I188" s="159">
        <v>571650.74</v>
      </c>
      <c r="J188" s="30"/>
    </row>
    <row r="189">
      <c r="A189" s="30" t="s">
        <v>359</v>
      </c>
      <c r="B189" s="30" t="s">
        <v>354</v>
      </c>
      <c r="C189" s="159">
        <v>279.0</v>
      </c>
      <c r="D189" s="30" t="s">
        <v>1415</v>
      </c>
      <c r="E189" s="30" t="s">
        <v>1421</v>
      </c>
      <c r="F189" s="159">
        <v>262500.0</v>
      </c>
      <c r="G189" s="30" t="s">
        <v>355</v>
      </c>
      <c r="H189" s="159">
        <v>0.0</v>
      </c>
      <c r="I189" s="159">
        <v>834150.74</v>
      </c>
      <c r="J189" s="30"/>
    </row>
    <row r="190">
      <c r="A190" s="30" t="s">
        <v>353</v>
      </c>
      <c r="B190" s="30" t="s">
        <v>354</v>
      </c>
      <c r="C190" s="159">
        <v>303.0</v>
      </c>
      <c r="D190" s="30" t="s">
        <v>352</v>
      </c>
      <c r="E190" s="30"/>
      <c r="F190" s="159">
        <v>-619202.69</v>
      </c>
      <c r="G190" s="30" t="s">
        <v>355</v>
      </c>
      <c r="H190" s="159">
        <v>0.0</v>
      </c>
      <c r="I190" s="159">
        <v>214948.05</v>
      </c>
      <c r="J190" s="30"/>
    </row>
    <row r="191">
      <c r="A191" s="30" t="s">
        <v>353</v>
      </c>
      <c r="B191" s="30" t="s">
        <v>354</v>
      </c>
      <c r="C191" s="159">
        <v>303.0</v>
      </c>
      <c r="D191" s="30" t="s">
        <v>352</v>
      </c>
      <c r="E191" s="30"/>
      <c r="F191" s="159">
        <v>-33600.0</v>
      </c>
      <c r="G191" s="30" t="s">
        <v>355</v>
      </c>
      <c r="H191" s="159">
        <v>0.0</v>
      </c>
      <c r="I191" s="159">
        <v>181348.05</v>
      </c>
      <c r="J191" s="30"/>
    </row>
    <row r="192">
      <c r="A192" s="30" t="s">
        <v>359</v>
      </c>
      <c r="B192" s="30" t="s">
        <v>354</v>
      </c>
      <c r="C192" s="159">
        <v>267.0</v>
      </c>
      <c r="D192" s="30" t="s">
        <v>1422</v>
      </c>
      <c r="E192" s="30" t="s">
        <v>1271</v>
      </c>
      <c r="F192" s="159">
        <v>67868.64</v>
      </c>
      <c r="G192" s="30" t="s">
        <v>524</v>
      </c>
      <c r="H192" s="159">
        <v>0.0</v>
      </c>
      <c r="I192" s="159">
        <v>67868.64</v>
      </c>
      <c r="J192" s="30"/>
    </row>
    <row r="193">
      <c r="A193" s="30" t="s">
        <v>359</v>
      </c>
      <c r="B193" s="30" t="s">
        <v>354</v>
      </c>
      <c r="C193" s="159">
        <v>291.0</v>
      </c>
      <c r="D193" s="30" t="s">
        <v>1423</v>
      </c>
      <c r="E193" s="30" t="s">
        <v>1231</v>
      </c>
      <c r="F193" s="159">
        <v>64130.0</v>
      </c>
      <c r="G193" s="30" t="s">
        <v>524</v>
      </c>
      <c r="H193" s="159">
        <v>0.0</v>
      </c>
      <c r="I193" s="159">
        <v>131998.64</v>
      </c>
      <c r="J193" s="30"/>
    </row>
    <row r="194">
      <c r="A194" s="30" t="s">
        <v>359</v>
      </c>
      <c r="B194" s="30" t="s">
        <v>354</v>
      </c>
      <c r="C194" s="159">
        <v>502.0</v>
      </c>
      <c r="D194" s="30" t="s">
        <v>1424</v>
      </c>
      <c r="E194" s="30"/>
      <c r="F194" s="159">
        <v>6213.65</v>
      </c>
      <c r="G194" s="30" t="s">
        <v>482</v>
      </c>
      <c r="H194" s="159">
        <v>0.0</v>
      </c>
      <c r="I194" s="159">
        <v>6213.65</v>
      </c>
      <c r="J194" s="30"/>
    </row>
    <row r="195">
      <c r="A195" s="30" t="s">
        <v>359</v>
      </c>
      <c r="B195" s="30" t="s">
        <v>354</v>
      </c>
      <c r="C195" s="159">
        <v>502.0</v>
      </c>
      <c r="D195" s="30" t="s">
        <v>1424</v>
      </c>
      <c r="E195" s="30"/>
      <c r="F195" s="159">
        <v>791.67</v>
      </c>
      <c r="G195" s="30" t="s">
        <v>428</v>
      </c>
      <c r="H195" s="159">
        <v>0.0</v>
      </c>
      <c r="I195" s="159">
        <v>791.67</v>
      </c>
      <c r="J195" s="30"/>
    </row>
    <row r="196">
      <c r="A196" s="30" t="s">
        <v>359</v>
      </c>
      <c r="B196" s="30" t="s">
        <v>354</v>
      </c>
      <c r="C196" s="159">
        <v>502.0</v>
      </c>
      <c r="D196" s="30" t="s">
        <v>1424</v>
      </c>
      <c r="E196" s="30"/>
      <c r="F196" s="159">
        <v>9349.03</v>
      </c>
      <c r="G196" s="30" t="s">
        <v>433</v>
      </c>
      <c r="H196" s="159">
        <v>0.0</v>
      </c>
      <c r="I196" s="159">
        <v>9349.03</v>
      </c>
      <c r="J196" s="30"/>
    </row>
    <row r="197">
      <c r="A197" s="30" t="s">
        <v>359</v>
      </c>
      <c r="B197" s="30" t="s">
        <v>354</v>
      </c>
      <c r="C197" s="159">
        <v>502.0</v>
      </c>
      <c r="D197" s="30" t="s">
        <v>1424</v>
      </c>
      <c r="E197" s="30"/>
      <c r="F197" s="159">
        <v>32688.17</v>
      </c>
      <c r="G197" s="30" t="s">
        <v>431</v>
      </c>
      <c r="H197" s="159">
        <v>0.0</v>
      </c>
      <c r="I197" s="159">
        <v>32688.17</v>
      </c>
      <c r="J197" s="30"/>
    </row>
    <row r="198">
      <c r="A198" s="30" t="s">
        <v>359</v>
      </c>
      <c r="B198" s="30" t="s">
        <v>354</v>
      </c>
      <c r="C198" s="159">
        <v>502.0</v>
      </c>
      <c r="D198" s="30" t="s">
        <v>1424</v>
      </c>
      <c r="E198" s="30"/>
      <c r="F198" s="159">
        <v>5539.44</v>
      </c>
      <c r="G198" s="30" t="s">
        <v>435</v>
      </c>
      <c r="H198" s="159">
        <v>0.0</v>
      </c>
      <c r="I198" s="159">
        <v>5539.44</v>
      </c>
      <c r="J198" s="30"/>
    </row>
    <row r="199">
      <c r="A199" s="30" t="s">
        <v>359</v>
      </c>
      <c r="B199" s="30" t="s">
        <v>354</v>
      </c>
      <c r="C199" s="159">
        <v>502.0</v>
      </c>
      <c r="D199" s="30" t="s">
        <v>1424</v>
      </c>
      <c r="E199" s="30"/>
      <c r="F199" s="159">
        <v>5828.89</v>
      </c>
      <c r="G199" s="30" t="s">
        <v>436</v>
      </c>
      <c r="H199" s="159">
        <v>0.0</v>
      </c>
      <c r="I199" s="159">
        <v>5828.89</v>
      </c>
      <c r="J199" s="30"/>
    </row>
    <row r="200">
      <c r="A200" s="30" t="s">
        <v>359</v>
      </c>
      <c r="B200" s="30" t="s">
        <v>354</v>
      </c>
      <c r="C200" s="159">
        <v>502.0</v>
      </c>
      <c r="D200" s="30" t="s">
        <v>1425</v>
      </c>
      <c r="E200" s="30"/>
      <c r="F200" s="159">
        <v>203058.79</v>
      </c>
      <c r="G200" s="30" t="s">
        <v>1426</v>
      </c>
      <c r="H200" s="159">
        <v>0.0</v>
      </c>
      <c r="I200" s="159">
        <v>203058.79</v>
      </c>
      <c r="J200" s="30"/>
    </row>
    <row r="201">
      <c r="A201" s="30" t="s">
        <v>359</v>
      </c>
      <c r="B201" s="30" t="s">
        <v>408</v>
      </c>
      <c r="C201" s="159">
        <v>300.0</v>
      </c>
      <c r="D201" s="30" t="s">
        <v>1427</v>
      </c>
      <c r="E201" s="30"/>
      <c r="F201" s="159">
        <v>5557.72</v>
      </c>
      <c r="G201" s="30" t="s">
        <v>515</v>
      </c>
      <c r="H201" s="159">
        <v>0.0</v>
      </c>
      <c r="I201" s="159">
        <v>5557.72</v>
      </c>
      <c r="J201" s="30"/>
    </row>
    <row r="202">
      <c r="A202" s="30" t="s">
        <v>486</v>
      </c>
      <c r="B202" s="30" t="s">
        <v>408</v>
      </c>
      <c r="C202" s="159">
        <v>7.0</v>
      </c>
      <c r="D202" s="30" t="s">
        <v>1428</v>
      </c>
      <c r="E202" s="159">
        <v>48740.0</v>
      </c>
      <c r="F202" s="159">
        <v>31802.26</v>
      </c>
      <c r="G202" s="30" t="s">
        <v>487</v>
      </c>
      <c r="H202" s="159">
        <v>0.0</v>
      </c>
      <c r="I202" s="159">
        <v>31802.26</v>
      </c>
      <c r="J202" s="30"/>
    </row>
    <row r="203">
      <c r="A203" s="30" t="s">
        <v>486</v>
      </c>
      <c r="B203" s="30" t="s">
        <v>408</v>
      </c>
      <c r="C203" s="159">
        <v>200.0</v>
      </c>
      <c r="D203" s="30" t="s">
        <v>1357</v>
      </c>
      <c r="E203" s="30" t="s">
        <v>1358</v>
      </c>
      <c r="F203" s="159">
        <v>126798.61</v>
      </c>
      <c r="G203" s="30" t="s">
        <v>487</v>
      </c>
      <c r="H203" s="159">
        <v>0.0</v>
      </c>
      <c r="I203" s="159">
        <v>158600.87</v>
      </c>
      <c r="J203" s="30"/>
    </row>
    <row r="204">
      <c r="A204" s="30" t="s">
        <v>497</v>
      </c>
      <c r="B204" s="30" t="s">
        <v>408</v>
      </c>
      <c r="C204" s="159">
        <v>106.0</v>
      </c>
      <c r="D204" s="30" t="s">
        <v>1341</v>
      </c>
      <c r="E204" s="159">
        <v>49013.0</v>
      </c>
      <c r="F204" s="159">
        <v>44066.6</v>
      </c>
      <c r="G204" s="30" t="s">
        <v>487</v>
      </c>
      <c r="H204" s="159">
        <v>0.0</v>
      </c>
      <c r="I204" s="159">
        <v>202667.47</v>
      </c>
      <c r="J204" s="30"/>
    </row>
    <row r="205">
      <c r="A205" s="30" t="s">
        <v>486</v>
      </c>
      <c r="B205" s="30" t="s">
        <v>408</v>
      </c>
      <c r="C205" s="159">
        <v>7.0</v>
      </c>
      <c r="D205" s="30" t="s">
        <v>1428</v>
      </c>
      <c r="E205" s="159">
        <v>48740.0</v>
      </c>
      <c r="F205" s="159">
        <v>78740.0</v>
      </c>
      <c r="G205" s="30" t="s">
        <v>409</v>
      </c>
      <c r="H205" s="159">
        <v>0.0</v>
      </c>
      <c r="I205" s="159">
        <v>78740.0</v>
      </c>
      <c r="J205" s="30"/>
    </row>
    <row r="206">
      <c r="A206" s="30" t="s">
        <v>407</v>
      </c>
      <c r="B206" s="30" t="s">
        <v>408</v>
      </c>
      <c r="C206" s="159">
        <v>202.0</v>
      </c>
      <c r="D206" s="30" t="s">
        <v>1429</v>
      </c>
      <c r="E206" s="30" t="s">
        <v>1430</v>
      </c>
      <c r="F206" s="159">
        <v>3700.28</v>
      </c>
      <c r="G206" s="30" t="s">
        <v>409</v>
      </c>
      <c r="H206" s="159">
        <v>0.0</v>
      </c>
      <c r="I206" s="159">
        <v>82440.28</v>
      </c>
      <c r="J206" s="30"/>
    </row>
    <row r="207">
      <c r="A207" s="30" t="s">
        <v>411</v>
      </c>
      <c r="B207" s="30" t="s">
        <v>408</v>
      </c>
      <c r="C207" s="159">
        <v>240.0</v>
      </c>
      <c r="D207" s="30" t="s">
        <v>410</v>
      </c>
      <c r="E207" s="30" t="s">
        <v>1431</v>
      </c>
      <c r="F207" s="159">
        <v>524.48</v>
      </c>
      <c r="G207" s="30" t="s">
        <v>409</v>
      </c>
      <c r="H207" s="159">
        <v>0.0</v>
      </c>
      <c r="I207" s="159">
        <v>82964.76</v>
      </c>
      <c r="J207" s="30"/>
    </row>
    <row r="208">
      <c r="A208" s="30" t="s">
        <v>411</v>
      </c>
      <c r="B208" s="30" t="s">
        <v>354</v>
      </c>
      <c r="C208" s="159">
        <v>400.0</v>
      </c>
      <c r="D208" s="30" t="s">
        <v>1432</v>
      </c>
      <c r="E208" s="159">
        <v>49124.0</v>
      </c>
      <c r="F208" s="159">
        <v>9948.99</v>
      </c>
      <c r="G208" s="30" t="s">
        <v>409</v>
      </c>
      <c r="H208" s="159">
        <v>0.0</v>
      </c>
      <c r="I208" s="159">
        <v>92913.75</v>
      </c>
      <c r="J208" s="30"/>
    </row>
    <row r="209">
      <c r="A209" s="30" t="s">
        <v>414</v>
      </c>
      <c r="B209" s="30" t="s">
        <v>408</v>
      </c>
      <c r="C209" s="159">
        <v>243.0</v>
      </c>
      <c r="D209" s="30" t="s">
        <v>413</v>
      </c>
      <c r="E209" s="30" t="s">
        <v>1431</v>
      </c>
      <c r="F209" s="159">
        <v>400.0</v>
      </c>
      <c r="G209" s="30" t="s">
        <v>409</v>
      </c>
      <c r="H209" s="159">
        <v>0.0</v>
      </c>
      <c r="I209" s="159">
        <v>93313.75</v>
      </c>
      <c r="J209" s="30"/>
    </row>
    <row r="210">
      <c r="A210" s="30" t="s">
        <v>353</v>
      </c>
      <c r="B210" s="30" t="s">
        <v>408</v>
      </c>
      <c r="C210" s="159">
        <v>246.0</v>
      </c>
      <c r="D210" s="30" t="s">
        <v>415</v>
      </c>
      <c r="E210" s="30" t="s">
        <v>415</v>
      </c>
      <c r="F210" s="159">
        <v>256.55</v>
      </c>
      <c r="G210" s="30" t="s">
        <v>409</v>
      </c>
      <c r="H210" s="159">
        <v>0.0</v>
      </c>
      <c r="I210" s="159">
        <v>93570.3</v>
      </c>
      <c r="J210" s="30"/>
    </row>
    <row r="211">
      <c r="A211" s="30" t="s">
        <v>353</v>
      </c>
      <c r="B211" s="30" t="s">
        <v>408</v>
      </c>
      <c r="C211" s="159">
        <v>247.0</v>
      </c>
      <c r="D211" s="30" t="s">
        <v>1433</v>
      </c>
      <c r="E211" s="30" t="s">
        <v>1434</v>
      </c>
      <c r="F211" s="159">
        <v>620.0</v>
      </c>
      <c r="G211" s="30" t="s">
        <v>409</v>
      </c>
      <c r="H211" s="159">
        <v>0.0</v>
      </c>
      <c r="I211" s="159">
        <v>94190.3</v>
      </c>
      <c r="J211" s="30"/>
    </row>
    <row r="212">
      <c r="A212" s="30" t="s">
        <v>359</v>
      </c>
      <c r="B212" s="30" t="s">
        <v>354</v>
      </c>
      <c r="C212" s="159">
        <v>295.0</v>
      </c>
      <c r="D212" s="30" t="s">
        <v>1435</v>
      </c>
      <c r="E212" s="30" t="s">
        <v>1436</v>
      </c>
      <c r="F212" s="159">
        <v>858.75</v>
      </c>
      <c r="G212" s="30" t="s">
        <v>405</v>
      </c>
      <c r="H212" s="159">
        <v>0.0</v>
      </c>
      <c r="I212" s="159">
        <v>858.75</v>
      </c>
      <c r="J212" s="30"/>
    </row>
    <row r="213">
      <c r="A213" s="30" t="s">
        <v>359</v>
      </c>
      <c r="B213" s="30" t="s">
        <v>354</v>
      </c>
      <c r="C213" s="159">
        <v>295.0</v>
      </c>
      <c r="D213" s="30" t="s">
        <v>1435</v>
      </c>
      <c r="E213" s="30" t="s">
        <v>1437</v>
      </c>
      <c r="F213" s="159">
        <v>858.75</v>
      </c>
      <c r="G213" s="30" t="s">
        <v>405</v>
      </c>
      <c r="H213" s="159">
        <v>0.0</v>
      </c>
      <c r="I213" s="159">
        <v>1717.5</v>
      </c>
      <c r="J213" s="30"/>
    </row>
    <row r="214">
      <c r="A214" s="30" t="s">
        <v>359</v>
      </c>
      <c r="B214" s="30" t="s">
        <v>354</v>
      </c>
      <c r="C214" s="159">
        <v>295.0</v>
      </c>
      <c r="D214" s="30" t="s">
        <v>1435</v>
      </c>
      <c r="E214" s="30" t="s">
        <v>1438</v>
      </c>
      <c r="F214" s="159">
        <v>1202.25</v>
      </c>
      <c r="G214" s="30" t="s">
        <v>405</v>
      </c>
      <c r="H214" s="159">
        <v>0.0</v>
      </c>
      <c r="I214" s="159">
        <v>2919.75</v>
      </c>
      <c r="J214" s="30"/>
    </row>
    <row r="215">
      <c r="A215" s="30" t="s">
        <v>359</v>
      </c>
      <c r="B215" s="30" t="s">
        <v>354</v>
      </c>
      <c r="C215" s="159">
        <v>295.0</v>
      </c>
      <c r="D215" s="30" t="s">
        <v>1435</v>
      </c>
      <c r="E215" s="30" t="s">
        <v>1439</v>
      </c>
      <c r="F215" s="159">
        <v>1374.0</v>
      </c>
      <c r="G215" s="30" t="s">
        <v>405</v>
      </c>
      <c r="H215" s="159">
        <v>0.0</v>
      </c>
      <c r="I215" s="159">
        <v>4293.75</v>
      </c>
      <c r="J215" s="30"/>
    </row>
    <row r="216">
      <c r="A216" s="30" t="s">
        <v>359</v>
      </c>
      <c r="B216" s="30" t="s">
        <v>354</v>
      </c>
      <c r="C216" s="159">
        <v>296.0</v>
      </c>
      <c r="D216" s="30" t="s">
        <v>1440</v>
      </c>
      <c r="E216" s="30" t="s">
        <v>1441</v>
      </c>
      <c r="F216" s="159">
        <v>600.0</v>
      </c>
      <c r="G216" s="30" t="s">
        <v>405</v>
      </c>
      <c r="H216" s="159">
        <v>0.0</v>
      </c>
      <c r="I216" s="159">
        <v>4893.75</v>
      </c>
      <c r="J216" s="30"/>
    </row>
    <row r="217">
      <c r="A217" s="30" t="s">
        <v>359</v>
      </c>
      <c r="B217" s="30" t="s">
        <v>354</v>
      </c>
      <c r="C217" s="159">
        <v>296.0</v>
      </c>
      <c r="D217" s="30" t="s">
        <v>1440</v>
      </c>
      <c r="E217" s="30" t="s">
        <v>1442</v>
      </c>
      <c r="F217" s="159">
        <v>600.0</v>
      </c>
      <c r="G217" s="30" t="s">
        <v>405</v>
      </c>
      <c r="H217" s="159">
        <v>0.0</v>
      </c>
      <c r="I217" s="159">
        <v>5493.75</v>
      </c>
      <c r="J217" s="30"/>
    </row>
    <row r="218">
      <c r="A218" s="30" t="s">
        <v>359</v>
      </c>
      <c r="B218" s="30" t="s">
        <v>354</v>
      </c>
      <c r="C218" s="159">
        <v>296.0</v>
      </c>
      <c r="D218" s="30" t="s">
        <v>1440</v>
      </c>
      <c r="E218" s="30" t="s">
        <v>1443</v>
      </c>
      <c r="F218" s="159">
        <v>600.0</v>
      </c>
      <c r="G218" s="30" t="s">
        <v>405</v>
      </c>
      <c r="H218" s="159">
        <v>0.0</v>
      </c>
      <c r="I218" s="159">
        <v>6093.75</v>
      </c>
      <c r="J218" s="30"/>
    </row>
    <row r="219">
      <c r="A219" s="30" t="s">
        <v>359</v>
      </c>
      <c r="B219" s="30" t="s">
        <v>354</v>
      </c>
      <c r="C219" s="159">
        <v>296.0</v>
      </c>
      <c r="D219" s="30" t="s">
        <v>1440</v>
      </c>
      <c r="E219" s="30" t="s">
        <v>1444</v>
      </c>
      <c r="F219" s="159">
        <v>660.0</v>
      </c>
      <c r="G219" s="30" t="s">
        <v>405</v>
      </c>
      <c r="H219" s="159">
        <v>0.0</v>
      </c>
      <c r="I219" s="159">
        <v>6753.75</v>
      </c>
      <c r="J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55.57"/>
    <col customWidth="1" min="3" max="3" width="34.57"/>
    <col customWidth="1" min="15" max="15" width="37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60" t="s">
        <v>1445</v>
      </c>
      <c r="T1" s="160" t="s">
        <v>1446</v>
      </c>
      <c r="U1" s="160" t="s">
        <v>1447</v>
      </c>
      <c r="V1" s="160" t="s">
        <v>1448</v>
      </c>
      <c r="W1" s="160" t="s">
        <v>1449</v>
      </c>
      <c r="X1" s="160" t="s">
        <v>1450</v>
      </c>
      <c r="Y1" s="160" t="s">
        <v>1451</v>
      </c>
    </row>
    <row r="2" ht="22.5" customHeight="1">
      <c r="A2" s="161" t="s">
        <v>483</v>
      </c>
      <c r="B2" s="162" t="s">
        <v>1239</v>
      </c>
      <c r="C2" s="24" t="s">
        <v>66</v>
      </c>
      <c r="D2" s="163" t="s">
        <v>70</v>
      </c>
      <c r="E2" s="164"/>
      <c r="F2" s="162"/>
      <c r="G2" s="142">
        <v>7343.97</v>
      </c>
      <c r="H2" s="161"/>
      <c r="I2" s="161"/>
      <c r="J2" s="161"/>
      <c r="K2" s="161"/>
      <c r="L2" s="161" t="s">
        <v>1452</v>
      </c>
      <c r="M2" s="161" t="s">
        <v>354</v>
      </c>
      <c r="N2" s="142">
        <v>18.0</v>
      </c>
      <c r="O2" s="161" t="s">
        <v>367</v>
      </c>
      <c r="P2" s="161"/>
      <c r="S2" s="144" t="s">
        <v>1453</v>
      </c>
      <c r="T2" s="165"/>
      <c r="V2" s="166"/>
      <c r="W2" s="166"/>
      <c r="X2" s="166"/>
      <c r="Y2" s="166"/>
    </row>
    <row r="3" ht="22.5" customHeight="1">
      <c r="A3" s="161" t="s">
        <v>391</v>
      </c>
      <c r="B3" s="162" t="s">
        <v>1409</v>
      </c>
      <c r="C3" s="16" t="s">
        <v>31</v>
      </c>
      <c r="D3" s="9" t="s">
        <v>47</v>
      </c>
      <c r="E3" s="167"/>
      <c r="F3" s="162"/>
      <c r="G3" s="142">
        <v>344.82</v>
      </c>
      <c r="H3" s="161"/>
      <c r="I3" s="161"/>
      <c r="J3" s="161"/>
      <c r="K3" s="161"/>
      <c r="L3" s="161" t="s">
        <v>1452</v>
      </c>
      <c r="M3" s="161" t="s">
        <v>354</v>
      </c>
      <c r="N3" s="142">
        <v>34.0</v>
      </c>
      <c r="O3" s="161" t="s">
        <v>397</v>
      </c>
      <c r="P3" s="161"/>
      <c r="S3" s="142"/>
      <c r="T3" s="165"/>
      <c r="V3" s="166"/>
      <c r="W3" s="166"/>
      <c r="X3" s="166"/>
      <c r="Y3" s="166"/>
    </row>
    <row r="4" ht="22.5" customHeight="1">
      <c r="A4" s="161" t="s">
        <v>467</v>
      </c>
      <c r="B4" s="162" t="s">
        <v>1349</v>
      </c>
      <c r="C4" s="4" t="s">
        <v>31</v>
      </c>
      <c r="D4" s="4" t="s">
        <v>371</v>
      </c>
      <c r="E4" s="168"/>
      <c r="F4" s="162"/>
      <c r="G4" s="142">
        <v>830.0</v>
      </c>
      <c r="H4" s="161"/>
      <c r="I4" s="161"/>
      <c r="J4" s="161"/>
      <c r="K4" s="161"/>
      <c r="L4" s="161" t="s">
        <v>1452</v>
      </c>
      <c r="M4" s="161" t="s">
        <v>354</v>
      </c>
      <c r="N4" s="142">
        <v>39.0</v>
      </c>
      <c r="O4" s="161" t="s">
        <v>467</v>
      </c>
      <c r="P4" s="161"/>
      <c r="S4" s="142"/>
      <c r="T4" s="165"/>
      <c r="V4" s="166"/>
      <c r="W4" s="166"/>
      <c r="X4" s="166"/>
      <c r="Y4" s="166"/>
    </row>
    <row r="5" ht="22.5" customHeight="1">
      <c r="A5" s="161" t="s">
        <v>467</v>
      </c>
      <c r="B5" s="162" t="s">
        <v>1349</v>
      </c>
      <c r="C5" s="4" t="s">
        <v>31</v>
      </c>
      <c r="D5" s="4" t="s">
        <v>371</v>
      </c>
      <c r="E5" s="167"/>
      <c r="F5" s="162"/>
      <c r="G5" s="142">
        <v>4718.0</v>
      </c>
      <c r="H5" s="161"/>
      <c r="I5" s="161"/>
      <c r="J5" s="161"/>
      <c r="K5" s="161"/>
      <c r="L5" s="161" t="s">
        <v>1452</v>
      </c>
      <c r="M5" s="161" t="s">
        <v>354</v>
      </c>
      <c r="N5" s="142">
        <v>39.0</v>
      </c>
      <c r="O5" s="161" t="s">
        <v>467</v>
      </c>
      <c r="P5" s="161"/>
      <c r="S5" s="142"/>
      <c r="T5" s="165"/>
      <c r="V5" s="166"/>
      <c r="W5" s="166"/>
      <c r="X5" s="166"/>
      <c r="Y5" s="166"/>
    </row>
    <row r="6" ht="22.5" customHeight="1">
      <c r="A6" s="161" t="s">
        <v>467</v>
      </c>
      <c r="B6" s="162" t="s">
        <v>1349</v>
      </c>
      <c r="C6" s="4" t="s">
        <v>31</v>
      </c>
      <c r="D6" s="4" t="s">
        <v>371</v>
      </c>
      <c r="E6" s="168"/>
      <c r="F6" s="162"/>
      <c r="G6" s="142">
        <v>10518.0</v>
      </c>
      <c r="H6" s="161"/>
      <c r="I6" s="161"/>
      <c r="J6" s="161"/>
      <c r="K6" s="161"/>
      <c r="L6" s="161" t="s">
        <v>1452</v>
      </c>
      <c r="M6" s="161" t="s">
        <v>354</v>
      </c>
      <c r="N6" s="142">
        <v>39.0</v>
      </c>
      <c r="O6" s="161" t="s">
        <v>467</v>
      </c>
      <c r="P6" s="161"/>
      <c r="S6" s="142"/>
      <c r="T6" s="165"/>
      <c r="V6" s="166"/>
      <c r="W6" s="166"/>
      <c r="X6" s="166"/>
      <c r="Y6" s="166"/>
    </row>
    <row r="7" ht="22.5" customHeight="1">
      <c r="A7" s="18" t="s">
        <v>483</v>
      </c>
      <c r="B7" s="162" t="s">
        <v>1454</v>
      </c>
      <c r="C7" s="169" t="s">
        <v>31</v>
      </c>
      <c r="D7" s="169" t="s">
        <v>98</v>
      </c>
      <c r="E7" s="167"/>
      <c r="F7" s="162"/>
      <c r="G7" s="142">
        <v>270.98</v>
      </c>
      <c r="H7" s="161"/>
      <c r="I7" s="161"/>
      <c r="J7" s="161"/>
      <c r="K7" s="161"/>
      <c r="L7" s="161" t="s">
        <v>1452</v>
      </c>
      <c r="M7" s="161" t="s">
        <v>354</v>
      </c>
      <c r="N7" s="142">
        <v>25.0</v>
      </c>
      <c r="O7" s="161" t="s">
        <v>465</v>
      </c>
      <c r="P7" s="161"/>
      <c r="S7" s="142"/>
      <c r="T7" s="165"/>
      <c r="V7" s="166"/>
      <c r="W7" s="166"/>
      <c r="X7" s="166"/>
      <c r="Y7" s="166"/>
    </row>
    <row r="8" ht="22.5" customHeight="1">
      <c r="A8" s="161" t="s">
        <v>360</v>
      </c>
      <c r="B8" s="162" t="s">
        <v>1425</v>
      </c>
      <c r="C8" s="4" t="s">
        <v>31</v>
      </c>
      <c r="D8" s="170" t="s">
        <v>187</v>
      </c>
      <c r="E8" s="167"/>
      <c r="F8" s="162"/>
      <c r="G8" s="144">
        <v>51069.485</v>
      </c>
      <c r="H8" s="161"/>
      <c r="I8" s="161"/>
      <c r="J8" s="161"/>
      <c r="K8" s="161"/>
      <c r="L8" s="161" t="s">
        <v>1452</v>
      </c>
      <c r="M8" s="161" t="s">
        <v>354</v>
      </c>
      <c r="N8" s="142">
        <v>502.0</v>
      </c>
      <c r="O8" s="161" t="s">
        <v>1426</v>
      </c>
      <c r="P8" s="161"/>
      <c r="S8" s="142"/>
      <c r="T8" s="165"/>
      <c r="V8" s="166"/>
      <c r="W8" s="166"/>
      <c r="X8" s="166"/>
      <c r="Y8" s="166"/>
    </row>
    <row r="9" ht="22.5" customHeight="1">
      <c r="A9" s="161" t="s">
        <v>360</v>
      </c>
      <c r="B9" s="162" t="s">
        <v>1425</v>
      </c>
      <c r="C9" s="4" t="s">
        <v>20</v>
      </c>
      <c r="D9" s="170" t="s">
        <v>21</v>
      </c>
      <c r="F9" s="162"/>
      <c r="G9" s="4">
        <v>51069.485</v>
      </c>
      <c r="H9" s="161"/>
      <c r="I9" s="161"/>
      <c r="J9" s="161"/>
      <c r="K9" s="161"/>
      <c r="L9" s="161" t="s">
        <v>1452</v>
      </c>
      <c r="M9" s="161" t="s">
        <v>354</v>
      </c>
      <c r="N9" s="142">
        <v>502.0</v>
      </c>
      <c r="S9" s="171"/>
      <c r="V9" s="166"/>
      <c r="W9" s="166"/>
      <c r="X9" s="166"/>
      <c r="Y9" s="166"/>
    </row>
    <row r="10" ht="22.5" customHeight="1">
      <c r="A10" s="161" t="s">
        <v>364</v>
      </c>
      <c r="B10" s="162" t="s">
        <v>1455</v>
      </c>
      <c r="C10" s="4" t="s">
        <v>370</v>
      </c>
      <c r="D10" s="4" t="s">
        <v>371</v>
      </c>
      <c r="E10" s="167"/>
      <c r="F10" s="162"/>
      <c r="G10" s="142">
        <v>17285.92</v>
      </c>
      <c r="H10" s="161"/>
      <c r="I10" s="161"/>
      <c r="J10" s="161"/>
      <c r="K10" s="161"/>
      <c r="L10" s="161" t="s">
        <v>1452</v>
      </c>
      <c r="M10" s="161" t="s">
        <v>354</v>
      </c>
      <c r="N10" s="142">
        <v>31.0</v>
      </c>
      <c r="O10" s="161" t="s">
        <v>475</v>
      </c>
      <c r="P10" s="161"/>
      <c r="S10" s="142"/>
      <c r="T10" s="165"/>
      <c r="V10" s="166"/>
      <c r="W10" s="166"/>
      <c r="X10" s="166"/>
      <c r="Y10" s="166"/>
    </row>
    <row r="11" ht="22.5" customHeight="1">
      <c r="A11" s="161" t="s">
        <v>364</v>
      </c>
      <c r="B11" s="162" t="s">
        <v>1455</v>
      </c>
      <c r="C11" s="4" t="s">
        <v>370</v>
      </c>
      <c r="D11" s="4" t="s">
        <v>371</v>
      </c>
      <c r="E11" s="168"/>
      <c r="F11" s="162"/>
      <c r="G11" s="142">
        <v>22480.9</v>
      </c>
      <c r="H11" s="161"/>
      <c r="I11" s="161"/>
      <c r="J11" s="161"/>
      <c r="K11" s="161"/>
      <c r="L11" s="161" t="s">
        <v>1452</v>
      </c>
      <c r="M11" s="161" t="s">
        <v>354</v>
      </c>
      <c r="N11" s="142">
        <v>31.0</v>
      </c>
      <c r="O11" s="161" t="s">
        <v>475</v>
      </c>
      <c r="P11" s="161"/>
      <c r="S11" s="142"/>
      <c r="T11" s="165"/>
      <c r="V11" s="166"/>
      <c r="W11" s="166"/>
      <c r="X11" s="166"/>
      <c r="Y11" s="166"/>
    </row>
    <row r="12" ht="22.5" customHeight="1">
      <c r="A12" s="27" t="s">
        <v>471</v>
      </c>
      <c r="B12" s="172" t="s">
        <v>1456</v>
      </c>
      <c r="C12" s="173" t="s">
        <v>31</v>
      </c>
      <c r="D12" s="174" t="s">
        <v>38</v>
      </c>
      <c r="E12" s="168"/>
      <c r="F12" s="162"/>
      <c r="G12" s="144">
        <v>102.809854</v>
      </c>
      <c r="H12" s="161"/>
      <c r="I12" s="161"/>
      <c r="J12" s="161"/>
      <c r="K12" s="161"/>
      <c r="L12" s="161" t="s">
        <v>1452</v>
      </c>
      <c r="M12" s="161" t="s">
        <v>354</v>
      </c>
      <c r="N12" s="142">
        <v>29.0</v>
      </c>
      <c r="O12" s="161" t="s">
        <v>393</v>
      </c>
      <c r="P12" s="161"/>
      <c r="S12" s="142"/>
      <c r="T12" s="165"/>
      <c r="V12" s="166"/>
      <c r="W12" s="166"/>
      <c r="X12" s="166"/>
      <c r="Y12" s="166"/>
    </row>
    <row r="13" ht="22.5" customHeight="1">
      <c r="A13" s="27" t="s">
        <v>471</v>
      </c>
      <c r="B13" s="175" t="s">
        <v>1456</v>
      </c>
      <c r="C13" s="169" t="s">
        <v>31</v>
      </c>
      <c r="D13" s="174" t="s">
        <v>47</v>
      </c>
      <c r="E13" s="168"/>
      <c r="F13" s="162"/>
      <c r="G13" s="144">
        <v>219.6392336</v>
      </c>
      <c r="H13" s="161"/>
      <c r="I13" s="161"/>
      <c r="J13" s="161"/>
      <c r="K13" s="161"/>
      <c r="L13" s="161"/>
      <c r="M13" s="161"/>
      <c r="N13" s="142"/>
      <c r="O13" s="161"/>
      <c r="P13" s="161"/>
      <c r="S13" s="142"/>
      <c r="T13" s="165"/>
      <c r="V13" s="166"/>
      <c r="W13" s="166"/>
      <c r="X13" s="166"/>
      <c r="Y13" s="166"/>
    </row>
    <row r="14" ht="22.5" customHeight="1">
      <c r="A14" s="27" t="s">
        <v>471</v>
      </c>
      <c r="B14" s="172" t="s">
        <v>1456</v>
      </c>
      <c r="C14" s="173" t="s">
        <v>31</v>
      </c>
      <c r="D14" s="174" t="s">
        <v>113</v>
      </c>
      <c r="E14" s="168"/>
      <c r="F14" s="162"/>
      <c r="G14" s="144">
        <v>74.77080292</v>
      </c>
      <c r="H14" s="161"/>
      <c r="I14" s="161"/>
      <c r="J14" s="161"/>
      <c r="K14" s="161"/>
      <c r="L14" s="161"/>
      <c r="M14" s="161"/>
      <c r="N14" s="142"/>
      <c r="O14" s="161"/>
      <c r="P14" s="161"/>
      <c r="S14" s="142"/>
      <c r="T14" s="165"/>
      <c r="V14" s="166"/>
      <c r="W14" s="166"/>
      <c r="X14" s="166"/>
      <c r="Y14" s="166"/>
    </row>
    <row r="15" ht="22.5" customHeight="1">
      <c r="A15" s="27" t="s">
        <v>471</v>
      </c>
      <c r="B15" s="175" t="s">
        <v>1456</v>
      </c>
      <c r="C15" s="169" t="s">
        <v>31</v>
      </c>
      <c r="D15" s="174" t="s">
        <v>187</v>
      </c>
      <c r="E15" s="168"/>
      <c r="F15" s="162"/>
      <c r="G15" s="144">
        <v>98.13667883</v>
      </c>
      <c r="H15" s="161"/>
      <c r="I15" s="161"/>
      <c r="J15" s="161"/>
      <c r="K15" s="161"/>
      <c r="L15" s="161"/>
      <c r="M15" s="161"/>
      <c r="N15" s="142"/>
      <c r="O15" s="161"/>
      <c r="P15" s="161"/>
      <c r="S15" s="142"/>
      <c r="T15" s="165"/>
      <c r="V15" s="166"/>
      <c r="W15" s="166"/>
      <c r="X15" s="166"/>
      <c r="Y15" s="166"/>
    </row>
    <row r="16" ht="22.5" customHeight="1">
      <c r="A16" s="27" t="s">
        <v>471</v>
      </c>
      <c r="B16" s="172" t="s">
        <v>1456</v>
      </c>
      <c r="C16" s="173" t="s">
        <v>20</v>
      </c>
      <c r="D16" s="174" t="s">
        <v>21</v>
      </c>
      <c r="E16" s="168"/>
      <c r="F16" s="162"/>
      <c r="G16" s="144">
        <v>1453.357482</v>
      </c>
      <c r="H16" s="161"/>
      <c r="I16" s="161"/>
      <c r="J16" s="161"/>
      <c r="K16" s="161"/>
      <c r="L16" s="161"/>
      <c r="M16" s="161"/>
      <c r="N16" s="142"/>
      <c r="O16" s="161"/>
      <c r="P16" s="161"/>
      <c r="S16" s="142"/>
      <c r="T16" s="165"/>
      <c r="V16" s="166"/>
      <c r="W16" s="166"/>
      <c r="X16" s="166"/>
      <c r="Y16" s="166"/>
    </row>
    <row r="17" ht="22.5" customHeight="1">
      <c r="A17" s="27" t="s">
        <v>471</v>
      </c>
      <c r="B17" s="175" t="s">
        <v>1456</v>
      </c>
      <c r="C17" s="169" t="s">
        <v>31</v>
      </c>
      <c r="D17" s="174" t="s">
        <v>98</v>
      </c>
      <c r="E17" s="168"/>
      <c r="F17" s="162"/>
      <c r="G17" s="144">
        <v>74.77080292</v>
      </c>
      <c r="H17" s="161"/>
      <c r="I17" s="161"/>
      <c r="J17" s="161"/>
      <c r="K17" s="161"/>
      <c r="L17" s="161"/>
      <c r="M17" s="161"/>
      <c r="N17" s="142"/>
      <c r="O17" s="161"/>
      <c r="P17" s="161"/>
      <c r="S17" s="142"/>
      <c r="T17" s="165"/>
      <c r="V17" s="166"/>
      <c r="W17" s="166"/>
      <c r="X17" s="166"/>
      <c r="Y17" s="166"/>
    </row>
    <row r="18" ht="22.5" customHeight="1">
      <c r="A18" s="27" t="s">
        <v>471</v>
      </c>
      <c r="B18" s="172" t="s">
        <v>1456</v>
      </c>
      <c r="C18" s="173" t="s">
        <v>31</v>
      </c>
      <c r="D18" s="174" t="s">
        <v>54</v>
      </c>
      <c r="E18" s="168"/>
      <c r="F18" s="162"/>
      <c r="G18" s="144">
        <v>537.415146</v>
      </c>
      <c r="H18" s="161"/>
      <c r="I18" s="161"/>
      <c r="J18" s="161"/>
      <c r="K18" s="161"/>
      <c r="L18" s="161"/>
      <c r="M18" s="161"/>
      <c r="N18" s="142"/>
      <c r="O18" s="161"/>
      <c r="P18" s="161"/>
      <c r="S18" s="142"/>
      <c r="T18" s="165"/>
      <c r="V18" s="166"/>
      <c r="W18" s="166"/>
      <c r="X18" s="166"/>
      <c r="Y18" s="166"/>
    </row>
    <row r="19" ht="22.5" customHeight="1">
      <c r="A19" s="161" t="s">
        <v>483</v>
      </c>
      <c r="B19" s="162" t="s">
        <v>1243</v>
      </c>
      <c r="C19" s="2" t="s">
        <v>31</v>
      </c>
      <c r="D19" s="4" t="s">
        <v>371</v>
      </c>
      <c r="E19" s="168"/>
      <c r="F19" s="162"/>
      <c r="G19" s="142">
        <v>8900.0</v>
      </c>
      <c r="H19" s="161"/>
      <c r="I19" s="161"/>
      <c r="J19" s="161"/>
      <c r="K19" s="161"/>
      <c r="L19" s="161" t="s">
        <v>1452</v>
      </c>
      <c r="M19" s="161" t="s">
        <v>354</v>
      </c>
      <c r="N19" s="142">
        <v>21.0</v>
      </c>
      <c r="O19" s="161" t="s">
        <v>385</v>
      </c>
      <c r="P19" s="161"/>
      <c r="S19" s="142"/>
      <c r="T19" s="165"/>
      <c r="V19" s="166"/>
      <c r="W19" s="166"/>
      <c r="X19" s="166"/>
      <c r="Y19" s="166"/>
    </row>
    <row r="20" ht="22.5" customHeight="1">
      <c r="A20" s="27" t="s">
        <v>451</v>
      </c>
      <c r="B20" s="162" t="s">
        <v>1457</v>
      </c>
      <c r="C20" s="169" t="s">
        <v>20</v>
      </c>
      <c r="D20" s="169" t="s">
        <v>21</v>
      </c>
      <c r="E20" s="167"/>
      <c r="F20" s="162"/>
      <c r="G20" s="142">
        <v>56473.56</v>
      </c>
      <c r="H20" s="161"/>
      <c r="I20" s="161"/>
      <c r="J20" s="161"/>
      <c r="K20" s="161"/>
      <c r="L20" s="161" t="s">
        <v>1452</v>
      </c>
      <c r="M20" s="161" t="s">
        <v>354</v>
      </c>
      <c r="N20" s="142">
        <v>19.0</v>
      </c>
      <c r="O20" s="161" t="s">
        <v>395</v>
      </c>
      <c r="P20" s="161"/>
      <c r="S20" s="142"/>
      <c r="T20" s="165"/>
      <c r="V20" s="166"/>
      <c r="W20" s="166"/>
      <c r="X20" s="166"/>
      <c r="Y20" s="166"/>
    </row>
    <row r="21" ht="22.5" customHeight="1">
      <c r="A21" s="27" t="s">
        <v>536</v>
      </c>
      <c r="B21" s="162" t="s">
        <v>1458</v>
      </c>
      <c r="C21" s="173" t="s">
        <v>20</v>
      </c>
      <c r="D21" s="173" t="s">
        <v>21</v>
      </c>
      <c r="E21" s="167"/>
      <c r="F21" s="162"/>
      <c r="G21" s="142">
        <v>341293.1</v>
      </c>
      <c r="H21" s="161"/>
      <c r="I21" s="161"/>
      <c r="J21" s="161"/>
      <c r="K21" s="161"/>
      <c r="L21" s="161" t="s">
        <v>1452</v>
      </c>
      <c r="M21" s="161" t="s">
        <v>354</v>
      </c>
      <c r="N21" s="142">
        <v>187.0</v>
      </c>
      <c r="O21" s="161" t="s">
        <v>367</v>
      </c>
      <c r="P21" s="161"/>
      <c r="S21" s="142"/>
      <c r="T21" s="165"/>
      <c r="V21" s="166"/>
      <c r="W21" s="166"/>
      <c r="X21" s="166"/>
      <c r="Y21" s="166"/>
    </row>
    <row r="22" ht="22.5" customHeight="1">
      <c r="A22" s="27" t="s">
        <v>536</v>
      </c>
      <c r="B22" s="162" t="s">
        <v>1458</v>
      </c>
      <c r="C22" s="169" t="s">
        <v>20</v>
      </c>
      <c r="D22" s="169" t="s">
        <v>21</v>
      </c>
      <c r="E22" s="168"/>
      <c r="F22" s="162"/>
      <c r="G22" s="142">
        <v>168490.0</v>
      </c>
      <c r="H22" s="161"/>
      <c r="I22" s="161"/>
      <c r="J22" s="161"/>
      <c r="K22" s="161"/>
      <c r="L22" s="161" t="s">
        <v>1459</v>
      </c>
      <c r="M22" s="161" t="s">
        <v>408</v>
      </c>
      <c r="N22" s="142">
        <v>258.0</v>
      </c>
      <c r="O22" s="161" t="s">
        <v>459</v>
      </c>
      <c r="P22" s="161"/>
      <c r="S22" s="142"/>
      <c r="T22" s="165"/>
      <c r="V22" s="166"/>
      <c r="W22" s="166"/>
      <c r="X22" s="166"/>
      <c r="Y22" s="166"/>
    </row>
    <row r="23" ht="22.5" customHeight="1">
      <c r="A23" s="27" t="s">
        <v>485</v>
      </c>
      <c r="B23" s="162" t="s">
        <v>1460</v>
      </c>
      <c r="C23" s="24" t="s">
        <v>66</v>
      </c>
      <c r="D23" s="163" t="s">
        <v>70</v>
      </c>
      <c r="E23" s="168"/>
      <c r="F23" s="162"/>
      <c r="G23" s="142">
        <v>7500.0</v>
      </c>
      <c r="H23" s="161"/>
      <c r="I23" s="161"/>
      <c r="J23" s="161"/>
      <c r="K23" s="161"/>
      <c r="L23" s="161" t="s">
        <v>1452</v>
      </c>
      <c r="M23" s="161" t="s">
        <v>354</v>
      </c>
      <c r="N23" s="142">
        <v>34.0</v>
      </c>
      <c r="O23" s="161" t="s">
        <v>397</v>
      </c>
      <c r="P23" s="161"/>
      <c r="S23" s="142"/>
      <c r="T23" s="165"/>
      <c r="V23" s="166"/>
      <c r="W23" s="166"/>
      <c r="X23" s="166"/>
      <c r="Y23" s="166"/>
    </row>
    <row r="24" ht="22.5" customHeight="1">
      <c r="A24" s="27" t="s">
        <v>483</v>
      </c>
      <c r="B24" s="162" t="s">
        <v>1460</v>
      </c>
      <c r="C24" s="27" t="s">
        <v>31</v>
      </c>
      <c r="D24" s="176" t="s">
        <v>187</v>
      </c>
      <c r="E24" s="167"/>
      <c r="F24" s="162"/>
      <c r="G24" s="142">
        <v>140000.0</v>
      </c>
      <c r="H24" s="161"/>
      <c r="I24" s="161"/>
      <c r="J24" s="161"/>
      <c r="K24" s="161"/>
      <c r="L24" s="161" t="s">
        <v>1452</v>
      </c>
      <c r="M24" s="161" t="s">
        <v>354</v>
      </c>
      <c r="N24" s="142">
        <v>34.0</v>
      </c>
      <c r="O24" s="161" t="s">
        <v>397</v>
      </c>
      <c r="P24" s="161"/>
      <c r="S24" s="142"/>
      <c r="T24" s="165"/>
      <c r="V24" s="166"/>
      <c r="W24" s="166"/>
      <c r="X24" s="166"/>
      <c r="Y24" s="166"/>
    </row>
    <row r="25" ht="22.5" customHeight="1">
      <c r="A25" s="27" t="s">
        <v>453</v>
      </c>
      <c r="B25" s="162" t="s">
        <v>1461</v>
      </c>
      <c r="C25" s="173" t="s">
        <v>20</v>
      </c>
      <c r="D25" s="173" t="s">
        <v>21</v>
      </c>
      <c r="E25" s="167"/>
      <c r="F25" s="162"/>
      <c r="G25" s="142">
        <v>2160.0</v>
      </c>
      <c r="H25" s="161"/>
      <c r="I25" s="161"/>
      <c r="J25" s="161"/>
      <c r="K25" s="161"/>
      <c r="L25" s="161" t="s">
        <v>1452</v>
      </c>
      <c r="M25" s="161" t="s">
        <v>354</v>
      </c>
      <c r="N25" s="142">
        <v>27.0</v>
      </c>
      <c r="O25" s="161" t="s">
        <v>453</v>
      </c>
      <c r="P25" s="161"/>
      <c r="S25" s="142"/>
      <c r="T25" s="165"/>
      <c r="V25" s="166"/>
      <c r="W25" s="166"/>
      <c r="X25" s="166"/>
      <c r="Y25" s="166"/>
    </row>
    <row r="26" ht="22.5" customHeight="1">
      <c r="A26" s="27" t="s">
        <v>349</v>
      </c>
      <c r="B26" s="162" t="s">
        <v>1462</v>
      </c>
      <c r="C26" s="27" t="s">
        <v>31</v>
      </c>
      <c r="D26" s="177" t="s">
        <v>54</v>
      </c>
      <c r="E26" s="168"/>
      <c r="F26" s="178" t="s">
        <v>350</v>
      </c>
      <c r="G26" s="142">
        <v>129.31</v>
      </c>
      <c r="H26" s="161"/>
      <c r="I26" s="161"/>
      <c r="J26" s="161"/>
      <c r="K26" s="161"/>
      <c r="L26" s="161" t="s">
        <v>1452</v>
      </c>
      <c r="M26" s="161" t="s">
        <v>354</v>
      </c>
      <c r="N26" s="142">
        <v>37.0</v>
      </c>
      <c r="O26" s="161" t="s">
        <v>493</v>
      </c>
      <c r="P26" s="161"/>
      <c r="S26" s="142"/>
      <c r="T26" s="165"/>
      <c r="V26" s="166"/>
      <c r="W26" s="166"/>
      <c r="X26" s="166"/>
      <c r="Y26" s="166"/>
    </row>
    <row r="27" ht="22.5" customHeight="1">
      <c r="A27" s="161" t="s">
        <v>483</v>
      </c>
      <c r="B27" s="162" t="s">
        <v>1245</v>
      </c>
      <c r="C27" s="161" t="s">
        <v>31</v>
      </c>
      <c r="D27" s="179" t="s">
        <v>371</v>
      </c>
      <c r="E27" s="167"/>
      <c r="F27" s="162"/>
      <c r="G27" s="142">
        <v>114992.67</v>
      </c>
      <c r="H27" s="161"/>
      <c r="I27" s="161"/>
      <c r="J27" s="161"/>
      <c r="K27" s="161"/>
      <c r="L27" s="161" t="s">
        <v>1452</v>
      </c>
      <c r="M27" s="161" t="s">
        <v>354</v>
      </c>
      <c r="N27" s="142">
        <v>18.0</v>
      </c>
      <c r="O27" s="161" t="s">
        <v>367</v>
      </c>
      <c r="P27" s="161"/>
      <c r="S27" s="142"/>
      <c r="T27" s="165"/>
      <c r="V27" s="166"/>
      <c r="W27" s="166"/>
      <c r="X27" s="166"/>
      <c r="Y27" s="166"/>
    </row>
    <row r="28" ht="22.5" customHeight="1">
      <c r="A28" s="161" t="s">
        <v>483</v>
      </c>
      <c r="B28" s="162" t="s">
        <v>1245</v>
      </c>
      <c r="C28" s="161" t="s">
        <v>31</v>
      </c>
      <c r="D28" s="176" t="s">
        <v>371</v>
      </c>
      <c r="E28" s="167"/>
      <c r="F28" s="162"/>
      <c r="G28" s="142">
        <v>0.01</v>
      </c>
      <c r="H28" s="161"/>
      <c r="I28" s="161"/>
      <c r="J28" s="161"/>
      <c r="K28" s="161"/>
      <c r="L28" s="161" t="s">
        <v>1452</v>
      </c>
      <c r="M28" s="161" t="s">
        <v>408</v>
      </c>
      <c r="N28" s="142">
        <v>1.0</v>
      </c>
      <c r="O28" s="161" t="s">
        <v>459</v>
      </c>
      <c r="P28" s="165"/>
      <c r="S28" s="142"/>
      <c r="T28" s="165"/>
      <c r="V28" s="166"/>
      <c r="W28" s="166"/>
      <c r="X28" s="166"/>
      <c r="Y28" s="166"/>
    </row>
    <row r="29" ht="22.5" customHeight="1">
      <c r="A29" s="161" t="s">
        <v>349</v>
      </c>
      <c r="B29" s="162" t="s">
        <v>1280</v>
      </c>
      <c r="C29" s="161" t="s">
        <v>20</v>
      </c>
      <c r="D29" s="180"/>
      <c r="E29" s="167"/>
      <c r="F29" s="162"/>
      <c r="G29" s="142">
        <v>62245.98</v>
      </c>
      <c r="H29" s="161"/>
      <c r="I29" s="161"/>
      <c r="J29" s="161"/>
      <c r="K29" s="161"/>
      <c r="L29" s="161" t="s">
        <v>1452</v>
      </c>
      <c r="M29" s="161" t="s">
        <v>354</v>
      </c>
      <c r="N29" s="142">
        <v>1.0</v>
      </c>
      <c r="O29" s="161" t="s">
        <v>1281</v>
      </c>
      <c r="P29" s="161"/>
      <c r="S29" s="142"/>
      <c r="T29" s="165"/>
      <c r="V29" s="166"/>
      <c r="W29" s="166"/>
      <c r="X29" s="166"/>
      <c r="Y29" s="166"/>
    </row>
    <row r="30" ht="22.5" customHeight="1">
      <c r="A30" s="27" t="s">
        <v>453</v>
      </c>
      <c r="B30" s="162" t="s">
        <v>1463</v>
      </c>
      <c r="C30" s="173" t="s">
        <v>20</v>
      </c>
      <c r="D30" s="173" t="s">
        <v>21</v>
      </c>
      <c r="E30" s="167"/>
      <c r="F30" s="162"/>
      <c r="G30" s="142">
        <v>2094.93</v>
      </c>
      <c r="H30" s="161"/>
      <c r="I30" s="161"/>
      <c r="J30" s="161"/>
      <c r="K30" s="161"/>
      <c r="L30" s="161" t="s">
        <v>1452</v>
      </c>
      <c r="M30" s="161" t="s">
        <v>354</v>
      </c>
      <c r="N30" s="142">
        <v>28.0</v>
      </c>
      <c r="O30" s="161" t="s">
        <v>469</v>
      </c>
      <c r="P30" s="161"/>
      <c r="S30" s="142"/>
      <c r="T30" s="165"/>
      <c r="V30" s="166"/>
      <c r="W30" s="166"/>
      <c r="X30" s="166"/>
      <c r="Y30" s="166"/>
    </row>
    <row r="31" ht="22.5" customHeight="1">
      <c r="A31" s="27" t="s">
        <v>437</v>
      </c>
      <c r="B31" s="162" t="s">
        <v>1464</v>
      </c>
      <c r="C31" s="169" t="s">
        <v>20</v>
      </c>
      <c r="D31" s="169" t="s">
        <v>21</v>
      </c>
      <c r="E31" s="167"/>
      <c r="F31" s="162"/>
      <c r="G31" s="142">
        <v>9500.0</v>
      </c>
      <c r="H31" s="161"/>
      <c r="I31" s="161"/>
      <c r="J31" s="161"/>
      <c r="K31" s="161"/>
      <c r="L31" s="161" t="s">
        <v>1452</v>
      </c>
      <c r="M31" s="161" t="s">
        <v>354</v>
      </c>
      <c r="N31" s="142">
        <v>23.0</v>
      </c>
      <c r="O31" s="161" t="s">
        <v>437</v>
      </c>
      <c r="P31" s="161"/>
      <c r="S31" s="142"/>
      <c r="T31" s="165"/>
      <c r="V31" s="166"/>
      <c r="W31" s="166"/>
      <c r="X31" s="166"/>
      <c r="Y31" s="166"/>
    </row>
    <row r="32" ht="22.5" customHeight="1">
      <c r="A32" s="161" t="s">
        <v>18</v>
      </c>
      <c r="B32" s="162" t="s">
        <v>1193</v>
      </c>
      <c r="C32" s="161"/>
      <c r="D32" s="181"/>
      <c r="E32" s="168"/>
      <c r="F32" s="162"/>
      <c r="G32" s="142">
        <v>4613.53</v>
      </c>
      <c r="H32" s="161"/>
      <c r="I32" s="161"/>
      <c r="J32" s="161"/>
      <c r="K32" s="161"/>
      <c r="L32" s="161" t="s">
        <v>1452</v>
      </c>
      <c r="M32" s="161" t="s">
        <v>354</v>
      </c>
      <c r="N32" s="142">
        <v>23.0</v>
      </c>
      <c r="O32" s="161" t="s">
        <v>437</v>
      </c>
      <c r="P32" s="161"/>
      <c r="S32" s="142"/>
      <c r="T32" s="165"/>
      <c r="V32" s="166"/>
      <c r="W32" s="166"/>
      <c r="X32" s="166"/>
      <c r="Y32" s="166"/>
    </row>
    <row r="33" ht="22.5" customHeight="1">
      <c r="A33" s="161" t="s">
        <v>18</v>
      </c>
      <c r="B33" s="162" t="s">
        <v>1193</v>
      </c>
      <c r="C33" s="161"/>
      <c r="D33" s="180"/>
      <c r="E33" s="167"/>
      <c r="F33" s="162"/>
      <c r="G33" s="142">
        <v>4619.48</v>
      </c>
      <c r="H33" s="161"/>
      <c r="I33" s="161"/>
      <c r="J33" s="161"/>
      <c r="K33" s="161"/>
      <c r="L33" s="161" t="s">
        <v>1452</v>
      </c>
      <c r="M33" s="161" t="s">
        <v>354</v>
      </c>
      <c r="N33" s="142">
        <v>23.0</v>
      </c>
      <c r="O33" s="161" t="s">
        <v>437</v>
      </c>
      <c r="P33" s="161"/>
      <c r="S33" s="142"/>
      <c r="T33" s="165"/>
      <c r="V33" s="166"/>
      <c r="W33" s="166"/>
      <c r="X33" s="166"/>
      <c r="Y33" s="166"/>
    </row>
    <row r="34" ht="22.5" customHeight="1">
      <c r="A34" s="161" t="s">
        <v>18</v>
      </c>
      <c r="B34" s="162" t="s">
        <v>1193</v>
      </c>
      <c r="C34" s="161"/>
      <c r="D34" s="181"/>
      <c r="E34" s="168"/>
      <c r="F34" s="162"/>
      <c r="G34" s="142">
        <v>4619.48</v>
      </c>
      <c r="H34" s="161"/>
      <c r="I34" s="161"/>
      <c r="J34" s="161"/>
      <c r="K34" s="161"/>
      <c r="L34" s="161" t="s">
        <v>1452</v>
      </c>
      <c r="M34" s="161" t="s">
        <v>354</v>
      </c>
      <c r="N34" s="142">
        <v>23.0</v>
      </c>
      <c r="O34" s="161" t="s">
        <v>437</v>
      </c>
      <c r="P34" s="161"/>
      <c r="S34" s="142"/>
      <c r="T34" s="165"/>
      <c r="V34" s="166"/>
      <c r="W34" s="166"/>
      <c r="X34" s="166"/>
      <c r="Y34" s="166"/>
    </row>
    <row r="35" ht="22.5" customHeight="1">
      <c r="A35" s="161" t="s">
        <v>18</v>
      </c>
      <c r="B35" s="162" t="s">
        <v>1193</v>
      </c>
      <c r="C35" s="161"/>
      <c r="D35" s="180"/>
      <c r="E35" s="167"/>
      <c r="F35" s="162"/>
      <c r="G35" s="142">
        <v>4619.48</v>
      </c>
      <c r="H35" s="161"/>
      <c r="I35" s="161"/>
      <c r="J35" s="161"/>
      <c r="K35" s="161"/>
      <c r="L35" s="161" t="s">
        <v>1452</v>
      </c>
      <c r="M35" s="161" t="s">
        <v>354</v>
      </c>
      <c r="N35" s="142">
        <v>23.0</v>
      </c>
      <c r="O35" s="161" t="s">
        <v>437</v>
      </c>
      <c r="P35" s="161"/>
      <c r="S35" s="142"/>
      <c r="T35" s="165"/>
      <c r="V35" s="166"/>
      <c r="W35" s="166"/>
      <c r="X35" s="166"/>
      <c r="Y35" s="166"/>
    </row>
    <row r="36" ht="22.5" customHeight="1">
      <c r="A36" s="161" t="s">
        <v>18</v>
      </c>
      <c r="B36" s="162" t="s">
        <v>1193</v>
      </c>
      <c r="C36" s="161"/>
      <c r="D36" s="181"/>
      <c r="E36" s="168"/>
      <c r="F36" s="162"/>
      <c r="G36" s="142">
        <v>79715.31</v>
      </c>
      <c r="H36" s="161"/>
      <c r="I36" s="161"/>
      <c r="J36" s="161"/>
      <c r="K36" s="161"/>
      <c r="L36" s="161" t="s">
        <v>1452</v>
      </c>
      <c r="M36" s="161" t="s">
        <v>354</v>
      </c>
      <c r="N36" s="142">
        <v>23.0</v>
      </c>
      <c r="O36" s="161" t="s">
        <v>437</v>
      </c>
      <c r="P36" s="161"/>
      <c r="S36" s="142"/>
      <c r="T36" s="165"/>
      <c r="V36" s="166"/>
      <c r="W36" s="166"/>
      <c r="X36" s="166"/>
      <c r="Y36" s="166"/>
    </row>
    <row r="37" ht="22.5" customHeight="1">
      <c r="A37" s="161" t="s">
        <v>18</v>
      </c>
      <c r="B37" s="162" t="s">
        <v>1193</v>
      </c>
      <c r="C37" s="161"/>
      <c r="D37" s="180"/>
      <c r="E37" s="167"/>
      <c r="F37" s="162"/>
      <c r="G37" s="142">
        <v>81582.86</v>
      </c>
      <c r="H37" s="161"/>
      <c r="I37" s="161"/>
      <c r="J37" s="161"/>
      <c r="K37" s="161"/>
      <c r="L37" s="161" t="s">
        <v>1452</v>
      </c>
      <c r="M37" s="161" t="s">
        <v>354</v>
      </c>
      <c r="N37" s="142">
        <v>23.0</v>
      </c>
      <c r="O37" s="161" t="s">
        <v>437</v>
      </c>
      <c r="P37" s="161"/>
      <c r="S37" s="142"/>
      <c r="T37" s="165"/>
      <c r="V37" s="166"/>
      <c r="W37" s="166"/>
      <c r="X37" s="166"/>
      <c r="Y37" s="166"/>
    </row>
    <row r="38" ht="22.5" customHeight="1">
      <c r="A38" s="161" t="s">
        <v>426</v>
      </c>
      <c r="B38" s="162" t="s">
        <v>1200</v>
      </c>
      <c r="C38" s="4" t="s">
        <v>31</v>
      </c>
      <c r="D38" s="4" t="s">
        <v>187</v>
      </c>
      <c r="E38" s="167"/>
      <c r="F38" s="162"/>
      <c r="G38" s="142">
        <v>21340.52</v>
      </c>
      <c r="H38" s="161"/>
      <c r="I38" s="161"/>
      <c r="J38" s="161"/>
      <c r="K38" s="161"/>
      <c r="L38" s="161" t="s">
        <v>1452</v>
      </c>
      <c r="M38" s="161" t="s">
        <v>354</v>
      </c>
      <c r="N38" s="142">
        <v>33.0</v>
      </c>
      <c r="O38" s="161" t="s">
        <v>397</v>
      </c>
      <c r="P38" s="161"/>
      <c r="S38" s="142"/>
      <c r="T38" s="165"/>
      <c r="V38" s="166"/>
      <c r="W38" s="166"/>
      <c r="X38" s="166"/>
      <c r="Y38" s="166"/>
    </row>
    <row r="39" ht="22.5" customHeight="1">
      <c r="A39" s="27" t="s">
        <v>403</v>
      </c>
      <c r="B39" s="162" t="s">
        <v>1465</v>
      </c>
      <c r="C39" s="169" t="s">
        <v>31</v>
      </c>
      <c r="D39" s="169" t="s">
        <v>187</v>
      </c>
      <c r="E39" s="168"/>
      <c r="F39" s="162"/>
      <c r="G39" s="142">
        <v>187500.0</v>
      </c>
      <c r="H39" s="161"/>
      <c r="I39" s="161"/>
      <c r="J39" s="161"/>
      <c r="K39" s="161"/>
      <c r="L39" s="161" t="s">
        <v>1452</v>
      </c>
      <c r="M39" s="161" t="s">
        <v>354</v>
      </c>
      <c r="N39" s="142">
        <v>24.0</v>
      </c>
      <c r="O39" s="161" t="s">
        <v>1466</v>
      </c>
      <c r="P39" s="161"/>
      <c r="S39" s="142"/>
      <c r="T39" s="165"/>
      <c r="V39" s="166"/>
      <c r="W39" s="166"/>
      <c r="X39" s="166"/>
      <c r="Y39" s="166"/>
    </row>
    <row r="40" ht="22.5" customHeight="1">
      <c r="A40" s="161" t="s">
        <v>349</v>
      </c>
      <c r="B40" s="162" t="s">
        <v>1274</v>
      </c>
      <c r="C40" s="161" t="s">
        <v>20</v>
      </c>
      <c r="D40" s="182"/>
      <c r="E40" s="167"/>
      <c r="F40" s="162"/>
      <c r="G40" s="142">
        <v>44230.46</v>
      </c>
      <c r="H40" s="161"/>
      <c r="I40" s="161"/>
      <c r="J40" s="161"/>
      <c r="K40" s="161"/>
      <c r="L40" s="161" t="s">
        <v>1452</v>
      </c>
      <c r="M40" s="161" t="s">
        <v>354</v>
      </c>
      <c r="N40" s="142">
        <v>2.0</v>
      </c>
      <c r="O40" s="161" t="s">
        <v>375</v>
      </c>
      <c r="P40" s="161"/>
      <c r="S40" s="142"/>
      <c r="T40" s="165"/>
      <c r="V40" s="166"/>
      <c r="W40" s="166"/>
      <c r="X40" s="166"/>
      <c r="Y40" s="166"/>
    </row>
    <row r="41" ht="22.5" customHeight="1">
      <c r="A41" s="161" t="s">
        <v>401</v>
      </c>
      <c r="B41" s="162" t="s">
        <v>1467</v>
      </c>
      <c r="C41" s="161" t="s">
        <v>20</v>
      </c>
      <c r="D41" s="4" t="s">
        <v>21</v>
      </c>
      <c r="E41" s="168"/>
      <c r="F41" s="162"/>
      <c r="G41" s="142">
        <f t="shared" ref="G41:G42" si="1">18280.59/2</f>
        <v>9140.295</v>
      </c>
      <c r="H41" s="161"/>
      <c r="I41" s="161"/>
      <c r="J41" s="161"/>
      <c r="K41" s="161"/>
      <c r="L41" s="161" t="s">
        <v>1452</v>
      </c>
      <c r="M41" s="161" t="s">
        <v>354</v>
      </c>
      <c r="N41" s="142">
        <v>3.0</v>
      </c>
      <c r="O41" s="161" t="s">
        <v>401</v>
      </c>
      <c r="P41" s="161"/>
      <c r="S41" s="142"/>
      <c r="T41" s="165"/>
      <c r="V41" s="166"/>
      <c r="W41" s="166"/>
      <c r="X41" s="166"/>
      <c r="Y41" s="166"/>
    </row>
    <row r="42" ht="22.5" customHeight="1">
      <c r="A42" s="161" t="s">
        <v>401</v>
      </c>
      <c r="B42" s="162" t="s">
        <v>1467</v>
      </c>
      <c r="C42" s="161" t="s">
        <v>20</v>
      </c>
      <c r="D42" s="4" t="s">
        <v>54</v>
      </c>
      <c r="E42" s="168"/>
      <c r="F42" s="162"/>
      <c r="G42" s="142">
        <f t="shared" si="1"/>
        <v>9140.295</v>
      </c>
      <c r="H42" s="161"/>
      <c r="I42" s="161"/>
      <c r="J42" s="161"/>
      <c r="K42" s="161"/>
      <c r="L42" s="161" t="s">
        <v>1452</v>
      </c>
      <c r="M42" s="161" t="s">
        <v>354</v>
      </c>
      <c r="N42" s="142">
        <v>3.0</v>
      </c>
      <c r="O42" s="161" t="s">
        <v>401</v>
      </c>
      <c r="P42" s="161"/>
      <c r="S42" s="142"/>
      <c r="T42" s="165"/>
      <c r="V42" s="166"/>
      <c r="W42" s="166"/>
      <c r="X42" s="166"/>
      <c r="Y42" s="166"/>
    </row>
    <row r="43" ht="22.5" customHeight="1">
      <c r="A43" s="161" t="s">
        <v>401</v>
      </c>
      <c r="B43" s="162" t="s">
        <v>1467</v>
      </c>
      <c r="C43" s="161" t="s">
        <v>20</v>
      </c>
      <c r="D43" s="4" t="s">
        <v>21</v>
      </c>
      <c r="E43" s="167"/>
      <c r="F43" s="162"/>
      <c r="G43" s="142">
        <f t="shared" ref="G43:G44" si="2">1710.79/2</f>
        <v>855.395</v>
      </c>
      <c r="H43" s="161"/>
      <c r="I43" s="161"/>
      <c r="J43" s="161"/>
      <c r="K43" s="161"/>
      <c r="L43" s="161" t="s">
        <v>1452</v>
      </c>
      <c r="M43" s="161" t="s">
        <v>354</v>
      </c>
      <c r="N43" s="142">
        <v>186.0</v>
      </c>
      <c r="O43" s="161" t="s">
        <v>401</v>
      </c>
      <c r="P43" s="161"/>
      <c r="S43" s="142"/>
      <c r="T43" s="165"/>
      <c r="V43" s="166"/>
      <c r="W43" s="166"/>
      <c r="X43" s="166"/>
      <c r="Y43" s="166"/>
    </row>
    <row r="44" ht="22.5" customHeight="1">
      <c r="A44" s="161" t="s">
        <v>401</v>
      </c>
      <c r="B44" s="162" t="s">
        <v>1467</v>
      </c>
      <c r="C44" s="161" t="s">
        <v>20</v>
      </c>
      <c r="D44" s="4" t="s">
        <v>54</v>
      </c>
      <c r="E44" s="167"/>
      <c r="F44" s="162"/>
      <c r="G44" s="142">
        <f t="shared" si="2"/>
        <v>855.395</v>
      </c>
      <c r="H44" s="161"/>
      <c r="I44" s="161"/>
      <c r="J44" s="161"/>
      <c r="K44" s="161"/>
      <c r="L44" s="161" t="s">
        <v>1452</v>
      </c>
      <c r="M44" s="161" t="s">
        <v>354</v>
      </c>
      <c r="N44" s="142">
        <v>186.0</v>
      </c>
      <c r="O44" s="161" t="s">
        <v>401</v>
      </c>
      <c r="P44" s="161"/>
      <c r="S44" s="142"/>
      <c r="T44" s="165"/>
      <c r="V44" s="166"/>
      <c r="W44" s="166"/>
      <c r="X44" s="166"/>
      <c r="Y44" s="166"/>
    </row>
    <row r="45" ht="22.5" customHeight="1">
      <c r="A45" s="161" t="s">
        <v>403</v>
      </c>
      <c r="B45" s="162" t="s">
        <v>1468</v>
      </c>
      <c r="C45" s="27" t="s">
        <v>31</v>
      </c>
      <c r="D45" s="179" t="s">
        <v>187</v>
      </c>
      <c r="E45" s="167"/>
      <c r="F45" s="162"/>
      <c r="G45" s="142">
        <v>3724.01</v>
      </c>
      <c r="H45" s="161"/>
      <c r="I45" s="161"/>
      <c r="J45" s="161"/>
      <c r="K45" s="161"/>
      <c r="L45" s="161" t="s">
        <v>1469</v>
      </c>
      <c r="M45" s="161" t="s">
        <v>408</v>
      </c>
      <c r="N45" s="142">
        <v>182.0</v>
      </c>
      <c r="O45" s="161" t="s">
        <v>409</v>
      </c>
      <c r="P45" s="161"/>
      <c r="S45" s="142"/>
      <c r="T45" s="165"/>
      <c r="V45" s="166"/>
      <c r="W45" s="166"/>
      <c r="X45" s="166"/>
      <c r="Y45" s="166"/>
    </row>
    <row r="46" ht="22.5" customHeight="1">
      <c r="A46" s="27" t="s">
        <v>403</v>
      </c>
      <c r="B46" s="162" t="s">
        <v>1470</v>
      </c>
      <c r="C46" s="27" t="s">
        <v>31</v>
      </c>
      <c r="D46" s="177" t="s">
        <v>187</v>
      </c>
      <c r="E46" s="168"/>
      <c r="F46" s="162"/>
      <c r="G46" s="142">
        <v>516.48</v>
      </c>
      <c r="H46" s="161"/>
      <c r="I46" s="161"/>
      <c r="J46" s="161"/>
      <c r="K46" s="161"/>
      <c r="L46" s="161" t="s">
        <v>1471</v>
      </c>
      <c r="M46" s="161" t="s">
        <v>408</v>
      </c>
      <c r="N46" s="142">
        <v>223.0</v>
      </c>
      <c r="O46" s="161" t="s">
        <v>409</v>
      </c>
      <c r="P46" s="161"/>
      <c r="S46" s="142"/>
      <c r="T46" s="165"/>
      <c r="V46" s="166"/>
      <c r="W46" s="166"/>
      <c r="X46" s="166"/>
      <c r="Y46" s="166"/>
    </row>
    <row r="47" ht="22.5" customHeight="1">
      <c r="A47" s="161" t="s">
        <v>18</v>
      </c>
      <c r="B47" s="162" t="s">
        <v>1472</v>
      </c>
      <c r="C47" s="161"/>
      <c r="D47" s="183"/>
      <c r="E47" s="168"/>
      <c r="F47" s="162"/>
      <c r="G47" s="142">
        <v>5480.62</v>
      </c>
      <c r="H47" s="161"/>
      <c r="I47" s="161"/>
      <c r="J47" s="161"/>
      <c r="K47" s="161"/>
      <c r="L47" s="161" t="s">
        <v>1452</v>
      </c>
      <c r="M47" s="161" t="s">
        <v>354</v>
      </c>
      <c r="N47" s="142">
        <v>33.0</v>
      </c>
      <c r="O47" s="161" t="s">
        <v>397</v>
      </c>
      <c r="P47" s="161"/>
      <c r="S47" s="142"/>
      <c r="T47" s="165"/>
      <c r="V47" s="166"/>
      <c r="W47" s="166"/>
      <c r="X47" s="166"/>
      <c r="Y47" s="166"/>
    </row>
    <row r="48" ht="22.5" customHeight="1">
      <c r="A48" s="161" t="s">
        <v>18</v>
      </c>
      <c r="B48" s="162" t="s">
        <v>1472</v>
      </c>
      <c r="C48" s="161"/>
      <c r="D48" s="182"/>
      <c r="E48" s="167"/>
      <c r="F48" s="162"/>
      <c r="G48" s="142">
        <v>21000.0</v>
      </c>
      <c r="H48" s="161"/>
      <c r="I48" s="161"/>
      <c r="J48" s="161"/>
      <c r="K48" s="161"/>
      <c r="L48" s="161" t="s">
        <v>1452</v>
      </c>
      <c r="M48" s="161" t="s">
        <v>354</v>
      </c>
      <c r="N48" s="142">
        <v>33.0</v>
      </c>
      <c r="O48" s="161" t="s">
        <v>397</v>
      </c>
      <c r="P48" s="161"/>
      <c r="S48" s="142"/>
      <c r="T48" s="165"/>
      <c r="V48" s="166"/>
      <c r="W48" s="166"/>
      <c r="X48" s="166"/>
      <c r="Y48" s="166"/>
    </row>
    <row r="49" ht="22.5" customHeight="1">
      <c r="A49" s="161" t="s">
        <v>18</v>
      </c>
      <c r="B49" s="162" t="s">
        <v>1472</v>
      </c>
      <c r="C49" s="161"/>
      <c r="D49" s="183"/>
      <c r="E49" s="168"/>
      <c r="F49" s="162"/>
      <c r="G49" s="142">
        <v>44284.8</v>
      </c>
      <c r="H49" s="161"/>
      <c r="I49" s="161"/>
      <c r="J49" s="161"/>
      <c r="K49" s="161"/>
      <c r="L49" s="161" t="s">
        <v>1452</v>
      </c>
      <c r="M49" s="161" t="s">
        <v>354</v>
      </c>
      <c r="N49" s="142">
        <v>33.0</v>
      </c>
      <c r="O49" s="161" t="s">
        <v>397</v>
      </c>
      <c r="P49" s="161"/>
      <c r="S49" s="142"/>
      <c r="T49" s="165"/>
      <c r="V49" s="166"/>
      <c r="W49" s="166"/>
      <c r="X49" s="166"/>
      <c r="Y49" s="166"/>
    </row>
    <row r="50" ht="22.5" customHeight="1">
      <c r="A50" s="161" t="s">
        <v>18</v>
      </c>
      <c r="B50" s="162" t="s">
        <v>1472</v>
      </c>
      <c r="C50" s="161"/>
      <c r="D50" s="182"/>
      <c r="E50" s="167"/>
      <c r="F50" s="162"/>
      <c r="G50" s="142">
        <v>65767.87</v>
      </c>
      <c r="H50" s="161"/>
      <c r="I50" s="161"/>
      <c r="J50" s="161"/>
      <c r="K50" s="161"/>
      <c r="L50" s="161" t="s">
        <v>1452</v>
      </c>
      <c r="M50" s="161" t="s">
        <v>354</v>
      </c>
      <c r="N50" s="142">
        <v>33.0</v>
      </c>
      <c r="O50" s="161" t="s">
        <v>397</v>
      </c>
      <c r="P50" s="161"/>
      <c r="S50" s="142"/>
      <c r="T50" s="165"/>
      <c r="V50" s="166"/>
      <c r="W50" s="166"/>
      <c r="X50" s="166"/>
      <c r="Y50" s="166"/>
    </row>
    <row r="51" ht="22.5" customHeight="1">
      <c r="A51" s="161" t="s">
        <v>18</v>
      </c>
      <c r="B51" s="162" t="s">
        <v>1472</v>
      </c>
      <c r="C51" s="161"/>
      <c r="D51" s="183"/>
      <c r="E51" s="168"/>
      <c r="F51" s="162"/>
      <c r="G51" s="142">
        <v>106653.61</v>
      </c>
      <c r="H51" s="161"/>
      <c r="I51" s="161"/>
      <c r="J51" s="161"/>
      <c r="K51" s="161"/>
      <c r="L51" s="161" t="s">
        <v>1452</v>
      </c>
      <c r="M51" s="161" t="s">
        <v>354</v>
      </c>
      <c r="N51" s="142">
        <v>33.0</v>
      </c>
      <c r="O51" s="161" t="s">
        <v>397</v>
      </c>
      <c r="P51" s="161"/>
      <c r="S51" s="142"/>
      <c r="T51" s="165"/>
      <c r="V51" s="166"/>
      <c r="W51" s="166"/>
      <c r="X51" s="166"/>
      <c r="Y51" s="166"/>
    </row>
    <row r="52" ht="22.5" customHeight="1">
      <c r="A52" s="161" t="s">
        <v>18</v>
      </c>
      <c r="B52" s="162" t="s">
        <v>1472</v>
      </c>
      <c r="C52" s="161"/>
      <c r="D52" s="182"/>
      <c r="E52" s="167"/>
      <c r="F52" s="162"/>
      <c r="G52" s="142">
        <v>125202.91</v>
      </c>
      <c r="H52" s="161"/>
      <c r="I52" s="161"/>
      <c r="J52" s="161"/>
      <c r="K52" s="161"/>
      <c r="L52" s="161" t="s">
        <v>1452</v>
      </c>
      <c r="M52" s="161" t="s">
        <v>354</v>
      </c>
      <c r="N52" s="142">
        <v>33.0</v>
      </c>
      <c r="O52" s="161" t="s">
        <v>397</v>
      </c>
      <c r="P52" s="161"/>
      <c r="S52" s="142"/>
      <c r="T52" s="165"/>
      <c r="V52" s="166"/>
      <c r="W52" s="166"/>
      <c r="X52" s="166"/>
      <c r="Y52" s="166"/>
    </row>
    <row r="53" ht="22.5" customHeight="1">
      <c r="A53" s="161" t="s">
        <v>18</v>
      </c>
      <c r="B53" s="162" t="s">
        <v>1472</v>
      </c>
      <c r="C53" s="161"/>
      <c r="D53" s="183"/>
      <c r="E53" s="168"/>
      <c r="F53" s="162"/>
      <c r="G53" s="142">
        <v>282920.87</v>
      </c>
      <c r="H53" s="161"/>
      <c r="I53" s="161"/>
      <c r="J53" s="161"/>
      <c r="K53" s="161"/>
      <c r="L53" s="161" t="s">
        <v>1452</v>
      </c>
      <c r="M53" s="161" t="s">
        <v>354</v>
      </c>
      <c r="N53" s="142">
        <v>33.0</v>
      </c>
      <c r="O53" s="161" t="s">
        <v>397</v>
      </c>
      <c r="P53" s="161"/>
      <c r="S53" s="142"/>
      <c r="T53" s="165"/>
      <c r="V53" s="166"/>
      <c r="W53" s="166"/>
      <c r="X53" s="166"/>
      <c r="Y53" s="166"/>
    </row>
    <row r="54" ht="22.5" customHeight="1">
      <c r="A54" s="161" t="s">
        <v>18</v>
      </c>
      <c r="B54" s="162" t="s">
        <v>1472</v>
      </c>
      <c r="C54" s="161"/>
      <c r="D54" s="182"/>
      <c r="E54" s="167"/>
      <c r="F54" s="162"/>
      <c r="G54" s="142">
        <v>307996.97</v>
      </c>
      <c r="H54" s="161"/>
      <c r="I54" s="161"/>
      <c r="J54" s="161"/>
      <c r="K54" s="161"/>
      <c r="L54" s="161" t="s">
        <v>1452</v>
      </c>
      <c r="M54" s="161" t="s">
        <v>354</v>
      </c>
      <c r="N54" s="142">
        <v>33.0</v>
      </c>
      <c r="O54" s="161" t="s">
        <v>397</v>
      </c>
      <c r="P54" s="161"/>
      <c r="S54" s="142"/>
      <c r="T54" s="165"/>
      <c r="V54" s="166"/>
      <c r="W54" s="166"/>
      <c r="X54" s="166"/>
      <c r="Y54" s="166"/>
    </row>
    <row r="55" ht="22.5" customHeight="1">
      <c r="A55" s="161" t="s">
        <v>349</v>
      </c>
      <c r="B55" s="162" t="s">
        <v>1473</v>
      </c>
      <c r="C55" s="161" t="s">
        <v>20</v>
      </c>
      <c r="D55" s="183"/>
      <c r="E55" s="168"/>
      <c r="F55" s="162"/>
      <c r="G55" s="142">
        <v>252069.36</v>
      </c>
      <c r="H55" s="161"/>
      <c r="I55" s="161"/>
      <c r="J55" s="161"/>
      <c r="K55" s="161"/>
      <c r="L55" s="161" t="s">
        <v>1452</v>
      </c>
      <c r="M55" s="161" t="s">
        <v>354</v>
      </c>
      <c r="N55" s="142">
        <v>4.0</v>
      </c>
      <c r="O55" s="161" t="s">
        <v>1273</v>
      </c>
      <c r="P55" s="161"/>
      <c r="S55" s="142"/>
      <c r="T55" s="165"/>
      <c r="V55" s="166"/>
      <c r="W55" s="166"/>
      <c r="X55" s="166"/>
      <c r="Y55" s="166"/>
    </row>
    <row r="56" ht="22.5" customHeight="1">
      <c r="A56" s="161" t="s">
        <v>349</v>
      </c>
      <c r="B56" s="162" t="s">
        <v>1272</v>
      </c>
      <c r="C56" s="161" t="s">
        <v>20</v>
      </c>
      <c r="D56" s="182"/>
      <c r="E56" s="167"/>
      <c r="F56" s="162"/>
      <c r="G56" s="142">
        <v>7844.47</v>
      </c>
      <c r="H56" s="161"/>
      <c r="I56" s="161"/>
      <c r="J56" s="161"/>
      <c r="K56" s="161"/>
      <c r="L56" s="161" t="s">
        <v>1452</v>
      </c>
      <c r="M56" s="161" t="s">
        <v>354</v>
      </c>
      <c r="N56" s="142">
        <v>41.0</v>
      </c>
      <c r="O56" s="161" t="s">
        <v>1273</v>
      </c>
      <c r="P56" s="161"/>
      <c r="S56" s="142"/>
      <c r="T56" s="165"/>
      <c r="V56" s="166"/>
      <c r="W56" s="166"/>
      <c r="X56" s="166"/>
      <c r="Y56" s="166"/>
    </row>
    <row r="57" ht="22.5" customHeight="1">
      <c r="A57" s="161" t="s">
        <v>349</v>
      </c>
      <c r="B57" s="162" t="s">
        <v>1272</v>
      </c>
      <c r="C57" s="161" t="s">
        <v>20</v>
      </c>
      <c r="D57" s="183"/>
      <c r="E57" s="168"/>
      <c r="F57" s="162"/>
      <c r="G57" s="142">
        <v>12561.43</v>
      </c>
      <c r="H57" s="161"/>
      <c r="I57" s="161"/>
      <c r="J57" s="161"/>
      <c r="K57" s="161"/>
      <c r="L57" s="161" t="s">
        <v>1452</v>
      </c>
      <c r="M57" s="161" t="s">
        <v>354</v>
      </c>
      <c r="N57" s="142">
        <v>185.0</v>
      </c>
      <c r="O57" s="161" t="s">
        <v>1273</v>
      </c>
      <c r="P57" s="161"/>
      <c r="S57" s="142"/>
      <c r="T57" s="165"/>
      <c r="V57" s="166"/>
      <c r="W57" s="166"/>
      <c r="X57" s="166"/>
      <c r="Y57" s="166"/>
    </row>
    <row r="58" ht="22.5" customHeight="1">
      <c r="A58" s="161" t="s">
        <v>483</v>
      </c>
      <c r="B58" s="162" t="s">
        <v>1213</v>
      </c>
      <c r="C58" s="2" t="s">
        <v>31</v>
      </c>
      <c r="D58" s="4" t="s">
        <v>371</v>
      </c>
      <c r="E58" s="167"/>
      <c r="F58" s="162"/>
      <c r="G58" s="142">
        <v>215517.24</v>
      </c>
      <c r="H58" s="161"/>
      <c r="I58" s="161"/>
      <c r="J58" s="161"/>
      <c r="K58" s="161"/>
      <c r="L58" s="161" t="s">
        <v>1452</v>
      </c>
      <c r="M58" s="161" t="s">
        <v>354</v>
      </c>
      <c r="N58" s="142">
        <v>21.0</v>
      </c>
      <c r="O58" s="161" t="s">
        <v>385</v>
      </c>
      <c r="P58" s="161"/>
      <c r="S58" s="142"/>
      <c r="T58" s="165"/>
      <c r="V58" s="166"/>
      <c r="W58" s="166"/>
      <c r="X58" s="166"/>
      <c r="Y58" s="166"/>
    </row>
    <row r="59" ht="22.5" customHeight="1">
      <c r="A59" s="161" t="s">
        <v>516</v>
      </c>
      <c r="B59" s="162" t="s">
        <v>1215</v>
      </c>
      <c r="C59" s="4" t="s">
        <v>31</v>
      </c>
      <c r="D59" s="4" t="s">
        <v>38</v>
      </c>
      <c r="E59" s="168"/>
      <c r="F59" s="162"/>
      <c r="G59" s="142">
        <v>29000.0</v>
      </c>
      <c r="H59" s="161"/>
      <c r="I59" s="161"/>
      <c r="J59" s="161"/>
      <c r="K59" s="161"/>
      <c r="L59" s="161" t="s">
        <v>1452</v>
      </c>
      <c r="M59" s="161" t="s">
        <v>354</v>
      </c>
      <c r="N59" s="142">
        <v>33.0</v>
      </c>
      <c r="O59" s="161" t="s">
        <v>397</v>
      </c>
      <c r="P59" s="161"/>
      <c r="S59" s="142"/>
      <c r="T59" s="165"/>
      <c r="V59" s="166"/>
      <c r="W59" s="166"/>
      <c r="X59" s="166"/>
      <c r="Y59" s="166"/>
    </row>
    <row r="60" ht="22.5" customHeight="1">
      <c r="A60" s="27" t="s">
        <v>474</v>
      </c>
      <c r="B60" s="162" t="s">
        <v>1474</v>
      </c>
      <c r="C60" s="161"/>
      <c r="D60" s="182"/>
      <c r="E60" s="167"/>
      <c r="F60" s="162"/>
      <c r="G60" s="142">
        <v>107.76</v>
      </c>
      <c r="H60" s="161"/>
      <c r="I60" s="161"/>
      <c r="J60" s="161"/>
      <c r="K60" s="161"/>
      <c r="L60" s="161" t="s">
        <v>1452</v>
      </c>
      <c r="M60" s="161" t="s">
        <v>354</v>
      </c>
      <c r="N60" s="142">
        <v>5.0</v>
      </c>
      <c r="O60" s="161" t="s">
        <v>385</v>
      </c>
      <c r="P60" s="161"/>
      <c r="S60" s="142"/>
      <c r="T60" s="165"/>
      <c r="V60" s="166"/>
      <c r="W60" s="166"/>
      <c r="X60" s="166"/>
      <c r="Y60" s="166"/>
    </row>
    <row r="61" ht="22.5" customHeight="1">
      <c r="A61" s="184" t="s">
        <v>787</v>
      </c>
      <c r="B61" s="175" t="s">
        <v>1475</v>
      </c>
      <c r="C61" s="169" t="s">
        <v>31</v>
      </c>
      <c r="D61" s="169" t="s">
        <v>98</v>
      </c>
      <c r="E61" s="167"/>
      <c r="F61" s="162"/>
      <c r="G61" s="142">
        <v>20166.66</v>
      </c>
      <c r="H61" s="161"/>
      <c r="I61" s="161"/>
      <c r="J61" s="161"/>
      <c r="K61" s="161"/>
      <c r="L61" s="161" t="s">
        <v>1452</v>
      </c>
      <c r="M61" s="161" t="s">
        <v>354</v>
      </c>
      <c r="N61" s="142">
        <v>22.0</v>
      </c>
      <c r="O61" s="161" t="s">
        <v>790</v>
      </c>
      <c r="P61" s="161"/>
      <c r="S61" s="142"/>
      <c r="T61" s="165"/>
      <c r="V61" s="166"/>
      <c r="W61" s="166"/>
      <c r="X61" s="166"/>
      <c r="Y61" s="166"/>
    </row>
    <row r="62" ht="22.5" customHeight="1">
      <c r="A62" s="185" t="s">
        <v>787</v>
      </c>
      <c r="B62" s="172" t="s">
        <v>1475</v>
      </c>
      <c r="C62" s="173" t="s">
        <v>31</v>
      </c>
      <c r="D62" s="173" t="s">
        <v>98</v>
      </c>
      <c r="E62" s="168"/>
      <c r="F62" s="162"/>
      <c r="G62" s="142">
        <v>3713.0</v>
      </c>
      <c r="H62" s="161"/>
      <c r="I62" s="161"/>
      <c r="J62" s="161"/>
      <c r="K62" s="161"/>
      <c r="L62" s="161" t="s">
        <v>1452</v>
      </c>
      <c r="M62" s="161" t="s">
        <v>354</v>
      </c>
      <c r="N62" s="142">
        <v>22.0</v>
      </c>
      <c r="O62" s="161" t="s">
        <v>790</v>
      </c>
      <c r="P62" s="161"/>
      <c r="S62" s="142"/>
      <c r="T62" s="165"/>
      <c r="V62" s="166"/>
      <c r="W62" s="166"/>
      <c r="X62" s="166"/>
      <c r="Y62" s="166"/>
    </row>
    <row r="63" ht="22.5" customHeight="1">
      <c r="A63" s="161" t="s">
        <v>367</v>
      </c>
      <c r="B63" s="162" t="s">
        <v>1247</v>
      </c>
      <c r="C63" s="12" t="s">
        <v>54</v>
      </c>
      <c r="D63" s="163" t="s">
        <v>31</v>
      </c>
      <c r="E63" s="168"/>
      <c r="F63" s="162"/>
      <c r="G63" s="186">
        <v>24583.37778</v>
      </c>
      <c r="H63" s="161"/>
      <c r="I63" s="161"/>
      <c r="J63" s="161"/>
      <c r="K63" s="161"/>
      <c r="L63" s="161" t="s">
        <v>1452</v>
      </c>
      <c r="M63" s="161" t="s">
        <v>354</v>
      </c>
      <c r="N63" s="142">
        <v>18.0</v>
      </c>
      <c r="O63" s="161" t="s">
        <v>367</v>
      </c>
      <c r="P63" s="161"/>
      <c r="S63" s="142"/>
      <c r="T63" s="165"/>
      <c r="V63" s="166"/>
      <c r="W63" s="166"/>
      <c r="X63" s="166"/>
      <c r="Y63" s="166"/>
    </row>
    <row r="64" ht="22.5" customHeight="1">
      <c r="A64" s="161" t="s">
        <v>367</v>
      </c>
      <c r="B64" s="162" t="s">
        <v>1247</v>
      </c>
      <c r="C64" s="12" t="s">
        <v>98</v>
      </c>
      <c r="D64" s="163" t="s">
        <v>31</v>
      </c>
      <c r="E64" s="167"/>
      <c r="F64" s="162"/>
      <c r="G64" s="186">
        <v>1755.955556</v>
      </c>
      <c r="H64" s="161"/>
      <c r="I64" s="161"/>
      <c r="J64" s="161"/>
      <c r="K64" s="161"/>
      <c r="L64" s="161" t="s">
        <v>1452</v>
      </c>
      <c r="M64" s="161" t="s">
        <v>354</v>
      </c>
      <c r="N64" s="142">
        <v>18.0</v>
      </c>
      <c r="O64" s="161" t="s">
        <v>367</v>
      </c>
      <c r="P64" s="161"/>
      <c r="S64" s="142"/>
      <c r="T64" s="165"/>
      <c r="V64" s="166"/>
      <c r="W64" s="166"/>
      <c r="X64" s="166"/>
      <c r="Y64" s="166"/>
    </row>
    <row r="65" ht="22.5" customHeight="1">
      <c r="A65" s="161" t="s">
        <v>367</v>
      </c>
      <c r="B65" s="162" t="s">
        <v>1247</v>
      </c>
      <c r="C65" s="12" t="s">
        <v>21</v>
      </c>
      <c r="D65" s="163" t="s">
        <v>20</v>
      </c>
      <c r="E65" s="168"/>
      <c r="F65" s="162"/>
      <c r="G65" s="186">
        <v>33363.15556</v>
      </c>
      <c r="H65" s="161"/>
      <c r="I65" s="161"/>
      <c r="J65" s="161"/>
      <c r="K65" s="161"/>
      <c r="L65" s="161" t="s">
        <v>1452</v>
      </c>
      <c r="M65" s="161" t="s">
        <v>354</v>
      </c>
      <c r="N65" s="142">
        <v>18.0</v>
      </c>
      <c r="O65" s="161" t="s">
        <v>367</v>
      </c>
      <c r="P65" s="161"/>
      <c r="S65" s="142"/>
      <c r="T65" s="165"/>
      <c r="V65" s="166"/>
      <c r="W65" s="166"/>
      <c r="X65" s="166"/>
      <c r="Y65" s="166"/>
    </row>
    <row r="66" ht="22.5" customHeight="1">
      <c r="A66" s="161" t="s">
        <v>367</v>
      </c>
      <c r="B66" s="162" t="s">
        <v>1247</v>
      </c>
      <c r="C66" s="12" t="s">
        <v>187</v>
      </c>
      <c r="D66" s="163" t="s">
        <v>31</v>
      </c>
      <c r="E66" s="167"/>
      <c r="F66" s="162"/>
      <c r="G66" s="186">
        <v>4682.548148</v>
      </c>
      <c r="H66" s="161"/>
      <c r="I66" s="161"/>
      <c r="J66" s="161"/>
      <c r="K66" s="161"/>
      <c r="L66" s="161" t="s">
        <v>1452</v>
      </c>
      <c r="M66" s="161" t="s">
        <v>354</v>
      </c>
      <c r="N66" s="142">
        <v>18.0</v>
      </c>
      <c r="O66" s="161" t="s">
        <v>367</v>
      </c>
      <c r="P66" s="161"/>
      <c r="S66" s="142"/>
      <c r="T66" s="165"/>
      <c r="V66" s="166"/>
      <c r="W66" s="166"/>
      <c r="X66" s="166"/>
      <c r="Y66" s="166"/>
    </row>
    <row r="67" ht="22.5" customHeight="1">
      <c r="A67" s="161" t="s">
        <v>367</v>
      </c>
      <c r="B67" s="162" t="s">
        <v>1247</v>
      </c>
      <c r="C67" s="12" t="s">
        <v>38</v>
      </c>
      <c r="D67" s="163" t="s">
        <v>31</v>
      </c>
      <c r="E67" s="168"/>
      <c r="F67" s="162"/>
      <c r="G67" s="186">
        <v>2633.933333</v>
      </c>
      <c r="H67" s="161"/>
      <c r="I67" s="161"/>
      <c r="J67" s="161"/>
      <c r="K67" s="161"/>
      <c r="L67" s="161" t="s">
        <v>1452</v>
      </c>
      <c r="M67" s="161" t="s">
        <v>354</v>
      </c>
      <c r="N67" s="142">
        <v>18.0</v>
      </c>
      <c r="O67" s="161" t="s">
        <v>367</v>
      </c>
      <c r="P67" s="161"/>
      <c r="S67" s="142"/>
      <c r="T67" s="165"/>
      <c r="V67" s="166"/>
      <c r="W67" s="166"/>
      <c r="X67" s="166"/>
      <c r="Y67" s="166"/>
    </row>
    <row r="68" ht="22.5" customHeight="1">
      <c r="A68" s="161" t="s">
        <v>367</v>
      </c>
      <c r="B68" s="162" t="s">
        <v>1247</v>
      </c>
      <c r="C68" s="12" t="s">
        <v>47</v>
      </c>
      <c r="D68" s="163" t="s">
        <v>31</v>
      </c>
      <c r="E68" s="167"/>
      <c r="F68" s="162"/>
      <c r="G68" s="186">
        <v>9365.096296</v>
      </c>
      <c r="H68" s="161"/>
      <c r="I68" s="161"/>
      <c r="J68" s="161"/>
      <c r="K68" s="161"/>
      <c r="L68" s="161" t="s">
        <v>1452</v>
      </c>
      <c r="M68" s="161" t="s">
        <v>354</v>
      </c>
      <c r="N68" s="142">
        <v>18.0</v>
      </c>
      <c r="O68" s="161" t="s">
        <v>367</v>
      </c>
      <c r="P68" s="161"/>
      <c r="S68" s="142"/>
      <c r="T68" s="165"/>
      <c r="V68" s="166"/>
      <c r="W68" s="166"/>
      <c r="X68" s="166"/>
      <c r="Y68" s="166"/>
    </row>
    <row r="69" ht="22.5" customHeight="1">
      <c r="A69" s="161" t="s">
        <v>367</v>
      </c>
      <c r="B69" s="162" t="s">
        <v>1247</v>
      </c>
      <c r="C69" s="12" t="s">
        <v>113</v>
      </c>
      <c r="D69" s="163" t="s">
        <v>31</v>
      </c>
      <c r="E69" s="168"/>
      <c r="F69" s="162"/>
      <c r="G69" s="186">
        <v>2633.933333</v>
      </c>
      <c r="H69" s="161"/>
      <c r="I69" s="161"/>
      <c r="J69" s="161"/>
      <c r="K69" s="161"/>
      <c r="L69" s="161" t="s">
        <v>1452</v>
      </c>
      <c r="M69" s="161" t="s">
        <v>354</v>
      </c>
      <c r="N69" s="142">
        <v>18.0</v>
      </c>
      <c r="O69" s="161" t="s">
        <v>367</v>
      </c>
      <c r="P69" s="161"/>
      <c r="S69" s="142"/>
      <c r="T69" s="165"/>
      <c r="V69" s="166"/>
      <c r="W69" s="166"/>
      <c r="X69" s="166"/>
      <c r="Y69" s="166"/>
    </row>
    <row r="70" ht="22.5" customHeight="1">
      <c r="A70" s="187" t="s">
        <v>1476</v>
      </c>
      <c r="B70" s="162" t="s">
        <v>1424</v>
      </c>
      <c r="C70" s="169" t="s">
        <v>31</v>
      </c>
      <c r="D70" s="169" t="s">
        <v>371</v>
      </c>
      <c r="E70" s="167"/>
      <c r="F70" s="162"/>
      <c r="G70" s="144">
        <v>6213.65</v>
      </c>
      <c r="H70" s="161"/>
      <c r="I70" s="161"/>
      <c r="J70" s="161"/>
      <c r="K70" s="161"/>
      <c r="L70" s="161" t="s">
        <v>1452</v>
      </c>
      <c r="M70" s="161" t="s">
        <v>354</v>
      </c>
      <c r="N70" s="142">
        <v>502.0</v>
      </c>
      <c r="O70" s="161" t="s">
        <v>482</v>
      </c>
      <c r="P70" s="161"/>
      <c r="S70" s="142"/>
      <c r="T70" s="165"/>
      <c r="V70" s="166"/>
      <c r="W70" s="166"/>
      <c r="X70" s="166"/>
      <c r="Y70" s="166"/>
    </row>
    <row r="71" ht="22.5" customHeight="1">
      <c r="A71" s="188" t="s">
        <v>428</v>
      </c>
      <c r="B71" s="162" t="s">
        <v>1424</v>
      </c>
      <c r="C71" s="173" t="s">
        <v>20</v>
      </c>
      <c r="D71" s="173" t="s">
        <v>21</v>
      </c>
      <c r="E71" s="168"/>
      <c r="F71" s="162"/>
      <c r="G71" s="144">
        <v>791.67</v>
      </c>
      <c r="H71" s="161"/>
      <c r="I71" s="161"/>
      <c r="J71" s="161"/>
      <c r="K71" s="161"/>
      <c r="L71" s="161" t="s">
        <v>1452</v>
      </c>
      <c r="M71" s="161" t="s">
        <v>354</v>
      </c>
      <c r="N71" s="142">
        <v>502.0</v>
      </c>
      <c r="O71" s="161" t="s">
        <v>428</v>
      </c>
      <c r="P71" s="161"/>
      <c r="S71" s="142"/>
      <c r="T71" s="165"/>
      <c r="V71" s="166"/>
      <c r="W71" s="166"/>
      <c r="X71" s="166"/>
      <c r="Y71" s="166"/>
    </row>
    <row r="72" ht="22.5" customHeight="1">
      <c r="A72" s="187" t="s">
        <v>432</v>
      </c>
      <c r="B72" s="162" t="s">
        <v>1424</v>
      </c>
      <c r="C72" s="169" t="s">
        <v>31</v>
      </c>
      <c r="D72" s="174" t="s">
        <v>38</v>
      </c>
      <c r="E72" s="168"/>
      <c r="F72" s="162"/>
      <c r="G72" s="144">
        <v>375.3260219</v>
      </c>
      <c r="H72" s="161"/>
      <c r="I72" s="161"/>
      <c r="J72" s="161"/>
      <c r="K72" s="161"/>
      <c r="L72" s="161"/>
      <c r="M72" s="161"/>
      <c r="N72" s="142"/>
      <c r="O72" s="161"/>
      <c r="P72" s="161"/>
      <c r="S72" s="142"/>
      <c r="T72" s="165"/>
      <c r="V72" s="166"/>
      <c r="W72" s="166"/>
      <c r="X72" s="166"/>
      <c r="Y72" s="166"/>
    </row>
    <row r="73" ht="22.5" customHeight="1">
      <c r="A73" s="188" t="s">
        <v>432</v>
      </c>
      <c r="B73" s="162" t="s">
        <v>1424</v>
      </c>
      <c r="C73" s="173" t="s">
        <v>31</v>
      </c>
      <c r="D73" s="174" t="s">
        <v>47</v>
      </c>
      <c r="E73" s="168"/>
      <c r="F73" s="162"/>
      <c r="G73" s="144">
        <v>801.832865</v>
      </c>
      <c r="H73" s="161"/>
      <c r="I73" s="161"/>
      <c r="J73" s="161"/>
      <c r="K73" s="161"/>
      <c r="L73" s="161"/>
      <c r="M73" s="161"/>
      <c r="N73" s="142"/>
      <c r="O73" s="161"/>
      <c r="P73" s="161"/>
      <c r="S73" s="142"/>
      <c r="T73" s="165"/>
      <c r="V73" s="166"/>
      <c r="W73" s="166"/>
      <c r="X73" s="166"/>
      <c r="Y73" s="166"/>
    </row>
    <row r="74" ht="22.5" customHeight="1">
      <c r="A74" s="187" t="s">
        <v>432</v>
      </c>
      <c r="B74" s="162" t="s">
        <v>1424</v>
      </c>
      <c r="C74" s="169" t="s">
        <v>31</v>
      </c>
      <c r="D74" s="174" t="s">
        <v>113</v>
      </c>
      <c r="E74" s="168"/>
      <c r="F74" s="162"/>
      <c r="G74" s="144">
        <v>272.9643796</v>
      </c>
      <c r="H74" s="161"/>
      <c r="I74" s="161"/>
      <c r="J74" s="161"/>
      <c r="K74" s="161"/>
      <c r="L74" s="161"/>
      <c r="M74" s="161"/>
      <c r="N74" s="142"/>
      <c r="O74" s="161"/>
      <c r="P74" s="161"/>
      <c r="S74" s="142"/>
      <c r="T74" s="165"/>
      <c r="V74" s="166"/>
      <c r="W74" s="166"/>
      <c r="X74" s="166"/>
      <c r="Y74" s="166"/>
    </row>
    <row r="75" ht="22.5" customHeight="1">
      <c r="A75" s="188" t="s">
        <v>432</v>
      </c>
      <c r="B75" s="162" t="s">
        <v>1424</v>
      </c>
      <c r="C75" s="173" t="s">
        <v>31</v>
      </c>
      <c r="D75" s="174" t="s">
        <v>187</v>
      </c>
      <c r="E75" s="168"/>
      <c r="F75" s="162"/>
      <c r="G75" s="144">
        <v>358.2657482</v>
      </c>
      <c r="H75" s="161"/>
      <c r="I75" s="161"/>
      <c r="J75" s="161"/>
      <c r="K75" s="161"/>
      <c r="L75" s="161"/>
      <c r="M75" s="161"/>
      <c r="N75" s="142"/>
      <c r="O75" s="161"/>
      <c r="P75" s="161"/>
      <c r="S75" s="142"/>
      <c r="T75" s="165"/>
      <c r="V75" s="166"/>
      <c r="W75" s="166"/>
      <c r="X75" s="166"/>
      <c r="Y75" s="166"/>
    </row>
    <row r="76" ht="22.5" customHeight="1">
      <c r="A76" s="187" t="s">
        <v>432</v>
      </c>
      <c r="B76" s="162" t="s">
        <v>1424</v>
      </c>
      <c r="C76" s="169" t="s">
        <v>20</v>
      </c>
      <c r="D76" s="174" t="s">
        <v>21</v>
      </c>
      <c r="E76" s="168"/>
      <c r="F76" s="162"/>
      <c r="G76" s="144">
        <v>5305.745128</v>
      </c>
      <c r="H76" s="161"/>
      <c r="I76" s="161"/>
      <c r="J76" s="161"/>
      <c r="K76" s="161"/>
      <c r="L76" s="161"/>
      <c r="M76" s="161"/>
      <c r="N76" s="142"/>
      <c r="O76" s="161"/>
      <c r="P76" s="161"/>
      <c r="S76" s="142"/>
      <c r="T76" s="165"/>
      <c r="V76" s="166"/>
      <c r="W76" s="166"/>
      <c r="X76" s="166"/>
      <c r="Y76" s="166"/>
    </row>
    <row r="77" ht="22.5" customHeight="1">
      <c r="A77" s="188" t="s">
        <v>432</v>
      </c>
      <c r="B77" s="162" t="s">
        <v>1424</v>
      </c>
      <c r="C77" s="173" t="s">
        <v>31</v>
      </c>
      <c r="D77" s="174" t="s">
        <v>98</v>
      </c>
      <c r="E77" s="168"/>
      <c r="F77" s="162"/>
      <c r="G77" s="144">
        <v>272.9643796</v>
      </c>
      <c r="H77" s="161"/>
      <c r="I77" s="161"/>
      <c r="J77" s="161"/>
      <c r="K77" s="161"/>
      <c r="L77" s="161"/>
      <c r="M77" s="161"/>
      <c r="N77" s="142"/>
      <c r="O77" s="161"/>
      <c r="P77" s="161"/>
      <c r="S77" s="142"/>
      <c r="T77" s="165"/>
      <c r="V77" s="166"/>
      <c r="W77" s="166"/>
      <c r="X77" s="166"/>
      <c r="Y77" s="166"/>
    </row>
    <row r="78" ht="22.5" customHeight="1">
      <c r="A78" s="187" t="s">
        <v>432</v>
      </c>
      <c r="B78" s="162" t="s">
        <v>1424</v>
      </c>
      <c r="C78" s="169" t="s">
        <v>31</v>
      </c>
      <c r="D78" s="174" t="s">
        <v>54</v>
      </c>
      <c r="E78" s="168"/>
      <c r="F78" s="162"/>
      <c r="G78" s="144">
        <v>1961.931478</v>
      </c>
      <c r="H78" s="161"/>
      <c r="I78" s="161"/>
      <c r="J78" s="161"/>
      <c r="K78" s="161"/>
      <c r="L78" s="161"/>
      <c r="M78" s="161"/>
      <c r="N78" s="142"/>
      <c r="O78" s="161"/>
      <c r="P78" s="161"/>
      <c r="S78" s="142"/>
      <c r="T78" s="165"/>
      <c r="V78" s="166"/>
      <c r="W78" s="166"/>
      <c r="X78" s="166"/>
      <c r="Y78" s="166"/>
    </row>
    <row r="79" ht="22.5" customHeight="1">
      <c r="A79" s="188" t="s">
        <v>430</v>
      </c>
      <c r="B79" s="162" t="s">
        <v>1424</v>
      </c>
      <c r="C79" s="173" t="s">
        <v>31</v>
      </c>
      <c r="D79" s="174" t="s">
        <v>38</v>
      </c>
      <c r="E79" s="168"/>
      <c r="F79" s="162"/>
      <c r="G79" s="144">
        <v>1312.298796</v>
      </c>
      <c r="H79" s="161"/>
      <c r="I79" s="161"/>
      <c r="J79" s="161"/>
      <c r="K79" s="161"/>
      <c r="L79" s="161"/>
      <c r="M79" s="161"/>
      <c r="N79" s="142"/>
      <c r="O79" s="161"/>
      <c r="P79" s="161"/>
      <c r="S79" s="142"/>
      <c r="T79" s="165"/>
      <c r="V79" s="166"/>
      <c r="W79" s="166"/>
      <c r="X79" s="166"/>
      <c r="Y79" s="166"/>
    </row>
    <row r="80" ht="22.5" customHeight="1">
      <c r="A80" s="187" t="s">
        <v>430</v>
      </c>
      <c r="B80" s="162" t="s">
        <v>1424</v>
      </c>
      <c r="C80" s="169" t="s">
        <v>31</v>
      </c>
      <c r="D80" s="174" t="s">
        <v>47</v>
      </c>
      <c r="E80" s="168"/>
      <c r="F80" s="162"/>
      <c r="G80" s="144">
        <v>2803.547427</v>
      </c>
      <c r="H80" s="161"/>
      <c r="I80" s="161"/>
      <c r="J80" s="161"/>
      <c r="K80" s="161"/>
      <c r="L80" s="161"/>
      <c r="M80" s="161"/>
      <c r="N80" s="142"/>
      <c r="O80" s="161"/>
      <c r="P80" s="161"/>
      <c r="S80" s="142"/>
      <c r="T80" s="165"/>
      <c r="V80" s="166"/>
      <c r="W80" s="166"/>
      <c r="X80" s="166"/>
      <c r="Y80" s="166"/>
    </row>
    <row r="81" ht="22.5" customHeight="1">
      <c r="A81" s="188" t="s">
        <v>430</v>
      </c>
      <c r="B81" s="162" t="s">
        <v>1424</v>
      </c>
      <c r="C81" s="173" t="s">
        <v>31</v>
      </c>
      <c r="D81" s="174" t="s">
        <v>113</v>
      </c>
      <c r="E81" s="168"/>
      <c r="F81" s="162"/>
      <c r="G81" s="144">
        <v>954.3991241</v>
      </c>
      <c r="H81" s="161"/>
      <c r="I81" s="161"/>
      <c r="J81" s="161"/>
      <c r="K81" s="161"/>
      <c r="L81" s="161"/>
      <c r="M81" s="161"/>
      <c r="N81" s="142"/>
      <c r="O81" s="161"/>
      <c r="P81" s="161"/>
      <c r="S81" s="142"/>
      <c r="T81" s="165"/>
      <c r="V81" s="166"/>
      <c r="W81" s="166"/>
      <c r="X81" s="166"/>
      <c r="Y81" s="166"/>
    </row>
    <row r="82" ht="22.5" customHeight="1">
      <c r="A82" s="187" t="s">
        <v>430</v>
      </c>
      <c r="B82" s="162" t="s">
        <v>1424</v>
      </c>
      <c r="C82" s="169" t="s">
        <v>31</v>
      </c>
      <c r="D82" s="174" t="s">
        <v>187</v>
      </c>
      <c r="E82" s="168"/>
      <c r="F82" s="162"/>
      <c r="G82" s="144">
        <v>1252.64885</v>
      </c>
      <c r="H82" s="161"/>
      <c r="I82" s="161"/>
      <c r="J82" s="161"/>
      <c r="K82" s="161"/>
      <c r="L82" s="161"/>
      <c r="M82" s="161"/>
      <c r="N82" s="142"/>
      <c r="O82" s="161"/>
      <c r="P82" s="161"/>
      <c r="S82" s="142"/>
      <c r="T82" s="165"/>
      <c r="V82" s="166"/>
      <c r="W82" s="166"/>
      <c r="X82" s="166"/>
      <c r="Y82" s="166"/>
    </row>
    <row r="83" ht="22.5" customHeight="1">
      <c r="A83" s="188" t="s">
        <v>430</v>
      </c>
      <c r="B83" s="162" t="s">
        <v>1424</v>
      </c>
      <c r="C83" s="173" t="s">
        <v>20</v>
      </c>
      <c r="D83" s="174" t="s">
        <v>21</v>
      </c>
      <c r="E83" s="168"/>
      <c r="F83" s="162"/>
      <c r="G83" s="144">
        <v>18551.13297</v>
      </c>
      <c r="H83" s="161"/>
      <c r="I83" s="161"/>
      <c r="J83" s="161"/>
      <c r="K83" s="161"/>
      <c r="L83" s="161"/>
      <c r="M83" s="161"/>
      <c r="N83" s="142"/>
      <c r="O83" s="161"/>
      <c r="P83" s="161"/>
      <c r="S83" s="142"/>
      <c r="T83" s="165"/>
      <c r="V83" s="166"/>
      <c r="W83" s="166"/>
      <c r="X83" s="166"/>
      <c r="Y83" s="166"/>
    </row>
    <row r="84" ht="22.5" customHeight="1">
      <c r="A84" s="187" t="s">
        <v>430</v>
      </c>
      <c r="B84" s="162" t="s">
        <v>1424</v>
      </c>
      <c r="C84" s="169" t="s">
        <v>31</v>
      </c>
      <c r="D84" s="174" t="s">
        <v>98</v>
      </c>
      <c r="E84" s="167"/>
      <c r="F84" s="162"/>
      <c r="G84" s="144">
        <v>954.3991241</v>
      </c>
      <c r="H84" s="161"/>
      <c r="I84" s="161"/>
      <c r="J84" s="161"/>
      <c r="K84" s="161"/>
      <c r="L84" s="161" t="s">
        <v>1452</v>
      </c>
      <c r="M84" s="161" t="s">
        <v>354</v>
      </c>
      <c r="N84" s="142">
        <v>502.0</v>
      </c>
      <c r="O84" s="161" t="s">
        <v>433</v>
      </c>
      <c r="P84" s="161"/>
      <c r="S84" s="142"/>
      <c r="T84" s="165"/>
      <c r="V84" s="166"/>
      <c r="W84" s="166"/>
      <c r="X84" s="166"/>
      <c r="Y84" s="166"/>
    </row>
    <row r="85" ht="22.5" customHeight="1">
      <c r="A85" s="188" t="s">
        <v>430</v>
      </c>
      <c r="B85" s="162" t="s">
        <v>1424</v>
      </c>
      <c r="C85" s="173" t="s">
        <v>31</v>
      </c>
      <c r="D85" s="174" t="s">
        <v>54</v>
      </c>
      <c r="E85" s="168"/>
      <c r="F85" s="162"/>
      <c r="G85" s="144">
        <v>6859.743704</v>
      </c>
      <c r="H85" s="161"/>
      <c r="I85" s="161"/>
      <c r="J85" s="161"/>
      <c r="K85" s="161"/>
      <c r="L85" s="161" t="s">
        <v>1452</v>
      </c>
      <c r="M85" s="161" t="s">
        <v>354</v>
      </c>
      <c r="N85" s="142">
        <v>502.0</v>
      </c>
      <c r="O85" s="161" t="s">
        <v>431</v>
      </c>
      <c r="P85" s="161"/>
      <c r="S85" s="142"/>
      <c r="T85" s="165"/>
      <c r="V85" s="166"/>
      <c r="W85" s="166"/>
      <c r="X85" s="166"/>
      <c r="Y85" s="166"/>
    </row>
    <row r="86" ht="22.5" customHeight="1">
      <c r="A86" s="187" t="s">
        <v>434</v>
      </c>
      <c r="B86" s="162" t="s">
        <v>1424</v>
      </c>
      <c r="C86" s="169" t="s">
        <v>31</v>
      </c>
      <c r="D86" s="169" t="s">
        <v>371</v>
      </c>
      <c r="E86" s="167"/>
      <c r="F86" s="162"/>
      <c r="G86" s="144">
        <v>5539.44</v>
      </c>
      <c r="H86" s="161"/>
      <c r="I86" s="161"/>
      <c r="J86" s="161"/>
      <c r="K86" s="161"/>
      <c r="L86" s="161" t="s">
        <v>1452</v>
      </c>
      <c r="M86" s="161" t="s">
        <v>354</v>
      </c>
      <c r="N86" s="142">
        <v>502.0</v>
      </c>
      <c r="O86" s="161" t="s">
        <v>435</v>
      </c>
      <c r="P86" s="161"/>
      <c r="S86" s="142"/>
      <c r="T86" s="165"/>
      <c r="V86" s="166"/>
      <c r="W86" s="166"/>
      <c r="X86" s="166"/>
      <c r="Y86" s="166"/>
    </row>
    <row r="87" ht="22.5" customHeight="1">
      <c r="A87" s="188" t="s">
        <v>434</v>
      </c>
      <c r="B87" s="162" t="s">
        <v>1424</v>
      </c>
      <c r="C87" s="173" t="s">
        <v>31</v>
      </c>
      <c r="D87" s="173" t="s">
        <v>371</v>
      </c>
      <c r="E87" s="168"/>
      <c r="F87" s="162"/>
      <c r="G87" s="144">
        <v>5828.89</v>
      </c>
      <c r="H87" s="161"/>
      <c r="I87" s="161"/>
      <c r="J87" s="161"/>
      <c r="K87" s="161"/>
      <c r="L87" s="161" t="s">
        <v>1452</v>
      </c>
      <c r="M87" s="161" t="s">
        <v>354</v>
      </c>
      <c r="N87" s="142">
        <v>502.0</v>
      </c>
      <c r="O87" s="161" t="s">
        <v>436</v>
      </c>
      <c r="P87" s="161"/>
      <c r="S87" s="142"/>
      <c r="T87" s="165"/>
      <c r="V87" s="166"/>
      <c r="W87" s="166"/>
      <c r="X87" s="166"/>
      <c r="Y87" s="166"/>
    </row>
    <row r="88" ht="22.5" customHeight="1">
      <c r="A88" s="27" t="s">
        <v>1477</v>
      </c>
      <c r="B88" s="162" t="s">
        <v>1478</v>
      </c>
      <c r="C88" s="161"/>
      <c r="D88" s="182"/>
      <c r="E88" s="167"/>
      <c r="F88" s="162"/>
      <c r="G88" s="142">
        <v>1067.93</v>
      </c>
      <c r="H88" s="161"/>
      <c r="I88" s="161"/>
      <c r="J88" s="161"/>
      <c r="K88" s="161"/>
      <c r="L88" s="161" t="s">
        <v>1479</v>
      </c>
      <c r="M88" s="161" t="s">
        <v>408</v>
      </c>
      <c r="N88" s="142">
        <v>220.0</v>
      </c>
      <c r="O88" s="161" t="s">
        <v>515</v>
      </c>
      <c r="P88" s="161"/>
      <c r="S88" s="142"/>
      <c r="T88" s="165"/>
      <c r="V88" s="166"/>
      <c r="W88" s="166"/>
      <c r="X88" s="166"/>
      <c r="Y88" s="166"/>
    </row>
    <row r="89" ht="22.5" customHeight="1">
      <c r="A89" s="161" t="s">
        <v>479</v>
      </c>
      <c r="B89" s="162" t="s">
        <v>1362</v>
      </c>
      <c r="C89" s="27" t="s">
        <v>20</v>
      </c>
      <c r="D89" s="163" t="s">
        <v>21</v>
      </c>
      <c r="E89" s="168"/>
      <c r="F89" s="162"/>
      <c r="G89" s="142">
        <v>6043.26</v>
      </c>
      <c r="H89" s="161"/>
      <c r="I89" s="161"/>
      <c r="J89" s="161"/>
      <c r="K89" s="161"/>
      <c r="L89" s="161" t="s">
        <v>1452</v>
      </c>
      <c r="M89" s="161" t="s">
        <v>354</v>
      </c>
      <c r="N89" s="142">
        <v>30.0</v>
      </c>
      <c r="O89" s="161" t="s">
        <v>479</v>
      </c>
      <c r="P89" s="161"/>
      <c r="S89" s="142"/>
      <c r="T89" s="165"/>
      <c r="V89" s="166"/>
      <c r="W89" s="166"/>
      <c r="X89" s="166"/>
      <c r="Y89" s="166"/>
    </row>
    <row r="90" ht="22.5" customHeight="1">
      <c r="A90" s="161" t="s">
        <v>479</v>
      </c>
      <c r="B90" s="162" t="s">
        <v>1362</v>
      </c>
      <c r="C90" s="27" t="s">
        <v>20</v>
      </c>
      <c r="D90" s="163" t="s">
        <v>21</v>
      </c>
      <c r="E90" s="167"/>
      <c r="F90" s="162"/>
      <c r="G90" s="142">
        <v>9498.12</v>
      </c>
      <c r="H90" s="161"/>
      <c r="I90" s="161"/>
      <c r="J90" s="161"/>
      <c r="K90" s="161"/>
      <c r="L90" s="161" t="s">
        <v>1452</v>
      </c>
      <c r="M90" s="161" t="s">
        <v>354</v>
      </c>
      <c r="N90" s="142">
        <v>30.0</v>
      </c>
      <c r="O90" s="161" t="s">
        <v>479</v>
      </c>
      <c r="P90" s="161"/>
      <c r="S90" s="142"/>
      <c r="T90" s="165"/>
      <c r="V90" s="166"/>
      <c r="W90" s="166"/>
      <c r="X90" s="166"/>
      <c r="Y90" s="166"/>
    </row>
    <row r="91" ht="22.5" customHeight="1">
      <c r="A91" s="161" t="s">
        <v>479</v>
      </c>
      <c r="B91" s="162" t="s">
        <v>1362</v>
      </c>
      <c r="C91" s="27" t="s">
        <v>20</v>
      </c>
      <c r="D91" s="163" t="s">
        <v>21</v>
      </c>
      <c r="E91" s="168"/>
      <c r="F91" s="162"/>
      <c r="G91" s="142">
        <v>22068.81</v>
      </c>
      <c r="H91" s="161"/>
      <c r="I91" s="161"/>
      <c r="J91" s="161"/>
      <c r="K91" s="161"/>
      <c r="L91" s="161" t="s">
        <v>1452</v>
      </c>
      <c r="M91" s="161" t="s">
        <v>354</v>
      </c>
      <c r="N91" s="142">
        <v>30.0</v>
      </c>
      <c r="O91" s="161" t="s">
        <v>479</v>
      </c>
      <c r="P91" s="161"/>
      <c r="S91" s="142"/>
      <c r="T91" s="165"/>
      <c r="V91" s="166"/>
      <c r="W91" s="166"/>
      <c r="X91" s="166"/>
      <c r="Y91" s="166"/>
    </row>
    <row r="92" ht="22.5" customHeight="1">
      <c r="A92" s="161" t="s">
        <v>479</v>
      </c>
      <c r="B92" s="162" t="s">
        <v>1480</v>
      </c>
      <c r="C92" s="27" t="s">
        <v>20</v>
      </c>
      <c r="D92" s="163" t="s">
        <v>21</v>
      </c>
      <c r="E92" s="167"/>
      <c r="F92" s="162"/>
      <c r="G92" s="142">
        <v>17272.86</v>
      </c>
      <c r="H92" s="161"/>
      <c r="I92" s="161"/>
      <c r="J92" s="161"/>
      <c r="K92" s="161"/>
      <c r="L92" s="161" t="s">
        <v>1452</v>
      </c>
      <c r="M92" s="161" t="s">
        <v>354</v>
      </c>
      <c r="N92" s="142">
        <v>188.0</v>
      </c>
      <c r="O92" s="161" t="s">
        <v>479</v>
      </c>
      <c r="P92" s="161"/>
      <c r="S92" s="142"/>
      <c r="T92" s="165"/>
      <c r="V92" s="166"/>
      <c r="W92" s="166"/>
      <c r="X92" s="166"/>
      <c r="Y92" s="166"/>
    </row>
    <row r="93" ht="22.5" customHeight="1">
      <c r="A93" s="185" t="s">
        <v>437</v>
      </c>
      <c r="B93" s="172" t="s">
        <v>1481</v>
      </c>
      <c r="C93" s="173" t="s">
        <v>20</v>
      </c>
      <c r="D93" s="173" t="s">
        <v>21</v>
      </c>
      <c r="E93" s="168"/>
      <c r="F93" s="162"/>
      <c r="G93" s="142">
        <v>7000.0</v>
      </c>
      <c r="H93" s="161"/>
      <c r="I93" s="161"/>
      <c r="J93" s="161"/>
      <c r="K93" s="161"/>
      <c r="L93" s="161" t="s">
        <v>1452</v>
      </c>
      <c r="M93" s="161" t="s">
        <v>354</v>
      </c>
      <c r="N93" s="142">
        <v>23.0</v>
      </c>
      <c r="O93" s="161" t="s">
        <v>437</v>
      </c>
      <c r="P93" s="161"/>
      <c r="S93" s="142"/>
      <c r="T93" s="165"/>
      <c r="V93" s="166"/>
      <c r="W93" s="166"/>
      <c r="X93" s="166"/>
      <c r="Y93" s="166"/>
    </row>
    <row r="94" ht="22.5" customHeight="1">
      <c r="A94" s="161" t="s">
        <v>437</v>
      </c>
      <c r="B94" s="162" t="s">
        <v>438</v>
      </c>
      <c r="C94" s="2" t="s">
        <v>20</v>
      </c>
      <c r="D94" s="4" t="s">
        <v>21</v>
      </c>
      <c r="E94" s="167"/>
      <c r="F94" s="162"/>
      <c r="G94" s="142">
        <v>12000.0</v>
      </c>
      <c r="H94" s="161"/>
      <c r="I94" s="161"/>
      <c r="J94" s="161"/>
      <c r="K94" s="161"/>
      <c r="L94" s="161" t="s">
        <v>1452</v>
      </c>
      <c r="M94" s="161" t="s">
        <v>354</v>
      </c>
      <c r="N94" s="142">
        <v>23.0</v>
      </c>
      <c r="O94" s="161" t="s">
        <v>437</v>
      </c>
      <c r="P94" s="161"/>
      <c r="S94" s="142"/>
      <c r="T94" s="165"/>
      <c r="V94" s="166"/>
      <c r="W94" s="166"/>
      <c r="X94" s="166"/>
      <c r="Y94" s="166"/>
    </row>
    <row r="95" ht="22.5" customHeight="1">
      <c r="A95" s="184" t="s">
        <v>508</v>
      </c>
      <c r="B95" s="175" t="s">
        <v>1482</v>
      </c>
      <c r="C95" s="169" t="s">
        <v>20</v>
      </c>
      <c r="D95" s="169" t="s">
        <v>21</v>
      </c>
      <c r="E95" s="167"/>
      <c r="F95" s="162"/>
      <c r="G95" s="142">
        <v>2500.0</v>
      </c>
      <c r="H95" s="161"/>
      <c r="I95" s="161"/>
      <c r="J95" s="161"/>
      <c r="K95" s="161"/>
      <c r="L95" s="161" t="s">
        <v>1452</v>
      </c>
      <c r="M95" s="161" t="s">
        <v>354</v>
      </c>
      <c r="N95" s="142">
        <v>18.0</v>
      </c>
      <c r="O95" s="161" t="s">
        <v>367</v>
      </c>
      <c r="P95" s="161"/>
      <c r="S95" s="142"/>
      <c r="T95" s="165"/>
      <c r="V95" s="166"/>
      <c r="W95" s="166"/>
      <c r="X95" s="166"/>
      <c r="Y95" s="166"/>
    </row>
    <row r="96" ht="22.5" customHeight="1">
      <c r="A96" s="185" t="s">
        <v>508</v>
      </c>
      <c r="B96" s="172" t="s">
        <v>1482</v>
      </c>
      <c r="C96" s="173" t="s">
        <v>20</v>
      </c>
      <c r="D96" s="173" t="s">
        <v>21</v>
      </c>
      <c r="E96" s="168"/>
      <c r="F96" s="162"/>
      <c r="G96" s="142">
        <v>6859.6</v>
      </c>
      <c r="H96" s="161"/>
      <c r="I96" s="161"/>
      <c r="J96" s="161"/>
      <c r="K96" s="161"/>
      <c r="L96" s="161" t="s">
        <v>1452</v>
      </c>
      <c r="M96" s="161" t="s">
        <v>354</v>
      </c>
      <c r="N96" s="142">
        <v>18.0</v>
      </c>
      <c r="O96" s="161" t="s">
        <v>367</v>
      </c>
      <c r="P96" s="161"/>
      <c r="S96" s="142"/>
      <c r="T96" s="165"/>
      <c r="V96" s="166"/>
      <c r="W96" s="166"/>
      <c r="X96" s="166"/>
      <c r="Y96" s="166"/>
    </row>
    <row r="97" ht="22.5" customHeight="1">
      <c r="A97" s="184" t="s">
        <v>508</v>
      </c>
      <c r="B97" s="175" t="s">
        <v>1483</v>
      </c>
      <c r="C97" s="169" t="s">
        <v>20</v>
      </c>
      <c r="D97" s="169" t="s">
        <v>21</v>
      </c>
      <c r="E97" s="168"/>
      <c r="F97" s="162"/>
      <c r="G97" s="142">
        <v>13195.7</v>
      </c>
      <c r="H97" s="161"/>
      <c r="I97" s="161"/>
      <c r="J97" s="161"/>
      <c r="K97" s="161"/>
      <c r="L97" s="161" t="s">
        <v>1452</v>
      </c>
      <c r="M97" s="161" t="s">
        <v>354</v>
      </c>
      <c r="N97" s="142">
        <v>187.0</v>
      </c>
      <c r="O97" s="161" t="s">
        <v>367</v>
      </c>
      <c r="P97" s="161"/>
      <c r="S97" s="142"/>
      <c r="T97" s="165"/>
      <c r="V97" s="166"/>
      <c r="W97" s="166"/>
      <c r="X97" s="166"/>
      <c r="Y97" s="166"/>
    </row>
    <row r="98" ht="22.5" customHeight="1">
      <c r="A98" s="161" t="s">
        <v>528</v>
      </c>
      <c r="B98" s="162" t="s">
        <v>1412</v>
      </c>
      <c r="C98" s="4" t="s">
        <v>31</v>
      </c>
      <c r="D98" s="4" t="s">
        <v>371</v>
      </c>
      <c r="E98" s="167"/>
      <c r="F98" s="162"/>
      <c r="G98" s="142">
        <v>12232.83</v>
      </c>
      <c r="H98" s="161"/>
      <c r="I98" s="161"/>
      <c r="J98" s="161"/>
      <c r="K98" s="161"/>
      <c r="L98" s="161" t="s">
        <v>1452</v>
      </c>
      <c r="M98" s="161" t="s">
        <v>354</v>
      </c>
      <c r="N98" s="142">
        <v>21.0</v>
      </c>
      <c r="O98" s="161" t="s">
        <v>385</v>
      </c>
      <c r="P98" s="161"/>
      <c r="S98" s="142"/>
      <c r="T98" s="165"/>
      <c r="V98" s="166"/>
      <c r="W98" s="166"/>
      <c r="X98" s="166"/>
      <c r="Y98" s="166"/>
    </row>
    <row r="99" ht="22.5" customHeight="1">
      <c r="A99" s="161" t="s">
        <v>528</v>
      </c>
      <c r="B99" s="162" t="s">
        <v>1412</v>
      </c>
      <c r="C99" s="4" t="s">
        <v>31</v>
      </c>
      <c r="D99" s="4" t="s">
        <v>371</v>
      </c>
      <c r="E99" s="168"/>
      <c r="F99" s="162"/>
      <c r="G99" s="142">
        <v>69860.0</v>
      </c>
      <c r="H99" s="161"/>
      <c r="I99" s="161"/>
      <c r="J99" s="161"/>
      <c r="K99" s="161"/>
      <c r="L99" s="161" t="s">
        <v>1452</v>
      </c>
      <c r="M99" s="161" t="s">
        <v>354</v>
      </c>
      <c r="N99" s="142">
        <v>21.0</v>
      </c>
      <c r="O99" s="161" t="s">
        <v>385</v>
      </c>
      <c r="P99" s="161"/>
      <c r="S99" s="142"/>
      <c r="T99" s="165"/>
      <c r="V99" s="166"/>
      <c r="W99" s="166"/>
      <c r="X99" s="166"/>
      <c r="Y99" s="166"/>
    </row>
    <row r="100" ht="22.5" customHeight="1">
      <c r="A100" s="189" t="s">
        <v>426</v>
      </c>
      <c r="B100" s="172" t="s">
        <v>1326</v>
      </c>
      <c r="C100" s="173" t="s">
        <v>31</v>
      </c>
      <c r="D100" s="173" t="s">
        <v>54</v>
      </c>
      <c r="E100" s="167"/>
      <c r="F100" s="162"/>
      <c r="G100" s="142">
        <v>1630.82</v>
      </c>
      <c r="H100" s="161"/>
      <c r="I100" s="161"/>
      <c r="J100" s="161"/>
      <c r="K100" s="161"/>
      <c r="L100" s="161" t="s">
        <v>1452</v>
      </c>
      <c r="M100" s="161" t="s">
        <v>354</v>
      </c>
      <c r="N100" s="142">
        <v>21.0</v>
      </c>
      <c r="O100" s="161" t="s">
        <v>385</v>
      </c>
      <c r="P100" s="161"/>
      <c r="S100" s="142"/>
      <c r="T100" s="165"/>
      <c r="V100" s="166"/>
      <c r="W100" s="166"/>
      <c r="X100" s="166"/>
      <c r="Y100" s="166"/>
    </row>
    <row r="101" ht="22.5" customHeight="1">
      <c r="A101" s="27" t="s">
        <v>474</v>
      </c>
      <c r="B101" s="162" t="s">
        <v>1326</v>
      </c>
      <c r="C101" s="161"/>
      <c r="D101" s="183"/>
      <c r="E101" s="168"/>
      <c r="F101" s="162"/>
      <c r="G101" s="142">
        <v>4275.0</v>
      </c>
      <c r="H101" s="161"/>
      <c r="I101" s="161"/>
      <c r="J101" s="161"/>
      <c r="K101" s="161"/>
      <c r="L101" s="161" t="s">
        <v>1452</v>
      </c>
      <c r="M101" s="161" t="s">
        <v>354</v>
      </c>
      <c r="N101" s="142">
        <v>21.0</v>
      </c>
      <c r="O101" s="161" t="s">
        <v>385</v>
      </c>
      <c r="P101" s="161"/>
      <c r="S101" s="142"/>
      <c r="T101" s="165"/>
      <c r="V101" s="166"/>
      <c r="W101" s="166"/>
      <c r="X101" s="166"/>
      <c r="Y101" s="166"/>
    </row>
    <row r="102" ht="22.5" customHeight="1">
      <c r="A102" s="27" t="s">
        <v>474</v>
      </c>
      <c r="B102" s="162" t="s">
        <v>1326</v>
      </c>
      <c r="C102" s="161"/>
      <c r="D102" s="182"/>
      <c r="E102" s="167"/>
      <c r="F102" s="162"/>
      <c r="G102" s="142">
        <v>6500.0</v>
      </c>
      <c r="H102" s="161"/>
      <c r="I102" s="161"/>
      <c r="J102" s="161"/>
      <c r="K102" s="161"/>
      <c r="L102" s="161" t="s">
        <v>1452</v>
      </c>
      <c r="M102" s="161" t="s">
        <v>354</v>
      </c>
      <c r="N102" s="142">
        <v>21.0</v>
      </c>
      <c r="O102" s="161" t="s">
        <v>385</v>
      </c>
      <c r="P102" s="161"/>
      <c r="S102" s="142"/>
      <c r="T102" s="165"/>
      <c r="V102" s="166"/>
      <c r="W102" s="166"/>
      <c r="X102" s="166"/>
      <c r="Y102" s="166"/>
    </row>
    <row r="103" ht="22.5" customHeight="1">
      <c r="A103" s="27" t="s">
        <v>474</v>
      </c>
      <c r="B103" s="162" t="s">
        <v>1326</v>
      </c>
      <c r="C103" s="161"/>
      <c r="D103" s="183"/>
      <c r="E103" s="168"/>
      <c r="F103" s="162"/>
      <c r="G103" s="142">
        <v>7800.0</v>
      </c>
      <c r="H103" s="161"/>
      <c r="I103" s="161"/>
      <c r="J103" s="161"/>
      <c r="K103" s="161"/>
      <c r="L103" s="161" t="s">
        <v>1452</v>
      </c>
      <c r="M103" s="161" t="s">
        <v>354</v>
      </c>
      <c r="N103" s="142">
        <v>21.0</v>
      </c>
      <c r="O103" s="161" t="s">
        <v>385</v>
      </c>
      <c r="P103" s="161"/>
      <c r="S103" s="142"/>
      <c r="T103" s="165"/>
      <c r="V103" s="166"/>
      <c r="W103" s="166"/>
      <c r="X103" s="166"/>
      <c r="Y103" s="166"/>
    </row>
    <row r="104" ht="22.5" customHeight="1">
      <c r="A104" s="189" t="s">
        <v>426</v>
      </c>
      <c r="B104" s="172" t="s">
        <v>1326</v>
      </c>
      <c r="C104" s="173" t="s">
        <v>31</v>
      </c>
      <c r="D104" s="173" t="s">
        <v>54</v>
      </c>
      <c r="E104" s="167"/>
      <c r="F104" s="162"/>
      <c r="G104" s="142">
        <v>18254.66</v>
      </c>
      <c r="H104" s="161"/>
      <c r="I104" s="161"/>
      <c r="J104" s="161"/>
      <c r="K104" s="161"/>
      <c r="L104" s="161" t="s">
        <v>1452</v>
      </c>
      <c r="M104" s="161" t="s">
        <v>354</v>
      </c>
      <c r="N104" s="142">
        <v>21.0</v>
      </c>
      <c r="O104" s="161" t="s">
        <v>385</v>
      </c>
      <c r="P104" s="161"/>
      <c r="S104" s="142"/>
      <c r="T104" s="165"/>
      <c r="V104" s="166"/>
      <c r="W104" s="166"/>
      <c r="X104" s="166"/>
      <c r="Y104" s="166"/>
    </row>
    <row r="105" ht="22.5" customHeight="1">
      <c r="A105" s="161" t="s">
        <v>349</v>
      </c>
      <c r="B105" s="162" t="s">
        <v>1440</v>
      </c>
      <c r="C105" s="161" t="s">
        <v>20</v>
      </c>
      <c r="D105" s="180"/>
      <c r="E105" s="167"/>
      <c r="F105" s="162"/>
      <c r="G105" s="142">
        <v>600.0</v>
      </c>
      <c r="H105" s="161"/>
      <c r="I105" s="161"/>
      <c r="J105" s="161"/>
      <c r="K105" s="161"/>
      <c r="L105" s="161" t="s">
        <v>1452</v>
      </c>
      <c r="M105" s="161" t="s">
        <v>354</v>
      </c>
      <c r="N105" s="142">
        <v>200.0</v>
      </c>
      <c r="O105" s="161" t="s">
        <v>405</v>
      </c>
      <c r="P105" s="161"/>
      <c r="S105" s="142"/>
      <c r="T105" s="165"/>
      <c r="V105" s="166"/>
      <c r="W105" s="166"/>
      <c r="X105" s="166"/>
      <c r="Y105" s="166"/>
    </row>
    <row r="106" ht="22.5" customHeight="1">
      <c r="A106" s="161" t="s">
        <v>349</v>
      </c>
      <c r="B106" s="162" t="s">
        <v>1440</v>
      </c>
      <c r="C106" s="161" t="s">
        <v>20</v>
      </c>
      <c r="D106" s="181"/>
      <c r="E106" s="168"/>
      <c r="F106" s="162"/>
      <c r="G106" s="142">
        <v>760.0</v>
      </c>
      <c r="H106" s="161"/>
      <c r="I106" s="161"/>
      <c r="J106" s="161"/>
      <c r="K106" s="161"/>
      <c r="L106" s="161" t="s">
        <v>1452</v>
      </c>
      <c r="M106" s="161" t="s">
        <v>354</v>
      </c>
      <c r="N106" s="142">
        <v>200.0</v>
      </c>
      <c r="O106" s="161" t="s">
        <v>405</v>
      </c>
      <c r="P106" s="161"/>
      <c r="S106" s="142"/>
      <c r="T106" s="165"/>
      <c r="V106" s="166"/>
      <c r="W106" s="166"/>
      <c r="X106" s="166"/>
      <c r="Y106" s="166"/>
    </row>
    <row r="107" ht="22.5" customHeight="1">
      <c r="A107" s="161" t="s">
        <v>401</v>
      </c>
      <c r="B107" s="162" t="s">
        <v>1435</v>
      </c>
      <c r="C107" s="161" t="s">
        <v>20</v>
      </c>
      <c r="D107" s="163" t="s">
        <v>21</v>
      </c>
      <c r="E107" s="168"/>
      <c r="F107" s="162"/>
      <c r="G107" s="144">
        <v>34725.645</v>
      </c>
      <c r="H107" s="161"/>
      <c r="I107" s="161"/>
      <c r="J107" s="161"/>
      <c r="K107" s="161"/>
      <c r="L107" s="161" t="s">
        <v>1452</v>
      </c>
      <c r="M107" s="161" t="s">
        <v>354</v>
      </c>
      <c r="N107" s="142">
        <v>201.0</v>
      </c>
      <c r="O107" s="161" t="s">
        <v>401</v>
      </c>
      <c r="P107" s="161"/>
      <c r="S107" s="142"/>
      <c r="T107" s="165"/>
      <c r="V107" s="166"/>
      <c r="W107" s="166"/>
      <c r="X107" s="166"/>
      <c r="Y107" s="166"/>
    </row>
    <row r="108" ht="22.5" customHeight="1">
      <c r="A108" s="161" t="s">
        <v>401</v>
      </c>
      <c r="B108" s="162" t="s">
        <v>1435</v>
      </c>
      <c r="C108" s="161" t="s">
        <v>20</v>
      </c>
      <c r="D108" s="176" t="s">
        <v>54</v>
      </c>
      <c r="E108" s="167"/>
      <c r="F108" s="162"/>
      <c r="G108" s="144">
        <v>34725.645</v>
      </c>
      <c r="H108" s="161"/>
      <c r="I108" s="161"/>
      <c r="J108" s="161"/>
      <c r="K108" s="161"/>
      <c r="L108" s="161" t="s">
        <v>1452</v>
      </c>
      <c r="M108" s="161" t="s">
        <v>354</v>
      </c>
      <c r="N108" s="142">
        <v>201.0</v>
      </c>
      <c r="O108" s="161" t="s">
        <v>401</v>
      </c>
      <c r="P108" s="161"/>
      <c r="S108" s="142"/>
      <c r="T108" s="165"/>
      <c r="V108" s="166"/>
      <c r="W108" s="166"/>
      <c r="X108" s="166"/>
      <c r="Y108" s="166"/>
    </row>
    <row r="109" ht="22.5" customHeight="1">
      <c r="A109" s="184" t="s">
        <v>451</v>
      </c>
      <c r="B109" s="175" t="s">
        <v>1484</v>
      </c>
      <c r="C109" s="169" t="s">
        <v>20</v>
      </c>
      <c r="D109" s="169" t="s">
        <v>21</v>
      </c>
      <c r="E109" s="168"/>
      <c r="F109" s="162"/>
      <c r="G109" s="142">
        <v>7000.0</v>
      </c>
      <c r="H109" s="161"/>
      <c r="I109" s="161"/>
      <c r="J109" s="161"/>
      <c r="K109" s="161"/>
      <c r="L109" s="161" t="s">
        <v>1452</v>
      </c>
      <c r="M109" s="161" t="s">
        <v>354</v>
      </c>
      <c r="N109" s="142">
        <v>23.0</v>
      </c>
      <c r="O109" s="161" t="s">
        <v>437</v>
      </c>
      <c r="P109" s="161"/>
      <c r="S109" s="142"/>
      <c r="T109" s="165"/>
      <c r="V109" s="166"/>
      <c r="W109" s="166"/>
      <c r="X109" s="166"/>
      <c r="Y109" s="166"/>
    </row>
    <row r="110" ht="22.5" customHeight="1">
      <c r="A110" s="185" t="s">
        <v>437</v>
      </c>
      <c r="B110" s="172" t="s">
        <v>1485</v>
      </c>
      <c r="C110" s="173" t="s">
        <v>20</v>
      </c>
      <c r="D110" s="173" t="s">
        <v>21</v>
      </c>
      <c r="E110" s="167"/>
      <c r="F110" s="162"/>
      <c r="G110" s="142">
        <v>26050.0</v>
      </c>
      <c r="H110" s="161"/>
      <c r="I110" s="161"/>
      <c r="J110" s="161"/>
      <c r="K110" s="161"/>
      <c r="L110" s="161" t="s">
        <v>1452</v>
      </c>
      <c r="M110" s="161" t="s">
        <v>354</v>
      </c>
      <c r="N110" s="142">
        <v>33.0</v>
      </c>
      <c r="O110" s="161" t="s">
        <v>397</v>
      </c>
      <c r="P110" s="161"/>
      <c r="S110" s="142"/>
      <c r="T110" s="165"/>
      <c r="V110" s="166"/>
      <c r="W110" s="166"/>
      <c r="X110" s="166"/>
      <c r="Y110" s="166"/>
    </row>
    <row r="111" ht="22.5" customHeight="1">
      <c r="A111" s="184" t="s">
        <v>426</v>
      </c>
      <c r="B111" s="175" t="s">
        <v>1486</v>
      </c>
      <c r="C111" s="169" t="s">
        <v>31</v>
      </c>
      <c r="D111" s="169" t="s">
        <v>113</v>
      </c>
      <c r="E111" s="168"/>
      <c r="F111" s="162"/>
      <c r="G111" s="142">
        <v>60326.4</v>
      </c>
      <c r="H111" s="161"/>
      <c r="I111" s="161"/>
      <c r="J111" s="161"/>
      <c r="K111" s="161"/>
      <c r="L111" s="161" t="s">
        <v>1452</v>
      </c>
      <c r="M111" s="161" t="s">
        <v>354</v>
      </c>
      <c r="N111" s="142">
        <v>33.0</v>
      </c>
      <c r="O111" s="161" t="s">
        <v>397</v>
      </c>
      <c r="P111" s="161"/>
      <c r="S111" s="142"/>
      <c r="T111" s="165"/>
      <c r="V111" s="166"/>
      <c r="W111" s="166"/>
      <c r="X111" s="166"/>
      <c r="Y111" s="166"/>
    </row>
    <row r="112" ht="22.5" customHeight="1">
      <c r="A112" s="161" t="s">
        <v>367</v>
      </c>
      <c r="B112" s="162" t="s">
        <v>1487</v>
      </c>
      <c r="C112" s="4" t="s">
        <v>370</v>
      </c>
      <c r="D112" s="4" t="s">
        <v>371</v>
      </c>
      <c r="E112" s="167"/>
      <c r="F112" s="162"/>
      <c r="G112" s="142">
        <v>11900.0</v>
      </c>
      <c r="H112" s="161"/>
      <c r="I112" s="161"/>
      <c r="J112" s="161"/>
      <c r="K112" s="161"/>
      <c r="L112" s="161" t="s">
        <v>1452</v>
      </c>
      <c r="M112" s="161" t="s">
        <v>354</v>
      </c>
      <c r="N112" s="142">
        <v>18.0</v>
      </c>
      <c r="O112" s="161" t="s">
        <v>367</v>
      </c>
      <c r="P112" s="161"/>
      <c r="S112" s="142"/>
      <c r="T112" s="165"/>
      <c r="V112" s="166"/>
      <c r="W112" s="166"/>
      <c r="X112" s="166"/>
      <c r="Y112" s="166"/>
    </row>
    <row r="113" ht="22.5" customHeight="1">
      <c r="A113" s="185" t="s">
        <v>367</v>
      </c>
      <c r="B113" s="172" t="s">
        <v>1488</v>
      </c>
      <c r="C113" s="173" t="s">
        <v>495</v>
      </c>
      <c r="D113" s="173" t="s">
        <v>70</v>
      </c>
      <c r="E113" s="168"/>
      <c r="F113" s="162"/>
      <c r="G113" s="142">
        <v>1289.6</v>
      </c>
      <c r="H113" s="161"/>
      <c r="I113" s="161"/>
      <c r="J113" s="161"/>
      <c r="K113" s="161"/>
      <c r="L113" s="161" t="s">
        <v>1452</v>
      </c>
      <c r="M113" s="161" t="s">
        <v>354</v>
      </c>
      <c r="N113" s="142">
        <v>18.0</v>
      </c>
      <c r="O113" s="161" t="s">
        <v>367</v>
      </c>
      <c r="P113" s="161"/>
      <c r="S113" s="142"/>
      <c r="T113" s="165"/>
      <c r="V113" s="166"/>
      <c r="W113" s="166"/>
      <c r="X113" s="166"/>
      <c r="Y113" s="166"/>
    </row>
    <row r="114" ht="22.5" customHeight="1">
      <c r="A114" s="184" t="s">
        <v>367</v>
      </c>
      <c r="B114" s="175" t="s">
        <v>1488</v>
      </c>
      <c r="C114" s="169" t="s">
        <v>495</v>
      </c>
      <c r="D114" s="169" t="s">
        <v>70</v>
      </c>
      <c r="E114" s="167"/>
      <c r="F114" s="162"/>
      <c r="G114" s="142">
        <v>6742.07</v>
      </c>
      <c r="H114" s="161"/>
      <c r="I114" s="161"/>
      <c r="J114" s="161"/>
      <c r="K114" s="161"/>
      <c r="L114" s="161" t="s">
        <v>1452</v>
      </c>
      <c r="M114" s="161" t="s">
        <v>354</v>
      </c>
      <c r="N114" s="142">
        <v>18.0</v>
      </c>
      <c r="O114" s="161" t="s">
        <v>367</v>
      </c>
      <c r="P114" s="161"/>
      <c r="S114" s="142"/>
      <c r="T114" s="165"/>
      <c r="V114" s="166"/>
      <c r="W114" s="166"/>
      <c r="X114" s="166"/>
      <c r="Y114" s="166"/>
    </row>
    <row r="115" ht="22.5" customHeight="1">
      <c r="A115" s="185" t="s">
        <v>367</v>
      </c>
      <c r="B115" s="172" t="s">
        <v>1488</v>
      </c>
      <c r="C115" s="173" t="s">
        <v>495</v>
      </c>
      <c r="D115" s="173" t="s">
        <v>70</v>
      </c>
      <c r="E115" s="168"/>
      <c r="F115" s="162"/>
      <c r="G115" s="142">
        <v>12801.36</v>
      </c>
      <c r="H115" s="161"/>
      <c r="I115" s="161"/>
      <c r="J115" s="161"/>
      <c r="K115" s="161"/>
      <c r="L115" s="161" t="s">
        <v>1452</v>
      </c>
      <c r="M115" s="161" t="s">
        <v>354</v>
      </c>
      <c r="N115" s="142">
        <v>18.0</v>
      </c>
      <c r="O115" s="161" t="s">
        <v>367</v>
      </c>
      <c r="P115" s="161"/>
      <c r="S115" s="142"/>
      <c r="T115" s="165"/>
      <c r="V115" s="166"/>
      <c r="W115" s="166"/>
      <c r="X115" s="166"/>
      <c r="Y115" s="166"/>
    </row>
    <row r="116" ht="22.5" customHeight="1">
      <c r="A116" s="184" t="s">
        <v>367</v>
      </c>
      <c r="B116" s="175" t="s">
        <v>1488</v>
      </c>
      <c r="C116" s="169" t="s">
        <v>495</v>
      </c>
      <c r="D116" s="169" t="s">
        <v>70</v>
      </c>
      <c r="E116" s="167"/>
      <c r="F116" s="162"/>
      <c r="G116" s="142">
        <v>16022.87</v>
      </c>
      <c r="H116" s="161"/>
      <c r="I116" s="161"/>
      <c r="J116" s="161"/>
      <c r="K116" s="161"/>
      <c r="L116" s="161" t="s">
        <v>1452</v>
      </c>
      <c r="M116" s="161" t="s">
        <v>354</v>
      </c>
      <c r="N116" s="142">
        <v>18.0</v>
      </c>
      <c r="O116" s="161" t="s">
        <v>367</v>
      </c>
      <c r="P116" s="161"/>
      <c r="S116" s="142"/>
      <c r="T116" s="165"/>
      <c r="V116" s="166"/>
      <c r="W116" s="166"/>
      <c r="X116" s="166"/>
      <c r="Y116" s="166"/>
    </row>
    <row r="117" ht="22.5" customHeight="1">
      <c r="A117" s="161" t="s">
        <v>18</v>
      </c>
      <c r="B117" s="162" t="s">
        <v>1217</v>
      </c>
      <c r="C117" s="161"/>
      <c r="D117" s="180"/>
      <c r="E117" s="167"/>
      <c r="F117" s="162"/>
      <c r="G117" s="142">
        <v>120730.46</v>
      </c>
      <c r="H117" s="161"/>
      <c r="I117" s="161"/>
      <c r="J117" s="161"/>
      <c r="K117" s="161"/>
      <c r="L117" s="161" t="s">
        <v>1452</v>
      </c>
      <c r="M117" s="161" t="s">
        <v>354</v>
      </c>
      <c r="N117" s="142">
        <v>33.0</v>
      </c>
      <c r="O117" s="161" t="s">
        <v>397</v>
      </c>
      <c r="P117" s="161"/>
      <c r="S117" s="142"/>
      <c r="T117" s="165"/>
      <c r="V117" s="166"/>
      <c r="W117" s="166"/>
      <c r="X117" s="166"/>
      <c r="Y117" s="166"/>
    </row>
    <row r="118" ht="22.5" customHeight="1">
      <c r="A118" s="161" t="s">
        <v>18</v>
      </c>
      <c r="B118" s="162" t="s">
        <v>1217</v>
      </c>
      <c r="C118" s="161"/>
      <c r="D118" s="181"/>
      <c r="E118" s="168"/>
      <c r="F118" s="162"/>
      <c r="G118" s="142">
        <v>134499.29</v>
      </c>
      <c r="H118" s="161"/>
      <c r="I118" s="161"/>
      <c r="J118" s="161"/>
      <c r="K118" s="161"/>
      <c r="L118" s="161" t="s">
        <v>1452</v>
      </c>
      <c r="M118" s="161" t="s">
        <v>354</v>
      </c>
      <c r="N118" s="142">
        <v>33.0</v>
      </c>
      <c r="O118" s="161" t="s">
        <v>397</v>
      </c>
      <c r="P118" s="161"/>
      <c r="S118" s="142"/>
      <c r="T118" s="165"/>
      <c r="V118" s="166"/>
      <c r="W118" s="166"/>
      <c r="X118" s="166"/>
      <c r="Y118" s="166"/>
    </row>
    <row r="119" ht="22.5" customHeight="1">
      <c r="A119" s="161" t="s">
        <v>349</v>
      </c>
      <c r="B119" s="162" t="s">
        <v>1283</v>
      </c>
      <c r="C119" s="161" t="s">
        <v>20</v>
      </c>
      <c r="D119" s="180"/>
      <c r="E119" s="167"/>
      <c r="F119" s="162"/>
      <c r="G119" s="142">
        <v>92098.01</v>
      </c>
      <c r="H119" s="161"/>
      <c r="I119" s="161"/>
      <c r="J119" s="161"/>
      <c r="K119" s="161"/>
      <c r="L119" s="161" t="s">
        <v>1452</v>
      </c>
      <c r="M119" s="161" t="s">
        <v>354</v>
      </c>
      <c r="N119" s="142">
        <v>38.0</v>
      </c>
      <c r="O119" s="161" t="s">
        <v>377</v>
      </c>
      <c r="P119" s="161"/>
      <c r="S119" s="142"/>
      <c r="T119" s="165"/>
      <c r="V119" s="166"/>
      <c r="W119" s="166"/>
      <c r="X119" s="166"/>
      <c r="Y119" s="166"/>
    </row>
    <row r="120" ht="22.5" customHeight="1">
      <c r="A120" s="161" t="s">
        <v>378</v>
      </c>
      <c r="B120" s="162" t="s">
        <v>1489</v>
      </c>
      <c r="C120" s="4" t="s">
        <v>370</v>
      </c>
      <c r="D120" s="4" t="s">
        <v>371</v>
      </c>
      <c r="E120" s="168"/>
      <c r="F120" s="162"/>
      <c r="G120" s="142">
        <v>19503.8</v>
      </c>
      <c r="H120" s="161"/>
      <c r="I120" s="161"/>
      <c r="J120" s="161"/>
      <c r="K120" s="161"/>
      <c r="L120" s="161" t="s">
        <v>1452</v>
      </c>
      <c r="M120" s="161" t="s">
        <v>354</v>
      </c>
      <c r="N120" s="142">
        <v>18.0</v>
      </c>
      <c r="O120" s="161" t="s">
        <v>366</v>
      </c>
      <c r="P120" s="161"/>
      <c r="S120" s="142"/>
      <c r="T120" s="165"/>
      <c r="V120" s="166"/>
      <c r="W120" s="166"/>
      <c r="X120" s="166"/>
      <c r="Y120" s="166"/>
    </row>
    <row r="121" ht="22.5" customHeight="1">
      <c r="A121" s="185" t="s">
        <v>1490</v>
      </c>
      <c r="B121" s="172" t="s">
        <v>1491</v>
      </c>
      <c r="C121" s="173" t="s">
        <v>31</v>
      </c>
      <c r="D121" s="173" t="s">
        <v>54</v>
      </c>
      <c r="E121" s="167"/>
      <c r="F121" s="162"/>
      <c r="G121" s="142">
        <v>6000.0</v>
      </c>
      <c r="H121" s="161"/>
      <c r="I121" s="161"/>
      <c r="J121" s="161"/>
      <c r="K121" s="161"/>
      <c r="L121" s="161" t="s">
        <v>1452</v>
      </c>
      <c r="M121" s="161" t="s">
        <v>354</v>
      </c>
      <c r="N121" s="142">
        <v>23.0</v>
      </c>
      <c r="O121" s="161" t="s">
        <v>437</v>
      </c>
      <c r="P121" s="161"/>
      <c r="S121" s="142"/>
      <c r="T121" s="165"/>
      <c r="V121" s="166"/>
      <c r="W121" s="166"/>
      <c r="X121" s="166"/>
      <c r="Y121" s="166"/>
    </row>
    <row r="122" ht="22.5" customHeight="1">
      <c r="A122" s="184" t="s">
        <v>1490</v>
      </c>
      <c r="B122" s="175" t="s">
        <v>1491</v>
      </c>
      <c r="C122" s="169" t="s">
        <v>31</v>
      </c>
      <c r="D122" s="169" t="s">
        <v>54</v>
      </c>
      <c r="E122" s="168"/>
      <c r="F122" s="162"/>
      <c r="G122" s="142">
        <v>6000.0</v>
      </c>
      <c r="H122" s="161"/>
      <c r="I122" s="161"/>
      <c r="J122" s="161"/>
      <c r="K122" s="161"/>
      <c r="L122" s="161" t="s">
        <v>1452</v>
      </c>
      <c r="M122" s="161" t="s">
        <v>354</v>
      </c>
      <c r="N122" s="142">
        <v>23.0</v>
      </c>
      <c r="O122" s="161" t="s">
        <v>437</v>
      </c>
      <c r="P122" s="161"/>
      <c r="S122" s="142"/>
      <c r="T122" s="165"/>
      <c r="V122" s="166"/>
      <c r="W122" s="166"/>
      <c r="X122" s="166"/>
      <c r="Y122" s="166"/>
    </row>
    <row r="123" ht="22.5" customHeight="1">
      <c r="A123" s="27" t="s">
        <v>1492</v>
      </c>
      <c r="B123" s="162" t="s">
        <v>1493</v>
      </c>
      <c r="C123" s="161"/>
      <c r="D123" s="180"/>
      <c r="E123" s="167"/>
      <c r="F123" s="162"/>
      <c r="G123" s="142">
        <v>14863.25</v>
      </c>
      <c r="H123" s="161"/>
      <c r="I123" s="161"/>
      <c r="J123" s="161"/>
      <c r="K123" s="161"/>
      <c r="L123" s="161" t="s">
        <v>1452</v>
      </c>
      <c r="M123" s="161" t="s">
        <v>354</v>
      </c>
      <c r="N123" s="142">
        <v>23.0</v>
      </c>
      <c r="O123" s="161" t="s">
        <v>437</v>
      </c>
      <c r="P123" s="161"/>
      <c r="S123" s="142"/>
      <c r="T123" s="165"/>
      <c r="V123" s="166"/>
      <c r="W123" s="166"/>
      <c r="X123" s="166"/>
      <c r="Y123" s="166"/>
    </row>
    <row r="124" ht="22.5" customHeight="1">
      <c r="A124" s="161" t="s">
        <v>385</v>
      </c>
      <c r="B124" s="162" t="s">
        <v>1335</v>
      </c>
      <c r="C124" s="4" t="s">
        <v>31</v>
      </c>
      <c r="D124" s="12" t="s">
        <v>54</v>
      </c>
      <c r="E124" s="168"/>
      <c r="F124" s="162"/>
      <c r="G124" s="186">
        <v>2681.295556</v>
      </c>
      <c r="H124" s="161"/>
      <c r="I124" s="161"/>
      <c r="J124" s="161"/>
      <c r="K124" s="161"/>
      <c r="L124" s="161" t="s">
        <v>1452</v>
      </c>
      <c r="M124" s="161" t="s">
        <v>354</v>
      </c>
      <c r="N124" s="142">
        <v>40.0</v>
      </c>
      <c r="O124" s="161" t="s">
        <v>385</v>
      </c>
      <c r="P124" s="161"/>
      <c r="S124" s="142"/>
      <c r="T124" s="165"/>
      <c r="V124" s="166"/>
      <c r="W124" s="166"/>
      <c r="X124" s="166"/>
      <c r="Y124" s="166"/>
    </row>
    <row r="125" ht="22.5" customHeight="1">
      <c r="A125" s="161" t="s">
        <v>385</v>
      </c>
      <c r="B125" s="162" t="s">
        <v>1335</v>
      </c>
      <c r="C125" s="4" t="s">
        <v>31</v>
      </c>
      <c r="D125" s="12" t="s">
        <v>98</v>
      </c>
      <c r="E125" s="167"/>
      <c r="F125" s="162"/>
      <c r="G125" s="186">
        <v>191.5211111</v>
      </c>
      <c r="H125" s="161"/>
      <c r="I125" s="161"/>
      <c r="J125" s="161"/>
      <c r="K125" s="161"/>
      <c r="L125" s="161" t="s">
        <v>1452</v>
      </c>
      <c r="M125" s="161" t="s">
        <v>354</v>
      </c>
      <c r="N125" s="142">
        <v>40.0</v>
      </c>
      <c r="O125" s="161" t="s">
        <v>385</v>
      </c>
      <c r="P125" s="161"/>
      <c r="S125" s="142"/>
      <c r="T125" s="165"/>
      <c r="V125" s="166"/>
      <c r="W125" s="166"/>
      <c r="X125" s="166"/>
      <c r="Y125" s="166"/>
    </row>
    <row r="126" ht="22.5" customHeight="1">
      <c r="A126" s="161" t="s">
        <v>385</v>
      </c>
      <c r="B126" s="162" t="s">
        <v>1335</v>
      </c>
      <c r="C126" s="4" t="s">
        <v>20</v>
      </c>
      <c r="D126" s="12" t="s">
        <v>21</v>
      </c>
      <c r="E126" s="168"/>
      <c r="F126" s="162"/>
      <c r="G126" s="186">
        <v>3638.901111</v>
      </c>
      <c r="H126" s="161"/>
      <c r="I126" s="161"/>
      <c r="J126" s="161"/>
      <c r="K126" s="161"/>
      <c r="L126" s="161" t="s">
        <v>1452</v>
      </c>
      <c r="M126" s="161" t="s">
        <v>354</v>
      </c>
      <c r="N126" s="142">
        <v>40.0</v>
      </c>
      <c r="O126" s="161" t="s">
        <v>385</v>
      </c>
      <c r="P126" s="161"/>
      <c r="S126" s="142"/>
      <c r="T126" s="165"/>
      <c r="V126" s="166"/>
      <c r="W126" s="166"/>
      <c r="X126" s="166"/>
      <c r="Y126" s="166"/>
    </row>
    <row r="127" ht="22.5" customHeight="1">
      <c r="A127" s="161" t="s">
        <v>385</v>
      </c>
      <c r="B127" s="162" t="s">
        <v>1335</v>
      </c>
      <c r="C127" s="4" t="s">
        <v>31</v>
      </c>
      <c r="D127" s="12" t="s">
        <v>187</v>
      </c>
      <c r="E127" s="167"/>
      <c r="F127" s="162"/>
      <c r="G127" s="186">
        <v>510.722963</v>
      </c>
      <c r="H127" s="161"/>
      <c r="I127" s="161"/>
      <c r="J127" s="161"/>
      <c r="K127" s="161"/>
      <c r="L127" s="161" t="s">
        <v>1452</v>
      </c>
      <c r="M127" s="161" t="s">
        <v>354</v>
      </c>
      <c r="N127" s="142">
        <v>40.0</v>
      </c>
      <c r="O127" s="161" t="s">
        <v>385</v>
      </c>
      <c r="P127" s="161"/>
      <c r="S127" s="142"/>
      <c r="T127" s="165"/>
      <c r="V127" s="166"/>
      <c r="W127" s="166"/>
      <c r="X127" s="166"/>
      <c r="Y127" s="166"/>
    </row>
    <row r="128" ht="22.5" customHeight="1">
      <c r="A128" s="161" t="s">
        <v>385</v>
      </c>
      <c r="B128" s="162" t="s">
        <v>1335</v>
      </c>
      <c r="C128" s="4" t="s">
        <v>31</v>
      </c>
      <c r="D128" s="12" t="s">
        <v>38</v>
      </c>
      <c r="E128" s="168"/>
      <c r="F128" s="162"/>
      <c r="G128" s="186">
        <v>287.2816667</v>
      </c>
      <c r="H128" s="161"/>
      <c r="I128" s="161"/>
      <c r="J128" s="161"/>
      <c r="K128" s="161"/>
      <c r="L128" s="161" t="s">
        <v>1452</v>
      </c>
      <c r="M128" s="161" t="s">
        <v>354</v>
      </c>
      <c r="N128" s="142">
        <v>40.0</v>
      </c>
      <c r="O128" s="161" t="s">
        <v>385</v>
      </c>
      <c r="P128" s="161"/>
      <c r="S128" s="142"/>
      <c r="T128" s="165"/>
      <c r="V128" s="166"/>
      <c r="W128" s="166"/>
      <c r="X128" s="166"/>
      <c r="Y128" s="166"/>
    </row>
    <row r="129" ht="22.5" customHeight="1">
      <c r="A129" s="161" t="s">
        <v>385</v>
      </c>
      <c r="B129" s="162" t="s">
        <v>1335</v>
      </c>
      <c r="C129" s="4" t="s">
        <v>31</v>
      </c>
      <c r="D129" s="12" t="s">
        <v>47</v>
      </c>
      <c r="E129" s="168"/>
      <c r="F129" s="162"/>
      <c r="G129" s="186">
        <v>1021.445926</v>
      </c>
      <c r="H129" s="161"/>
      <c r="I129" s="161"/>
      <c r="J129" s="161"/>
      <c r="K129" s="161"/>
      <c r="L129" s="161" t="s">
        <v>1452</v>
      </c>
      <c r="M129" s="161" t="s">
        <v>354</v>
      </c>
      <c r="N129" s="142">
        <v>40.0</v>
      </c>
      <c r="O129" s="161"/>
      <c r="P129" s="161"/>
      <c r="S129" s="142"/>
      <c r="T129" s="165"/>
      <c r="V129" s="166"/>
      <c r="W129" s="166"/>
      <c r="X129" s="166"/>
      <c r="Y129" s="166"/>
    </row>
    <row r="130" ht="22.5" customHeight="1">
      <c r="A130" s="161" t="s">
        <v>385</v>
      </c>
      <c r="B130" s="162" t="s">
        <v>1335</v>
      </c>
      <c r="C130" s="4" t="s">
        <v>31</v>
      </c>
      <c r="D130" s="12" t="s">
        <v>113</v>
      </c>
      <c r="E130" s="168"/>
      <c r="F130" s="162"/>
      <c r="G130" s="186">
        <v>287.2816667</v>
      </c>
      <c r="H130" s="161"/>
      <c r="I130" s="161"/>
      <c r="J130" s="161"/>
      <c r="K130" s="161"/>
      <c r="L130" s="161" t="s">
        <v>1452</v>
      </c>
      <c r="M130" s="161" t="s">
        <v>354</v>
      </c>
      <c r="N130" s="142">
        <v>40.0</v>
      </c>
      <c r="O130" s="161"/>
      <c r="P130" s="161"/>
      <c r="S130" s="142"/>
      <c r="T130" s="165"/>
      <c r="V130" s="166"/>
      <c r="W130" s="166"/>
      <c r="X130" s="166"/>
      <c r="Y130" s="166"/>
    </row>
    <row r="131" ht="22.5" customHeight="1">
      <c r="A131" s="161" t="s">
        <v>18</v>
      </c>
      <c r="B131" s="162" t="s">
        <v>1415</v>
      </c>
      <c r="C131" s="161"/>
      <c r="D131" s="183"/>
      <c r="E131" s="168"/>
      <c r="F131" s="162"/>
      <c r="G131" s="142">
        <v>9301.45</v>
      </c>
      <c r="H131" s="161"/>
      <c r="I131" s="161"/>
      <c r="J131" s="161"/>
      <c r="K131" s="161"/>
      <c r="L131" s="161" t="s">
        <v>1452</v>
      </c>
      <c r="M131" s="161" t="s">
        <v>354</v>
      </c>
      <c r="N131" s="142">
        <v>26.0</v>
      </c>
      <c r="O131" s="161" t="s">
        <v>355</v>
      </c>
      <c r="P131" s="161"/>
      <c r="S131" s="142"/>
      <c r="T131" s="165"/>
      <c r="V131" s="166"/>
      <c r="W131" s="166"/>
      <c r="X131" s="166"/>
      <c r="Y131" s="166"/>
    </row>
    <row r="132" ht="22.5" customHeight="1">
      <c r="A132" s="161" t="s">
        <v>18</v>
      </c>
      <c r="B132" s="162" t="s">
        <v>1415</v>
      </c>
      <c r="C132" s="161"/>
      <c r="D132" s="182"/>
      <c r="E132" s="167"/>
      <c r="F132" s="162"/>
      <c r="G132" s="142">
        <v>43879.32</v>
      </c>
      <c r="H132" s="161"/>
      <c r="I132" s="161"/>
      <c r="J132" s="161"/>
      <c r="K132" s="161"/>
      <c r="L132" s="161" t="s">
        <v>1452</v>
      </c>
      <c r="M132" s="161" t="s">
        <v>354</v>
      </c>
      <c r="N132" s="142">
        <v>26.0</v>
      </c>
      <c r="O132" s="161" t="s">
        <v>355</v>
      </c>
      <c r="P132" s="161"/>
      <c r="S132" s="142"/>
      <c r="T132" s="165"/>
      <c r="V132" s="166"/>
      <c r="W132" s="166"/>
      <c r="X132" s="166"/>
      <c r="Y132" s="166"/>
    </row>
    <row r="133" ht="22.5" customHeight="1">
      <c r="A133" s="161" t="s">
        <v>18</v>
      </c>
      <c r="B133" s="162" t="s">
        <v>1415</v>
      </c>
      <c r="C133" s="161"/>
      <c r="D133" s="183"/>
      <c r="E133" s="168"/>
      <c r="F133" s="162"/>
      <c r="G133" s="142">
        <v>58779.36</v>
      </c>
      <c r="H133" s="161"/>
      <c r="I133" s="161"/>
      <c r="J133" s="161"/>
      <c r="K133" s="161"/>
      <c r="L133" s="161" t="s">
        <v>1452</v>
      </c>
      <c r="M133" s="161" t="s">
        <v>354</v>
      </c>
      <c r="N133" s="142">
        <v>26.0</v>
      </c>
      <c r="O133" s="161" t="s">
        <v>355</v>
      </c>
      <c r="P133" s="161"/>
      <c r="S133" s="142"/>
      <c r="T133" s="165"/>
      <c r="V133" s="166"/>
      <c r="W133" s="166"/>
      <c r="X133" s="166"/>
      <c r="Y133" s="166"/>
    </row>
    <row r="134" ht="22.5" customHeight="1">
      <c r="A134" s="161" t="s">
        <v>18</v>
      </c>
      <c r="B134" s="162" t="s">
        <v>1415</v>
      </c>
      <c r="C134" s="161"/>
      <c r="D134" s="182"/>
      <c r="E134" s="167"/>
      <c r="F134" s="162"/>
      <c r="G134" s="142">
        <v>262500.0</v>
      </c>
      <c r="H134" s="161"/>
      <c r="I134" s="161"/>
      <c r="J134" s="161"/>
      <c r="K134" s="161"/>
      <c r="L134" s="161" t="s">
        <v>1452</v>
      </c>
      <c r="M134" s="161" t="s">
        <v>354</v>
      </c>
      <c r="N134" s="142">
        <v>26.0</v>
      </c>
      <c r="O134" s="161" t="s">
        <v>355</v>
      </c>
      <c r="P134" s="161"/>
      <c r="S134" s="142"/>
      <c r="T134" s="165"/>
      <c r="V134" s="166"/>
      <c r="W134" s="166"/>
      <c r="X134" s="166"/>
      <c r="Y134" s="166"/>
    </row>
    <row r="135" ht="22.5" customHeight="1">
      <c r="A135" s="161" t="s">
        <v>18</v>
      </c>
      <c r="B135" s="162" t="s">
        <v>1415</v>
      </c>
      <c r="C135" s="161"/>
      <c r="D135" s="183"/>
      <c r="E135" s="168"/>
      <c r="F135" s="162"/>
      <c r="G135" s="142">
        <v>262500.0</v>
      </c>
      <c r="H135" s="161"/>
      <c r="I135" s="161"/>
      <c r="J135" s="161"/>
      <c r="K135" s="161"/>
      <c r="L135" s="161" t="s">
        <v>1452</v>
      </c>
      <c r="M135" s="161" t="s">
        <v>354</v>
      </c>
      <c r="N135" s="142">
        <v>26.0</v>
      </c>
      <c r="O135" s="161" t="s">
        <v>355</v>
      </c>
      <c r="P135" s="161"/>
      <c r="S135" s="142"/>
      <c r="T135" s="165"/>
      <c r="V135" s="166"/>
      <c r="W135" s="166"/>
      <c r="X135" s="166"/>
      <c r="Y135" s="166"/>
    </row>
    <row r="136" ht="22.5" customHeight="1">
      <c r="A136" s="184" t="s">
        <v>1490</v>
      </c>
      <c r="B136" s="175" t="s">
        <v>1494</v>
      </c>
      <c r="C136" s="169" t="s">
        <v>495</v>
      </c>
      <c r="D136" s="169" t="s">
        <v>67</v>
      </c>
      <c r="E136" s="168"/>
      <c r="F136" s="162"/>
      <c r="G136" s="142">
        <v>9500.0</v>
      </c>
      <c r="H136" s="161"/>
      <c r="I136" s="161"/>
      <c r="J136" s="161"/>
      <c r="K136" s="161"/>
      <c r="L136" s="161" t="s">
        <v>1452</v>
      </c>
      <c r="M136" s="161" t="s">
        <v>354</v>
      </c>
      <c r="N136" s="142">
        <v>23.0</v>
      </c>
      <c r="O136" s="161" t="s">
        <v>437</v>
      </c>
      <c r="P136" s="161"/>
      <c r="S136" s="142"/>
      <c r="T136" s="165"/>
      <c r="V136" s="166"/>
      <c r="W136" s="166"/>
      <c r="X136" s="166"/>
      <c r="Y136" s="166"/>
    </row>
    <row r="137" ht="22.5" customHeight="1">
      <c r="A137" s="161" t="s">
        <v>378</v>
      </c>
      <c r="B137" s="162" t="s">
        <v>1495</v>
      </c>
      <c r="C137" s="4" t="s">
        <v>20</v>
      </c>
      <c r="D137" s="4" t="s">
        <v>371</v>
      </c>
      <c r="E137" s="167"/>
      <c r="F137" s="162"/>
      <c r="G137" s="142">
        <v>17306.48</v>
      </c>
      <c r="H137" s="161"/>
      <c r="I137" s="161"/>
      <c r="J137" s="161"/>
      <c r="K137" s="161"/>
      <c r="L137" s="161" t="s">
        <v>1452</v>
      </c>
      <c r="M137" s="161" t="s">
        <v>354</v>
      </c>
      <c r="N137" s="142">
        <v>18.0</v>
      </c>
      <c r="O137" s="161" t="s">
        <v>366</v>
      </c>
      <c r="P137" s="161"/>
      <c r="S137" s="142"/>
      <c r="T137" s="165"/>
      <c r="V137" s="166"/>
      <c r="W137" s="166"/>
      <c r="X137" s="166"/>
      <c r="Y137" s="166"/>
    </row>
    <row r="138" ht="22.5" customHeight="1">
      <c r="A138" s="161" t="s">
        <v>451</v>
      </c>
      <c r="B138" s="162" t="s">
        <v>1372</v>
      </c>
      <c r="C138" s="4" t="s">
        <v>20</v>
      </c>
      <c r="D138" s="4" t="s">
        <v>21</v>
      </c>
      <c r="E138" s="167"/>
      <c r="F138" s="162"/>
      <c r="G138" s="142">
        <v>603.51</v>
      </c>
      <c r="H138" s="161"/>
      <c r="I138" s="161"/>
      <c r="J138" s="161"/>
      <c r="K138" s="161"/>
      <c r="L138" s="161" t="s">
        <v>1452</v>
      </c>
      <c r="M138" s="161" t="s">
        <v>354</v>
      </c>
      <c r="N138" s="142">
        <v>23.0</v>
      </c>
      <c r="O138" s="161" t="s">
        <v>437</v>
      </c>
      <c r="P138" s="161"/>
      <c r="S138" s="142"/>
      <c r="T138" s="165"/>
      <c r="V138" s="166"/>
      <c r="W138" s="166"/>
      <c r="X138" s="166"/>
      <c r="Y138" s="166"/>
    </row>
    <row r="139" ht="22.5" customHeight="1">
      <c r="A139" s="161" t="s">
        <v>451</v>
      </c>
      <c r="B139" s="162" t="s">
        <v>1372</v>
      </c>
      <c r="C139" s="4" t="s">
        <v>20</v>
      </c>
      <c r="D139" s="4" t="s">
        <v>21</v>
      </c>
      <c r="E139" s="168"/>
      <c r="F139" s="162"/>
      <c r="G139" s="142">
        <v>1034.48</v>
      </c>
      <c r="H139" s="161"/>
      <c r="I139" s="161"/>
      <c r="J139" s="161"/>
      <c r="K139" s="161"/>
      <c r="L139" s="161" t="s">
        <v>1452</v>
      </c>
      <c r="M139" s="161" t="s">
        <v>354</v>
      </c>
      <c r="N139" s="142">
        <v>23.0</v>
      </c>
      <c r="O139" s="161" t="s">
        <v>437</v>
      </c>
      <c r="P139" s="161"/>
      <c r="S139" s="142"/>
      <c r="T139" s="165"/>
      <c r="V139" s="166"/>
      <c r="W139" s="166"/>
      <c r="X139" s="166"/>
      <c r="Y139" s="166"/>
    </row>
    <row r="140" ht="22.5" customHeight="1">
      <c r="A140" s="161" t="s">
        <v>451</v>
      </c>
      <c r="B140" s="162" t="s">
        <v>1372</v>
      </c>
      <c r="C140" s="4" t="s">
        <v>20</v>
      </c>
      <c r="D140" s="4" t="s">
        <v>21</v>
      </c>
      <c r="E140" s="167"/>
      <c r="F140" s="162"/>
      <c r="G140" s="142">
        <v>1120.69</v>
      </c>
      <c r="H140" s="161"/>
      <c r="I140" s="161"/>
      <c r="J140" s="161"/>
      <c r="K140" s="161"/>
      <c r="L140" s="161" t="s">
        <v>1452</v>
      </c>
      <c r="M140" s="161" t="s">
        <v>354</v>
      </c>
      <c r="N140" s="142">
        <v>23.0</v>
      </c>
      <c r="O140" s="161" t="s">
        <v>437</v>
      </c>
      <c r="P140" s="161"/>
      <c r="S140" s="142"/>
      <c r="T140" s="165"/>
      <c r="V140" s="166"/>
      <c r="W140" s="166"/>
      <c r="X140" s="166"/>
      <c r="Y140" s="166"/>
    </row>
    <row r="141" ht="22.5" customHeight="1">
      <c r="A141" s="161" t="s">
        <v>349</v>
      </c>
      <c r="B141" s="162" t="s">
        <v>1278</v>
      </c>
      <c r="C141" s="161" t="s">
        <v>20</v>
      </c>
      <c r="D141" s="183"/>
      <c r="E141" s="168"/>
      <c r="F141" s="162"/>
      <c r="G141" s="142">
        <v>108936.1</v>
      </c>
      <c r="H141" s="161"/>
      <c r="I141" s="161"/>
      <c r="J141" s="161"/>
      <c r="K141" s="161"/>
      <c r="L141" s="161" t="s">
        <v>1452</v>
      </c>
      <c r="M141" s="161" t="s">
        <v>354</v>
      </c>
      <c r="N141" s="142">
        <v>6.0</v>
      </c>
      <c r="O141" s="161" t="s">
        <v>1279</v>
      </c>
      <c r="P141" s="161"/>
      <c r="S141" s="142"/>
      <c r="T141" s="165"/>
      <c r="V141" s="166"/>
      <c r="W141" s="166"/>
      <c r="X141" s="166"/>
      <c r="Y141" s="166"/>
    </row>
    <row r="142" ht="22.5" customHeight="1">
      <c r="A142" s="185" t="s">
        <v>437</v>
      </c>
      <c r="B142" s="172" t="s">
        <v>1496</v>
      </c>
      <c r="C142" s="173" t="s">
        <v>20</v>
      </c>
      <c r="D142" s="173" t="s">
        <v>21</v>
      </c>
      <c r="E142" s="168"/>
      <c r="F142" s="162"/>
      <c r="G142" s="142">
        <v>19150.0</v>
      </c>
      <c r="H142" s="161"/>
      <c r="I142" s="161"/>
      <c r="J142" s="161"/>
      <c r="K142" s="161"/>
      <c r="L142" s="161" t="s">
        <v>1452</v>
      </c>
      <c r="M142" s="161" t="s">
        <v>354</v>
      </c>
      <c r="N142" s="142">
        <v>23.0</v>
      </c>
      <c r="O142" s="161" t="s">
        <v>437</v>
      </c>
      <c r="P142" s="161"/>
      <c r="S142" s="142"/>
      <c r="T142" s="165"/>
      <c r="V142" s="166"/>
      <c r="W142" s="166"/>
      <c r="X142" s="166"/>
      <c r="Y142" s="166"/>
    </row>
    <row r="143" ht="22.5" customHeight="1">
      <c r="A143" s="27" t="s">
        <v>516</v>
      </c>
      <c r="B143" s="162" t="s">
        <v>1497</v>
      </c>
      <c r="C143" s="27" t="s">
        <v>31</v>
      </c>
      <c r="D143" s="163" t="s">
        <v>38</v>
      </c>
      <c r="E143" s="168"/>
      <c r="F143" s="162"/>
      <c r="G143" s="142">
        <v>47572.2</v>
      </c>
      <c r="H143" s="161"/>
      <c r="I143" s="161"/>
      <c r="J143" s="161"/>
      <c r="K143" s="161"/>
      <c r="L143" s="161" t="s">
        <v>1452</v>
      </c>
      <c r="M143" s="161" t="s">
        <v>354</v>
      </c>
      <c r="N143" s="142">
        <v>32.0</v>
      </c>
      <c r="O143" s="161" t="s">
        <v>516</v>
      </c>
      <c r="P143" s="161"/>
      <c r="S143" s="142"/>
      <c r="T143" s="165"/>
      <c r="V143" s="166"/>
      <c r="W143" s="166"/>
      <c r="X143" s="166"/>
      <c r="Y143" s="166"/>
    </row>
    <row r="144" ht="22.5" customHeight="1">
      <c r="A144" s="161" t="s">
        <v>18</v>
      </c>
      <c r="B144" s="162" t="s">
        <v>1183</v>
      </c>
      <c r="C144" s="161"/>
      <c r="D144" s="181"/>
      <c r="E144" s="168"/>
      <c r="F144" s="162"/>
      <c r="G144" s="142">
        <v>3664.0</v>
      </c>
      <c r="H144" s="161"/>
      <c r="I144" s="161"/>
      <c r="J144" s="161"/>
      <c r="K144" s="161"/>
      <c r="L144" s="161" t="s">
        <v>1452</v>
      </c>
      <c r="M144" s="161" t="s">
        <v>354</v>
      </c>
      <c r="N144" s="142">
        <v>500.0</v>
      </c>
      <c r="O144" s="161" t="s">
        <v>1185</v>
      </c>
      <c r="P144" s="161"/>
      <c r="S144" s="142"/>
      <c r="T144" s="165"/>
      <c r="V144" s="166"/>
      <c r="W144" s="166"/>
      <c r="X144" s="166"/>
      <c r="Y144" s="166"/>
    </row>
    <row r="145" ht="22.5" customHeight="1">
      <c r="A145" s="27" t="s">
        <v>483</v>
      </c>
      <c r="B145" s="162" t="s">
        <v>1498</v>
      </c>
      <c r="C145" s="2" t="s">
        <v>31</v>
      </c>
      <c r="D145" s="4" t="s">
        <v>371</v>
      </c>
      <c r="E145" s="168"/>
      <c r="F145" s="162"/>
      <c r="G145" s="142">
        <v>52646.65</v>
      </c>
      <c r="H145" s="161"/>
      <c r="I145" s="161"/>
      <c r="J145" s="161"/>
      <c r="K145" s="161"/>
      <c r="L145" s="161" t="s">
        <v>1499</v>
      </c>
      <c r="M145" s="161" t="s">
        <v>408</v>
      </c>
      <c r="N145" s="142">
        <v>259.0</v>
      </c>
      <c r="O145" s="161" t="s">
        <v>385</v>
      </c>
      <c r="P145" s="161"/>
      <c r="S145" s="142"/>
      <c r="T145" s="165"/>
      <c r="V145" s="166"/>
      <c r="W145" s="166"/>
      <c r="X145" s="166"/>
      <c r="Y145" s="166"/>
    </row>
    <row r="146" ht="22.5" customHeight="1">
      <c r="A146" s="185" t="s">
        <v>453</v>
      </c>
      <c r="B146" s="172" t="s">
        <v>1500</v>
      </c>
      <c r="C146" s="173" t="s">
        <v>20</v>
      </c>
      <c r="D146" s="173" t="s">
        <v>21</v>
      </c>
      <c r="E146" s="168"/>
      <c r="F146" s="162"/>
      <c r="G146" s="142">
        <v>1222.48</v>
      </c>
      <c r="H146" s="161"/>
      <c r="I146" s="161"/>
      <c r="J146" s="161"/>
      <c r="K146" s="161"/>
      <c r="L146" s="161" t="s">
        <v>1452</v>
      </c>
      <c r="M146" s="161" t="s">
        <v>354</v>
      </c>
      <c r="N146" s="142">
        <v>7.0</v>
      </c>
      <c r="O146" s="161" t="s">
        <v>453</v>
      </c>
      <c r="P146" s="161"/>
      <c r="S146" s="142"/>
      <c r="T146" s="165"/>
      <c r="V146" s="166"/>
      <c r="W146" s="166"/>
      <c r="X146" s="166"/>
      <c r="Y146" s="166"/>
    </row>
    <row r="147" ht="22.5" customHeight="1">
      <c r="A147" s="161" t="s">
        <v>483</v>
      </c>
      <c r="B147" s="162" t="s">
        <v>1357</v>
      </c>
      <c r="C147" s="4" t="s">
        <v>495</v>
      </c>
      <c r="D147" s="163" t="s">
        <v>485</v>
      </c>
      <c r="E147" s="168"/>
      <c r="F147" s="162"/>
      <c r="G147" s="142">
        <v>-0.35</v>
      </c>
      <c r="H147" s="161"/>
      <c r="I147" s="161"/>
      <c r="J147" s="161"/>
      <c r="K147" s="161"/>
      <c r="L147" s="161" t="s">
        <v>1501</v>
      </c>
      <c r="M147" s="161" t="s">
        <v>408</v>
      </c>
      <c r="N147" s="142">
        <v>176.0</v>
      </c>
      <c r="O147" s="161" t="s">
        <v>459</v>
      </c>
      <c r="P147" s="161"/>
      <c r="S147" s="142"/>
      <c r="T147" s="165"/>
      <c r="V147" s="166"/>
      <c r="W147" s="166"/>
      <c r="X147" s="166"/>
      <c r="Y147" s="166"/>
    </row>
    <row r="148" ht="22.5" customHeight="1">
      <c r="A148" s="161" t="s">
        <v>483</v>
      </c>
      <c r="B148" s="162" t="s">
        <v>1357</v>
      </c>
      <c r="C148" s="4" t="s">
        <v>495</v>
      </c>
      <c r="D148" s="176" t="s">
        <v>371</v>
      </c>
      <c r="E148" s="167"/>
      <c r="F148" s="162"/>
      <c r="G148" s="142">
        <v>125391.42</v>
      </c>
      <c r="H148" s="161"/>
      <c r="I148" s="161"/>
      <c r="J148" s="161"/>
      <c r="K148" s="161"/>
      <c r="L148" s="161" t="s">
        <v>1501</v>
      </c>
      <c r="M148" s="161" t="s">
        <v>408</v>
      </c>
      <c r="N148" s="142">
        <v>176.0</v>
      </c>
      <c r="O148" s="161" t="s">
        <v>487</v>
      </c>
      <c r="P148" s="161"/>
      <c r="S148" s="142"/>
      <c r="T148" s="165"/>
      <c r="V148" s="166"/>
      <c r="W148" s="166"/>
      <c r="X148" s="166"/>
      <c r="Y148" s="166"/>
    </row>
    <row r="149" ht="22.5" customHeight="1">
      <c r="A149" s="184" t="s">
        <v>453</v>
      </c>
      <c r="B149" s="175" t="s">
        <v>1502</v>
      </c>
      <c r="C149" s="169" t="s">
        <v>20</v>
      </c>
      <c r="D149" s="169" t="s">
        <v>21</v>
      </c>
      <c r="E149" s="168"/>
      <c r="F149" s="162"/>
      <c r="G149" s="142">
        <v>6800.0</v>
      </c>
      <c r="H149" s="161"/>
      <c r="I149" s="161"/>
      <c r="J149" s="161"/>
      <c r="K149" s="161"/>
      <c r="L149" s="161" t="s">
        <v>1452</v>
      </c>
      <c r="M149" s="161" t="s">
        <v>354</v>
      </c>
      <c r="N149" s="142">
        <v>27.0</v>
      </c>
      <c r="O149" s="161" t="s">
        <v>453</v>
      </c>
      <c r="P149" s="161"/>
      <c r="S149" s="142"/>
      <c r="T149" s="165"/>
      <c r="V149" s="166"/>
      <c r="W149" s="166"/>
      <c r="X149" s="166"/>
      <c r="Y149" s="166"/>
    </row>
    <row r="150" ht="22.5" customHeight="1">
      <c r="A150" s="27" t="s">
        <v>391</v>
      </c>
      <c r="B150" s="162" t="s">
        <v>1503</v>
      </c>
      <c r="C150" s="4" t="s">
        <v>495</v>
      </c>
      <c r="D150" s="176" t="s">
        <v>67</v>
      </c>
      <c r="E150" s="167"/>
      <c r="F150" s="162"/>
      <c r="G150" s="142">
        <v>9000.0</v>
      </c>
      <c r="H150" s="161"/>
      <c r="I150" s="161"/>
      <c r="J150" s="161"/>
      <c r="K150" s="161"/>
      <c r="L150" s="161" t="s">
        <v>1452</v>
      </c>
      <c r="M150" s="161" t="s">
        <v>354</v>
      </c>
      <c r="N150" s="142">
        <v>35.0</v>
      </c>
      <c r="O150" s="161" t="s">
        <v>391</v>
      </c>
      <c r="P150" s="161"/>
      <c r="S150" s="144" t="s">
        <v>1504</v>
      </c>
      <c r="T150" s="165"/>
      <c r="V150" s="166"/>
      <c r="W150" s="166"/>
      <c r="X150" s="166"/>
      <c r="Y150" s="166"/>
    </row>
    <row r="151" ht="22.5" customHeight="1">
      <c r="A151" s="185" t="s">
        <v>389</v>
      </c>
      <c r="B151" s="172" t="s">
        <v>1505</v>
      </c>
      <c r="C151" s="173" t="s">
        <v>20</v>
      </c>
      <c r="D151" s="173" t="s">
        <v>21</v>
      </c>
      <c r="E151" s="168"/>
      <c r="F151" s="162"/>
      <c r="G151" s="142">
        <v>1034.48</v>
      </c>
      <c r="H151" s="161"/>
      <c r="I151" s="161"/>
      <c r="J151" s="161"/>
      <c r="K151" s="161"/>
      <c r="L151" s="161" t="s">
        <v>1452</v>
      </c>
      <c r="M151" s="161" t="s">
        <v>354</v>
      </c>
      <c r="N151" s="142">
        <v>18.0</v>
      </c>
      <c r="O151" s="161" t="s">
        <v>366</v>
      </c>
      <c r="P151" s="161"/>
      <c r="S151" s="142"/>
      <c r="T151" s="165"/>
      <c r="V151" s="166"/>
      <c r="W151" s="166"/>
      <c r="X151" s="166"/>
      <c r="Y151" s="166"/>
    </row>
    <row r="152" ht="22.5" customHeight="1">
      <c r="A152" s="184" t="s">
        <v>389</v>
      </c>
      <c r="B152" s="175" t="s">
        <v>1505</v>
      </c>
      <c r="C152" s="169" t="s">
        <v>20</v>
      </c>
      <c r="D152" s="169" t="s">
        <v>21</v>
      </c>
      <c r="E152" s="167"/>
      <c r="F152" s="162"/>
      <c r="G152" s="142">
        <v>2068.97</v>
      </c>
      <c r="H152" s="161"/>
      <c r="I152" s="161"/>
      <c r="J152" s="161"/>
      <c r="K152" s="161"/>
      <c r="L152" s="161" t="s">
        <v>1452</v>
      </c>
      <c r="M152" s="161" t="s">
        <v>354</v>
      </c>
      <c r="N152" s="142">
        <v>18.0</v>
      </c>
      <c r="O152" s="161" t="s">
        <v>366</v>
      </c>
      <c r="P152" s="161"/>
      <c r="S152" s="142"/>
      <c r="T152" s="165"/>
      <c r="V152" s="166"/>
      <c r="W152" s="166"/>
      <c r="X152" s="166"/>
      <c r="Y152" s="166"/>
    </row>
    <row r="153" ht="22.5" customHeight="1">
      <c r="A153" s="185" t="s">
        <v>389</v>
      </c>
      <c r="B153" s="172" t="s">
        <v>1505</v>
      </c>
      <c r="C153" s="173" t="s">
        <v>20</v>
      </c>
      <c r="D153" s="173" t="s">
        <v>21</v>
      </c>
      <c r="E153" s="168"/>
      <c r="F153" s="162"/>
      <c r="G153" s="142">
        <v>4741.38</v>
      </c>
      <c r="H153" s="161"/>
      <c r="I153" s="161"/>
      <c r="J153" s="161"/>
      <c r="K153" s="161"/>
      <c r="L153" s="161" t="s">
        <v>1452</v>
      </c>
      <c r="M153" s="161" t="s">
        <v>354</v>
      </c>
      <c r="N153" s="142">
        <v>18.0</v>
      </c>
      <c r="O153" s="161" t="s">
        <v>366</v>
      </c>
      <c r="P153" s="161"/>
      <c r="S153" s="142"/>
      <c r="T153" s="165"/>
      <c r="V153" s="166"/>
      <c r="W153" s="166"/>
      <c r="X153" s="166"/>
      <c r="Y153" s="166"/>
    </row>
    <row r="154" ht="22.5" customHeight="1">
      <c r="A154" s="161" t="s">
        <v>437</v>
      </c>
      <c r="B154" s="162" t="s">
        <v>1379</v>
      </c>
      <c r="C154" s="161" t="s">
        <v>20</v>
      </c>
      <c r="D154" s="176" t="s">
        <v>21</v>
      </c>
      <c r="E154" s="167"/>
      <c r="F154" s="162"/>
      <c r="G154" s="142">
        <v>3097.23</v>
      </c>
      <c r="H154" s="161"/>
      <c r="I154" s="161"/>
      <c r="J154" s="161"/>
      <c r="K154" s="161"/>
      <c r="L154" s="161" t="s">
        <v>1452</v>
      </c>
      <c r="M154" s="161" t="s">
        <v>354</v>
      </c>
      <c r="N154" s="142">
        <v>23.0</v>
      </c>
      <c r="O154" s="161" t="s">
        <v>437</v>
      </c>
      <c r="P154" s="161"/>
      <c r="S154" s="142"/>
      <c r="T154" s="165"/>
      <c r="V154" s="166"/>
      <c r="W154" s="166"/>
      <c r="X154" s="166"/>
      <c r="Y154" s="166"/>
    </row>
    <row r="155" ht="22.5" customHeight="1">
      <c r="A155" s="161" t="s">
        <v>437</v>
      </c>
      <c r="B155" s="162" t="s">
        <v>1379</v>
      </c>
      <c r="C155" s="161" t="s">
        <v>20</v>
      </c>
      <c r="D155" s="176" t="s">
        <v>21</v>
      </c>
      <c r="E155" s="168"/>
      <c r="F155" s="162"/>
      <c r="G155" s="142">
        <v>4386.83</v>
      </c>
      <c r="H155" s="161"/>
      <c r="I155" s="161"/>
      <c r="J155" s="161"/>
      <c r="K155" s="161"/>
      <c r="L155" s="161" t="s">
        <v>1452</v>
      </c>
      <c r="M155" s="161" t="s">
        <v>354</v>
      </c>
      <c r="N155" s="142">
        <v>23.0</v>
      </c>
      <c r="O155" s="161" t="s">
        <v>437</v>
      </c>
      <c r="P155" s="161"/>
      <c r="S155" s="142"/>
      <c r="T155" s="165"/>
      <c r="V155" s="166"/>
      <c r="W155" s="166"/>
      <c r="X155" s="166"/>
      <c r="Y155" s="166"/>
    </row>
    <row r="156" ht="22.5" customHeight="1">
      <c r="A156" s="27" t="s">
        <v>453</v>
      </c>
      <c r="B156" s="162" t="s">
        <v>1506</v>
      </c>
      <c r="C156" s="27" t="s">
        <v>20</v>
      </c>
      <c r="D156" s="176" t="s">
        <v>21</v>
      </c>
      <c r="E156" s="167"/>
      <c r="F156" s="162"/>
      <c r="G156" s="142">
        <v>619.83</v>
      </c>
      <c r="H156" s="161"/>
      <c r="I156" s="161"/>
      <c r="J156" s="161"/>
      <c r="K156" s="161"/>
      <c r="L156" s="161" t="s">
        <v>1452</v>
      </c>
      <c r="M156" s="161" t="s">
        <v>354</v>
      </c>
      <c r="N156" s="142">
        <v>29.0</v>
      </c>
      <c r="O156" s="161" t="s">
        <v>393</v>
      </c>
      <c r="P156" s="161"/>
      <c r="S156" s="142"/>
      <c r="T156" s="165"/>
      <c r="V156" s="166"/>
      <c r="W156" s="166"/>
      <c r="X156" s="166"/>
      <c r="Y156" s="166"/>
    </row>
    <row r="157" ht="22.5" customHeight="1">
      <c r="A157" s="161" t="s">
        <v>528</v>
      </c>
      <c r="B157" s="162" t="s">
        <v>1288</v>
      </c>
      <c r="C157" s="27" t="s">
        <v>31</v>
      </c>
      <c r="D157" s="12" t="s">
        <v>54</v>
      </c>
      <c r="E157" s="167"/>
      <c r="F157" s="162"/>
      <c r="G157" s="144">
        <v>4666.666667</v>
      </c>
      <c r="H157" s="161"/>
      <c r="I157" s="161"/>
      <c r="J157" s="161"/>
      <c r="K157" s="161"/>
      <c r="L157" s="161" t="s">
        <v>1452</v>
      </c>
      <c r="M157" s="161" t="s">
        <v>354</v>
      </c>
      <c r="N157" s="142">
        <v>37.0</v>
      </c>
      <c r="O157" s="161" t="s">
        <v>493</v>
      </c>
      <c r="P157" s="161"/>
      <c r="S157" s="142"/>
      <c r="T157" s="165"/>
      <c r="V157" s="166"/>
      <c r="W157" s="166"/>
      <c r="X157" s="166"/>
      <c r="Y157" s="166"/>
    </row>
    <row r="158" ht="22.5" customHeight="1">
      <c r="A158" s="161" t="s">
        <v>528</v>
      </c>
      <c r="B158" s="162" t="s">
        <v>1288</v>
      </c>
      <c r="C158" s="27" t="s">
        <v>31</v>
      </c>
      <c r="D158" s="12" t="s">
        <v>98</v>
      </c>
      <c r="E158" s="167"/>
      <c r="F158" s="162"/>
      <c r="G158" s="144">
        <v>333.3333333</v>
      </c>
      <c r="H158" s="161"/>
      <c r="I158" s="161"/>
      <c r="J158" s="161"/>
      <c r="K158" s="161"/>
      <c r="L158" s="161" t="s">
        <v>1452</v>
      </c>
      <c r="M158" s="161"/>
      <c r="N158" s="142"/>
      <c r="O158" s="161"/>
      <c r="P158" s="161"/>
      <c r="S158" s="142"/>
      <c r="T158" s="165"/>
      <c r="V158" s="166"/>
      <c r="W158" s="166"/>
      <c r="X158" s="166"/>
      <c r="Y158" s="166"/>
    </row>
    <row r="159" ht="22.5" customHeight="1">
      <c r="A159" s="161" t="s">
        <v>528</v>
      </c>
      <c r="B159" s="162" t="s">
        <v>1288</v>
      </c>
      <c r="C159" s="27" t="s">
        <v>20</v>
      </c>
      <c r="D159" s="12" t="s">
        <v>21</v>
      </c>
      <c r="E159" s="167"/>
      <c r="F159" s="162"/>
      <c r="G159" s="144">
        <v>6333.333333</v>
      </c>
      <c r="H159" s="161"/>
      <c r="I159" s="161"/>
      <c r="J159" s="161"/>
      <c r="K159" s="161"/>
      <c r="L159" s="161" t="s">
        <v>1452</v>
      </c>
      <c r="M159" s="161"/>
      <c r="N159" s="142"/>
      <c r="O159" s="161"/>
      <c r="P159" s="161"/>
      <c r="S159" s="142"/>
      <c r="T159" s="165"/>
      <c r="V159" s="166"/>
      <c r="W159" s="166"/>
      <c r="X159" s="166"/>
      <c r="Y159" s="166"/>
    </row>
    <row r="160" ht="22.5" customHeight="1">
      <c r="A160" s="161" t="s">
        <v>528</v>
      </c>
      <c r="B160" s="162" t="s">
        <v>1288</v>
      </c>
      <c r="C160" s="27" t="s">
        <v>31</v>
      </c>
      <c r="D160" s="12" t="s">
        <v>187</v>
      </c>
      <c r="E160" s="167"/>
      <c r="F160" s="162"/>
      <c r="G160" s="144">
        <v>888.8888889</v>
      </c>
      <c r="H160" s="161"/>
      <c r="I160" s="161"/>
      <c r="J160" s="161"/>
      <c r="K160" s="161"/>
      <c r="L160" s="161" t="s">
        <v>1452</v>
      </c>
      <c r="M160" s="161"/>
      <c r="N160" s="142"/>
      <c r="O160" s="161"/>
      <c r="P160" s="161"/>
      <c r="S160" s="142"/>
      <c r="T160" s="165"/>
      <c r="V160" s="166"/>
      <c r="W160" s="166"/>
      <c r="X160" s="166"/>
      <c r="Y160" s="166"/>
    </row>
    <row r="161" ht="22.5" customHeight="1">
      <c r="A161" s="161" t="s">
        <v>528</v>
      </c>
      <c r="B161" s="162" t="s">
        <v>1288</v>
      </c>
      <c r="C161" s="27" t="s">
        <v>31</v>
      </c>
      <c r="D161" s="12" t="s">
        <v>38</v>
      </c>
      <c r="E161" s="167"/>
      <c r="F161" s="162"/>
      <c r="G161" s="144">
        <v>500.0</v>
      </c>
      <c r="H161" s="161"/>
      <c r="I161" s="161"/>
      <c r="J161" s="161"/>
      <c r="K161" s="161"/>
      <c r="L161" s="161" t="s">
        <v>1452</v>
      </c>
      <c r="M161" s="161"/>
      <c r="N161" s="142"/>
      <c r="O161" s="161"/>
      <c r="P161" s="161"/>
      <c r="S161" s="142"/>
      <c r="T161" s="165"/>
      <c r="V161" s="166"/>
      <c r="W161" s="166"/>
      <c r="X161" s="166"/>
      <c r="Y161" s="166"/>
    </row>
    <row r="162" ht="22.5" customHeight="1">
      <c r="A162" s="161" t="s">
        <v>528</v>
      </c>
      <c r="B162" s="162" t="s">
        <v>1288</v>
      </c>
      <c r="C162" s="27" t="s">
        <v>31</v>
      </c>
      <c r="D162" s="12" t="s">
        <v>47</v>
      </c>
      <c r="E162" s="167"/>
      <c r="F162" s="162"/>
      <c r="G162" s="144">
        <v>1777.777778</v>
      </c>
      <c r="H162" s="161"/>
      <c r="I162" s="161"/>
      <c r="J162" s="161"/>
      <c r="K162" s="161"/>
      <c r="L162" s="161" t="s">
        <v>1452</v>
      </c>
      <c r="M162" s="161"/>
      <c r="N162" s="142"/>
      <c r="O162" s="161"/>
      <c r="P162" s="161"/>
      <c r="S162" s="142"/>
      <c r="T162" s="165"/>
      <c r="V162" s="166"/>
      <c r="W162" s="166"/>
      <c r="X162" s="166"/>
      <c r="Y162" s="166"/>
    </row>
    <row r="163" ht="22.5" customHeight="1">
      <c r="A163" s="161" t="s">
        <v>528</v>
      </c>
      <c r="B163" s="162" t="s">
        <v>1288</v>
      </c>
      <c r="C163" s="27" t="s">
        <v>31</v>
      </c>
      <c r="D163" s="12" t="s">
        <v>113</v>
      </c>
      <c r="E163" s="167"/>
      <c r="F163" s="162"/>
      <c r="G163" s="144">
        <v>500.0</v>
      </c>
      <c r="H163" s="161"/>
      <c r="I163" s="161"/>
      <c r="J163" s="161"/>
      <c r="K163" s="161"/>
      <c r="L163" s="161" t="s">
        <v>1452</v>
      </c>
      <c r="M163" s="161"/>
      <c r="N163" s="142"/>
      <c r="O163" s="161"/>
      <c r="P163" s="161"/>
      <c r="S163" s="142"/>
      <c r="T163" s="165"/>
      <c r="V163" s="166"/>
      <c r="W163" s="166"/>
      <c r="X163" s="166"/>
      <c r="Y163" s="166"/>
    </row>
    <row r="164" ht="22.5" customHeight="1">
      <c r="A164" s="185" t="s">
        <v>437</v>
      </c>
      <c r="B164" s="172" t="s">
        <v>1507</v>
      </c>
      <c r="C164" s="173" t="s">
        <v>20</v>
      </c>
      <c r="D164" s="173" t="s">
        <v>21</v>
      </c>
      <c r="E164" s="167"/>
      <c r="F164" s="162"/>
      <c r="G164" s="142">
        <v>18500.0</v>
      </c>
      <c r="H164" s="161"/>
      <c r="I164" s="161"/>
      <c r="J164" s="161"/>
      <c r="K164" s="161"/>
      <c r="L164" s="161" t="s">
        <v>1452</v>
      </c>
      <c r="M164" s="161" t="s">
        <v>354</v>
      </c>
      <c r="N164" s="142">
        <v>23.0</v>
      </c>
      <c r="O164" s="161" t="s">
        <v>437</v>
      </c>
      <c r="P164" s="161"/>
      <c r="S164" s="142"/>
      <c r="T164" s="165"/>
      <c r="V164" s="166"/>
      <c r="W164" s="166"/>
      <c r="X164" s="166"/>
      <c r="Y164" s="166"/>
    </row>
    <row r="165" ht="22.5" customHeight="1">
      <c r="A165" s="161" t="s">
        <v>367</v>
      </c>
      <c r="B165" s="162" t="s">
        <v>1508</v>
      </c>
      <c r="C165" s="190" t="s">
        <v>31</v>
      </c>
      <c r="D165" s="190" t="s">
        <v>54</v>
      </c>
      <c r="E165" s="168"/>
      <c r="F165" s="162"/>
      <c r="G165" s="142">
        <f t="shared" ref="G165:G166" si="3">4346.25/2</f>
        <v>2173.125</v>
      </c>
      <c r="H165" s="161"/>
      <c r="I165" s="161"/>
      <c r="J165" s="161"/>
      <c r="K165" s="161"/>
      <c r="L165" s="161" t="s">
        <v>1452</v>
      </c>
      <c r="M165" s="161" t="s">
        <v>354</v>
      </c>
      <c r="N165" s="142">
        <v>20.0</v>
      </c>
      <c r="O165" s="161" t="s">
        <v>375</v>
      </c>
      <c r="P165" s="161"/>
      <c r="S165" s="142"/>
      <c r="T165" s="165"/>
      <c r="V165" s="166"/>
      <c r="W165" s="166"/>
      <c r="X165" s="166"/>
      <c r="Y165" s="166"/>
    </row>
    <row r="166" ht="22.5" customHeight="1">
      <c r="A166" s="161" t="s">
        <v>367</v>
      </c>
      <c r="B166" s="162" t="s">
        <v>1508</v>
      </c>
      <c r="C166" s="190" t="s">
        <v>66</v>
      </c>
      <c r="D166" s="190" t="s">
        <v>70</v>
      </c>
      <c r="E166" s="168"/>
      <c r="F166" s="162"/>
      <c r="G166" s="142">
        <f t="shared" si="3"/>
        <v>2173.125</v>
      </c>
      <c r="H166" s="161"/>
      <c r="I166" s="161"/>
      <c r="J166" s="161"/>
      <c r="K166" s="161"/>
      <c r="L166" s="161" t="s">
        <v>1452</v>
      </c>
      <c r="M166" s="161" t="s">
        <v>354</v>
      </c>
      <c r="N166" s="142">
        <v>20.0</v>
      </c>
      <c r="O166" s="161" t="s">
        <v>375</v>
      </c>
      <c r="P166" s="161"/>
      <c r="S166" s="142"/>
      <c r="T166" s="165"/>
      <c r="V166" s="166"/>
      <c r="W166" s="166"/>
      <c r="X166" s="166"/>
      <c r="Y166" s="166"/>
    </row>
    <row r="167" ht="22.5" customHeight="1">
      <c r="A167" s="161" t="s">
        <v>471</v>
      </c>
      <c r="B167" s="162" t="s">
        <v>1303</v>
      </c>
      <c r="C167" s="27" t="s">
        <v>31</v>
      </c>
      <c r="D167" s="191" t="s">
        <v>38</v>
      </c>
      <c r="E167" s="168"/>
      <c r="F167" s="162"/>
      <c r="G167" s="144">
        <v>85.13718978</v>
      </c>
      <c r="H167" s="161"/>
      <c r="I167" s="161"/>
      <c r="J167" s="161"/>
      <c r="K167" s="161"/>
      <c r="L167" s="161" t="s">
        <v>1452</v>
      </c>
      <c r="M167" s="161" t="s">
        <v>354</v>
      </c>
      <c r="N167" s="142">
        <v>29.0</v>
      </c>
      <c r="O167" s="161" t="s">
        <v>393</v>
      </c>
      <c r="P167" s="161"/>
      <c r="S167" s="142"/>
      <c r="T167" s="165"/>
      <c r="V167" s="166"/>
      <c r="W167" s="166"/>
      <c r="X167" s="166"/>
      <c r="Y167" s="166"/>
    </row>
    <row r="168" ht="22.5" customHeight="1">
      <c r="A168" s="161" t="s">
        <v>471</v>
      </c>
      <c r="B168" s="162" t="s">
        <v>1303</v>
      </c>
      <c r="C168" s="27" t="s">
        <v>31</v>
      </c>
      <c r="D168" s="191" t="s">
        <v>47</v>
      </c>
      <c r="E168" s="167"/>
      <c r="F168" s="162"/>
      <c r="G168" s="144">
        <v>181.8839964</v>
      </c>
      <c r="H168" s="161"/>
      <c r="I168" s="161"/>
      <c r="J168" s="161"/>
      <c r="K168" s="161"/>
      <c r="L168" s="161" t="s">
        <v>1452</v>
      </c>
      <c r="M168" s="161" t="s">
        <v>354</v>
      </c>
      <c r="N168" s="142">
        <v>29.0</v>
      </c>
      <c r="O168" s="161" t="s">
        <v>393</v>
      </c>
      <c r="P168" s="161"/>
      <c r="S168" s="142"/>
      <c r="T168" s="165"/>
      <c r="V168" s="166"/>
      <c r="W168" s="166"/>
      <c r="X168" s="166"/>
      <c r="Y168" s="166"/>
    </row>
    <row r="169" ht="22.5" customHeight="1">
      <c r="A169" s="161" t="s">
        <v>471</v>
      </c>
      <c r="B169" s="162" t="s">
        <v>1303</v>
      </c>
      <c r="C169" s="27" t="s">
        <v>31</v>
      </c>
      <c r="D169" s="191" t="s">
        <v>113</v>
      </c>
      <c r="E169" s="168"/>
      <c r="F169" s="162"/>
      <c r="G169" s="144">
        <v>61.9179562</v>
      </c>
      <c r="H169" s="161"/>
      <c r="I169" s="161"/>
      <c r="J169" s="161"/>
      <c r="K169" s="161"/>
      <c r="L169" s="161" t="s">
        <v>1452</v>
      </c>
      <c r="M169" s="161" t="s">
        <v>354</v>
      </c>
      <c r="N169" s="142">
        <v>29.0</v>
      </c>
      <c r="O169" s="161" t="s">
        <v>393</v>
      </c>
      <c r="P169" s="161"/>
      <c r="S169" s="142"/>
      <c r="T169" s="165"/>
      <c r="V169" s="166"/>
      <c r="W169" s="166"/>
      <c r="X169" s="166"/>
      <c r="Y169" s="166"/>
    </row>
    <row r="170" ht="22.5" customHeight="1">
      <c r="A170" s="161" t="s">
        <v>471</v>
      </c>
      <c r="B170" s="162" t="s">
        <v>1303</v>
      </c>
      <c r="C170" s="27" t="s">
        <v>31</v>
      </c>
      <c r="D170" s="191" t="s">
        <v>187</v>
      </c>
      <c r="E170" s="168"/>
      <c r="F170" s="162"/>
      <c r="G170" s="144">
        <v>81.26731752</v>
      </c>
      <c r="H170" s="161"/>
      <c r="I170" s="161"/>
      <c r="J170" s="161"/>
      <c r="K170" s="161"/>
      <c r="L170" s="161"/>
      <c r="M170" s="161"/>
      <c r="N170" s="142"/>
      <c r="O170" s="161"/>
      <c r="P170" s="161"/>
      <c r="S170" s="142"/>
      <c r="T170" s="165"/>
      <c r="V170" s="166"/>
      <c r="W170" s="166"/>
      <c r="X170" s="166"/>
      <c r="Y170" s="166"/>
    </row>
    <row r="171" ht="22.5" customHeight="1">
      <c r="A171" s="161" t="s">
        <v>471</v>
      </c>
      <c r="B171" s="162" t="s">
        <v>1303</v>
      </c>
      <c r="C171" s="27" t="s">
        <v>20</v>
      </c>
      <c r="D171" s="191" t="s">
        <v>21</v>
      </c>
      <c r="E171" s="168"/>
      <c r="F171" s="162"/>
      <c r="G171" s="144">
        <v>1203.530274</v>
      </c>
      <c r="H171" s="161"/>
      <c r="I171" s="161"/>
      <c r="J171" s="161"/>
      <c r="K171" s="161"/>
      <c r="L171" s="161"/>
      <c r="M171" s="161"/>
      <c r="N171" s="142"/>
      <c r="O171" s="161"/>
      <c r="P171" s="161"/>
      <c r="S171" s="142"/>
      <c r="T171" s="165"/>
      <c r="V171" s="166"/>
      <c r="W171" s="166"/>
      <c r="X171" s="166"/>
      <c r="Y171" s="166"/>
    </row>
    <row r="172" ht="22.5" customHeight="1">
      <c r="A172" s="161" t="s">
        <v>471</v>
      </c>
      <c r="B172" s="162" t="s">
        <v>1303</v>
      </c>
      <c r="C172" s="27" t="s">
        <v>31</v>
      </c>
      <c r="D172" s="191" t="s">
        <v>98</v>
      </c>
      <c r="E172" s="168"/>
      <c r="F172" s="162"/>
      <c r="G172" s="144">
        <v>61.9179562</v>
      </c>
      <c r="H172" s="161"/>
      <c r="I172" s="161"/>
      <c r="J172" s="161"/>
      <c r="K172" s="161"/>
      <c r="L172" s="161"/>
      <c r="M172" s="161"/>
      <c r="N172" s="142"/>
      <c r="O172" s="161"/>
      <c r="P172" s="161"/>
      <c r="S172" s="142"/>
      <c r="T172" s="165"/>
      <c r="V172" s="166"/>
      <c r="W172" s="166"/>
      <c r="X172" s="166"/>
      <c r="Y172" s="166"/>
    </row>
    <row r="173" ht="22.5" customHeight="1">
      <c r="A173" s="161" t="s">
        <v>471</v>
      </c>
      <c r="B173" s="162" t="s">
        <v>1303</v>
      </c>
      <c r="C173" s="27" t="s">
        <v>31</v>
      </c>
      <c r="D173" s="191" t="s">
        <v>54</v>
      </c>
      <c r="E173" s="168"/>
      <c r="F173" s="162"/>
      <c r="G173" s="144">
        <v>445.0353102</v>
      </c>
      <c r="H173" s="161"/>
      <c r="I173" s="161"/>
      <c r="J173" s="161"/>
      <c r="K173" s="161"/>
      <c r="L173" s="161"/>
      <c r="M173" s="161"/>
      <c r="N173" s="142"/>
      <c r="O173" s="161"/>
      <c r="P173" s="161"/>
      <c r="S173" s="142"/>
      <c r="T173" s="165"/>
      <c r="V173" s="166"/>
      <c r="W173" s="166"/>
      <c r="X173" s="166"/>
      <c r="Y173" s="166"/>
    </row>
    <row r="174" ht="22.5" customHeight="1">
      <c r="A174" s="27" t="s">
        <v>437</v>
      </c>
      <c r="B174" s="162" t="s">
        <v>1509</v>
      </c>
      <c r="C174" s="27" t="s">
        <v>20</v>
      </c>
      <c r="D174" s="163" t="s">
        <v>21</v>
      </c>
      <c r="E174" s="168"/>
      <c r="F174" s="162"/>
      <c r="G174" s="142">
        <v>7500.0</v>
      </c>
      <c r="H174" s="161"/>
      <c r="I174" s="161"/>
      <c r="J174" s="161"/>
      <c r="K174" s="161"/>
      <c r="L174" s="161" t="s">
        <v>1452</v>
      </c>
      <c r="M174" s="161" t="s">
        <v>354</v>
      </c>
      <c r="N174" s="142">
        <v>23.0</v>
      </c>
      <c r="O174" s="161" t="s">
        <v>437</v>
      </c>
      <c r="P174" s="161"/>
      <c r="S174" s="142"/>
      <c r="T174" s="165"/>
      <c r="V174" s="166"/>
      <c r="W174" s="166"/>
      <c r="X174" s="166"/>
      <c r="Y174" s="166"/>
    </row>
    <row r="175" ht="22.5" customHeight="1">
      <c r="A175" s="27" t="s">
        <v>437</v>
      </c>
      <c r="B175" s="162" t="s">
        <v>1510</v>
      </c>
      <c r="C175" s="27" t="s">
        <v>20</v>
      </c>
      <c r="D175" s="176" t="s">
        <v>21</v>
      </c>
      <c r="E175" s="167"/>
      <c r="F175" s="162"/>
      <c r="G175" s="142">
        <v>27000.0</v>
      </c>
      <c r="H175" s="161"/>
      <c r="I175" s="161"/>
      <c r="J175" s="161"/>
      <c r="K175" s="161"/>
      <c r="L175" s="161" t="s">
        <v>1452</v>
      </c>
      <c r="M175" s="161" t="s">
        <v>354</v>
      </c>
      <c r="N175" s="142">
        <v>23.0</v>
      </c>
      <c r="O175" s="161" t="s">
        <v>437</v>
      </c>
      <c r="P175" s="161"/>
      <c r="S175" s="142"/>
      <c r="T175" s="165"/>
      <c r="V175" s="166"/>
      <c r="W175" s="166"/>
      <c r="X175" s="166"/>
      <c r="Y175" s="166"/>
    </row>
    <row r="176" ht="22.5" customHeight="1">
      <c r="A176" s="27" t="s">
        <v>437</v>
      </c>
      <c r="B176" s="162" t="s">
        <v>1510</v>
      </c>
      <c r="C176" s="27" t="s">
        <v>20</v>
      </c>
      <c r="D176" s="163" t="s">
        <v>21</v>
      </c>
      <c r="E176" s="168"/>
      <c r="F176" s="162"/>
      <c r="G176" s="142">
        <v>28321.69</v>
      </c>
      <c r="H176" s="161"/>
      <c r="I176" s="161"/>
      <c r="J176" s="161"/>
      <c r="K176" s="161"/>
      <c r="L176" s="161" t="s">
        <v>1452</v>
      </c>
      <c r="M176" s="161" t="s">
        <v>354</v>
      </c>
      <c r="N176" s="142">
        <v>23.0</v>
      </c>
      <c r="O176" s="161" t="s">
        <v>437</v>
      </c>
      <c r="P176" s="161"/>
      <c r="S176" s="142"/>
      <c r="T176" s="165"/>
      <c r="V176" s="166"/>
      <c r="W176" s="166"/>
      <c r="X176" s="166"/>
      <c r="Y176" s="166"/>
    </row>
    <row r="177" ht="22.5" customHeight="1">
      <c r="A177" s="161" t="s">
        <v>471</v>
      </c>
      <c r="B177" s="162" t="s">
        <v>1511</v>
      </c>
      <c r="C177" s="27" t="s">
        <v>31</v>
      </c>
      <c r="D177" s="191" t="s">
        <v>38</v>
      </c>
      <c r="E177" s="167"/>
      <c r="F177" s="162"/>
      <c r="G177" s="144">
        <v>209.5969708</v>
      </c>
      <c r="H177" s="161"/>
      <c r="I177" s="161"/>
      <c r="J177" s="161"/>
      <c r="K177" s="161"/>
      <c r="L177" s="161" t="s">
        <v>1452</v>
      </c>
      <c r="M177" s="161" t="s">
        <v>354</v>
      </c>
      <c r="N177" s="142">
        <v>8.0</v>
      </c>
      <c r="O177" s="161" t="s">
        <v>393</v>
      </c>
      <c r="P177" s="161"/>
      <c r="S177" s="142"/>
      <c r="T177" s="165"/>
      <c r="V177" s="166"/>
      <c r="W177" s="166"/>
      <c r="X177" s="166"/>
      <c r="Y177" s="166"/>
    </row>
    <row r="178" ht="22.5" customHeight="1">
      <c r="A178" s="161" t="s">
        <v>471</v>
      </c>
      <c r="B178" s="162" t="s">
        <v>1511</v>
      </c>
      <c r="C178" s="27" t="s">
        <v>31</v>
      </c>
      <c r="D178" s="191" t="s">
        <v>47</v>
      </c>
      <c r="E178" s="167"/>
      <c r="F178" s="162"/>
      <c r="G178" s="144">
        <v>447.7753467</v>
      </c>
      <c r="H178" s="161"/>
      <c r="I178" s="161"/>
      <c r="J178" s="161"/>
      <c r="K178" s="161"/>
      <c r="L178" s="161"/>
      <c r="M178" s="161"/>
      <c r="N178" s="142"/>
      <c r="O178" s="161"/>
      <c r="P178" s="161"/>
      <c r="S178" s="142"/>
      <c r="T178" s="165"/>
      <c r="V178" s="166"/>
      <c r="W178" s="166"/>
      <c r="X178" s="166"/>
      <c r="Y178" s="166"/>
    </row>
    <row r="179" ht="22.5" customHeight="1">
      <c r="A179" s="161" t="s">
        <v>471</v>
      </c>
      <c r="B179" s="162" t="s">
        <v>1511</v>
      </c>
      <c r="C179" s="27" t="s">
        <v>31</v>
      </c>
      <c r="D179" s="191" t="s">
        <v>113</v>
      </c>
      <c r="E179" s="167"/>
      <c r="F179" s="162"/>
      <c r="G179" s="144">
        <v>152.4341606</v>
      </c>
      <c r="H179" s="161"/>
      <c r="I179" s="161"/>
      <c r="J179" s="161"/>
      <c r="K179" s="161"/>
      <c r="L179" s="161"/>
      <c r="M179" s="161"/>
      <c r="N179" s="142"/>
      <c r="O179" s="161"/>
      <c r="P179" s="161"/>
      <c r="S179" s="142"/>
      <c r="T179" s="165"/>
      <c r="V179" s="166"/>
      <c r="W179" s="166"/>
      <c r="X179" s="166"/>
      <c r="Y179" s="166"/>
    </row>
    <row r="180" ht="22.5" customHeight="1">
      <c r="A180" s="161" t="s">
        <v>471</v>
      </c>
      <c r="B180" s="162" t="s">
        <v>1511</v>
      </c>
      <c r="C180" s="27" t="s">
        <v>31</v>
      </c>
      <c r="D180" s="191" t="s">
        <v>187</v>
      </c>
      <c r="E180" s="167"/>
      <c r="F180" s="162"/>
      <c r="G180" s="144">
        <v>200.0698358</v>
      </c>
      <c r="H180" s="161"/>
      <c r="I180" s="161"/>
      <c r="J180" s="161"/>
      <c r="K180" s="161"/>
      <c r="L180" s="161"/>
      <c r="M180" s="161"/>
      <c r="N180" s="142"/>
      <c r="O180" s="161"/>
      <c r="P180" s="161"/>
      <c r="S180" s="142"/>
      <c r="T180" s="165"/>
      <c r="V180" s="166"/>
      <c r="W180" s="166"/>
      <c r="X180" s="166"/>
      <c r="Y180" s="166"/>
    </row>
    <row r="181" ht="22.5" customHeight="1">
      <c r="A181" s="161" t="s">
        <v>471</v>
      </c>
      <c r="B181" s="162" t="s">
        <v>1511</v>
      </c>
      <c r="C181" s="27" t="s">
        <v>20</v>
      </c>
      <c r="D181" s="191" t="s">
        <v>21</v>
      </c>
      <c r="E181" s="167"/>
      <c r="F181" s="162"/>
      <c r="G181" s="144">
        <v>2962.938996</v>
      </c>
      <c r="H181" s="161"/>
      <c r="I181" s="161"/>
      <c r="J181" s="161"/>
      <c r="K181" s="161"/>
      <c r="L181" s="161"/>
      <c r="M181" s="161"/>
      <c r="N181" s="142"/>
      <c r="O181" s="161"/>
      <c r="P181" s="161"/>
      <c r="S181" s="142"/>
      <c r="T181" s="165"/>
      <c r="V181" s="166"/>
      <c r="W181" s="166"/>
      <c r="X181" s="166"/>
      <c r="Y181" s="166"/>
    </row>
    <row r="182" ht="22.5" customHeight="1">
      <c r="A182" s="161" t="s">
        <v>471</v>
      </c>
      <c r="B182" s="162" t="s">
        <v>1511</v>
      </c>
      <c r="C182" s="27" t="s">
        <v>31</v>
      </c>
      <c r="D182" s="191" t="s">
        <v>98</v>
      </c>
      <c r="E182" s="167"/>
      <c r="F182" s="162"/>
      <c r="G182" s="144">
        <v>152.4341606</v>
      </c>
      <c r="H182" s="161"/>
      <c r="I182" s="161"/>
      <c r="J182" s="161"/>
      <c r="K182" s="161"/>
      <c r="L182" s="161"/>
      <c r="M182" s="161"/>
      <c r="N182" s="142"/>
      <c r="O182" s="161"/>
      <c r="P182" s="161"/>
      <c r="S182" s="142"/>
      <c r="T182" s="165"/>
      <c r="V182" s="166"/>
      <c r="W182" s="166"/>
      <c r="X182" s="166"/>
      <c r="Y182" s="166"/>
    </row>
    <row r="183" ht="22.5" customHeight="1">
      <c r="A183" s="161" t="s">
        <v>471</v>
      </c>
      <c r="B183" s="162" t="s">
        <v>1511</v>
      </c>
      <c r="C183" s="27" t="s">
        <v>31</v>
      </c>
      <c r="D183" s="191" t="s">
        <v>54</v>
      </c>
      <c r="E183" s="167"/>
      <c r="F183" s="162"/>
      <c r="G183" s="144">
        <v>1095.620529</v>
      </c>
      <c r="H183" s="161"/>
      <c r="I183" s="161"/>
      <c r="J183" s="161"/>
      <c r="K183" s="161"/>
      <c r="L183" s="161"/>
      <c r="M183" s="161"/>
      <c r="N183" s="142"/>
      <c r="O183" s="161"/>
      <c r="P183" s="161"/>
      <c r="S183" s="142"/>
      <c r="T183" s="165"/>
      <c r="V183" s="166"/>
      <c r="W183" s="166"/>
      <c r="X183" s="166"/>
      <c r="Y183" s="166"/>
    </row>
    <row r="184" ht="22.5" customHeight="1">
      <c r="A184" s="161" t="s">
        <v>437</v>
      </c>
      <c r="B184" s="162" t="s">
        <v>1385</v>
      </c>
      <c r="C184" s="161" t="s">
        <v>20</v>
      </c>
      <c r="D184" s="179" t="s">
        <v>21</v>
      </c>
      <c r="E184" s="167"/>
      <c r="F184" s="162"/>
      <c r="G184" s="142">
        <v>21000.0</v>
      </c>
      <c r="H184" s="161"/>
      <c r="I184" s="161"/>
      <c r="J184" s="161"/>
      <c r="K184" s="161"/>
      <c r="L184" s="161" t="s">
        <v>1452</v>
      </c>
      <c r="M184" s="161" t="s">
        <v>354</v>
      </c>
      <c r="N184" s="142">
        <v>23.0</v>
      </c>
      <c r="O184" s="161" t="s">
        <v>437</v>
      </c>
      <c r="P184" s="161"/>
      <c r="S184" s="142"/>
      <c r="T184" s="165"/>
      <c r="V184" s="166"/>
      <c r="W184" s="166"/>
      <c r="X184" s="166"/>
      <c r="Y184" s="166"/>
    </row>
    <row r="185" ht="22.5" customHeight="1">
      <c r="A185" s="161" t="s">
        <v>437</v>
      </c>
      <c r="B185" s="162" t="s">
        <v>1387</v>
      </c>
      <c r="C185" s="161" t="s">
        <v>20</v>
      </c>
      <c r="D185" s="179" t="s">
        <v>21</v>
      </c>
      <c r="E185" s="168"/>
      <c r="F185" s="162"/>
      <c r="G185" s="142">
        <v>7700.0</v>
      </c>
      <c r="H185" s="161"/>
      <c r="I185" s="161"/>
      <c r="J185" s="161"/>
      <c r="K185" s="161"/>
      <c r="L185" s="161" t="s">
        <v>1452</v>
      </c>
      <c r="M185" s="161" t="s">
        <v>354</v>
      </c>
      <c r="N185" s="142">
        <v>23.0</v>
      </c>
      <c r="O185" s="161" t="s">
        <v>437</v>
      </c>
      <c r="P185" s="161"/>
      <c r="S185" s="142"/>
      <c r="T185" s="165"/>
      <c r="V185" s="166"/>
      <c r="W185" s="166"/>
      <c r="X185" s="166"/>
      <c r="Y185" s="166"/>
    </row>
    <row r="186" ht="22.5" customHeight="1">
      <c r="A186" s="161" t="s">
        <v>437</v>
      </c>
      <c r="B186" s="162" t="s">
        <v>1387</v>
      </c>
      <c r="C186" s="161" t="s">
        <v>20</v>
      </c>
      <c r="D186" s="179" t="s">
        <v>21</v>
      </c>
      <c r="E186" s="167"/>
      <c r="F186" s="162"/>
      <c r="G186" s="142">
        <v>31400.0</v>
      </c>
      <c r="H186" s="161"/>
      <c r="I186" s="161"/>
      <c r="J186" s="161"/>
      <c r="K186" s="161"/>
      <c r="L186" s="161" t="s">
        <v>1452</v>
      </c>
      <c r="M186" s="161" t="s">
        <v>354</v>
      </c>
      <c r="N186" s="142">
        <v>23.0</v>
      </c>
      <c r="O186" s="161" t="s">
        <v>437</v>
      </c>
      <c r="P186" s="161"/>
      <c r="S186" s="142"/>
      <c r="T186" s="165"/>
      <c r="V186" s="166"/>
      <c r="W186" s="166"/>
      <c r="X186" s="166"/>
      <c r="Y186" s="166"/>
    </row>
    <row r="187" ht="22.5" customHeight="1">
      <c r="A187" s="184" t="s">
        <v>437</v>
      </c>
      <c r="B187" s="175" t="s">
        <v>1512</v>
      </c>
      <c r="C187" s="169" t="s">
        <v>20</v>
      </c>
      <c r="D187" s="169" t="s">
        <v>21</v>
      </c>
      <c r="E187" s="168"/>
      <c r="F187" s="162"/>
      <c r="G187" s="142">
        <v>18400.0</v>
      </c>
      <c r="H187" s="161"/>
      <c r="I187" s="161"/>
      <c r="J187" s="161"/>
      <c r="K187" s="161"/>
      <c r="L187" s="161" t="s">
        <v>1452</v>
      </c>
      <c r="M187" s="161" t="s">
        <v>354</v>
      </c>
      <c r="N187" s="142">
        <v>23.0</v>
      </c>
      <c r="O187" s="161" t="s">
        <v>437</v>
      </c>
      <c r="P187" s="161"/>
      <c r="S187" s="142"/>
      <c r="T187" s="165"/>
      <c r="V187" s="166"/>
      <c r="W187" s="166"/>
      <c r="X187" s="166"/>
      <c r="Y187" s="166"/>
    </row>
    <row r="188" ht="22.5" customHeight="1">
      <c r="A188" s="185" t="s">
        <v>437</v>
      </c>
      <c r="B188" s="172" t="s">
        <v>1513</v>
      </c>
      <c r="C188" s="173" t="s">
        <v>20</v>
      </c>
      <c r="D188" s="173" t="s">
        <v>21</v>
      </c>
      <c r="E188" s="167"/>
      <c r="F188" s="162"/>
      <c r="G188" s="142">
        <v>55000.0</v>
      </c>
      <c r="H188" s="161"/>
      <c r="I188" s="161"/>
      <c r="J188" s="161"/>
      <c r="K188" s="161"/>
      <c r="L188" s="161" t="s">
        <v>1452</v>
      </c>
      <c r="M188" s="161" t="s">
        <v>354</v>
      </c>
      <c r="N188" s="142">
        <v>23.0</v>
      </c>
      <c r="O188" s="161" t="s">
        <v>437</v>
      </c>
      <c r="P188" s="161"/>
      <c r="S188" s="142"/>
      <c r="T188" s="165"/>
      <c r="V188" s="166"/>
      <c r="W188" s="166"/>
      <c r="X188" s="166"/>
      <c r="Y188" s="166"/>
    </row>
    <row r="189" ht="22.5" customHeight="1">
      <c r="A189" s="161" t="s">
        <v>18</v>
      </c>
      <c r="B189" s="162" t="s">
        <v>1221</v>
      </c>
      <c r="C189" s="161"/>
      <c r="D189" s="181"/>
      <c r="E189" s="168"/>
      <c r="F189" s="162"/>
      <c r="G189" s="142">
        <v>6939.08</v>
      </c>
      <c r="H189" s="161"/>
      <c r="I189" s="161"/>
      <c r="J189" s="161"/>
      <c r="K189" s="161"/>
      <c r="L189" s="161" t="s">
        <v>1452</v>
      </c>
      <c r="M189" s="161" t="s">
        <v>354</v>
      </c>
      <c r="N189" s="142">
        <v>34.0</v>
      </c>
      <c r="O189" s="161" t="s">
        <v>397</v>
      </c>
      <c r="P189" s="161"/>
      <c r="S189" s="142"/>
      <c r="T189" s="165"/>
      <c r="V189" s="166"/>
      <c r="W189" s="166"/>
      <c r="X189" s="166"/>
      <c r="Y189" s="166"/>
    </row>
    <row r="190" ht="22.5" customHeight="1">
      <c r="A190" s="161" t="s">
        <v>18</v>
      </c>
      <c r="B190" s="162" t="s">
        <v>1221</v>
      </c>
      <c r="C190" s="161"/>
      <c r="D190" s="180"/>
      <c r="E190" s="167"/>
      <c r="F190" s="162"/>
      <c r="G190" s="142">
        <v>10113.41</v>
      </c>
      <c r="H190" s="161"/>
      <c r="I190" s="161"/>
      <c r="J190" s="161"/>
      <c r="K190" s="161"/>
      <c r="L190" s="161" t="s">
        <v>1452</v>
      </c>
      <c r="M190" s="161" t="s">
        <v>354</v>
      </c>
      <c r="N190" s="142">
        <v>34.0</v>
      </c>
      <c r="O190" s="161" t="s">
        <v>397</v>
      </c>
      <c r="P190" s="161"/>
      <c r="S190" s="142"/>
      <c r="T190" s="165"/>
      <c r="V190" s="166"/>
      <c r="W190" s="166"/>
      <c r="X190" s="166"/>
      <c r="Y190" s="166"/>
    </row>
    <row r="191" ht="22.5" customHeight="1">
      <c r="A191" s="184" t="s">
        <v>479</v>
      </c>
      <c r="B191" s="175" t="s">
        <v>1514</v>
      </c>
      <c r="C191" s="169" t="s">
        <v>20</v>
      </c>
      <c r="D191" s="169" t="s">
        <v>21</v>
      </c>
      <c r="E191" s="167"/>
      <c r="F191" s="162"/>
      <c r="G191" s="142">
        <v>175.86</v>
      </c>
      <c r="H191" s="161"/>
      <c r="I191" s="161"/>
      <c r="J191" s="161"/>
      <c r="K191" s="161"/>
      <c r="L191" s="161" t="s">
        <v>1452</v>
      </c>
      <c r="M191" s="161" t="s">
        <v>354</v>
      </c>
      <c r="N191" s="142">
        <v>9.0</v>
      </c>
      <c r="O191" s="161" t="s">
        <v>479</v>
      </c>
      <c r="P191" s="161"/>
      <c r="S191" s="142"/>
      <c r="T191" s="165"/>
      <c r="V191" s="166"/>
      <c r="W191" s="166"/>
      <c r="X191" s="166"/>
      <c r="Y191" s="166"/>
    </row>
    <row r="192" ht="22.5" customHeight="1">
      <c r="A192" s="161" t="s">
        <v>437</v>
      </c>
      <c r="B192" s="162" t="s">
        <v>1388</v>
      </c>
      <c r="C192" s="161" t="s">
        <v>20</v>
      </c>
      <c r="D192" s="179" t="s">
        <v>21</v>
      </c>
      <c r="E192" s="168"/>
      <c r="F192" s="162"/>
      <c r="G192" s="142">
        <v>37500.0</v>
      </c>
      <c r="H192" s="161"/>
      <c r="I192" s="161"/>
      <c r="J192" s="161"/>
      <c r="K192" s="161"/>
      <c r="L192" s="161" t="s">
        <v>1452</v>
      </c>
      <c r="M192" s="161" t="s">
        <v>354</v>
      </c>
      <c r="N192" s="142">
        <v>23.0</v>
      </c>
      <c r="O192" s="161" t="s">
        <v>437</v>
      </c>
      <c r="P192" s="161"/>
      <c r="S192" s="142"/>
      <c r="T192" s="165"/>
      <c r="V192" s="166"/>
      <c r="W192" s="166"/>
      <c r="X192" s="166"/>
      <c r="Y192" s="166"/>
    </row>
    <row r="193" ht="22.5" customHeight="1">
      <c r="A193" s="185" t="s">
        <v>1490</v>
      </c>
      <c r="B193" s="172" t="s">
        <v>1515</v>
      </c>
      <c r="C193" s="173" t="s">
        <v>20</v>
      </c>
      <c r="D193" s="173" t="s">
        <v>21</v>
      </c>
      <c r="E193" s="168"/>
      <c r="F193" s="162"/>
      <c r="G193" s="142">
        <v>5400.0</v>
      </c>
      <c r="H193" s="161"/>
      <c r="I193" s="161"/>
      <c r="J193" s="161"/>
      <c r="K193" s="161"/>
      <c r="L193" s="161" t="s">
        <v>1452</v>
      </c>
      <c r="M193" s="161" t="s">
        <v>354</v>
      </c>
      <c r="N193" s="142">
        <v>19.0</v>
      </c>
      <c r="O193" s="161" t="s">
        <v>395</v>
      </c>
      <c r="P193" s="161"/>
      <c r="S193" s="142"/>
      <c r="T193" s="165"/>
      <c r="V193" s="166"/>
      <c r="W193" s="166"/>
      <c r="X193" s="166"/>
      <c r="Y193" s="166"/>
    </row>
    <row r="194" ht="22.5" customHeight="1">
      <c r="A194" s="184" t="s">
        <v>1490</v>
      </c>
      <c r="B194" s="175" t="s">
        <v>1515</v>
      </c>
      <c r="C194" s="169" t="s">
        <v>20</v>
      </c>
      <c r="D194" s="169" t="s">
        <v>21</v>
      </c>
      <c r="E194" s="167"/>
      <c r="F194" s="162"/>
      <c r="G194" s="142">
        <v>6000.0</v>
      </c>
      <c r="H194" s="161"/>
      <c r="I194" s="161"/>
      <c r="J194" s="161"/>
      <c r="K194" s="161"/>
      <c r="L194" s="161" t="s">
        <v>1452</v>
      </c>
      <c r="M194" s="161" t="s">
        <v>354</v>
      </c>
      <c r="N194" s="142">
        <v>19.0</v>
      </c>
      <c r="O194" s="161" t="s">
        <v>395</v>
      </c>
      <c r="P194" s="161"/>
      <c r="S194" s="142"/>
      <c r="T194" s="165"/>
      <c r="V194" s="166"/>
      <c r="W194" s="166"/>
      <c r="X194" s="166"/>
      <c r="Y194" s="166"/>
    </row>
    <row r="195" ht="22.5" customHeight="1">
      <c r="A195" s="185" t="s">
        <v>1490</v>
      </c>
      <c r="B195" s="172" t="s">
        <v>1516</v>
      </c>
      <c r="C195" s="173" t="s">
        <v>20</v>
      </c>
      <c r="D195" s="173" t="s">
        <v>21</v>
      </c>
      <c r="E195" s="168"/>
      <c r="F195" s="162"/>
      <c r="G195" s="142">
        <v>6000.0</v>
      </c>
      <c r="H195" s="161"/>
      <c r="I195" s="161"/>
      <c r="J195" s="161"/>
      <c r="K195" s="161"/>
      <c r="L195" s="161" t="s">
        <v>1452</v>
      </c>
      <c r="M195" s="161" t="s">
        <v>354</v>
      </c>
      <c r="N195" s="142">
        <v>19.0</v>
      </c>
      <c r="O195" s="161" t="s">
        <v>437</v>
      </c>
      <c r="P195" s="161"/>
      <c r="S195" s="142"/>
      <c r="T195" s="165"/>
      <c r="V195" s="166"/>
      <c r="W195" s="166"/>
      <c r="X195" s="166"/>
      <c r="Y195" s="166"/>
    </row>
    <row r="196" ht="22.5" customHeight="1">
      <c r="A196" s="184" t="s">
        <v>385</v>
      </c>
      <c r="B196" s="175" t="s">
        <v>1517</v>
      </c>
      <c r="C196" s="169" t="s">
        <v>31</v>
      </c>
      <c r="D196" s="169" t="s">
        <v>21</v>
      </c>
      <c r="E196" s="168"/>
      <c r="F196" s="162"/>
      <c r="G196" s="142">
        <v>3190.0</v>
      </c>
      <c r="H196" s="161"/>
      <c r="I196" s="161"/>
      <c r="J196" s="161"/>
      <c r="K196" s="161"/>
      <c r="L196" s="161" t="s">
        <v>1452</v>
      </c>
      <c r="M196" s="161" t="s">
        <v>354</v>
      </c>
      <c r="N196" s="142">
        <v>37.0</v>
      </c>
      <c r="O196" s="161" t="s">
        <v>493</v>
      </c>
      <c r="P196" s="161"/>
      <c r="S196" s="142"/>
      <c r="T196" s="165"/>
      <c r="V196" s="166"/>
      <c r="W196" s="166"/>
      <c r="X196" s="166"/>
      <c r="Y196" s="166"/>
    </row>
    <row r="197" ht="22.5" customHeight="1">
      <c r="A197" s="161" t="s">
        <v>455</v>
      </c>
      <c r="B197" s="162" t="s">
        <v>456</v>
      </c>
      <c r="C197" s="4" t="s">
        <v>495</v>
      </c>
      <c r="D197" s="177" t="s">
        <v>371</v>
      </c>
      <c r="E197" s="168"/>
      <c r="F197" s="162"/>
      <c r="G197" s="142">
        <v>58448.0</v>
      </c>
      <c r="H197" s="161"/>
      <c r="I197" s="161"/>
      <c r="J197" s="161"/>
      <c r="K197" s="161"/>
      <c r="L197" s="161" t="s">
        <v>1518</v>
      </c>
      <c r="M197" s="161" t="s">
        <v>408</v>
      </c>
      <c r="N197" s="142">
        <v>40.0</v>
      </c>
      <c r="O197" s="161" t="s">
        <v>459</v>
      </c>
      <c r="P197" s="165"/>
      <c r="S197" s="142"/>
      <c r="T197" s="165"/>
      <c r="V197" s="166"/>
      <c r="W197" s="166"/>
      <c r="X197" s="166"/>
      <c r="Y197" s="166"/>
    </row>
    <row r="198" ht="22.5" customHeight="1">
      <c r="A198" s="161" t="s">
        <v>455</v>
      </c>
      <c r="B198" s="162" t="s">
        <v>456</v>
      </c>
      <c r="C198" s="4" t="s">
        <v>495</v>
      </c>
      <c r="D198" s="179" t="s">
        <v>371</v>
      </c>
      <c r="E198" s="167"/>
      <c r="F198" s="162"/>
      <c r="G198" s="142">
        <v>48687.0</v>
      </c>
      <c r="H198" s="161"/>
      <c r="I198" s="161"/>
      <c r="J198" s="161"/>
      <c r="K198" s="161"/>
      <c r="L198" s="161" t="s">
        <v>1518</v>
      </c>
      <c r="M198" s="161" t="s">
        <v>408</v>
      </c>
      <c r="N198" s="142">
        <v>41.0</v>
      </c>
      <c r="O198" s="161" t="s">
        <v>459</v>
      </c>
      <c r="P198" s="165"/>
      <c r="S198" s="142"/>
      <c r="T198" s="165"/>
      <c r="V198" s="166"/>
      <c r="W198" s="166"/>
      <c r="X198" s="166"/>
      <c r="Y198" s="166"/>
    </row>
    <row r="199" ht="22.5" customHeight="1">
      <c r="A199" s="161" t="s">
        <v>455</v>
      </c>
      <c r="B199" s="162" t="s">
        <v>456</v>
      </c>
      <c r="C199" s="4" t="s">
        <v>495</v>
      </c>
      <c r="D199" s="177" t="s">
        <v>371</v>
      </c>
      <c r="E199" s="168"/>
      <c r="F199" s="162"/>
      <c r="G199" s="142">
        <v>428.0</v>
      </c>
      <c r="H199" s="161"/>
      <c r="I199" s="161"/>
      <c r="J199" s="161"/>
      <c r="K199" s="161"/>
      <c r="L199" s="161" t="s">
        <v>1519</v>
      </c>
      <c r="M199" s="161" t="s">
        <v>408</v>
      </c>
      <c r="N199" s="142">
        <v>84.0</v>
      </c>
      <c r="O199" s="161" t="s">
        <v>459</v>
      </c>
      <c r="P199" s="165"/>
      <c r="S199" s="142"/>
      <c r="T199" s="165"/>
      <c r="V199" s="166"/>
      <c r="W199" s="166"/>
      <c r="X199" s="166"/>
      <c r="Y199" s="166"/>
    </row>
    <row r="200" ht="22.5" customHeight="1">
      <c r="A200" s="161" t="s">
        <v>455</v>
      </c>
      <c r="B200" s="162" t="s">
        <v>456</v>
      </c>
      <c r="C200" s="4" t="s">
        <v>495</v>
      </c>
      <c r="D200" s="163" t="s">
        <v>371</v>
      </c>
      <c r="E200" s="168"/>
      <c r="F200" s="162"/>
      <c r="G200" s="142">
        <v>4223.16</v>
      </c>
      <c r="H200" s="161"/>
      <c r="I200" s="161"/>
      <c r="J200" s="161"/>
      <c r="K200" s="161"/>
      <c r="L200" s="161" t="s">
        <v>1520</v>
      </c>
      <c r="M200" s="161" t="s">
        <v>408</v>
      </c>
      <c r="N200" s="142">
        <v>95.0</v>
      </c>
      <c r="O200" s="161" t="s">
        <v>459</v>
      </c>
      <c r="P200" s="165"/>
      <c r="S200" s="142"/>
      <c r="T200" s="165"/>
      <c r="V200" s="166"/>
      <c r="W200" s="166"/>
      <c r="X200" s="166"/>
      <c r="Y200" s="166"/>
    </row>
    <row r="201" ht="22.5" customHeight="1">
      <c r="A201" s="161" t="s">
        <v>455</v>
      </c>
      <c r="B201" s="162" t="s">
        <v>456</v>
      </c>
      <c r="C201" s="4" t="s">
        <v>495</v>
      </c>
      <c r="D201" s="176" t="s">
        <v>371</v>
      </c>
      <c r="E201" s="167"/>
      <c r="F201" s="162"/>
      <c r="G201" s="142">
        <v>4223.16</v>
      </c>
      <c r="H201" s="161"/>
      <c r="I201" s="161"/>
      <c r="J201" s="161"/>
      <c r="K201" s="161"/>
      <c r="L201" s="161" t="s">
        <v>1520</v>
      </c>
      <c r="M201" s="161" t="s">
        <v>408</v>
      </c>
      <c r="N201" s="142">
        <v>96.0</v>
      </c>
      <c r="O201" s="161" t="s">
        <v>459</v>
      </c>
      <c r="P201" s="165"/>
      <c r="S201" s="142"/>
      <c r="T201" s="165"/>
      <c r="V201" s="166"/>
      <c r="W201" s="166"/>
      <c r="X201" s="166"/>
      <c r="Y201" s="166"/>
    </row>
    <row r="202" ht="22.5" customHeight="1">
      <c r="A202" s="189" t="s">
        <v>483</v>
      </c>
      <c r="B202" s="172" t="s">
        <v>1428</v>
      </c>
      <c r="C202" s="188" t="s">
        <v>495</v>
      </c>
      <c r="D202" s="188" t="s">
        <v>485</v>
      </c>
      <c r="E202" s="168"/>
      <c r="F202" s="162"/>
      <c r="G202" s="142">
        <v>69726.28</v>
      </c>
      <c r="H202" s="161"/>
      <c r="I202" s="161"/>
      <c r="J202" s="161"/>
      <c r="K202" s="161"/>
      <c r="L202" s="161" t="s">
        <v>1521</v>
      </c>
      <c r="M202" s="161" t="s">
        <v>408</v>
      </c>
      <c r="N202" s="142">
        <v>14.0</v>
      </c>
      <c r="O202" s="161" t="s">
        <v>487</v>
      </c>
      <c r="P202" s="161"/>
      <c r="S202" s="142"/>
      <c r="T202" s="165"/>
      <c r="V202" s="166"/>
      <c r="W202" s="166"/>
      <c r="X202" s="166"/>
      <c r="Y202" s="166"/>
    </row>
    <row r="203" ht="22.5" customHeight="1">
      <c r="A203" s="192" t="s">
        <v>483</v>
      </c>
      <c r="B203" s="175" t="s">
        <v>1428</v>
      </c>
      <c r="C203" s="187" t="s">
        <v>495</v>
      </c>
      <c r="D203" s="187" t="s">
        <v>485</v>
      </c>
      <c r="E203" s="168"/>
      <c r="F203" s="162"/>
      <c r="G203" s="142">
        <v>677.0</v>
      </c>
      <c r="H203" s="161"/>
      <c r="I203" s="161"/>
      <c r="J203" s="161"/>
      <c r="K203" s="161"/>
      <c r="L203" s="161" t="s">
        <v>1521</v>
      </c>
      <c r="M203" s="161" t="s">
        <v>408</v>
      </c>
      <c r="N203" s="142">
        <v>14.0</v>
      </c>
      <c r="O203" s="161" t="s">
        <v>409</v>
      </c>
      <c r="P203" s="161"/>
      <c r="S203" s="142"/>
      <c r="T203" s="165"/>
      <c r="V203" s="166"/>
      <c r="W203" s="166"/>
      <c r="X203" s="166"/>
      <c r="Y203" s="166"/>
    </row>
    <row r="204" ht="22.5" customHeight="1">
      <c r="A204" s="161" t="s">
        <v>483</v>
      </c>
      <c r="B204" s="162" t="s">
        <v>1522</v>
      </c>
      <c r="C204" s="4" t="s">
        <v>495</v>
      </c>
      <c r="D204" s="4" t="s">
        <v>485</v>
      </c>
      <c r="E204" s="167"/>
      <c r="F204" s="162"/>
      <c r="G204" s="142">
        <v>124626.67</v>
      </c>
      <c r="H204" s="161"/>
      <c r="I204" s="161"/>
      <c r="J204" s="161"/>
      <c r="K204" s="161"/>
      <c r="L204" s="161" t="s">
        <v>1523</v>
      </c>
      <c r="M204" s="161" t="s">
        <v>408</v>
      </c>
      <c r="N204" s="142">
        <v>206.0</v>
      </c>
      <c r="O204" s="161" t="s">
        <v>487</v>
      </c>
      <c r="P204" s="161"/>
      <c r="S204" s="142"/>
      <c r="T204" s="165"/>
      <c r="V204" s="166"/>
      <c r="W204" s="166"/>
      <c r="X204" s="166"/>
      <c r="Y204" s="166"/>
    </row>
    <row r="205" ht="22.5" customHeight="1">
      <c r="A205" s="161" t="s">
        <v>403</v>
      </c>
      <c r="B205" s="162" t="s">
        <v>1432</v>
      </c>
      <c r="C205" s="4" t="s">
        <v>31</v>
      </c>
      <c r="D205" s="4" t="s">
        <v>187</v>
      </c>
      <c r="E205" s="167"/>
      <c r="F205" s="162"/>
      <c r="G205" s="142">
        <v>6507.4</v>
      </c>
      <c r="H205" s="161"/>
      <c r="I205" s="161"/>
      <c r="J205" s="161"/>
      <c r="K205" s="161"/>
      <c r="L205" s="161" t="s">
        <v>1524</v>
      </c>
      <c r="M205" s="161" t="s">
        <v>408</v>
      </c>
      <c r="N205" s="142">
        <v>150.0</v>
      </c>
      <c r="O205" s="161" t="s">
        <v>409</v>
      </c>
      <c r="P205" s="165"/>
      <c r="S205" s="142"/>
      <c r="T205" s="165"/>
      <c r="V205" s="166"/>
      <c r="W205" s="166"/>
      <c r="X205" s="166"/>
      <c r="Y205" s="166"/>
    </row>
    <row r="206" ht="22.5" customHeight="1">
      <c r="A206" s="185" t="s">
        <v>426</v>
      </c>
      <c r="B206" s="172" t="s">
        <v>1525</v>
      </c>
      <c r="C206" s="173" t="s">
        <v>31</v>
      </c>
      <c r="D206" s="173" t="s">
        <v>98</v>
      </c>
      <c r="E206" s="168"/>
      <c r="F206" s="162"/>
      <c r="G206" s="142">
        <v>59200.0</v>
      </c>
      <c r="H206" s="161"/>
      <c r="I206" s="161"/>
      <c r="J206" s="161"/>
      <c r="K206" s="161"/>
      <c r="L206" s="161" t="s">
        <v>1452</v>
      </c>
      <c r="M206" s="161" t="s">
        <v>354</v>
      </c>
      <c r="N206" s="142">
        <v>34.0</v>
      </c>
      <c r="O206" s="161" t="s">
        <v>397</v>
      </c>
      <c r="P206" s="161"/>
      <c r="S206" s="142"/>
      <c r="T206" s="165"/>
      <c r="V206" s="166"/>
      <c r="W206" s="166"/>
      <c r="X206" s="166"/>
      <c r="Y206" s="166"/>
    </row>
    <row r="207" ht="22.5" customHeight="1">
      <c r="A207" s="161" t="s">
        <v>508</v>
      </c>
      <c r="B207" s="162" t="s">
        <v>1305</v>
      </c>
      <c r="C207" s="4" t="s">
        <v>20</v>
      </c>
      <c r="D207" s="4" t="s">
        <v>21</v>
      </c>
      <c r="E207" s="168"/>
      <c r="F207" s="162"/>
      <c r="G207" s="142">
        <v>5185.28</v>
      </c>
      <c r="H207" s="161"/>
      <c r="I207" s="161"/>
      <c r="J207" s="161"/>
      <c r="K207" s="161"/>
      <c r="L207" s="161" t="s">
        <v>1452</v>
      </c>
      <c r="M207" s="161" t="s">
        <v>354</v>
      </c>
      <c r="N207" s="142">
        <v>10.0</v>
      </c>
      <c r="O207" s="161" t="s">
        <v>475</v>
      </c>
      <c r="P207" s="161"/>
      <c r="S207" s="142"/>
      <c r="T207" s="165"/>
      <c r="V207" s="166"/>
      <c r="W207" s="166"/>
      <c r="X207" s="166"/>
      <c r="Y207" s="166"/>
    </row>
    <row r="208" ht="22.5" customHeight="1">
      <c r="A208" s="161" t="s">
        <v>508</v>
      </c>
      <c r="B208" s="162" t="s">
        <v>1305</v>
      </c>
      <c r="C208" s="4" t="s">
        <v>20</v>
      </c>
      <c r="D208" s="4" t="s">
        <v>21</v>
      </c>
      <c r="E208" s="167"/>
      <c r="F208" s="162"/>
      <c r="G208" s="142">
        <v>452.52</v>
      </c>
      <c r="H208" s="161"/>
      <c r="I208" s="161"/>
      <c r="J208" s="161"/>
      <c r="K208" s="161"/>
      <c r="L208" s="161" t="s">
        <v>1452</v>
      </c>
      <c r="M208" s="161" t="s">
        <v>354</v>
      </c>
      <c r="N208" s="142">
        <v>11.0</v>
      </c>
      <c r="O208" s="161" t="s">
        <v>475</v>
      </c>
      <c r="P208" s="161"/>
      <c r="S208" s="142"/>
      <c r="T208" s="165"/>
      <c r="V208" s="166"/>
      <c r="W208" s="166"/>
      <c r="X208" s="166"/>
      <c r="Y208" s="166"/>
    </row>
    <row r="209" ht="22.5" customHeight="1">
      <c r="A209" s="161" t="s">
        <v>18</v>
      </c>
      <c r="B209" s="162" t="s">
        <v>1224</v>
      </c>
      <c r="C209" s="161"/>
      <c r="D209" s="181"/>
      <c r="E209" s="168"/>
      <c r="F209" s="162"/>
      <c r="G209" s="142">
        <v>6372.28</v>
      </c>
      <c r="H209" s="161"/>
      <c r="I209" s="161"/>
      <c r="J209" s="161"/>
      <c r="K209" s="161"/>
      <c r="L209" s="161" t="s">
        <v>1452</v>
      </c>
      <c r="M209" s="161" t="s">
        <v>354</v>
      </c>
      <c r="N209" s="142">
        <v>34.0</v>
      </c>
      <c r="O209" s="161" t="s">
        <v>1526</v>
      </c>
      <c r="P209" s="161"/>
      <c r="S209" s="142"/>
      <c r="T209" s="165"/>
      <c r="V209" s="166"/>
      <c r="W209" s="166"/>
      <c r="X209" s="166"/>
      <c r="Y209" s="166"/>
    </row>
    <row r="210" ht="22.5" customHeight="1">
      <c r="A210" s="161" t="s">
        <v>18</v>
      </c>
      <c r="B210" s="162" t="s">
        <v>1224</v>
      </c>
      <c r="C210" s="161"/>
      <c r="D210" s="180"/>
      <c r="E210" s="167"/>
      <c r="F210" s="162"/>
      <c r="G210" s="142">
        <v>8714.51</v>
      </c>
      <c r="H210" s="161"/>
      <c r="I210" s="161"/>
      <c r="J210" s="161"/>
      <c r="K210" s="161"/>
      <c r="L210" s="161" t="s">
        <v>1452</v>
      </c>
      <c r="M210" s="161" t="s">
        <v>354</v>
      </c>
      <c r="N210" s="142">
        <v>34.0</v>
      </c>
      <c r="O210" s="161" t="s">
        <v>397</v>
      </c>
      <c r="P210" s="161"/>
      <c r="S210" s="142"/>
      <c r="T210" s="165"/>
      <c r="V210" s="166"/>
      <c r="W210" s="166"/>
      <c r="X210" s="166"/>
      <c r="Y210" s="166"/>
    </row>
    <row r="211" ht="22.5" customHeight="1">
      <c r="A211" s="161" t="s">
        <v>18</v>
      </c>
      <c r="B211" s="162" t="s">
        <v>1224</v>
      </c>
      <c r="C211" s="161"/>
      <c r="D211" s="181"/>
      <c r="E211" s="168"/>
      <c r="F211" s="162"/>
      <c r="G211" s="142">
        <v>9178.73</v>
      </c>
      <c r="H211" s="161"/>
      <c r="I211" s="161"/>
      <c r="J211" s="161"/>
      <c r="K211" s="161"/>
      <c r="L211" s="161" t="s">
        <v>1452</v>
      </c>
      <c r="M211" s="161" t="s">
        <v>354</v>
      </c>
      <c r="N211" s="142">
        <v>34.0</v>
      </c>
      <c r="O211" s="161" t="s">
        <v>397</v>
      </c>
      <c r="P211" s="161"/>
      <c r="S211" s="142"/>
      <c r="T211" s="165"/>
      <c r="V211" s="166"/>
      <c r="W211" s="166"/>
      <c r="X211" s="166"/>
      <c r="Y211" s="166"/>
    </row>
    <row r="212" ht="22.5" customHeight="1">
      <c r="A212" s="161" t="s">
        <v>18</v>
      </c>
      <c r="B212" s="162" t="s">
        <v>1224</v>
      </c>
      <c r="C212" s="161"/>
      <c r="D212" s="180"/>
      <c r="E212" s="167"/>
      <c r="F212" s="162"/>
      <c r="G212" s="142">
        <v>11648.16</v>
      </c>
      <c r="H212" s="161"/>
      <c r="I212" s="161"/>
      <c r="J212" s="161"/>
      <c r="K212" s="161"/>
      <c r="L212" s="161" t="s">
        <v>1452</v>
      </c>
      <c r="M212" s="161" t="s">
        <v>354</v>
      </c>
      <c r="N212" s="142">
        <v>34.0</v>
      </c>
      <c r="O212" s="161" t="s">
        <v>397</v>
      </c>
      <c r="P212" s="161"/>
      <c r="S212" s="142"/>
      <c r="T212" s="165"/>
      <c r="V212" s="166"/>
      <c r="W212" s="166"/>
      <c r="X212" s="166"/>
      <c r="Y212" s="166"/>
    </row>
    <row r="213" ht="22.5" customHeight="1">
      <c r="A213" s="161" t="s">
        <v>18</v>
      </c>
      <c r="B213" s="162" t="s">
        <v>1224</v>
      </c>
      <c r="C213" s="161"/>
      <c r="D213" s="181"/>
      <c r="E213" s="168"/>
      <c r="F213" s="162"/>
      <c r="G213" s="142">
        <v>12394.91</v>
      </c>
      <c r="H213" s="161"/>
      <c r="I213" s="161"/>
      <c r="J213" s="161"/>
      <c r="K213" s="161"/>
      <c r="L213" s="161" t="s">
        <v>1452</v>
      </c>
      <c r="M213" s="161" t="s">
        <v>354</v>
      </c>
      <c r="N213" s="142">
        <v>34.0</v>
      </c>
      <c r="O213" s="161" t="s">
        <v>397</v>
      </c>
      <c r="P213" s="161"/>
      <c r="S213" s="142"/>
      <c r="T213" s="165"/>
      <c r="V213" s="166"/>
      <c r="W213" s="166"/>
      <c r="X213" s="166"/>
      <c r="Y213" s="166"/>
    </row>
    <row r="214" ht="22.5" customHeight="1">
      <c r="A214" s="161" t="s">
        <v>18</v>
      </c>
      <c r="B214" s="162" t="s">
        <v>1224</v>
      </c>
      <c r="C214" s="161"/>
      <c r="D214" s="180"/>
      <c r="E214" s="167"/>
      <c r="F214" s="162"/>
      <c r="G214" s="142">
        <v>13695.19</v>
      </c>
      <c r="H214" s="161"/>
      <c r="I214" s="161"/>
      <c r="J214" s="161"/>
      <c r="K214" s="161"/>
      <c r="L214" s="161" t="s">
        <v>1452</v>
      </c>
      <c r="M214" s="161" t="s">
        <v>354</v>
      </c>
      <c r="N214" s="142">
        <v>34.0</v>
      </c>
      <c r="O214" s="161" t="s">
        <v>397</v>
      </c>
      <c r="P214" s="161"/>
      <c r="S214" s="142"/>
      <c r="T214" s="165"/>
      <c r="V214" s="166"/>
      <c r="W214" s="166"/>
      <c r="X214" s="166"/>
      <c r="Y214" s="166"/>
    </row>
    <row r="215" ht="22.5" customHeight="1">
      <c r="A215" s="161" t="s">
        <v>18</v>
      </c>
      <c r="B215" s="162" t="s">
        <v>1224</v>
      </c>
      <c r="C215" s="161"/>
      <c r="D215" s="181"/>
      <c r="E215" s="168"/>
      <c r="F215" s="162"/>
      <c r="G215" s="142">
        <v>13765.44</v>
      </c>
      <c r="H215" s="161"/>
      <c r="I215" s="161"/>
      <c r="J215" s="161"/>
      <c r="K215" s="161"/>
      <c r="L215" s="161" t="s">
        <v>1452</v>
      </c>
      <c r="M215" s="161" t="s">
        <v>354</v>
      </c>
      <c r="N215" s="142">
        <v>34.0</v>
      </c>
      <c r="O215" s="161" t="s">
        <v>397</v>
      </c>
      <c r="P215" s="161"/>
      <c r="S215" s="142"/>
      <c r="T215" s="165"/>
      <c r="V215" s="166"/>
      <c r="W215" s="166"/>
      <c r="X215" s="166"/>
      <c r="Y215" s="166"/>
    </row>
    <row r="216" ht="22.5" customHeight="1">
      <c r="A216" s="161" t="s">
        <v>18</v>
      </c>
      <c r="B216" s="162" t="s">
        <v>1224</v>
      </c>
      <c r="C216" s="161"/>
      <c r="D216" s="180"/>
      <c r="E216" s="167"/>
      <c r="F216" s="162"/>
      <c r="G216" s="142">
        <v>345987.34</v>
      </c>
      <c r="H216" s="161"/>
      <c r="I216" s="161"/>
      <c r="J216" s="161"/>
      <c r="K216" s="161"/>
      <c r="L216" s="161" t="s">
        <v>1452</v>
      </c>
      <c r="M216" s="161" t="s">
        <v>354</v>
      </c>
      <c r="N216" s="142">
        <v>34.0</v>
      </c>
      <c r="O216" s="161" t="s">
        <v>397</v>
      </c>
      <c r="P216" s="161"/>
      <c r="S216" s="142"/>
      <c r="T216" s="165"/>
      <c r="V216" s="166"/>
      <c r="W216" s="166"/>
      <c r="X216" s="166"/>
      <c r="Y216" s="166"/>
    </row>
    <row r="217" ht="22.5" customHeight="1">
      <c r="A217" s="161" t="s">
        <v>18</v>
      </c>
      <c r="B217" s="162" t="s">
        <v>1224</v>
      </c>
      <c r="C217" s="161"/>
      <c r="D217" s="181"/>
      <c r="E217" s="168"/>
      <c r="F217" s="162"/>
      <c r="G217" s="142">
        <v>380938.15</v>
      </c>
      <c r="H217" s="161"/>
      <c r="I217" s="161"/>
      <c r="J217" s="161"/>
      <c r="K217" s="161"/>
      <c r="L217" s="161" t="s">
        <v>1452</v>
      </c>
      <c r="M217" s="161" t="s">
        <v>354</v>
      </c>
      <c r="N217" s="142">
        <v>34.0</v>
      </c>
      <c r="O217" s="161" t="s">
        <v>397</v>
      </c>
      <c r="P217" s="161"/>
      <c r="S217" s="142"/>
      <c r="T217" s="165"/>
      <c r="V217" s="166"/>
      <c r="W217" s="166"/>
      <c r="X217" s="166"/>
      <c r="Y217" s="166"/>
    </row>
    <row r="218" ht="22.5" customHeight="1">
      <c r="A218" s="27" t="s">
        <v>516</v>
      </c>
      <c r="B218" s="162" t="s">
        <v>1527</v>
      </c>
      <c r="C218" s="4" t="s">
        <v>31</v>
      </c>
      <c r="D218" s="4" t="s">
        <v>38</v>
      </c>
      <c r="E218" s="167"/>
      <c r="F218" s="162"/>
      <c r="G218" s="142">
        <v>1622.33</v>
      </c>
      <c r="H218" s="161"/>
      <c r="I218" s="161"/>
      <c r="J218" s="161"/>
      <c r="K218" s="161"/>
      <c r="L218" s="161" t="s">
        <v>1452</v>
      </c>
      <c r="M218" s="161" t="s">
        <v>354</v>
      </c>
      <c r="N218" s="142">
        <v>12.0</v>
      </c>
      <c r="O218" s="161" t="s">
        <v>516</v>
      </c>
      <c r="P218" s="161"/>
      <c r="S218" s="142"/>
      <c r="T218" s="165"/>
      <c r="V218" s="166"/>
      <c r="W218" s="166"/>
      <c r="X218" s="166"/>
      <c r="Y218" s="166"/>
    </row>
    <row r="219" ht="22.5" customHeight="1">
      <c r="A219" s="184" t="s">
        <v>471</v>
      </c>
      <c r="B219" s="175" t="s">
        <v>1528</v>
      </c>
      <c r="C219" s="169" t="s">
        <v>20</v>
      </c>
      <c r="D219" s="169" t="s">
        <v>21</v>
      </c>
      <c r="E219" s="167"/>
      <c r="F219" s="162"/>
      <c r="G219" s="142">
        <v>22155.17</v>
      </c>
      <c r="H219" s="161"/>
      <c r="I219" s="161"/>
      <c r="J219" s="161"/>
      <c r="K219" s="161"/>
      <c r="L219" s="161" t="s">
        <v>1452</v>
      </c>
      <c r="M219" s="161" t="s">
        <v>354</v>
      </c>
      <c r="N219" s="142">
        <v>29.0</v>
      </c>
      <c r="O219" s="161" t="s">
        <v>393</v>
      </c>
      <c r="P219" s="161"/>
      <c r="S219" s="142"/>
      <c r="T219" s="165"/>
      <c r="V219" s="166"/>
      <c r="W219" s="166"/>
      <c r="X219" s="166"/>
      <c r="Y219" s="166"/>
    </row>
    <row r="220" ht="22.5" customHeight="1">
      <c r="A220" s="27" t="s">
        <v>18</v>
      </c>
      <c r="B220" s="162" t="s">
        <v>1529</v>
      </c>
      <c r="C220" s="161"/>
      <c r="D220" s="183"/>
      <c r="E220" s="168"/>
      <c r="F220" s="162"/>
      <c r="G220" s="142">
        <v>67957.29</v>
      </c>
      <c r="H220" s="161"/>
      <c r="I220" s="161"/>
      <c r="J220" s="161"/>
      <c r="K220" s="161"/>
      <c r="L220" s="161" t="s">
        <v>1452</v>
      </c>
      <c r="M220" s="161" t="s">
        <v>354</v>
      </c>
      <c r="N220" s="142">
        <v>193.0</v>
      </c>
      <c r="O220" s="161" t="s">
        <v>18</v>
      </c>
      <c r="P220" s="161"/>
      <c r="S220" s="142"/>
      <c r="T220" s="165"/>
      <c r="V220" s="166"/>
      <c r="W220" s="166"/>
      <c r="X220" s="166"/>
      <c r="Y220" s="166"/>
    </row>
    <row r="221" ht="22.5" customHeight="1">
      <c r="A221" s="27" t="s">
        <v>18</v>
      </c>
      <c r="B221" s="162" t="s">
        <v>1529</v>
      </c>
      <c r="C221" s="161"/>
      <c r="D221" s="182"/>
      <c r="E221" s="167"/>
      <c r="F221" s="162"/>
      <c r="G221" s="142">
        <v>82692.25</v>
      </c>
      <c r="H221" s="161"/>
      <c r="I221" s="161"/>
      <c r="J221" s="161"/>
      <c r="K221" s="161"/>
      <c r="L221" s="161" t="s">
        <v>1452</v>
      </c>
      <c r="M221" s="161" t="s">
        <v>354</v>
      </c>
      <c r="N221" s="142">
        <v>194.0</v>
      </c>
      <c r="O221" s="161" t="s">
        <v>18</v>
      </c>
      <c r="P221" s="161"/>
      <c r="S221" s="142"/>
      <c r="T221" s="165"/>
      <c r="V221" s="166"/>
      <c r="W221" s="166"/>
      <c r="X221" s="166"/>
      <c r="Y221" s="166"/>
    </row>
    <row r="222" ht="22.5" customHeight="1">
      <c r="A222" s="161" t="s">
        <v>528</v>
      </c>
      <c r="B222" s="162" t="s">
        <v>1292</v>
      </c>
      <c r="C222" s="27" t="s">
        <v>31</v>
      </c>
      <c r="D222" s="12" t="s">
        <v>54</v>
      </c>
      <c r="E222" s="167"/>
      <c r="F222" s="162"/>
      <c r="G222" s="144">
        <v>13128.38489</v>
      </c>
      <c r="H222" s="161"/>
      <c r="I222" s="161"/>
      <c r="J222" s="161"/>
      <c r="K222" s="161"/>
      <c r="L222" s="161" t="s">
        <v>1530</v>
      </c>
      <c r="M222" s="161" t="s">
        <v>408</v>
      </c>
      <c r="N222" s="142">
        <v>86.0</v>
      </c>
      <c r="O222" s="161" t="s">
        <v>459</v>
      </c>
      <c r="P222" s="165"/>
      <c r="S222" s="142"/>
      <c r="T222" s="165"/>
      <c r="V222" s="166"/>
      <c r="W222" s="166"/>
      <c r="X222" s="166"/>
      <c r="Y222" s="166"/>
    </row>
    <row r="223" ht="22.5" customHeight="1">
      <c r="A223" s="161" t="s">
        <v>528</v>
      </c>
      <c r="B223" s="162" t="s">
        <v>1292</v>
      </c>
      <c r="C223" s="27" t="s">
        <v>31</v>
      </c>
      <c r="D223" s="12" t="s">
        <v>98</v>
      </c>
      <c r="E223" s="167"/>
      <c r="F223" s="162"/>
      <c r="G223" s="144">
        <v>937.7417778</v>
      </c>
      <c r="H223" s="161"/>
      <c r="I223" s="161"/>
      <c r="J223" s="161"/>
      <c r="K223" s="161"/>
      <c r="L223" s="161" t="s">
        <v>1452</v>
      </c>
      <c r="M223" s="161"/>
      <c r="N223" s="142"/>
      <c r="O223" s="161"/>
      <c r="P223" s="165"/>
      <c r="S223" s="142"/>
      <c r="T223" s="165"/>
      <c r="V223" s="166"/>
      <c r="W223" s="166"/>
      <c r="X223" s="166"/>
      <c r="Y223" s="166"/>
    </row>
    <row r="224" ht="22.5" customHeight="1">
      <c r="A224" s="161" t="s">
        <v>528</v>
      </c>
      <c r="B224" s="162" t="s">
        <v>1292</v>
      </c>
      <c r="C224" s="27" t="s">
        <v>31</v>
      </c>
      <c r="D224" s="12" t="s">
        <v>21</v>
      </c>
      <c r="E224" s="167"/>
      <c r="F224" s="162"/>
      <c r="G224" s="144">
        <v>17817.09378</v>
      </c>
      <c r="H224" s="161"/>
      <c r="I224" s="161"/>
      <c r="J224" s="161"/>
      <c r="K224" s="161"/>
      <c r="L224" s="161" t="s">
        <v>1452</v>
      </c>
      <c r="M224" s="161"/>
      <c r="N224" s="142"/>
      <c r="O224" s="161"/>
      <c r="P224" s="165"/>
      <c r="S224" s="142"/>
      <c r="T224" s="165"/>
      <c r="V224" s="166"/>
      <c r="W224" s="166"/>
      <c r="X224" s="166"/>
      <c r="Y224" s="166"/>
    </row>
    <row r="225" ht="22.5" customHeight="1">
      <c r="A225" s="161" t="s">
        <v>528</v>
      </c>
      <c r="B225" s="162" t="s">
        <v>1292</v>
      </c>
      <c r="C225" s="27" t="s">
        <v>31</v>
      </c>
      <c r="D225" s="12" t="s">
        <v>187</v>
      </c>
      <c r="E225" s="167"/>
      <c r="F225" s="162"/>
      <c r="G225" s="144">
        <v>2500.644741</v>
      </c>
      <c r="H225" s="161"/>
      <c r="I225" s="161"/>
      <c r="J225" s="161"/>
      <c r="K225" s="161"/>
      <c r="L225" s="161" t="s">
        <v>1452</v>
      </c>
      <c r="M225" s="161"/>
      <c r="N225" s="142"/>
      <c r="O225" s="161"/>
      <c r="P225" s="165"/>
      <c r="S225" s="142"/>
      <c r="T225" s="165"/>
      <c r="V225" s="166"/>
      <c r="W225" s="166"/>
      <c r="X225" s="166"/>
      <c r="Y225" s="166"/>
    </row>
    <row r="226" ht="22.5" customHeight="1">
      <c r="A226" s="161" t="s">
        <v>528</v>
      </c>
      <c r="B226" s="162" t="s">
        <v>1292</v>
      </c>
      <c r="C226" s="27" t="s">
        <v>31</v>
      </c>
      <c r="D226" s="12" t="s">
        <v>38</v>
      </c>
      <c r="E226" s="167"/>
      <c r="F226" s="162"/>
      <c r="G226" s="144">
        <v>1406.612667</v>
      </c>
      <c r="H226" s="161"/>
      <c r="I226" s="161"/>
      <c r="J226" s="161"/>
      <c r="K226" s="161"/>
      <c r="L226" s="161" t="s">
        <v>1452</v>
      </c>
      <c r="M226" s="161"/>
      <c r="N226" s="142"/>
      <c r="O226" s="161"/>
      <c r="P226" s="165"/>
      <c r="S226" s="142"/>
      <c r="T226" s="165"/>
      <c r="V226" s="166"/>
      <c r="W226" s="166"/>
      <c r="X226" s="166"/>
      <c r="Y226" s="166"/>
    </row>
    <row r="227" ht="22.5" customHeight="1">
      <c r="A227" s="161" t="s">
        <v>528</v>
      </c>
      <c r="B227" s="162" t="s">
        <v>1292</v>
      </c>
      <c r="C227" s="27" t="s">
        <v>31</v>
      </c>
      <c r="D227" s="12" t="s">
        <v>47</v>
      </c>
      <c r="E227" s="167"/>
      <c r="F227" s="162"/>
      <c r="G227" s="144">
        <v>5001.289481</v>
      </c>
      <c r="H227" s="161"/>
      <c r="I227" s="161"/>
      <c r="J227" s="161"/>
      <c r="K227" s="161"/>
      <c r="L227" s="161" t="s">
        <v>1452</v>
      </c>
      <c r="M227" s="161"/>
      <c r="N227" s="142"/>
      <c r="O227" s="161"/>
      <c r="P227" s="165"/>
      <c r="S227" s="142"/>
      <c r="T227" s="165"/>
      <c r="V227" s="166"/>
      <c r="W227" s="166"/>
      <c r="X227" s="166"/>
      <c r="Y227" s="166"/>
    </row>
    <row r="228" ht="22.5" customHeight="1">
      <c r="A228" s="161" t="s">
        <v>528</v>
      </c>
      <c r="B228" s="162" t="s">
        <v>1292</v>
      </c>
      <c r="C228" s="27" t="s">
        <v>31</v>
      </c>
      <c r="D228" s="12" t="s">
        <v>113</v>
      </c>
      <c r="E228" s="167"/>
      <c r="F228" s="162"/>
      <c r="G228" s="144">
        <v>1406.612667</v>
      </c>
      <c r="H228" s="161"/>
      <c r="I228" s="161"/>
      <c r="J228" s="161"/>
      <c r="K228" s="161"/>
      <c r="L228" s="161" t="s">
        <v>1452</v>
      </c>
      <c r="M228" s="161"/>
      <c r="N228" s="142"/>
      <c r="O228" s="161"/>
      <c r="P228" s="165"/>
      <c r="S228" s="142"/>
      <c r="T228" s="165"/>
      <c r="V228" s="166"/>
      <c r="W228" s="166"/>
      <c r="X228" s="166"/>
      <c r="Y228" s="166"/>
    </row>
    <row r="229" ht="22.5" customHeight="1">
      <c r="A229" s="161" t="s">
        <v>440</v>
      </c>
      <c r="B229" s="162" t="s">
        <v>1422</v>
      </c>
      <c r="C229" s="4" t="s">
        <v>31</v>
      </c>
      <c r="D229" s="4" t="s">
        <v>54</v>
      </c>
      <c r="E229" s="167"/>
      <c r="F229" s="162"/>
      <c r="G229" s="142">
        <v>123571.67</v>
      </c>
      <c r="H229" s="161"/>
      <c r="I229" s="161"/>
      <c r="J229" s="161"/>
      <c r="K229" s="161"/>
      <c r="L229" s="161" t="s">
        <v>1452</v>
      </c>
      <c r="M229" s="161" t="s">
        <v>354</v>
      </c>
      <c r="N229" s="142">
        <v>13.0</v>
      </c>
      <c r="O229" s="161" t="s">
        <v>524</v>
      </c>
      <c r="P229" s="161"/>
      <c r="S229" s="142"/>
      <c r="T229" s="165"/>
      <c r="V229" s="166"/>
      <c r="W229" s="166"/>
      <c r="X229" s="166"/>
      <c r="Y229" s="166"/>
    </row>
    <row r="230" ht="22.5" customHeight="1">
      <c r="A230" s="161" t="s">
        <v>437</v>
      </c>
      <c r="B230" s="162" t="s">
        <v>1395</v>
      </c>
      <c r="C230" s="2" t="s">
        <v>20</v>
      </c>
      <c r="D230" s="4" t="s">
        <v>21</v>
      </c>
      <c r="E230" s="167"/>
      <c r="F230" s="162"/>
      <c r="G230" s="142">
        <v>10622.95</v>
      </c>
      <c r="H230" s="161"/>
      <c r="I230" s="161"/>
      <c r="J230" s="161"/>
      <c r="K230" s="161"/>
      <c r="L230" s="161" t="s">
        <v>1452</v>
      </c>
      <c r="M230" s="161" t="s">
        <v>354</v>
      </c>
      <c r="N230" s="142">
        <v>23.0</v>
      </c>
      <c r="O230" s="161" t="s">
        <v>437</v>
      </c>
      <c r="P230" s="161"/>
      <c r="S230" s="142"/>
      <c r="T230" s="165"/>
      <c r="V230" s="166"/>
      <c r="W230" s="166"/>
      <c r="X230" s="166"/>
      <c r="Y230" s="166"/>
    </row>
    <row r="231" ht="22.5" customHeight="1">
      <c r="A231" s="161" t="s">
        <v>385</v>
      </c>
      <c r="B231" s="162" t="s">
        <v>1230</v>
      </c>
      <c r="C231" s="4" t="s">
        <v>31</v>
      </c>
      <c r="D231" s="4" t="s">
        <v>371</v>
      </c>
      <c r="E231" s="168"/>
      <c r="F231" s="162"/>
      <c r="G231" s="142">
        <v>2622.38</v>
      </c>
      <c r="H231" s="161"/>
      <c r="I231" s="161"/>
      <c r="J231" s="161"/>
      <c r="K231" s="161"/>
      <c r="L231" s="161" t="s">
        <v>1452</v>
      </c>
      <c r="M231" s="161" t="s">
        <v>354</v>
      </c>
      <c r="N231" s="142">
        <v>21.0</v>
      </c>
      <c r="O231" s="161" t="s">
        <v>385</v>
      </c>
      <c r="P231" s="161"/>
      <c r="S231" s="142"/>
      <c r="T231" s="165"/>
      <c r="V231" s="166"/>
      <c r="W231" s="166"/>
      <c r="X231" s="166"/>
      <c r="Y231" s="166"/>
    </row>
    <row r="232" ht="22.5" customHeight="1">
      <c r="A232" s="161" t="s">
        <v>395</v>
      </c>
      <c r="B232" s="162" t="s">
        <v>1531</v>
      </c>
      <c r="C232" s="4" t="s">
        <v>31</v>
      </c>
      <c r="D232" s="4" t="s">
        <v>47</v>
      </c>
      <c r="E232" s="168"/>
      <c r="F232" s="162"/>
      <c r="G232" s="142">
        <v>10500.0</v>
      </c>
      <c r="H232" s="161"/>
      <c r="I232" s="161"/>
      <c r="J232" s="161"/>
      <c r="K232" s="161"/>
      <c r="L232" s="161" t="s">
        <v>1452</v>
      </c>
      <c r="M232" s="161" t="s">
        <v>354</v>
      </c>
      <c r="N232" s="142">
        <v>19.0</v>
      </c>
      <c r="O232" s="161" t="s">
        <v>395</v>
      </c>
      <c r="P232" s="161"/>
      <c r="S232" s="142"/>
      <c r="T232" s="165"/>
      <c r="V232" s="166"/>
      <c r="W232" s="166"/>
      <c r="X232" s="166"/>
      <c r="Y232" s="166"/>
    </row>
    <row r="233" ht="22.5" customHeight="1">
      <c r="A233" s="161" t="s">
        <v>465</v>
      </c>
      <c r="B233" s="162" t="s">
        <v>1352</v>
      </c>
      <c r="C233" s="4" t="s">
        <v>20</v>
      </c>
      <c r="D233" s="4" t="s">
        <v>21</v>
      </c>
      <c r="E233" s="167"/>
      <c r="F233" s="162"/>
      <c r="G233" s="142">
        <v>696.84</v>
      </c>
      <c r="H233" s="161"/>
      <c r="I233" s="161"/>
      <c r="J233" s="161"/>
      <c r="K233" s="161"/>
      <c r="L233" s="161" t="s">
        <v>1452</v>
      </c>
      <c r="M233" s="161" t="s">
        <v>354</v>
      </c>
      <c r="N233" s="142">
        <v>39.0</v>
      </c>
      <c r="O233" s="161" t="s">
        <v>467</v>
      </c>
      <c r="P233" s="161"/>
      <c r="S233" s="142"/>
      <c r="T233" s="165"/>
      <c r="V233" s="166"/>
      <c r="W233" s="166"/>
      <c r="X233" s="166"/>
      <c r="Y233" s="166"/>
    </row>
    <row r="234" ht="22.5" customHeight="1">
      <c r="A234" s="161" t="s">
        <v>465</v>
      </c>
      <c r="B234" s="162" t="s">
        <v>1352</v>
      </c>
      <c r="C234" s="4" t="s">
        <v>20</v>
      </c>
      <c r="D234" s="4" t="s">
        <v>21</v>
      </c>
      <c r="E234" s="168"/>
      <c r="F234" s="162"/>
      <c r="G234" s="142">
        <v>2030.88</v>
      </c>
      <c r="H234" s="161"/>
      <c r="I234" s="161"/>
      <c r="J234" s="161"/>
      <c r="K234" s="161"/>
      <c r="L234" s="161" t="s">
        <v>1452</v>
      </c>
      <c r="M234" s="161" t="s">
        <v>354</v>
      </c>
      <c r="N234" s="142">
        <v>39.0</v>
      </c>
      <c r="O234" s="161" t="s">
        <v>467</v>
      </c>
      <c r="P234" s="161"/>
      <c r="S234" s="142"/>
      <c r="T234" s="165"/>
      <c r="V234" s="166"/>
      <c r="W234" s="166"/>
      <c r="X234" s="166"/>
      <c r="Y234" s="166"/>
    </row>
    <row r="235" ht="22.5" customHeight="1">
      <c r="A235" s="161" t="s">
        <v>422</v>
      </c>
      <c r="B235" s="162" t="s">
        <v>1323</v>
      </c>
      <c r="C235" s="2" t="s">
        <v>31</v>
      </c>
      <c r="D235" s="4" t="s">
        <v>371</v>
      </c>
      <c r="E235" s="168"/>
      <c r="F235" s="162"/>
      <c r="G235" s="142">
        <v>5700.83</v>
      </c>
      <c r="H235" s="161"/>
      <c r="I235" s="161"/>
      <c r="J235" s="161"/>
      <c r="K235" s="161"/>
      <c r="L235" s="161" t="s">
        <v>1452</v>
      </c>
      <c r="M235" s="161" t="s">
        <v>354</v>
      </c>
      <c r="N235" s="142">
        <v>189.0</v>
      </c>
      <c r="O235" s="161" t="s">
        <v>422</v>
      </c>
      <c r="P235" s="161"/>
      <c r="S235" s="142"/>
      <c r="T235" s="165"/>
      <c r="V235" s="166"/>
      <c r="W235" s="166"/>
      <c r="X235" s="166"/>
      <c r="Y235" s="166"/>
    </row>
    <row r="236" ht="22.5" customHeight="1">
      <c r="A236" s="189" t="s">
        <v>437</v>
      </c>
      <c r="B236" s="172" t="s">
        <v>1532</v>
      </c>
      <c r="C236" s="173" t="s">
        <v>20</v>
      </c>
      <c r="D236" s="173" t="s">
        <v>21</v>
      </c>
      <c r="E236" s="168"/>
      <c r="F236" s="162"/>
      <c r="G236" s="142">
        <v>15000.0</v>
      </c>
      <c r="H236" s="161"/>
      <c r="I236" s="161"/>
      <c r="J236" s="161"/>
      <c r="K236" s="161"/>
      <c r="L236" s="161" t="s">
        <v>1452</v>
      </c>
      <c r="M236" s="161" t="s">
        <v>354</v>
      </c>
      <c r="N236" s="142">
        <v>23.0</v>
      </c>
      <c r="O236" s="161" t="s">
        <v>437</v>
      </c>
      <c r="P236" s="161"/>
      <c r="S236" s="142"/>
      <c r="T236" s="165"/>
      <c r="V236" s="166"/>
      <c r="W236" s="166"/>
      <c r="X236" s="166"/>
      <c r="Y236" s="166"/>
    </row>
    <row r="237" ht="22.5" customHeight="1">
      <c r="A237" s="192" t="s">
        <v>437</v>
      </c>
      <c r="B237" s="175" t="s">
        <v>1532</v>
      </c>
      <c r="C237" s="169" t="s">
        <v>20</v>
      </c>
      <c r="D237" s="169" t="s">
        <v>21</v>
      </c>
      <c r="E237" s="167"/>
      <c r="F237" s="162"/>
      <c r="G237" s="142">
        <v>83500.0</v>
      </c>
      <c r="H237" s="161"/>
      <c r="I237" s="161"/>
      <c r="J237" s="161"/>
      <c r="K237" s="161"/>
      <c r="L237" s="161" t="s">
        <v>1452</v>
      </c>
      <c r="M237" s="161" t="s">
        <v>354</v>
      </c>
      <c r="N237" s="142">
        <v>23.0</v>
      </c>
      <c r="O237" s="161" t="s">
        <v>437</v>
      </c>
      <c r="P237" s="161"/>
      <c r="S237" s="142"/>
      <c r="T237" s="165"/>
      <c r="V237" s="166"/>
      <c r="W237" s="166"/>
      <c r="X237" s="166"/>
      <c r="Y237" s="166"/>
    </row>
    <row r="238" ht="22.5" customHeight="1">
      <c r="A238" s="161" t="s">
        <v>18</v>
      </c>
      <c r="B238" s="162" t="s">
        <v>1233</v>
      </c>
      <c r="C238" s="161"/>
      <c r="D238" s="180"/>
      <c r="E238" s="167"/>
      <c r="F238" s="162"/>
      <c r="G238" s="142">
        <v>1090.0</v>
      </c>
      <c r="H238" s="161"/>
      <c r="I238" s="161"/>
      <c r="J238" s="161"/>
      <c r="K238" s="161"/>
      <c r="L238" s="161" t="s">
        <v>1452</v>
      </c>
      <c r="M238" s="161" t="s">
        <v>354</v>
      </c>
      <c r="N238" s="142">
        <v>34.0</v>
      </c>
      <c r="O238" s="161" t="s">
        <v>397</v>
      </c>
      <c r="P238" s="161"/>
      <c r="S238" s="142"/>
      <c r="T238" s="165"/>
      <c r="V238" s="166"/>
      <c r="W238" s="166"/>
      <c r="X238" s="166"/>
      <c r="Y238" s="166"/>
    </row>
    <row r="239" ht="22.5" customHeight="1">
      <c r="A239" s="161" t="s">
        <v>18</v>
      </c>
      <c r="B239" s="162" t="s">
        <v>1233</v>
      </c>
      <c r="C239" s="161"/>
      <c r="D239" s="181"/>
      <c r="E239" s="168"/>
      <c r="F239" s="162"/>
      <c r="G239" s="142">
        <v>35845.91</v>
      </c>
      <c r="H239" s="161"/>
      <c r="I239" s="161"/>
      <c r="J239" s="161"/>
      <c r="K239" s="161"/>
      <c r="L239" s="161" t="s">
        <v>1452</v>
      </c>
      <c r="M239" s="161" t="s">
        <v>354</v>
      </c>
      <c r="N239" s="142">
        <v>34.0</v>
      </c>
      <c r="O239" s="161" t="s">
        <v>397</v>
      </c>
      <c r="P239" s="161"/>
      <c r="S239" s="142"/>
      <c r="T239" s="165"/>
      <c r="V239" s="166"/>
      <c r="W239" s="166"/>
      <c r="X239" s="166"/>
      <c r="Y239" s="166"/>
    </row>
    <row r="240" ht="22.5" customHeight="1">
      <c r="A240" s="161" t="s">
        <v>18</v>
      </c>
      <c r="B240" s="162" t="s">
        <v>1233</v>
      </c>
      <c r="C240" s="161"/>
      <c r="D240" s="180"/>
      <c r="E240" s="167"/>
      <c r="F240" s="162"/>
      <c r="G240" s="142">
        <v>37630.57</v>
      </c>
      <c r="H240" s="161"/>
      <c r="I240" s="161"/>
      <c r="J240" s="161"/>
      <c r="K240" s="161"/>
      <c r="L240" s="161" t="s">
        <v>1452</v>
      </c>
      <c r="M240" s="161" t="s">
        <v>354</v>
      </c>
      <c r="N240" s="142">
        <v>34.0</v>
      </c>
      <c r="O240" s="161" t="s">
        <v>397</v>
      </c>
      <c r="P240" s="161"/>
      <c r="S240" s="142"/>
      <c r="T240" s="165"/>
      <c r="V240" s="166"/>
      <c r="W240" s="166"/>
      <c r="X240" s="166"/>
      <c r="Y240" s="166"/>
    </row>
    <row r="241" ht="22.5" customHeight="1">
      <c r="A241" s="161" t="s">
        <v>18</v>
      </c>
      <c r="B241" s="162" t="s">
        <v>1233</v>
      </c>
      <c r="C241" s="161"/>
      <c r="D241" s="181"/>
      <c r="E241" s="168"/>
      <c r="F241" s="162"/>
      <c r="G241" s="142">
        <v>81868.31</v>
      </c>
      <c r="H241" s="161"/>
      <c r="I241" s="161"/>
      <c r="J241" s="161"/>
      <c r="K241" s="161"/>
      <c r="L241" s="161" t="s">
        <v>1452</v>
      </c>
      <c r="M241" s="161" t="s">
        <v>354</v>
      </c>
      <c r="N241" s="142">
        <v>34.0</v>
      </c>
      <c r="O241" s="161" t="s">
        <v>397</v>
      </c>
      <c r="P241" s="161"/>
      <c r="S241" s="142"/>
      <c r="T241" s="165"/>
      <c r="V241" s="166"/>
      <c r="W241" s="166"/>
      <c r="X241" s="166"/>
      <c r="Y241" s="166"/>
    </row>
    <row r="242" ht="22.5" customHeight="1">
      <c r="A242" s="27" t="s">
        <v>483</v>
      </c>
      <c r="B242" s="162" t="s">
        <v>1533</v>
      </c>
      <c r="C242" s="24" t="s">
        <v>66</v>
      </c>
      <c r="D242" s="163" t="s">
        <v>371</v>
      </c>
      <c r="E242" s="168"/>
      <c r="F242" s="162"/>
      <c r="G242" s="142">
        <v>1981.9</v>
      </c>
      <c r="H242" s="161"/>
      <c r="I242" s="161"/>
      <c r="J242" s="161"/>
      <c r="K242" s="161"/>
      <c r="L242" s="161" t="s">
        <v>1452</v>
      </c>
      <c r="M242" s="161" t="s">
        <v>354</v>
      </c>
      <c r="N242" s="142">
        <v>17.0</v>
      </c>
      <c r="O242" s="161" t="s">
        <v>475</v>
      </c>
      <c r="P242" s="161"/>
      <c r="S242" s="142"/>
      <c r="T242" s="165"/>
      <c r="V242" s="166"/>
      <c r="W242" s="166"/>
      <c r="X242" s="166"/>
      <c r="Y242" s="166"/>
    </row>
    <row r="243" ht="22.5" customHeight="1">
      <c r="A243" s="184" t="s">
        <v>385</v>
      </c>
      <c r="B243" s="175" t="s">
        <v>1534</v>
      </c>
      <c r="C243" s="169" t="s">
        <v>31</v>
      </c>
      <c r="D243" s="169" t="s">
        <v>187</v>
      </c>
      <c r="E243" s="167"/>
      <c r="F243" s="162"/>
      <c r="G243" s="142">
        <v>14110.0</v>
      </c>
      <c r="H243" s="161"/>
      <c r="I243" s="161"/>
      <c r="J243" s="161"/>
      <c r="K243" s="161"/>
      <c r="L243" s="161" t="s">
        <v>1452</v>
      </c>
      <c r="M243" s="161" t="s">
        <v>354</v>
      </c>
      <c r="N243" s="142">
        <v>21.0</v>
      </c>
      <c r="O243" s="161" t="s">
        <v>385</v>
      </c>
      <c r="P243" s="161"/>
      <c r="S243" s="142"/>
      <c r="T243" s="165"/>
      <c r="V243" s="166"/>
      <c r="W243" s="166"/>
      <c r="X243" s="166"/>
      <c r="Y243" s="166"/>
    </row>
    <row r="244" ht="22.5" customHeight="1">
      <c r="A244" s="185" t="s">
        <v>483</v>
      </c>
      <c r="B244" s="172" t="s">
        <v>1535</v>
      </c>
      <c r="C244" s="173" t="s">
        <v>20</v>
      </c>
      <c r="D244" s="173" t="s">
        <v>21</v>
      </c>
      <c r="E244" s="168"/>
      <c r="F244" s="162"/>
      <c r="G244" s="142">
        <v>16810.35</v>
      </c>
      <c r="H244" s="161"/>
      <c r="I244" s="161"/>
      <c r="J244" s="161"/>
      <c r="K244" s="161"/>
      <c r="L244" s="161" t="s">
        <v>1452</v>
      </c>
      <c r="M244" s="161" t="s">
        <v>354</v>
      </c>
      <c r="N244" s="142">
        <v>21.0</v>
      </c>
      <c r="O244" s="161" t="s">
        <v>385</v>
      </c>
      <c r="P244" s="161"/>
      <c r="S244" s="142"/>
      <c r="T244" s="165"/>
      <c r="V244" s="166"/>
      <c r="W244" s="166"/>
      <c r="X244" s="166"/>
      <c r="Y244" s="166"/>
    </row>
    <row r="245" ht="22.5" customHeight="1">
      <c r="A245" s="161" t="s">
        <v>528</v>
      </c>
      <c r="B245" s="162" t="s">
        <v>1294</v>
      </c>
      <c r="C245" s="27" t="s">
        <v>31</v>
      </c>
      <c r="D245" s="12" t="s">
        <v>54</v>
      </c>
      <c r="E245" s="167"/>
      <c r="F245" s="162"/>
      <c r="G245" s="144">
        <v>444.4066667</v>
      </c>
      <c r="H245" s="161"/>
      <c r="I245" s="161"/>
      <c r="J245" s="161"/>
      <c r="K245" s="161"/>
      <c r="L245" s="161" t="s">
        <v>1452</v>
      </c>
      <c r="M245" s="161" t="s">
        <v>354</v>
      </c>
      <c r="N245" s="142">
        <v>37.0</v>
      </c>
      <c r="O245" s="161" t="s">
        <v>493</v>
      </c>
      <c r="P245" s="161"/>
      <c r="S245" s="142"/>
      <c r="T245" s="165"/>
      <c r="V245" s="166"/>
      <c r="W245" s="166"/>
      <c r="X245" s="166"/>
      <c r="Y245" s="166"/>
    </row>
    <row r="246" ht="22.5" customHeight="1">
      <c r="A246" s="161" t="s">
        <v>528</v>
      </c>
      <c r="B246" s="162" t="s">
        <v>1294</v>
      </c>
      <c r="C246" s="27" t="s">
        <v>31</v>
      </c>
      <c r="D246" s="12" t="s">
        <v>98</v>
      </c>
      <c r="E246" s="168"/>
      <c r="F246" s="162"/>
      <c r="G246" s="144">
        <v>31.74333333</v>
      </c>
      <c r="H246" s="161"/>
      <c r="I246" s="161"/>
      <c r="J246" s="161"/>
      <c r="K246" s="161"/>
      <c r="L246" s="161" t="s">
        <v>1452</v>
      </c>
      <c r="M246" s="161" t="s">
        <v>354</v>
      </c>
      <c r="N246" s="142">
        <v>37.0</v>
      </c>
      <c r="O246" s="161" t="s">
        <v>493</v>
      </c>
      <c r="P246" s="161"/>
      <c r="S246" s="142"/>
      <c r="T246" s="165"/>
      <c r="V246" s="166"/>
      <c r="W246" s="166"/>
      <c r="X246" s="166"/>
      <c r="Y246" s="166"/>
    </row>
    <row r="247" ht="22.5" customHeight="1">
      <c r="A247" s="161" t="s">
        <v>528</v>
      </c>
      <c r="B247" s="162" t="s">
        <v>1294</v>
      </c>
      <c r="C247" s="27" t="s">
        <v>20</v>
      </c>
      <c r="D247" s="12" t="s">
        <v>21</v>
      </c>
      <c r="E247" s="168"/>
      <c r="F247" s="162"/>
      <c r="G247" s="144">
        <v>603.1233333</v>
      </c>
      <c r="H247" s="161"/>
      <c r="I247" s="161"/>
      <c r="J247" s="161"/>
      <c r="K247" s="161"/>
      <c r="L247" s="161" t="s">
        <v>1452</v>
      </c>
      <c r="M247" s="161"/>
      <c r="N247" s="142"/>
      <c r="O247" s="161"/>
      <c r="P247" s="161"/>
      <c r="S247" s="142"/>
      <c r="T247" s="165"/>
      <c r="V247" s="166"/>
      <c r="W247" s="166"/>
      <c r="X247" s="166"/>
      <c r="Y247" s="166"/>
    </row>
    <row r="248" ht="22.5" customHeight="1">
      <c r="A248" s="161" t="s">
        <v>528</v>
      </c>
      <c r="B248" s="162" t="s">
        <v>1294</v>
      </c>
      <c r="C248" s="27" t="s">
        <v>31</v>
      </c>
      <c r="D248" s="12" t="s">
        <v>187</v>
      </c>
      <c r="E248" s="168"/>
      <c r="F248" s="162"/>
      <c r="G248" s="144">
        <v>84.64888889</v>
      </c>
      <c r="H248" s="161"/>
      <c r="I248" s="161"/>
      <c r="J248" s="161"/>
      <c r="K248" s="161"/>
      <c r="L248" s="161" t="s">
        <v>1452</v>
      </c>
      <c r="M248" s="161"/>
      <c r="N248" s="142"/>
      <c r="O248" s="161"/>
      <c r="P248" s="161"/>
      <c r="S248" s="142"/>
      <c r="T248" s="165"/>
      <c r="V248" s="166"/>
      <c r="W248" s="166"/>
      <c r="X248" s="166"/>
      <c r="Y248" s="166"/>
    </row>
    <row r="249" ht="22.5" customHeight="1">
      <c r="A249" s="161" t="s">
        <v>528</v>
      </c>
      <c r="B249" s="162" t="s">
        <v>1294</v>
      </c>
      <c r="C249" s="27" t="s">
        <v>31</v>
      </c>
      <c r="D249" s="12" t="s">
        <v>38</v>
      </c>
      <c r="E249" s="168"/>
      <c r="F249" s="162"/>
      <c r="G249" s="144">
        <v>47.615</v>
      </c>
      <c r="H249" s="161"/>
      <c r="I249" s="161"/>
      <c r="J249" s="161"/>
      <c r="K249" s="161"/>
      <c r="L249" s="161" t="s">
        <v>1452</v>
      </c>
      <c r="M249" s="161"/>
      <c r="N249" s="142"/>
      <c r="O249" s="161"/>
      <c r="P249" s="161"/>
      <c r="S249" s="142"/>
      <c r="T249" s="165"/>
      <c r="V249" s="166"/>
      <c r="W249" s="166"/>
      <c r="X249" s="166"/>
      <c r="Y249" s="166"/>
    </row>
    <row r="250" ht="22.5" customHeight="1">
      <c r="A250" s="161" t="s">
        <v>528</v>
      </c>
      <c r="B250" s="162" t="s">
        <v>1294</v>
      </c>
      <c r="C250" s="27" t="s">
        <v>31</v>
      </c>
      <c r="D250" s="12" t="s">
        <v>47</v>
      </c>
      <c r="E250" s="168"/>
      <c r="F250" s="162"/>
      <c r="G250" s="144">
        <v>169.2977778</v>
      </c>
      <c r="H250" s="161"/>
      <c r="I250" s="161"/>
      <c r="J250" s="161"/>
      <c r="K250" s="161"/>
      <c r="L250" s="161" t="s">
        <v>1452</v>
      </c>
      <c r="M250" s="161"/>
      <c r="N250" s="142"/>
      <c r="O250" s="161"/>
      <c r="P250" s="161"/>
      <c r="S250" s="142"/>
      <c r="T250" s="165"/>
      <c r="V250" s="166"/>
      <c r="W250" s="166"/>
      <c r="X250" s="166"/>
      <c r="Y250" s="166"/>
    </row>
    <row r="251" ht="22.5" customHeight="1">
      <c r="A251" s="161" t="s">
        <v>528</v>
      </c>
      <c r="B251" s="162" t="s">
        <v>1294</v>
      </c>
      <c r="C251" s="27" t="s">
        <v>31</v>
      </c>
      <c r="D251" s="12" t="s">
        <v>113</v>
      </c>
      <c r="E251" s="168"/>
      <c r="F251" s="162"/>
      <c r="G251" s="144">
        <v>47.615</v>
      </c>
      <c r="H251" s="161"/>
      <c r="I251" s="161"/>
      <c r="J251" s="161"/>
      <c r="K251" s="161"/>
      <c r="L251" s="161" t="s">
        <v>1452</v>
      </c>
      <c r="M251" s="161"/>
      <c r="N251" s="142"/>
      <c r="O251" s="161"/>
      <c r="P251" s="161"/>
      <c r="S251" s="142"/>
      <c r="T251" s="165"/>
      <c r="V251" s="166"/>
      <c r="W251" s="166"/>
      <c r="X251" s="166"/>
      <c r="Y251" s="166"/>
    </row>
    <row r="252" ht="22.5" customHeight="1">
      <c r="A252" s="161" t="s">
        <v>528</v>
      </c>
      <c r="B252" s="162" t="s">
        <v>1295</v>
      </c>
      <c r="C252" s="27" t="s">
        <v>31</v>
      </c>
      <c r="D252" s="12" t="s">
        <v>54</v>
      </c>
      <c r="E252" s="167"/>
      <c r="F252" s="162"/>
      <c r="G252" s="144">
        <v>262.5528889</v>
      </c>
      <c r="H252" s="161"/>
      <c r="I252" s="161"/>
      <c r="J252" s="161"/>
      <c r="K252" s="161"/>
      <c r="L252" s="161" t="s">
        <v>1452</v>
      </c>
      <c r="M252" s="161" t="s">
        <v>354</v>
      </c>
      <c r="N252" s="142">
        <v>37.0</v>
      </c>
      <c r="O252" s="161" t="s">
        <v>493</v>
      </c>
      <c r="P252" s="161"/>
      <c r="S252" s="142"/>
      <c r="T252" s="165"/>
      <c r="V252" s="166"/>
      <c r="W252" s="166"/>
      <c r="X252" s="166"/>
      <c r="Y252" s="166"/>
    </row>
    <row r="253" ht="22.5" customHeight="1">
      <c r="A253" s="161" t="s">
        <v>528</v>
      </c>
      <c r="B253" s="162" t="s">
        <v>1295</v>
      </c>
      <c r="C253" s="27" t="s">
        <v>31</v>
      </c>
      <c r="D253" s="12" t="s">
        <v>98</v>
      </c>
      <c r="E253" s="168"/>
      <c r="F253" s="162"/>
      <c r="G253" s="144">
        <v>18.75377778</v>
      </c>
      <c r="H253" s="161"/>
      <c r="I253" s="161"/>
      <c r="J253" s="161"/>
      <c r="K253" s="161"/>
      <c r="L253" s="161" t="s">
        <v>1452</v>
      </c>
      <c r="M253" s="161" t="s">
        <v>354</v>
      </c>
      <c r="N253" s="142">
        <v>37.0</v>
      </c>
      <c r="O253" s="161" t="s">
        <v>493</v>
      </c>
      <c r="P253" s="161"/>
      <c r="S253" s="142"/>
      <c r="T253" s="165"/>
      <c r="V253" s="166"/>
      <c r="W253" s="166"/>
      <c r="X253" s="166"/>
      <c r="Y253" s="166"/>
    </row>
    <row r="254" ht="22.5" customHeight="1">
      <c r="A254" s="161" t="s">
        <v>528</v>
      </c>
      <c r="B254" s="162" t="s">
        <v>1296</v>
      </c>
      <c r="C254" s="27" t="s">
        <v>20</v>
      </c>
      <c r="D254" s="12" t="s">
        <v>21</v>
      </c>
      <c r="E254" s="167"/>
      <c r="F254" s="162"/>
      <c r="G254" s="144">
        <v>356.3217778</v>
      </c>
      <c r="H254" s="161"/>
      <c r="I254" s="161"/>
      <c r="J254" s="161"/>
      <c r="K254" s="161"/>
      <c r="L254" s="161" t="s">
        <v>1452</v>
      </c>
      <c r="M254" s="161" t="s">
        <v>354</v>
      </c>
      <c r="N254" s="142">
        <v>37.0</v>
      </c>
      <c r="O254" s="161" t="s">
        <v>397</v>
      </c>
      <c r="P254" s="161"/>
      <c r="S254" s="142"/>
      <c r="T254" s="165"/>
      <c r="V254" s="166"/>
      <c r="W254" s="166"/>
      <c r="X254" s="166"/>
      <c r="Y254" s="166"/>
    </row>
    <row r="255" ht="22.5" customHeight="1">
      <c r="A255" s="161" t="s">
        <v>528</v>
      </c>
      <c r="B255" s="162" t="s">
        <v>1296</v>
      </c>
      <c r="C255" s="27" t="s">
        <v>31</v>
      </c>
      <c r="D255" s="12" t="s">
        <v>187</v>
      </c>
      <c r="E255" s="168"/>
      <c r="F255" s="162"/>
      <c r="G255" s="144">
        <v>50.01007407</v>
      </c>
      <c r="H255" s="161"/>
      <c r="I255" s="161"/>
      <c r="J255" s="161"/>
      <c r="K255" s="161"/>
      <c r="L255" s="161" t="s">
        <v>1452</v>
      </c>
      <c r="M255" s="161" t="s">
        <v>354</v>
      </c>
      <c r="N255" s="142">
        <v>37.0</v>
      </c>
      <c r="O255" s="161" t="s">
        <v>397</v>
      </c>
      <c r="P255" s="161"/>
      <c r="S255" s="142"/>
      <c r="T255" s="165"/>
      <c r="V255" s="166"/>
      <c r="W255" s="166"/>
      <c r="X255" s="166"/>
      <c r="Y255" s="166"/>
    </row>
    <row r="256" ht="22.5" customHeight="1">
      <c r="A256" s="161" t="s">
        <v>528</v>
      </c>
      <c r="B256" s="162" t="s">
        <v>1296</v>
      </c>
      <c r="C256" s="27" t="s">
        <v>31</v>
      </c>
      <c r="D256" s="12" t="s">
        <v>38</v>
      </c>
      <c r="E256" s="167"/>
      <c r="F256" s="162"/>
      <c r="G256" s="144">
        <v>28.13066667</v>
      </c>
      <c r="H256" s="161"/>
      <c r="I256" s="161"/>
      <c r="J256" s="161"/>
      <c r="K256" s="161"/>
      <c r="L256" s="161" t="s">
        <v>1452</v>
      </c>
      <c r="M256" s="161" t="s">
        <v>354</v>
      </c>
      <c r="N256" s="142">
        <v>37.0</v>
      </c>
      <c r="O256" s="161" t="s">
        <v>397</v>
      </c>
      <c r="P256" s="161"/>
      <c r="S256" s="142"/>
      <c r="T256" s="165"/>
      <c r="V256" s="166"/>
      <c r="W256" s="166"/>
      <c r="X256" s="166"/>
      <c r="Y256" s="166"/>
    </row>
    <row r="257" ht="22.5" customHeight="1">
      <c r="A257" s="161" t="s">
        <v>528</v>
      </c>
      <c r="B257" s="162" t="s">
        <v>1296</v>
      </c>
      <c r="C257" s="27" t="s">
        <v>31</v>
      </c>
      <c r="D257" s="12" t="s">
        <v>47</v>
      </c>
      <c r="E257" s="167"/>
      <c r="F257" s="162"/>
      <c r="G257" s="144">
        <v>100.0201481</v>
      </c>
      <c r="H257" s="161"/>
      <c r="I257" s="161"/>
      <c r="J257" s="161"/>
      <c r="K257" s="161"/>
      <c r="L257" s="161" t="s">
        <v>1452</v>
      </c>
      <c r="M257" s="161" t="s">
        <v>354</v>
      </c>
      <c r="N257" s="142">
        <v>37.0</v>
      </c>
      <c r="O257" s="161" t="s">
        <v>493</v>
      </c>
      <c r="P257" s="161"/>
      <c r="S257" s="142"/>
      <c r="T257" s="165"/>
      <c r="V257" s="166"/>
      <c r="W257" s="166"/>
      <c r="X257" s="166"/>
      <c r="Y257" s="166"/>
    </row>
    <row r="258" ht="22.5" customHeight="1">
      <c r="A258" s="161" t="s">
        <v>528</v>
      </c>
      <c r="B258" s="162" t="s">
        <v>1296</v>
      </c>
      <c r="C258" s="27" t="s">
        <v>31</v>
      </c>
      <c r="D258" s="12" t="s">
        <v>113</v>
      </c>
      <c r="E258" s="168"/>
      <c r="F258" s="162"/>
      <c r="G258" s="144">
        <v>28.13066667</v>
      </c>
      <c r="H258" s="161"/>
      <c r="I258" s="161"/>
      <c r="J258" s="161"/>
      <c r="K258" s="161"/>
      <c r="L258" s="161" t="s">
        <v>1452</v>
      </c>
      <c r="M258" s="161" t="s">
        <v>354</v>
      </c>
      <c r="N258" s="142">
        <v>37.0</v>
      </c>
      <c r="O258" s="161" t="s">
        <v>493</v>
      </c>
      <c r="P258" s="161"/>
      <c r="S258" s="142"/>
      <c r="T258" s="165"/>
      <c r="V258" s="166"/>
      <c r="W258" s="166"/>
      <c r="X258" s="166"/>
      <c r="Y258" s="166"/>
    </row>
    <row r="259" ht="22.5" customHeight="1">
      <c r="A259" s="161" t="s">
        <v>349</v>
      </c>
      <c r="B259" s="162" t="s">
        <v>1277</v>
      </c>
      <c r="C259" s="161" t="s">
        <v>20</v>
      </c>
      <c r="D259" s="180"/>
      <c r="E259" s="167"/>
      <c r="F259" s="162"/>
      <c r="G259" s="142">
        <v>71818.52</v>
      </c>
      <c r="H259" s="161"/>
      <c r="I259" s="161"/>
      <c r="J259" s="161"/>
      <c r="K259" s="161"/>
      <c r="L259" s="161" t="s">
        <v>1452</v>
      </c>
      <c r="M259" s="161" t="s">
        <v>354</v>
      </c>
      <c r="N259" s="142">
        <v>14.0</v>
      </c>
      <c r="O259" s="161" t="s">
        <v>536</v>
      </c>
      <c r="P259" s="161"/>
      <c r="S259" s="142"/>
      <c r="T259" s="165"/>
      <c r="V259" s="166"/>
      <c r="W259" s="166"/>
      <c r="X259" s="166"/>
      <c r="Y259" s="166"/>
    </row>
    <row r="260" ht="22.5" customHeight="1">
      <c r="A260" s="184" t="s">
        <v>403</v>
      </c>
      <c r="B260" s="175" t="s">
        <v>1536</v>
      </c>
      <c r="C260" s="169" t="s">
        <v>31</v>
      </c>
      <c r="D260" s="169" t="s">
        <v>187</v>
      </c>
      <c r="E260" s="168"/>
      <c r="F260" s="162"/>
      <c r="G260" s="142">
        <v>510.51</v>
      </c>
      <c r="H260" s="161"/>
      <c r="I260" s="161"/>
      <c r="J260" s="161"/>
      <c r="K260" s="161"/>
      <c r="L260" s="161" t="s">
        <v>1469</v>
      </c>
      <c r="M260" s="161" t="s">
        <v>408</v>
      </c>
      <c r="N260" s="142">
        <v>188.0</v>
      </c>
      <c r="O260" s="161" t="s">
        <v>515</v>
      </c>
      <c r="P260" s="161"/>
      <c r="S260" s="142"/>
      <c r="T260" s="165"/>
      <c r="V260" s="166"/>
      <c r="W260" s="166"/>
      <c r="X260" s="166"/>
      <c r="Y260" s="166"/>
    </row>
    <row r="261" ht="22.5" customHeight="1">
      <c r="A261" s="161" t="s">
        <v>349</v>
      </c>
      <c r="B261" s="162" t="s">
        <v>1537</v>
      </c>
      <c r="C261" s="161" t="s">
        <v>20</v>
      </c>
      <c r="D261" s="183"/>
      <c r="E261" s="168"/>
      <c r="F261" s="162"/>
      <c r="G261" s="142">
        <v>5004.56</v>
      </c>
      <c r="H261" s="161"/>
      <c r="I261" s="161"/>
      <c r="J261" s="161"/>
      <c r="K261" s="161"/>
      <c r="L261" s="161" t="s">
        <v>1452</v>
      </c>
      <c r="M261" s="161" t="s">
        <v>354</v>
      </c>
      <c r="N261" s="142">
        <v>15.0</v>
      </c>
      <c r="O261" s="161" t="s">
        <v>377</v>
      </c>
      <c r="P261" s="161"/>
      <c r="S261" s="142"/>
      <c r="T261" s="165"/>
      <c r="V261" s="166"/>
      <c r="W261" s="166"/>
      <c r="X261" s="166"/>
      <c r="Y261" s="166"/>
    </row>
    <row r="262" ht="22.5" customHeight="1">
      <c r="A262" s="161" t="s">
        <v>18</v>
      </c>
      <c r="B262" s="162" t="s">
        <v>1186</v>
      </c>
      <c r="C262" s="161"/>
      <c r="D262" s="182"/>
      <c r="E262" s="167"/>
      <c r="F262" s="162"/>
      <c r="G262" s="142">
        <v>4707.11</v>
      </c>
      <c r="H262" s="161"/>
      <c r="I262" s="161"/>
      <c r="J262" s="161"/>
      <c r="K262" s="161"/>
      <c r="L262" s="161" t="s">
        <v>1452</v>
      </c>
      <c r="M262" s="161" t="s">
        <v>354</v>
      </c>
      <c r="N262" s="142">
        <v>34.0</v>
      </c>
      <c r="O262" s="161" t="s">
        <v>397</v>
      </c>
      <c r="P262" s="161"/>
      <c r="S262" s="142"/>
      <c r="T262" s="165"/>
      <c r="V262" s="166"/>
      <c r="W262" s="166"/>
      <c r="X262" s="166"/>
      <c r="Y262" s="166"/>
    </row>
    <row r="263" ht="22.5" customHeight="1">
      <c r="A263" s="161" t="s">
        <v>18</v>
      </c>
      <c r="B263" s="162" t="s">
        <v>1186</v>
      </c>
      <c r="C263" s="161"/>
      <c r="D263" s="183"/>
      <c r="E263" s="168"/>
      <c r="F263" s="162"/>
      <c r="G263" s="142">
        <v>51405.61</v>
      </c>
      <c r="H263" s="161"/>
      <c r="I263" s="161"/>
      <c r="J263" s="161"/>
      <c r="K263" s="161"/>
      <c r="L263" s="161" t="s">
        <v>1452</v>
      </c>
      <c r="M263" s="161" t="s">
        <v>354</v>
      </c>
      <c r="N263" s="142">
        <v>34.0</v>
      </c>
      <c r="O263" s="161" t="s">
        <v>397</v>
      </c>
      <c r="P263" s="161"/>
      <c r="S263" s="142"/>
      <c r="T263" s="165"/>
      <c r="V263" s="166"/>
      <c r="W263" s="166"/>
      <c r="X263" s="166"/>
      <c r="Y263" s="166"/>
    </row>
    <row r="264" ht="22.5" customHeight="1">
      <c r="A264" s="161" t="s">
        <v>18</v>
      </c>
      <c r="B264" s="162" t="s">
        <v>1186</v>
      </c>
      <c r="C264" s="161"/>
      <c r="D264" s="182"/>
      <c r="E264" s="167"/>
      <c r="F264" s="162"/>
      <c r="G264" s="142">
        <v>243797.12</v>
      </c>
      <c r="H264" s="161"/>
      <c r="I264" s="161"/>
      <c r="J264" s="161"/>
      <c r="K264" s="161"/>
      <c r="L264" s="161" t="s">
        <v>1452</v>
      </c>
      <c r="M264" s="161" t="s">
        <v>354</v>
      </c>
      <c r="N264" s="142">
        <v>34.0</v>
      </c>
      <c r="O264" s="161" t="s">
        <v>397</v>
      </c>
      <c r="P264" s="161"/>
      <c r="S264" s="142"/>
      <c r="T264" s="165"/>
      <c r="V264" s="166"/>
      <c r="W264" s="166"/>
      <c r="X264" s="166"/>
      <c r="Y264" s="166"/>
    </row>
    <row r="265" ht="22.5" customHeight="1">
      <c r="A265" s="161" t="s">
        <v>18</v>
      </c>
      <c r="B265" s="162" t="s">
        <v>1186</v>
      </c>
      <c r="C265" s="161"/>
      <c r="D265" s="183"/>
      <c r="E265" s="168"/>
      <c r="F265" s="162"/>
      <c r="G265" s="142">
        <v>246778.89</v>
      </c>
      <c r="H265" s="161"/>
      <c r="I265" s="161"/>
      <c r="J265" s="161"/>
      <c r="K265" s="161"/>
      <c r="L265" s="161" t="s">
        <v>1452</v>
      </c>
      <c r="M265" s="161" t="s">
        <v>354</v>
      </c>
      <c r="N265" s="142">
        <v>34.0</v>
      </c>
      <c r="O265" s="161" t="s">
        <v>397</v>
      </c>
      <c r="P265" s="161"/>
      <c r="S265" s="142"/>
      <c r="T265" s="165"/>
      <c r="V265" s="166"/>
      <c r="W265" s="166"/>
      <c r="X265" s="166"/>
      <c r="Y265" s="166"/>
    </row>
    <row r="266" ht="22.5" customHeight="1">
      <c r="A266" s="161" t="s">
        <v>467</v>
      </c>
      <c r="B266" s="162" t="s">
        <v>1348</v>
      </c>
      <c r="C266" s="2" t="s">
        <v>20</v>
      </c>
      <c r="D266" s="4" t="s">
        <v>371</v>
      </c>
      <c r="E266" s="167"/>
      <c r="F266" s="162"/>
      <c r="G266" s="142">
        <v>4026.18</v>
      </c>
      <c r="H266" s="161"/>
      <c r="I266" s="161"/>
      <c r="J266" s="161"/>
      <c r="K266" s="161"/>
      <c r="L266" s="161" t="s">
        <v>1452</v>
      </c>
      <c r="M266" s="161" t="s">
        <v>354</v>
      </c>
      <c r="N266" s="142">
        <v>16.0</v>
      </c>
      <c r="O266" s="161" t="s">
        <v>467</v>
      </c>
      <c r="P266" s="161"/>
      <c r="S266" s="142"/>
      <c r="T266" s="165"/>
      <c r="V266" s="166"/>
      <c r="W266" s="166"/>
      <c r="X266" s="166"/>
      <c r="Y266" s="166"/>
    </row>
    <row r="267" ht="22.5" customHeight="1">
      <c r="A267" s="161" t="s">
        <v>437</v>
      </c>
      <c r="B267" s="162" t="s">
        <v>1401</v>
      </c>
      <c r="C267" s="4" t="s">
        <v>20</v>
      </c>
      <c r="D267" s="4" t="s">
        <v>21</v>
      </c>
      <c r="E267" s="168"/>
      <c r="F267" s="162"/>
      <c r="G267" s="142">
        <v>1742.92</v>
      </c>
      <c r="H267" s="161"/>
      <c r="I267" s="161"/>
      <c r="J267" s="161"/>
      <c r="K267" s="161"/>
      <c r="L267" s="161" t="s">
        <v>1452</v>
      </c>
      <c r="M267" s="161" t="s">
        <v>354</v>
      </c>
      <c r="N267" s="142">
        <v>23.0</v>
      </c>
      <c r="O267" s="161" t="s">
        <v>437</v>
      </c>
      <c r="P267" s="161"/>
      <c r="S267" s="142"/>
      <c r="T267" s="165"/>
      <c r="V267" s="166"/>
      <c r="W267" s="166"/>
      <c r="X267" s="166"/>
      <c r="Y267" s="166"/>
    </row>
    <row r="268" ht="22.5" customHeight="1">
      <c r="A268" s="161" t="s">
        <v>389</v>
      </c>
      <c r="B268" s="162" t="s">
        <v>1538</v>
      </c>
      <c r="C268" s="4" t="s">
        <v>20</v>
      </c>
      <c r="D268" s="4" t="s">
        <v>21</v>
      </c>
      <c r="E268" s="167"/>
      <c r="F268" s="162"/>
      <c r="G268" s="142">
        <v>2600.26</v>
      </c>
      <c r="H268" s="161"/>
      <c r="I268" s="161"/>
      <c r="J268" s="161"/>
      <c r="K268" s="161"/>
      <c r="L268" s="161" t="s">
        <v>1452</v>
      </c>
      <c r="M268" s="161" t="s">
        <v>354</v>
      </c>
      <c r="N268" s="142">
        <v>18.0</v>
      </c>
      <c r="O268" s="161" t="s">
        <v>366</v>
      </c>
      <c r="P268" s="161"/>
      <c r="S268" s="142"/>
      <c r="T268" s="165"/>
      <c r="V268" s="166"/>
      <c r="W268" s="166"/>
      <c r="X268" s="166"/>
      <c r="Y268" s="166"/>
    </row>
    <row r="269" ht="22.5" customHeight="1">
      <c r="A269" s="161" t="s">
        <v>389</v>
      </c>
      <c r="B269" s="162" t="s">
        <v>1538</v>
      </c>
      <c r="C269" s="4" t="s">
        <v>20</v>
      </c>
      <c r="D269" s="4" t="s">
        <v>21</v>
      </c>
      <c r="E269" s="168"/>
      <c r="F269" s="162"/>
      <c r="G269" s="142">
        <v>20808.03</v>
      </c>
      <c r="H269" s="161"/>
      <c r="I269" s="161"/>
      <c r="J269" s="161"/>
      <c r="K269" s="161"/>
      <c r="L269" s="161" t="s">
        <v>1452</v>
      </c>
      <c r="M269" s="161" t="s">
        <v>354</v>
      </c>
      <c r="N269" s="142">
        <v>18.0</v>
      </c>
      <c r="O269" s="161" t="s">
        <v>367</v>
      </c>
      <c r="P269" s="161"/>
      <c r="S269" s="142"/>
      <c r="T269" s="165"/>
      <c r="V269" s="166"/>
      <c r="W269" s="166"/>
      <c r="X269" s="166"/>
      <c r="Y269" s="166"/>
    </row>
    <row r="270" ht="22.5" customHeight="1">
      <c r="A270" s="161" t="s">
        <v>389</v>
      </c>
      <c r="B270" s="162" t="s">
        <v>1538</v>
      </c>
      <c r="C270" s="4" t="s">
        <v>20</v>
      </c>
      <c r="D270" s="4" t="s">
        <v>21</v>
      </c>
      <c r="E270" s="167"/>
      <c r="F270" s="162"/>
      <c r="G270" s="142">
        <v>14273.94</v>
      </c>
      <c r="H270" s="161"/>
      <c r="I270" s="161"/>
      <c r="J270" s="161"/>
      <c r="K270" s="161"/>
      <c r="L270" s="161" t="s">
        <v>1521</v>
      </c>
      <c r="M270" s="161" t="s">
        <v>408</v>
      </c>
      <c r="N270" s="142">
        <v>7.0</v>
      </c>
      <c r="O270" s="161" t="s">
        <v>459</v>
      </c>
      <c r="P270" s="165"/>
      <c r="S270" s="142"/>
      <c r="T270" s="165"/>
      <c r="V270" s="166"/>
      <c r="W270" s="166"/>
      <c r="X270" s="166"/>
      <c r="Y270" s="166"/>
    </row>
    <row r="271" ht="22.5" customHeight="1">
      <c r="A271" s="185" t="s">
        <v>437</v>
      </c>
      <c r="B271" s="172" t="s">
        <v>1539</v>
      </c>
      <c r="C271" s="173" t="s">
        <v>20</v>
      </c>
      <c r="D271" s="173" t="s">
        <v>21</v>
      </c>
      <c r="E271" s="167"/>
      <c r="F271" s="162"/>
      <c r="G271" s="142">
        <v>55000.0</v>
      </c>
      <c r="H271" s="161"/>
      <c r="I271" s="161"/>
      <c r="J271" s="161"/>
      <c r="K271" s="161"/>
      <c r="L271" s="161" t="s">
        <v>1452</v>
      </c>
      <c r="M271" s="161" t="s">
        <v>354</v>
      </c>
      <c r="N271" s="142">
        <v>18.0</v>
      </c>
      <c r="O271" s="161" t="s">
        <v>367</v>
      </c>
      <c r="P271" s="161"/>
      <c r="S271" s="142"/>
      <c r="T271" s="165"/>
      <c r="V271" s="166"/>
      <c r="W271" s="166"/>
      <c r="X271" s="166"/>
      <c r="Y271" s="166"/>
    </row>
    <row r="272" ht="22.5" customHeight="1">
      <c r="A272" s="161" t="s">
        <v>508</v>
      </c>
      <c r="B272" s="162" t="s">
        <v>1309</v>
      </c>
      <c r="C272" s="4" t="s">
        <v>20</v>
      </c>
      <c r="D272" s="4" t="s">
        <v>21</v>
      </c>
      <c r="E272" s="167"/>
      <c r="F272" s="162"/>
      <c r="G272" s="142">
        <v>1080.0</v>
      </c>
      <c r="H272" s="161"/>
      <c r="I272" s="161"/>
      <c r="J272" s="161"/>
      <c r="K272" s="161"/>
      <c r="L272" s="161" t="s">
        <v>1452</v>
      </c>
      <c r="M272" s="161" t="s">
        <v>354</v>
      </c>
      <c r="N272" s="142">
        <v>31.0</v>
      </c>
      <c r="O272" s="161" t="s">
        <v>475</v>
      </c>
      <c r="P272" s="161"/>
      <c r="S272" s="142"/>
      <c r="T272" s="165"/>
      <c r="V272" s="166"/>
      <c r="W272" s="166"/>
      <c r="X272" s="166"/>
      <c r="Y272" s="166"/>
    </row>
    <row r="273" ht="22.5" customHeight="1">
      <c r="A273" s="161" t="s">
        <v>508</v>
      </c>
      <c r="B273" s="162" t="s">
        <v>1309</v>
      </c>
      <c r="C273" s="4" t="s">
        <v>20</v>
      </c>
      <c r="D273" s="4" t="s">
        <v>21</v>
      </c>
      <c r="E273" s="168"/>
      <c r="F273" s="162"/>
      <c r="G273" s="142">
        <v>14679.0</v>
      </c>
      <c r="H273" s="161"/>
      <c r="I273" s="161"/>
      <c r="J273" s="161"/>
      <c r="K273" s="161"/>
      <c r="L273" s="161" t="s">
        <v>1452</v>
      </c>
      <c r="M273" s="161" t="s">
        <v>354</v>
      </c>
      <c r="N273" s="142">
        <v>31.0</v>
      </c>
      <c r="O273" s="161" t="s">
        <v>475</v>
      </c>
      <c r="P273" s="161"/>
      <c r="S273" s="142"/>
      <c r="T273" s="165"/>
      <c r="V273" s="166"/>
      <c r="W273" s="166"/>
      <c r="X273" s="166"/>
      <c r="Y273" s="166"/>
    </row>
    <row r="274" ht="22.5" customHeight="1">
      <c r="A274" s="161" t="s">
        <v>508</v>
      </c>
      <c r="B274" s="162" t="s">
        <v>1309</v>
      </c>
      <c r="C274" s="4" t="s">
        <v>20</v>
      </c>
      <c r="D274" s="4" t="s">
        <v>21</v>
      </c>
      <c r="E274" s="167"/>
      <c r="F274" s="162"/>
      <c r="G274" s="142">
        <v>20255.1</v>
      </c>
      <c r="H274" s="161"/>
      <c r="I274" s="161"/>
      <c r="J274" s="161"/>
      <c r="K274" s="161"/>
      <c r="L274" s="161" t="s">
        <v>1452</v>
      </c>
      <c r="M274" s="161" t="s">
        <v>354</v>
      </c>
      <c r="N274" s="142">
        <v>31.0</v>
      </c>
      <c r="O274" s="161" t="s">
        <v>475</v>
      </c>
      <c r="P274" s="161"/>
      <c r="S274" s="142"/>
      <c r="T274" s="165"/>
      <c r="V274" s="166"/>
      <c r="W274" s="166"/>
      <c r="X274" s="166"/>
      <c r="Y274" s="166"/>
    </row>
    <row r="275" ht="22.5" customHeight="1">
      <c r="A275" s="161" t="s">
        <v>508</v>
      </c>
      <c r="B275" s="162" t="s">
        <v>1309</v>
      </c>
      <c r="C275" s="4" t="s">
        <v>20</v>
      </c>
      <c r="D275" s="4" t="s">
        <v>21</v>
      </c>
      <c r="E275" s="168"/>
      <c r="F275" s="162"/>
      <c r="G275" s="142">
        <v>22256.0</v>
      </c>
      <c r="H275" s="161"/>
      <c r="I275" s="161"/>
      <c r="J275" s="161"/>
      <c r="K275" s="161"/>
      <c r="L275" s="161" t="s">
        <v>1452</v>
      </c>
      <c r="M275" s="161" t="s">
        <v>354</v>
      </c>
      <c r="N275" s="142">
        <v>31.0</v>
      </c>
      <c r="O275" s="161" t="s">
        <v>475</v>
      </c>
      <c r="P275" s="161"/>
      <c r="S275" s="142"/>
      <c r="T275" s="165"/>
      <c r="V275" s="166"/>
      <c r="W275" s="166"/>
      <c r="X275" s="166"/>
      <c r="Y275" s="166"/>
    </row>
    <row r="276" ht="22.5" customHeight="1">
      <c r="A276" s="27" t="s">
        <v>395</v>
      </c>
      <c r="B276" s="162" t="s">
        <v>499</v>
      </c>
      <c r="C276" s="27" t="s">
        <v>20</v>
      </c>
      <c r="D276" s="4" t="s">
        <v>21</v>
      </c>
      <c r="E276" s="167"/>
      <c r="F276" s="162"/>
      <c r="G276" s="142">
        <v>13809.98</v>
      </c>
      <c r="H276" s="161"/>
      <c r="I276" s="161"/>
      <c r="J276" s="161"/>
      <c r="K276" s="161"/>
      <c r="L276" s="161" t="s">
        <v>1518</v>
      </c>
      <c r="M276" s="161" t="s">
        <v>408</v>
      </c>
      <c r="N276" s="142">
        <v>221.0</v>
      </c>
      <c r="O276" s="161" t="s">
        <v>385</v>
      </c>
      <c r="P276" s="161"/>
      <c r="S276" s="142"/>
      <c r="T276" s="165"/>
      <c r="V276" s="166"/>
      <c r="W276" s="166"/>
      <c r="X276" s="166"/>
      <c r="Y276" s="166"/>
    </row>
    <row r="277" ht="22.5" customHeight="1">
      <c r="A277" s="27" t="s">
        <v>395</v>
      </c>
      <c r="B277" s="162" t="s">
        <v>499</v>
      </c>
      <c r="C277" s="27" t="s">
        <v>20</v>
      </c>
      <c r="D277" s="4" t="s">
        <v>21</v>
      </c>
      <c r="E277" s="168"/>
      <c r="F277" s="162"/>
      <c r="G277" s="142">
        <v>7681.84</v>
      </c>
      <c r="H277" s="161"/>
      <c r="I277" s="161"/>
      <c r="J277" s="161"/>
      <c r="K277" s="161"/>
      <c r="L277" s="161" t="s">
        <v>1518</v>
      </c>
      <c r="M277" s="161" t="s">
        <v>408</v>
      </c>
      <c r="N277" s="142">
        <v>222.0</v>
      </c>
      <c r="O277" s="161" t="s">
        <v>385</v>
      </c>
      <c r="P277" s="161"/>
      <c r="S277" s="142"/>
      <c r="T277" s="165"/>
      <c r="V277" s="166"/>
      <c r="W277" s="166"/>
      <c r="X277" s="166"/>
      <c r="Y277" s="166"/>
    </row>
    <row r="278" ht="22.5" customHeight="1">
      <c r="A278" s="27" t="s">
        <v>395</v>
      </c>
      <c r="B278" s="162" t="s">
        <v>1344</v>
      </c>
      <c r="C278" s="27" t="s">
        <v>20</v>
      </c>
      <c r="D278" s="4" t="s">
        <v>21</v>
      </c>
      <c r="E278" s="167"/>
      <c r="F278" s="162"/>
      <c r="G278" s="142">
        <v>18359.88</v>
      </c>
      <c r="H278" s="161"/>
      <c r="I278" s="161"/>
      <c r="J278" s="161"/>
      <c r="K278" s="161"/>
      <c r="L278" s="161" t="s">
        <v>1540</v>
      </c>
      <c r="M278" s="161" t="s">
        <v>408</v>
      </c>
      <c r="N278" s="142">
        <v>225.0</v>
      </c>
      <c r="O278" s="161" t="s">
        <v>385</v>
      </c>
      <c r="P278" s="161"/>
      <c r="S278" s="142"/>
      <c r="T278" s="165"/>
      <c r="V278" s="166"/>
      <c r="W278" s="166"/>
      <c r="X278" s="166"/>
      <c r="Y278" s="166"/>
    </row>
    <row r="279" ht="22.5" customHeight="1">
      <c r="A279" s="161" t="s">
        <v>403</v>
      </c>
      <c r="B279" s="162" t="s">
        <v>415</v>
      </c>
      <c r="C279" s="4" t="s">
        <v>31</v>
      </c>
      <c r="D279" s="4" t="s">
        <v>187</v>
      </c>
      <c r="E279" s="168"/>
      <c r="F279" s="162"/>
      <c r="G279" s="142">
        <v>256.55</v>
      </c>
      <c r="H279" s="161"/>
      <c r="I279" s="161"/>
      <c r="J279" s="161"/>
      <c r="K279" s="161"/>
      <c r="L279" s="161" t="s">
        <v>1499</v>
      </c>
      <c r="M279" s="161" t="s">
        <v>408</v>
      </c>
      <c r="N279" s="142">
        <v>261.0</v>
      </c>
      <c r="O279" s="161" t="s">
        <v>409</v>
      </c>
      <c r="P279" s="161"/>
      <c r="S279" s="142"/>
      <c r="T279" s="165"/>
      <c r="V279" s="166"/>
      <c r="W279" s="166"/>
      <c r="X279" s="166"/>
      <c r="Y279" s="166"/>
    </row>
    <row r="280" ht="22.5" customHeight="1">
      <c r="A280" s="2" t="s">
        <v>417</v>
      </c>
      <c r="B280" s="162" t="s">
        <v>1541</v>
      </c>
      <c r="C280" s="4" t="s">
        <v>370</v>
      </c>
      <c r="D280" s="179" t="s">
        <v>371</v>
      </c>
      <c r="E280" s="167"/>
      <c r="F280" s="162"/>
      <c r="G280" s="142">
        <v>13489.73</v>
      </c>
      <c r="H280" s="161"/>
      <c r="I280" s="161"/>
      <c r="J280" s="161"/>
      <c r="K280" s="161"/>
      <c r="L280" s="161" t="s">
        <v>1499</v>
      </c>
      <c r="M280" s="161" t="s">
        <v>354</v>
      </c>
      <c r="N280" s="142">
        <v>501.0</v>
      </c>
      <c r="O280" s="161" t="s">
        <v>417</v>
      </c>
      <c r="P280" s="161"/>
      <c r="S280" s="142"/>
      <c r="T280" s="165"/>
      <c r="V280" s="166"/>
      <c r="W280" s="166"/>
      <c r="X280" s="166"/>
      <c r="Y280" s="166"/>
    </row>
    <row r="281" ht="22.5" customHeight="1">
      <c r="A281" s="2" t="s">
        <v>417</v>
      </c>
      <c r="B281" s="162" t="s">
        <v>1541</v>
      </c>
      <c r="C281" s="4" t="s">
        <v>370</v>
      </c>
      <c r="D281" s="177" t="s">
        <v>371</v>
      </c>
      <c r="E281" s="168"/>
      <c r="F281" s="162"/>
      <c r="G281" s="142">
        <v>16503.57</v>
      </c>
      <c r="H281" s="161"/>
      <c r="I281" s="161"/>
      <c r="J281" s="161"/>
      <c r="K281" s="161"/>
      <c r="L281" s="161" t="s">
        <v>1499</v>
      </c>
      <c r="M281" s="161" t="s">
        <v>354</v>
      </c>
      <c r="N281" s="142">
        <v>501.0</v>
      </c>
      <c r="O281" s="161" t="s">
        <v>1542</v>
      </c>
      <c r="P281" s="161"/>
      <c r="S281" s="142"/>
      <c r="T281" s="165"/>
      <c r="V281" s="166"/>
      <c r="W281" s="166"/>
      <c r="X281" s="166"/>
      <c r="Y281" s="166"/>
    </row>
    <row r="282" ht="22.5" customHeight="1">
      <c r="A282" s="2" t="s">
        <v>417</v>
      </c>
      <c r="B282" s="162" t="s">
        <v>1541</v>
      </c>
      <c r="C282" s="4" t="s">
        <v>370</v>
      </c>
      <c r="D282" s="179" t="s">
        <v>371</v>
      </c>
      <c r="E282" s="167"/>
      <c r="F282" s="162"/>
      <c r="G282" s="142">
        <v>30916.11</v>
      </c>
      <c r="H282" s="161"/>
      <c r="I282" s="161"/>
      <c r="J282" s="161"/>
      <c r="K282" s="161"/>
      <c r="L282" s="161" t="s">
        <v>1499</v>
      </c>
      <c r="M282" s="161" t="s">
        <v>354</v>
      </c>
      <c r="N282" s="142">
        <v>501.0</v>
      </c>
      <c r="O282" s="161" t="s">
        <v>1543</v>
      </c>
      <c r="P282" s="161"/>
      <c r="S282" s="142"/>
      <c r="T282" s="165"/>
      <c r="V282" s="166"/>
      <c r="W282" s="166"/>
      <c r="X282" s="166"/>
      <c r="Y282" s="166"/>
    </row>
    <row r="283" ht="22.5" customHeight="1">
      <c r="A283" s="161" t="s">
        <v>513</v>
      </c>
      <c r="B283" s="162" t="s">
        <v>1427</v>
      </c>
      <c r="C283" s="4" t="s">
        <v>66</v>
      </c>
      <c r="D283" s="4" t="s">
        <v>485</v>
      </c>
      <c r="E283" s="168"/>
      <c r="F283" s="162"/>
      <c r="G283" s="142">
        <v>399.01</v>
      </c>
      <c r="H283" s="161"/>
      <c r="I283" s="161"/>
      <c r="J283" s="161"/>
      <c r="K283" s="161"/>
      <c r="L283" s="161" t="s">
        <v>1499</v>
      </c>
      <c r="M283" s="161" t="s">
        <v>408</v>
      </c>
      <c r="N283" s="142">
        <v>260.0</v>
      </c>
      <c r="O283" s="161" t="s">
        <v>515</v>
      </c>
      <c r="P283" s="161"/>
      <c r="S283" s="142"/>
      <c r="T283" s="165"/>
      <c r="V283" s="166"/>
      <c r="W283" s="166"/>
      <c r="X283" s="166"/>
      <c r="Y283" s="166"/>
    </row>
    <row r="284" ht="22.5" customHeight="1">
      <c r="A284" s="161"/>
      <c r="B284" s="162"/>
      <c r="C284" s="161"/>
      <c r="D284" s="168"/>
      <c r="E284" s="168"/>
      <c r="F284" s="162"/>
      <c r="G284" s="149"/>
      <c r="H284" s="161"/>
      <c r="I284" s="161"/>
      <c r="J284" s="161"/>
      <c r="K284" s="161"/>
      <c r="L284" s="161"/>
      <c r="M284" s="161"/>
      <c r="N284" s="149"/>
      <c r="O284" s="161"/>
      <c r="P284" s="161"/>
      <c r="S284" s="149"/>
      <c r="T284" s="161"/>
      <c r="V284" s="166"/>
      <c r="W284" s="166"/>
      <c r="X284" s="166"/>
      <c r="Y284" s="166"/>
    </row>
    <row r="285" ht="22.5" customHeight="1">
      <c r="A285" s="161"/>
      <c r="B285" s="162"/>
      <c r="C285" s="161"/>
      <c r="D285" s="168"/>
      <c r="E285" s="168"/>
      <c r="F285" s="162"/>
      <c r="G285" s="149"/>
      <c r="H285" s="161"/>
      <c r="I285" s="161"/>
      <c r="J285" s="161"/>
      <c r="K285" s="161"/>
      <c r="L285" s="161"/>
      <c r="M285" s="161"/>
      <c r="N285" s="149"/>
      <c r="O285" s="161"/>
      <c r="P285" s="161"/>
      <c r="S285" s="149"/>
      <c r="T285" s="161"/>
      <c r="V285" s="166"/>
      <c r="W285" s="166"/>
      <c r="X285" s="166"/>
      <c r="Y285" s="166"/>
    </row>
    <row r="286" ht="22.5" customHeight="1">
      <c r="A286" s="161"/>
      <c r="B286" s="162"/>
      <c r="C286" s="161"/>
      <c r="D286" s="168"/>
      <c r="E286" s="168"/>
      <c r="F286" s="162"/>
      <c r="G286" s="149"/>
      <c r="H286" s="161"/>
      <c r="I286" s="161"/>
      <c r="J286" s="161"/>
      <c r="K286" s="161"/>
      <c r="L286" s="161"/>
      <c r="M286" s="161"/>
      <c r="N286" s="149"/>
      <c r="O286" s="161"/>
      <c r="P286" s="161"/>
      <c r="S286" s="149"/>
      <c r="T286" s="161"/>
      <c r="V286" s="166"/>
      <c r="W286" s="166"/>
      <c r="X286" s="166"/>
      <c r="Y286" s="166"/>
    </row>
    <row r="287" ht="22.5" customHeight="1">
      <c r="A287" s="161"/>
      <c r="B287" s="162"/>
      <c r="C287" s="161"/>
      <c r="D287" s="168"/>
      <c r="E287" s="168"/>
      <c r="F287" s="162"/>
      <c r="G287" s="149"/>
      <c r="H287" s="161"/>
      <c r="I287" s="161"/>
      <c r="J287" s="161"/>
      <c r="K287" s="161"/>
      <c r="L287" s="161"/>
      <c r="M287" s="161"/>
      <c r="N287" s="149"/>
      <c r="O287" s="161"/>
      <c r="P287" s="161"/>
      <c r="S287" s="149"/>
      <c r="T287" s="161"/>
      <c r="V287" s="166"/>
      <c r="W287" s="166"/>
      <c r="X287" s="166"/>
      <c r="Y287" s="166"/>
    </row>
    <row r="288" ht="22.5" customHeight="1">
      <c r="A288" s="161"/>
      <c r="B288" s="162"/>
      <c r="C288" s="161"/>
      <c r="D288" s="168"/>
      <c r="E288" s="168"/>
      <c r="F288" s="162"/>
      <c r="G288" s="149"/>
      <c r="H288" s="161"/>
      <c r="I288" s="161"/>
      <c r="J288" s="161"/>
      <c r="K288" s="161"/>
      <c r="L288" s="161"/>
      <c r="M288" s="161"/>
      <c r="N288" s="149"/>
      <c r="O288" s="161"/>
      <c r="P288" s="161"/>
      <c r="S288" s="149"/>
      <c r="T288" s="161"/>
      <c r="V288" s="166"/>
      <c r="W288" s="166"/>
      <c r="X288" s="166"/>
      <c r="Y288" s="166"/>
    </row>
    <row r="289" ht="22.5" customHeight="1">
      <c r="A289" s="161"/>
      <c r="B289" s="162"/>
      <c r="C289" s="161"/>
      <c r="D289" s="168"/>
      <c r="E289" s="168"/>
      <c r="F289" s="162"/>
      <c r="G289" s="149"/>
      <c r="H289" s="161"/>
      <c r="I289" s="161"/>
      <c r="J289" s="161"/>
      <c r="K289" s="161"/>
      <c r="L289" s="161"/>
      <c r="M289" s="161"/>
      <c r="N289" s="149"/>
      <c r="O289" s="161"/>
      <c r="P289" s="161"/>
      <c r="S289" s="149"/>
      <c r="T289" s="161"/>
      <c r="V289" s="166"/>
      <c r="W289" s="166"/>
      <c r="X289" s="166"/>
      <c r="Y289" s="166"/>
    </row>
    <row r="290" ht="22.5" customHeight="1">
      <c r="A290" s="161"/>
      <c r="B290" s="162"/>
      <c r="C290" s="161"/>
      <c r="D290" s="168"/>
      <c r="E290" s="168"/>
      <c r="F290" s="162"/>
      <c r="G290" s="149"/>
      <c r="H290" s="161"/>
      <c r="I290" s="161"/>
      <c r="J290" s="161"/>
      <c r="K290" s="161"/>
      <c r="L290" s="161"/>
      <c r="M290" s="161"/>
      <c r="N290" s="149"/>
      <c r="O290" s="161"/>
      <c r="P290" s="161"/>
      <c r="S290" s="149"/>
      <c r="T290" s="161"/>
      <c r="V290" s="166"/>
      <c r="W290" s="166"/>
      <c r="X290" s="166"/>
      <c r="Y290" s="166"/>
    </row>
    <row r="291" ht="22.5" customHeight="1">
      <c r="A291" s="161"/>
      <c r="B291" s="162"/>
      <c r="C291" s="161"/>
      <c r="D291" s="168"/>
      <c r="E291" s="168"/>
      <c r="F291" s="162"/>
      <c r="G291" s="149"/>
      <c r="H291" s="161"/>
      <c r="I291" s="161"/>
      <c r="J291" s="161"/>
      <c r="K291" s="161"/>
      <c r="L291" s="161"/>
      <c r="M291" s="161"/>
      <c r="N291" s="149"/>
      <c r="O291" s="161"/>
      <c r="P291" s="161"/>
      <c r="S291" s="149"/>
      <c r="T291" s="161"/>
      <c r="V291" s="166"/>
      <c r="W291" s="166"/>
      <c r="X291" s="166"/>
      <c r="Y291" s="166"/>
    </row>
    <row r="292" ht="22.5" customHeight="1">
      <c r="A292" s="161"/>
      <c r="B292" s="162"/>
      <c r="C292" s="161"/>
      <c r="D292" s="168"/>
      <c r="E292" s="168"/>
      <c r="F292" s="162"/>
      <c r="G292" s="149"/>
      <c r="H292" s="161"/>
      <c r="I292" s="161"/>
      <c r="J292" s="161"/>
      <c r="K292" s="161"/>
      <c r="L292" s="161"/>
      <c r="M292" s="161"/>
      <c r="N292" s="149"/>
      <c r="O292" s="161"/>
      <c r="P292" s="161"/>
      <c r="S292" s="149"/>
      <c r="T292" s="161"/>
      <c r="V292" s="166"/>
      <c r="W292" s="166"/>
      <c r="X292" s="166"/>
      <c r="Y292" s="166"/>
    </row>
    <row r="293" ht="22.5" customHeight="1">
      <c r="A293" s="161"/>
      <c r="B293" s="162"/>
      <c r="C293" s="161"/>
      <c r="D293" s="168"/>
      <c r="E293" s="168"/>
      <c r="F293" s="162"/>
      <c r="G293" s="149"/>
      <c r="H293" s="161"/>
      <c r="I293" s="161"/>
      <c r="J293" s="161"/>
      <c r="K293" s="161"/>
      <c r="L293" s="161"/>
      <c r="M293" s="161"/>
      <c r="N293" s="149"/>
      <c r="O293" s="161"/>
      <c r="P293" s="161"/>
      <c r="S293" s="149"/>
      <c r="T293" s="161"/>
      <c r="V293" s="166"/>
      <c r="W293" s="166"/>
      <c r="X293" s="166"/>
      <c r="Y293" s="166"/>
    </row>
    <row r="294" ht="22.5" customHeight="1">
      <c r="A294" s="161"/>
      <c r="B294" s="162"/>
      <c r="C294" s="161"/>
      <c r="D294" s="168"/>
      <c r="E294" s="168"/>
      <c r="F294" s="162"/>
      <c r="G294" s="149"/>
      <c r="H294" s="161"/>
      <c r="I294" s="161"/>
      <c r="J294" s="161"/>
      <c r="K294" s="161"/>
      <c r="L294" s="161"/>
      <c r="M294" s="161"/>
      <c r="N294" s="149"/>
      <c r="O294" s="161"/>
      <c r="P294" s="161"/>
      <c r="S294" s="149"/>
      <c r="T294" s="161"/>
      <c r="V294" s="166"/>
      <c r="W294" s="166"/>
      <c r="X294" s="166"/>
      <c r="Y294" s="166"/>
    </row>
    <row r="295" ht="22.5" customHeight="1">
      <c r="A295" s="161"/>
      <c r="B295" s="162"/>
      <c r="C295" s="161"/>
      <c r="D295" s="168"/>
      <c r="E295" s="168"/>
      <c r="F295" s="162"/>
      <c r="G295" s="149"/>
      <c r="H295" s="161"/>
      <c r="I295" s="161"/>
      <c r="J295" s="161"/>
      <c r="K295" s="161"/>
      <c r="L295" s="161"/>
      <c r="M295" s="161"/>
      <c r="N295" s="149"/>
      <c r="O295" s="161"/>
      <c r="P295" s="161"/>
      <c r="S295" s="149"/>
      <c r="T295" s="161"/>
      <c r="V295" s="166"/>
      <c r="W295" s="166"/>
      <c r="X295" s="166"/>
      <c r="Y295" s="166"/>
    </row>
    <row r="296" ht="22.5" customHeight="1">
      <c r="A296" s="161"/>
      <c r="B296" s="162"/>
      <c r="C296" s="161"/>
      <c r="D296" s="168"/>
      <c r="E296" s="168"/>
      <c r="F296" s="162"/>
      <c r="G296" s="149"/>
      <c r="H296" s="161"/>
      <c r="I296" s="161"/>
      <c r="J296" s="161"/>
      <c r="K296" s="161"/>
      <c r="L296" s="161"/>
      <c r="M296" s="161"/>
      <c r="N296" s="149"/>
      <c r="O296" s="161"/>
      <c r="P296" s="161"/>
      <c r="S296" s="149"/>
      <c r="T296" s="161"/>
      <c r="V296" s="166"/>
      <c r="W296" s="166"/>
      <c r="X296" s="166"/>
      <c r="Y296" s="166"/>
    </row>
    <row r="297" ht="22.5" customHeight="1">
      <c r="A297" s="161"/>
      <c r="B297" s="162"/>
      <c r="C297" s="161"/>
      <c r="D297" s="168"/>
      <c r="E297" s="168"/>
      <c r="F297" s="162"/>
      <c r="G297" s="149"/>
      <c r="H297" s="161"/>
      <c r="I297" s="161"/>
      <c r="J297" s="161"/>
      <c r="K297" s="161"/>
      <c r="L297" s="161"/>
      <c r="M297" s="161"/>
      <c r="N297" s="149"/>
      <c r="O297" s="161"/>
      <c r="P297" s="161"/>
      <c r="S297" s="149"/>
      <c r="T297" s="161"/>
      <c r="V297" s="166"/>
      <c r="W297" s="166"/>
      <c r="X297" s="166"/>
      <c r="Y297" s="166"/>
    </row>
    <row r="298" ht="22.5" customHeight="1">
      <c r="A298" s="161"/>
      <c r="B298" s="162"/>
      <c r="C298" s="161"/>
      <c r="D298" s="168"/>
      <c r="E298" s="168"/>
      <c r="F298" s="162"/>
      <c r="G298" s="149"/>
      <c r="H298" s="161"/>
      <c r="I298" s="161"/>
      <c r="J298" s="161"/>
      <c r="K298" s="161"/>
      <c r="L298" s="161"/>
      <c r="M298" s="161"/>
      <c r="N298" s="149"/>
      <c r="O298" s="161"/>
      <c r="P298" s="161"/>
      <c r="S298" s="149"/>
      <c r="T298" s="161"/>
      <c r="V298" s="166"/>
      <c r="W298" s="166"/>
      <c r="X298" s="166"/>
      <c r="Y298" s="166"/>
    </row>
    <row r="299" ht="22.5" customHeight="1">
      <c r="A299" s="161"/>
      <c r="B299" s="162"/>
      <c r="C299" s="161"/>
      <c r="D299" s="168"/>
      <c r="E299" s="168"/>
      <c r="F299" s="162"/>
      <c r="G299" s="149"/>
      <c r="H299" s="161"/>
      <c r="I299" s="161"/>
      <c r="J299" s="161"/>
      <c r="K299" s="161"/>
      <c r="L299" s="161"/>
      <c r="M299" s="161"/>
      <c r="N299" s="149"/>
      <c r="O299" s="161"/>
      <c r="P299" s="161"/>
      <c r="S299" s="149"/>
      <c r="T299" s="161"/>
      <c r="V299" s="166"/>
      <c r="W299" s="166"/>
      <c r="X299" s="166"/>
      <c r="Y299" s="166"/>
    </row>
    <row r="300" ht="22.5" customHeight="1">
      <c r="A300" s="161"/>
      <c r="B300" s="162"/>
      <c r="C300" s="161"/>
      <c r="D300" s="168"/>
      <c r="E300" s="168"/>
      <c r="F300" s="162"/>
      <c r="G300" s="149"/>
      <c r="H300" s="161"/>
      <c r="I300" s="161"/>
      <c r="J300" s="161"/>
      <c r="K300" s="161"/>
      <c r="L300" s="161"/>
      <c r="M300" s="161"/>
      <c r="N300" s="149"/>
      <c r="O300" s="161"/>
      <c r="P300" s="161"/>
      <c r="S300" s="149"/>
      <c r="T300" s="161"/>
      <c r="V300" s="166"/>
      <c r="W300" s="166"/>
      <c r="X300" s="166"/>
      <c r="Y300" s="166"/>
    </row>
    <row r="301" ht="22.5" customHeight="1">
      <c r="A301" s="161"/>
      <c r="B301" s="162"/>
      <c r="C301" s="161"/>
      <c r="D301" s="168"/>
      <c r="E301" s="168"/>
      <c r="F301" s="162"/>
      <c r="G301" s="149"/>
      <c r="H301" s="161"/>
      <c r="I301" s="161"/>
      <c r="J301" s="161"/>
      <c r="K301" s="161"/>
      <c r="L301" s="161"/>
      <c r="M301" s="161"/>
      <c r="N301" s="149"/>
      <c r="O301" s="161"/>
      <c r="P301" s="161"/>
      <c r="S301" s="149"/>
      <c r="T301" s="161"/>
      <c r="V301" s="166"/>
      <c r="W301" s="166"/>
      <c r="X301" s="166"/>
      <c r="Y301" s="166"/>
    </row>
    <row r="302" ht="22.5" customHeight="1">
      <c r="A302" s="161"/>
      <c r="B302" s="162"/>
      <c r="C302" s="161"/>
      <c r="D302" s="168"/>
      <c r="E302" s="168"/>
      <c r="F302" s="162"/>
      <c r="G302" s="149"/>
      <c r="H302" s="161"/>
      <c r="I302" s="161"/>
      <c r="J302" s="161"/>
      <c r="K302" s="161"/>
      <c r="L302" s="161"/>
      <c r="M302" s="161"/>
      <c r="N302" s="149"/>
      <c r="O302" s="161"/>
      <c r="P302" s="161"/>
      <c r="S302" s="149"/>
      <c r="T302" s="161"/>
      <c r="V302" s="166"/>
      <c r="W302" s="166"/>
      <c r="X302" s="166"/>
      <c r="Y302" s="166"/>
    </row>
    <row r="303" ht="22.5" customHeight="1">
      <c r="A303" s="161"/>
      <c r="B303" s="162"/>
      <c r="C303" s="161"/>
      <c r="D303" s="168"/>
      <c r="E303" s="168"/>
      <c r="F303" s="162"/>
      <c r="G303" s="149"/>
      <c r="H303" s="161"/>
      <c r="I303" s="161"/>
      <c r="J303" s="161"/>
      <c r="K303" s="161"/>
      <c r="L303" s="161"/>
      <c r="M303" s="161"/>
      <c r="N303" s="149"/>
      <c r="O303" s="161"/>
      <c r="P303" s="161"/>
      <c r="S303" s="149"/>
      <c r="T303" s="161"/>
      <c r="V303" s="166"/>
      <c r="W303" s="166"/>
      <c r="X303" s="166"/>
      <c r="Y303" s="166"/>
    </row>
    <row r="304" ht="22.5" customHeight="1">
      <c r="A304" s="161"/>
      <c r="B304" s="162"/>
      <c r="C304" s="161"/>
      <c r="D304" s="168"/>
      <c r="E304" s="168"/>
      <c r="F304" s="162"/>
      <c r="G304" s="149"/>
      <c r="H304" s="161"/>
      <c r="I304" s="161"/>
      <c r="J304" s="161"/>
      <c r="K304" s="161"/>
      <c r="L304" s="161"/>
      <c r="M304" s="161"/>
      <c r="N304" s="149"/>
      <c r="O304" s="161"/>
      <c r="P304" s="161"/>
      <c r="S304" s="149"/>
      <c r="T304" s="161"/>
      <c r="V304" s="166"/>
      <c r="W304" s="166"/>
      <c r="X304" s="166"/>
      <c r="Y304" s="166"/>
    </row>
    <row r="305" ht="22.5" customHeight="1">
      <c r="A305" s="161"/>
      <c r="B305" s="162"/>
      <c r="C305" s="161"/>
      <c r="D305" s="168"/>
      <c r="E305" s="168"/>
      <c r="F305" s="162"/>
      <c r="G305" s="149"/>
      <c r="H305" s="161"/>
      <c r="I305" s="161"/>
      <c r="J305" s="161"/>
      <c r="K305" s="161"/>
      <c r="L305" s="161"/>
      <c r="M305" s="161"/>
      <c r="N305" s="149"/>
      <c r="O305" s="161"/>
      <c r="P305" s="161"/>
      <c r="S305" s="149"/>
      <c r="T305" s="161"/>
      <c r="V305" s="166"/>
      <c r="W305" s="166"/>
      <c r="X305" s="166"/>
      <c r="Y305" s="166"/>
    </row>
    <row r="306" ht="22.5" customHeight="1">
      <c r="A306" s="161"/>
      <c r="B306" s="162"/>
      <c r="C306" s="161"/>
      <c r="D306" s="168"/>
      <c r="E306" s="168"/>
      <c r="F306" s="162"/>
      <c r="G306" s="149"/>
      <c r="H306" s="161"/>
      <c r="I306" s="161"/>
      <c r="J306" s="161"/>
      <c r="K306" s="161"/>
      <c r="L306" s="161"/>
      <c r="M306" s="161"/>
      <c r="N306" s="149"/>
      <c r="O306" s="161"/>
      <c r="P306" s="161"/>
      <c r="S306" s="149"/>
      <c r="T306" s="161"/>
      <c r="V306" s="166"/>
      <c r="W306" s="166"/>
      <c r="X306" s="166"/>
      <c r="Y306" s="166"/>
    </row>
    <row r="307" ht="22.5" customHeight="1">
      <c r="A307" s="161"/>
      <c r="B307" s="162"/>
      <c r="C307" s="161"/>
      <c r="D307" s="168"/>
      <c r="E307" s="168"/>
      <c r="F307" s="162"/>
      <c r="G307" s="149"/>
      <c r="H307" s="161"/>
      <c r="I307" s="161"/>
      <c r="J307" s="161"/>
      <c r="K307" s="161"/>
      <c r="L307" s="161"/>
      <c r="M307" s="161"/>
      <c r="N307" s="149"/>
      <c r="O307" s="161"/>
      <c r="P307" s="161"/>
      <c r="S307" s="149"/>
      <c r="T307" s="161"/>
      <c r="V307" s="166"/>
      <c r="W307" s="166"/>
      <c r="X307" s="166"/>
      <c r="Y307" s="166"/>
    </row>
    <row r="308" ht="22.5" customHeight="1">
      <c r="A308" s="161"/>
      <c r="B308" s="162"/>
      <c r="C308" s="161"/>
      <c r="D308" s="168"/>
      <c r="E308" s="168"/>
      <c r="F308" s="162"/>
      <c r="G308" s="149"/>
      <c r="H308" s="161"/>
      <c r="I308" s="161"/>
      <c r="J308" s="161"/>
      <c r="K308" s="161"/>
      <c r="L308" s="161"/>
      <c r="M308" s="161"/>
      <c r="N308" s="149"/>
      <c r="O308" s="161"/>
      <c r="P308" s="161"/>
      <c r="S308" s="149"/>
      <c r="T308" s="161"/>
      <c r="V308" s="166"/>
      <c r="W308" s="166"/>
      <c r="X308" s="166"/>
      <c r="Y308" s="166"/>
    </row>
    <row r="309" ht="22.5" customHeight="1">
      <c r="A309" s="161"/>
      <c r="B309" s="162"/>
      <c r="C309" s="161"/>
      <c r="D309" s="168"/>
      <c r="E309" s="168"/>
      <c r="F309" s="162"/>
      <c r="G309" s="149"/>
      <c r="H309" s="161"/>
      <c r="I309" s="161"/>
      <c r="J309" s="161"/>
      <c r="K309" s="161"/>
      <c r="L309" s="161"/>
      <c r="M309" s="161"/>
      <c r="N309" s="149"/>
      <c r="O309" s="161"/>
      <c r="P309" s="161"/>
      <c r="S309" s="149"/>
      <c r="T309" s="161"/>
      <c r="V309" s="166"/>
      <c r="W309" s="166"/>
      <c r="X309" s="166"/>
      <c r="Y309" s="166"/>
    </row>
    <row r="310" ht="22.5" customHeight="1">
      <c r="A310" s="161"/>
      <c r="B310" s="162"/>
      <c r="C310" s="161"/>
      <c r="D310" s="168"/>
      <c r="E310" s="168"/>
      <c r="F310" s="162"/>
      <c r="G310" s="149"/>
      <c r="H310" s="161"/>
      <c r="I310" s="161"/>
      <c r="J310" s="161"/>
      <c r="K310" s="161"/>
      <c r="L310" s="161"/>
      <c r="M310" s="161"/>
      <c r="N310" s="149"/>
      <c r="O310" s="161"/>
      <c r="P310" s="161"/>
      <c r="S310" s="149"/>
      <c r="T310" s="161"/>
      <c r="V310" s="166"/>
      <c r="W310" s="166"/>
      <c r="X310" s="166"/>
      <c r="Y310" s="166"/>
    </row>
    <row r="311" ht="22.5" customHeight="1">
      <c r="A311" s="161"/>
      <c r="B311" s="162"/>
      <c r="C311" s="161"/>
      <c r="D311" s="168"/>
      <c r="E311" s="168"/>
      <c r="F311" s="162"/>
      <c r="G311" s="149"/>
      <c r="H311" s="161"/>
      <c r="I311" s="161"/>
      <c r="J311" s="161"/>
      <c r="K311" s="161"/>
      <c r="L311" s="161"/>
      <c r="M311" s="161"/>
      <c r="N311" s="149"/>
      <c r="O311" s="161"/>
      <c r="P311" s="161"/>
      <c r="S311" s="149"/>
      <c r="T311" s="161"/>
      <c r="V311" s="166"/>
      <c r="W311" s="166"/>
      <c r="X311" s="166"/>
      <c r="Y311" s="166"/>
    </row>
    <row r="312" ht="22.5" customHeight="1">
      <c r="A312" s="161"/>
      <c r="B312" s="162"/>
      <c r="C312" s="161"/>
      <c r="D312" s="168"/>
      <c r="E312" s="168"/>
      <c r="F312" s="162"/>
      <c r="G312" s="149"/>
      <c r="H312" s="161"/>
      <c r="I312" s="161"/>
      <c r="J312" s="161"/>
      <c r="K312" s="161"/>
      <c r="L312" s="161"/>
      <c r="M312" s="161"/>
      <c r="N312" s="149"/>
      <c r="O312" s="161"/>
      <c r="P312" s="161"/>
      <c r="S312" s="149"/>
      <c r="T312" s="161"/>
      <c r="V312" s="166"/>
      <c r="W312" s="166"/>
      <c r="X312" s="166"/>
      <c r="Y312" s="166"/>
    </row>
    <row r="313" ht="22.5" customHeight="1">
      <c r="A313" s="161"/>
      <c r="B313" s="162"/>
      <c r="C313" s="161"/>
      <c r="D313" s="168"/>
      <c r="E313" s="168"/>
      <c r="F313" s="162"/>
      <c r="G313" s="149"/>
      <c r="H313" s="161"/>
      <c r="I313" s="161"/>
      <c r="J313" s="161"/>
      <c r="K313" s="161"/>
      <c r="L313" s="161"/>
      <c r="M313" s="161"/>
      <c r="N313" s="149"/>
      <c r="O313" s="161"/>
      <c r="P313" s="161"/>
      <c r="S313" s="149"/>
      <c r="T313" s="161"/>
      <c r="V313" s="166"/>
      <c r="W313" s="166"/>
      <c r="X313" s="166"/>
      <c r="Y313" s="166"/>
    </row>
    <row r="314" ht="22.5" customHeight="1">
      <c r="A314" s="161"/>
      <c r="B314" s="162"/>
      <c r="C314" s="161"/>
      <c r="D314" s="168"/>
      <c r="E314" s="168"/>
      <c r="F314" s="162"/>
      <c r="G314" s="149"/>
      <c r="H314" s="161"/>
      <c r="I314" s="161"/>
      <c r="J314" s="161"/>
      <c r="K314" s="161"/>
      <c r="L314" s="161"/>
      <c r="M314" s="161"/>
      <c r="N314" s="149"/>
      <c r="O314" s="161"/>
      <c r="P314" s="161"/>
      <c r="S314" s="149"/>
      <c r="T314" s="161"/>
      <c r="V314" s="166"/>
      <c r="W314" s="166"/>
      <c r="X314" s="166"/>
      <c r="Y314" s="166"/>
    </row>
    <row r="315" ht="22.5" customHeight="1">
      <c r="A315" s="161"/>
      <c r="B315" s="162"/>
      <c r="C315" s="161"/>
      <c r="D315" s="168"/>
      <c r="E315" s="168"/>
      <c r="F315" s="162"/>
      <c r="G315" s="149"/>
      <c r="H315" s="161"/>
      <c r="I315" s="161"/>
      <c r="J315" s="161"/>
      <c r="K315" s="161"/>
      <c r="L315" s="161"/>
      <c r="M315" s="161"/>
      <c r="N315" s="149"/>
      <c r="O315" s="161"/>
      <c r="P315" s="161"/>
      <c r="S315" s="149"/>
      <c r="T315" s="161"/>
      <c r="V315" s="166"/>
      <c r="W315" s="166"/>
      <c r="X315" s="166"/>
      <c r="Y315" s="166"/>
    </row>
    <row r="316" ht="22.5" customHeight="1">
      <c r="A316" s="161"/>
      <c r="B316" s="162"/>
      <c r="C316" s="161"/>
      <c r="D316" s="168"/>
      <c r="E316" s="168"/>
      <c r="F316" s="162"/>
      <c r="G316" s="149"/>
      <c r="H316" s="161"/>
      <c r="I316" s="161"/>
      <c r="J316" s="161"/>
      <c r="K316" s="161"/>
      <c r="L316" s="161"/>
      <c r="M316" s="161"/>
      <c r="N316" s="149"/>
      <c r="O316" s="161"/>
      <c r="P316" s="161"/>
      <c r="S316" s="149"/>
      <c r="T316" s="161"/>
      <c r="V316" s="166"/>
      <c r="W316" s="166"/>
      <c r="X316" s="166"/>
      <c r="Y316" s="166"/>
    </row>
    <row r="317" ht="22.5" customHeight="1">
      <c r="A317" s="161"/>
      <c r="B317" s="162"/>
      <c r="C317" s="161"/>
      <c r="D317" s="168"/>
      <c r="E317" s="168"/>
      <c r="F317" s="162"/>
      <c r="G317" s="149"/>
      <c r="H317" s="161"/>
      <c r="I317" s="161"/>
      <c r="J317" s="161"/>
      <c r="K317" s="161"/>
      <c r="L317" s="161"/>
      <c r="M317" s="161"/>
      <c r="N317" s="149"/>
      <c r="O317" s="161"/>
      <c r="P317" s="161"/>
      <c r="S317" s="149"/>
      <c r="T317" s="161"/>
      <c r="V317" s="166"/>
      <c r="W317" s="166"/>
      <c r="X317" s="166"/>
      <c r="Y317" s="166"/>
    </row>
    <row r="318" ht="22.5" customHeight="1">
      <c r="A318" s="161"/>
      <c r="B318" s="162"/>
      <c r="C318" s="161"/>
      <c r="D318" s="168"/>
      <c r="E318" s="168"/>
      <c r="F318" s="162"/>
      <c r="G318" s="149"/>
      <c r="H318" s="161"/>
      <c r="I318" s="161"/>
      <c r="J318" s="161"/>
      <c r="K318" s="161"/>
      <c r="L318" s="161"/>
      <c r="M318" s="161"/>
      <c r="N318" s="149"/>
      <c r="O318" s="161"/>
      <c r="P318" s="161"/>
      <c r="S318" s="149"/>
      <c r="T318" s="161"/>
      <c r="V318" s="166"/>
      <c r="W318" s="166"/>
      <c r="X318" s="166"/>
      <c r="Y318" s="166"/>
    </row>
    <row r="319" ht="22.5" customHeight="1">
      <c r="A319" s="161"/>
      <c r="B319" s="162"/>
      <c r="C319" s="161"/>
      <c r="D319" s="168"/>
      <c r="E319" s="168"/>
      <c r="F319" s="162"/>
      <c r="G319" s="149"/>
      <c r="H319" s="161"/>
      <c r="I319" s="161"/>
      <c r="J319" s="161"/>
      <c r="K319" s="161"/>
      <c r="L319" s="161"/>
      <c r="M319" s="161"/>
      <c r="N319" s="149"/>
      <c r="O319" s="161"/>
      <c r="P319" s="161"/>
      <c r="S319" s="149"/>
      <c r="T319" s="161"/>
      <c r="V319" s="166"/>
      <c r="W319" s="166"/>
      <c r="X319" s="166"/>
      <c r="Y319" s="166"/>
    </row>
    <row r="320" ht="22.5" customHeight="1">
      <c r="A320" s="161"/>
      <c r="B320" s="162"/>
      <c r="C320" s="161"/>
      <c r="D320" s="168"/>
      <c r="E320" s="168"/>
      <c r="F320" s="162"/>
      <c r="G320" s="149"/>
      <c r="H320" s="161"/>
      <c r="I320" s="161"/>
      <c r="J320" s="161"/>
      <c r="K320" s="161"/>
      <c r="L320" s="161"/>
      <c r="M320" s="161"/>
      <c r="N320" s="149"/>
      <c r="O320" s="161"/>
      <c r="P320" s="161"/>
      <c r="S320" s="149"/>
      <c r="T320" s="161"/>
      <c r="V320" s="166"/>
      <c r="W320" s="166"/>
      <c r="X320" s="166"/>
      <c r="Y320" s="166"/>
    </row>
    <row r="321" ht="22.5" customHeight="1">
      <c r="A321" s="161"/>
      <c r="B321" s="162"/>
      <c r="C321" s="161"/>
      <c r="D321" s="168"/>
      <c r="E321" s="168"/>
      <c r="F321" s="162"/>
      <c r="G321" s="149"/>
      <c r="H321" s="161"/>
      <c r="I321" s="161"/>
      <c r="J321" s="161"/>
      <c r="K321" s="161"/>
      <c r="L321" s="161"/>
      <c r="M321" s="161"/>
      <c r="N321" s="149"/>
      <c r="O321" s="161"/>
      <c r="P321" s="161"/>
      <c r="S321" s="149"/>
      <c r="T321" s="161"/>
      <c r="V321" s="166"/>
      <c r="W321" s="166"/>
      <c r="X321" s="166"/>
      <c r="Y321" s="166"/>
    </row>
    <row r="322" ht="22.5" customHeight="1">
      <c r="A322" s="161"/>
      <c r="B322" s="162"/>
      <c r="C322" s="161"/>
      <c r="D322" s="168"/>
      <c r="E322" s="168"/>
      <c r="F322" s="162"/>
      <c r="G322" s="149"/>
      <c r="H322" s="161"/>
      <c r="I322" s="161"/>
      <c r="J322" s="161"/>
      <c r="K322" s="161"/>
      <c r="L322" s="161"/>
      <c r="M322" s="161"/>
      <c r="N322" s="149"/>
      <c r="O322" s="161"/>
      <c r="P322" s="161"/>
      <c r="S322" s="149"/>
      <c r="T322" s="161"/>
      <c r="V322" s="166"/>
      <c r="W322" s="166"/>
      <c r="X322" s="166"/>
      <c r="Y322" s="166"/>
    </row>
    <row r="323" ht="22.5" customHeight="1">
      <c r="A323" s="161"/>
      <c r="B323" s="162"/>
      <c r="C323" s="161"/>
      <c r="D323" s="168"/>
      <c r="E323" s="168"/>
      <c r="F323" s="162"/>
      <c r="G323" s="149"/>
      <c r="H323" s="161"/>
      <c r="I323" s="161"/>
      <c r="J323" s="161"/>
      <c r="K323" s="161"/>
      <c r="L323" s="161"/>
      <c r="M323" s="161"/>
      <c r="N323" s="149"/>
      <c r="O323" s="161"/>
      <c r="P323" s="161"/>
      <c r="S323" s="149"/>
      <c r="T323" s="161"/>
      <c r="V323" s="166"/>
      <c r="W323" s="166"/>
      <c r="X323" s="166"/>
      <c r="Y323" s="166"/>
    </row>
    <row r="324" ht="22.5" customHeight="1">
      <c r="A324" s="161"/>
      <c r="B324" s="162"/>
      <c r="C324" s="161"/>
      <c r="D324" s="168"/>
      <c r="E324" s="168"/>
      <c r="F324" s="162"/>
      <c r="G324" s="149"/>
      <c r="H324" s="161"/>
      <c r="I324" s="161"/>
      <c r="J324" s="161"/>
      <c r="K324" s="161"/>
      <c r="L324" s="161"/>
      <c r="M324" s="161"/>
      <c r="N324" s="149"/>
      <c r="O324" s="161"/>
      <c r="P324" s="161"/>
      <c r="S324" s="149"/>
      <c r="T324" s="161"/>
      <c r="V324" s="166"/>
      <c r="W324" s="166"/>
      <c r="X324" s="166"/>
      <c r="Y324" s="166"/>
    </row>
    <row r="325" ht="22.5" customHeight="1">
      <c r="A325" s="161"/>
      <c r="B325" s="162"/>
      <c r="C325" s="161"/>
      <c r="D325" s="168"/>
      <c r="E325" s="168"/>
      <c r="F325" s="162"/>
      <c r="G325" s="149"/>
      <c r="H325" s="161"/>
      <c r="I325" s="161"/>
      <c r="J325" s="161"/>
      <c r="K325" s="161"/>
      <c r="L325" s="161"/>
      <c r="M325" s="161"/>
      <c r="N325" s="149"/>
      <c r="O325" s="161"/>
      <c r="P325" s="161"/>
      <c r="S325" s="149"/>
      <c r="T325" s="161"/>
      <c r="V325" s="166"/>
      <c r="W325" s="166"/>
      <c r="X325" s="166"/>
      <c r="Y325" s="166"/>
    </row>
    <row r="326" ht="22.5" customHeight="1">
      <c r="A326" s="161"/>
      <c r="B326" s="162"/>
      <c r="C326" s="161"/>
      <c r="D326" s="168"/>
      <c r="E326" s="168"/>
      <c r="F326" s="162"/>
      <c r="G326" s="149"/>
      <c r="H326" s="161"/>
      <c r="I326" s="161"/>
      <c r="J326" s="161"/>
      <c r="K326" s="161"/>
      <c r="L326" s="161"/>
      <c r="M326" s="161"/>
      <c r="N326" s="149"/>
      <c r="O326" s="161"/>
      <c r="P326" s="161"/>
      <c r="S326" s="149"/>
      <c r="T326" s="161"/>
      <c r="V326" s="166"/>
      <c r="W326" s="166"/>
      <c r="X326" s="166"/>
      <c r="Y326" s="166"/>
    </row>
    <row r="327" ht="22.5" customHeight="1">
      <c r="A327" s="161"/>
      <c r="B327" s="162"/>
      <c r="C327" s="161"/>
      <c r="D327" s="168"/>
      <c r="E327" s="168"/>
      <c r="F327" s="162"/>
      <c r="G327" s="149"/>
      <c r="H327" s="161"/>
      <c r="I327" s="161"/>
      <c r="J327" s="161"/>
      <c r="K327" s="161"/>
      <c r="L327" s="161"/>
      <c r="M327" s="161"/>
      <c r="N327" s="149"/>
      <c r="O327" s="161"/>
      <c r="P327" s="161"/>
      <c r="S327" s="149"/>
      <c r="T327" s="161"/>
      <c r="V327" s="166"/>
      <c r="W327" s="166"/>
      <c r="X327" s="166"/>
      <c r="Y327" s="166"/>
    </row>
    <row r="328" ht="22.5" customHeight="1">
      <c r="A328" s="161"/>
      <c r="B328" s="162"/>
      <c r="C328" s="161"/>
      <c r="D328" s="168"/>
      <c r="E328" s="168"/>
      <c r="F328" s="162"/>
      <c r="G328" s="149"/>
      <c r="H328" s="161"/>
      <c r="I328" s="161"/>
      <c r="J328" s="161"/>
      <c r="K328" s="161"/>
      <c r="L328" s="161"/>
      <c r="M328" s="161"/>
      <c r="N328" s="149"/>
      <c r="O328" s="161"/>
      <c r="P328" s="161"/>
      <c r="S328" s="149"/>
      <c r="T328" s="161"/>
      <c r="V328" s="166"/>
      <c r="W328" s="166"/>
      <c r="X328" s="166"/>
      <c r="Y328" s="166"/>
    </row>
    <row r="329" ht="22.5" customHeight="1">
      <c r="A329" s="161"/>
      <c r="B329" s="162"/>
      <c r="C329" s="161"/>
      <c r="D329" s="168"/>
      <c r="E329" s="168"/>
      <c r="F329" s="162"/>
      <c r="G329" s="149"/>
      <c r="H329" s="161"/>
      <c r="I329" s="161"/>
      <c r="J329" s="161"/>
      <c r="K329" s="161"/>
      <c r="L329" s="161"/>
      <c r="M329" s="161"/>
      <c r="N329" s="149"/>
      <c r="O329" s="161"/>
      <c r="P329" s="161"/>
      <c r="S329" s="149"/>
      <c r="T329" s="161"/>
      <c r="V329" s="166"/>
      <c r="W329" s="166"/>
      <c r="X329" s="166"/>
      <c r="Y329" s="166"/>
    </row>
    <row r="330" ht="22.5" customHeight="1">
      <c r="A330" s="161"/>
      <c r="B330" s="162"/>
      <c r="C330" s="161"/>
      <c r="D330" s="168"/>
      <c r="E330" s="168"/>
      <c r="F330" s="162"/>
      <c r="G330" s="149"/>
      <c r="H330" s="161"/>
      <c r="I330" s="161"/>
      <c r="J330" s="161"/>
      <c r="K330" s="161"/>
      <c r="L330" s="161"/>
      <c r="M330" s="161"/>
      <c r="N330" s="149"/>
      <c r="O330" s="161"/>
      <c r="P330" s="161"/>
      <c r="S330" s="149"/>
      <c r="T330" s="161"/>
      <c r="V330" s="166"/>
      <c r="W330" s="166"/>
      <c r="X330" s="166"/>
      <c r="Y330" s="166"/>
    </row>
    <row r="331" ht="22.5" customHeight="1">
      <c r="A331" s="161"/>
      <c r="B331" s="162"/>
      <c r="C331" s="161"/>
      <c r="D331" s="168"/>
      <c r="E331" s="168"/>
      <c r="F331" s="162"/>
      <c r="G331" s="149"/>
      <c r="H331" s="161"/>
      <c r="I331" s="161"/>
      <c r="J331" s="161"/>
      <c r="K331" s="161"/>
      <c r="L331" s="161"/>
      <c r="M331" s="161"/>
      <c r="N331" s="149"/>
      <c r="O331" s="161"/>
      <c r="P331" s="161"/>
      <c r="S331" s="149"/>
      <c r="T331" s="161"/>
      <c r="V331" s="166"/>
      <c r="W331" s="166"/>
      <c r="X331" s="166"/>
      <c r="Y331" s="166"/>
    </row>
    <row r="332" ht="22.5" customHeight="1">
      <c r="A332" s="161"/>
      <c r="B332" s="162"/>
      <c r="C332" s="161"/>
      <c r="D332" s="168"/>
      <c r="E332" s="168"/>
      <c r="F332" s="162"/>
      <c r="G332" s="149"/>
      <c r="H332" s="161"/>
      <c r="I332" s="161"/>
      <c r="J332" s="161"/>
      <c r="K332" s="161"/>
      <c r="L332" s="161"/>
      <c r="M332" s="161"/>
      <c r="N332" s="149"/>
      <c r="O332" s="161"/>
      <c r="P332" s="161"/>
      <c r="S332" s="149"/>
      <c r="T332" s="161"/>
      <c r="V332" s="166"/>
      <c r="W332" s="166"/>
      <c r="X332" s="166"/>
      <c r="Y332" s="166"/>
    </row>
    <row r="333" ht="22.5" customHeight="1">
      <c r="A333" s="161"/>
      <c r="B333" s="162"/>
      <c r="C333" s="161"/>
      <c r="D333" s="168"/>
      <c r="E333" s="168"/>
      <c r="F333" s="162"/>
      <c r="G333" s="149"/>
      <c r="H333" s="161"/>
      <c r="I333" s="161"/>
      <c r="J333" s="161"/>
      <c r="K333" s="161"/>
      <c r="L333" s="161"/>
      <c r="M333" s="161"/>
      <c r="N333" s="149"/>
      <c r="O333" s="161"/>
      <c r="P333" s="161"/>
      <c r="S333" s="149"/>
      <c r="T333" s="161"/>
      <c r="V333" s="166"/>
      <c r="W333" s="166"/>
      <c r="X333" s="166"/>
      <c r="Y333" s="166"/>
    </row>
    <row r="334" ht="22.5" customHeight="1">
      <c r="A334" s="161"/>
      <c r="B334" s="162"/>
      <c r="C334" s="161"/>
      <c r="D334" s="168"/>
      <c r="E334" s="168"/>
      <c r="F334" s="162"/>
      <c r="G334" s="149"/>
      <c r="H334" s="161"/>
      <c r="I334" s="161"/>
      <c r="J334" s="161"/>
      <c r="K334" s="161"/>
      <c r="L334" s="161"/>
      <c r="M334" s="161"/>
      <c r="N334" s="149"/>
      <c r="O334" s="161"/>
      <c r="P334" s="161"/>
      <c r="S334" s="149"/>
      <c r="T334" s="161"/>
      <c r="V334" s="166"/>
      <c r="W334" s="166"/>
      <c r="X334" s="166"/>
      <c r="Y334" s="166"/>
    </row>
    <row r="335" ht="22.5" customHeight="1">
      <c r="A335" s="161"/>
      <c r="B335" s="162"/>
      <c r="C335" s="161"/>
      <c r="D335" s="168"/>
      <c r="E335" s="168"/>
      <c r="F335" s="162"/>
      <c r="G335" s="149"/>
      <c r="H335" s="161"/>
      <c r="I335" s="161"/>
      <c r="J335" s="161"/>
      <c r="K335" s="161"/>
      <c r="L335" s="161"/>
      <c r="M335" s="161"/>
      <c r="N335" s="149"/>
      <c r="O335" s="161"/>
      <c r="P335" s="161"/>
      <c r="S335" s="149"/>
      <c r="T335" s="161"/>
      <c r="V335" s="166"/>
      <c r="W335" s="166"/>
      <c r="X335" s="166"/>
      <c r="Y335" s="166"/>
    </row>
    <row r="336" ht="22.5" customHeight="1">
      <c r="A336" s="161"/>
      <c r="B336" s="162"/>
      <c r="C336" s="161"/>
      <c r="D336" s="168"/>
      <c r="E336" s="168"/>
      <c r="F336" s="162"/>
      <c r="G336" s="149"/>
      <c r="H336" s="161"/>
      <c r="I336" s="161"/>
      <c r="J336" s="161"/>
      <c r="K336" s="161"/>
      <c r="L336" s="161"/>
      <c r="M336" s="161"/>
      <c r="N336" s="149"/>
      <c r="O336" s="161"/>
      <c r="P336" s="161"/>
      <c r="S336" s="149"/>
      <c r="T336" s="161"/>
      <c r="V336" s="166"/>
      <c r="W336" s="166"/>
      <c r="X336" s="166"/>
      <c r="Y336" s="166"/>
    </row>
    <row r="337" ht="22.5" customHeight="1">
      <c r="A337" s="161"/>
      <c r="B337" s="162"/>
      <c r="C337" s="161"/>
      <c r="D337" s="168"/>
      <c r="E337" s="168"/>
      <c r="F337" s="162"/>
      <c r="G337" s="149"/>
      <c r="H337" s="161"/>
      <c r="I337" s="161"/>
      <c r="J337" s="161"/>
      <c r="K337" s="161"/>
      <c r="L337" s="161"/>
      <c r="M337" s="161"/>
      <c r="N337" s="149"/>
      <c r="O337" s="161"/>
      <c r="P337" s="161"/>
      <c r="S337" s="149"/>
      <c r="T337" s="161"/>
      <c r="V337" s="166"/>
      <c r="W337" s="166"/>
      <c r="X337" s="166"/>
      <c r="Y337" s="166"/>
    </row>
    <row r="338" ht="22.5" customHeight="1">
      <c r="A338" s="161"/>
      <c r="B338" s="162"/>
      <c r="C338" s="161"/>
      <c r="D338" s="168"/>
      <c r="E338" s="168"/>
      <c r="F338" s="162"/>
      <c r="G338" s="149"/>
      <c r="H338" s="161"/>
      <c r="I338" s="161"/>
      <c r="J338" s="161"/>
      <c r="K338" s="161"/>
      <c r="L338" s="161"/>
      <c r="M338" s="161"/>
      <c r="N338" s="149"/>
      <c r="O338" s="161"/>
      <c r="P338" s="161"/>
      <c r="S338" s="149"/>
      <c r="T338" s="161"/>
      <c r="V338" s="166"/>
      <c r="W338" s="166"/>
      <c r="X338" s="166"/>
      <c r="Y338" s="166"/>
    </row>
    <row r="339" ht="22.5" customHeight="1">
      <c r="A339" s="161"/>
      <c r="B339" s="162"/>
      <c r="C339" s="161"/>
      <c r="D339" s="168"/>
      <c r="E339" s="168"/>
      <c r="F339" s="162"/>
      <c r="G339" s="149"/>
      <c r="H339" s="161"/>
      <c r="I339" s="161"/>
      <c r="J339" s="161"/>
      <c r="K339" s="161"/>
      <c r="L339" s="161"/>
      <c r="M339" s="161"/>
      <c r="N339" s="149"/>
      <c r="O339" s="161"/>
      <c r="P339" s="161"/>
      <c r="S339" s="149"/>
      <c r="T339" s="161"/>
      <c r="V339" s="166"/>
      <c r="W339" s="166"/>
      <c r="X339" s="166"/>
      <c r="Y339" s="166"/>
    </row>
    <row r="340" ht="22.5" customHeight="1">
      <c r="A340" s="161"/>
      <c r="B340" s="162"/>
      <c r="C340" s="161"/>
      <c r="D340" s="168"/>
      <c r="E340" s="168"/>
      <c r="F340" s="162"/>
      <c r="G340" s="149"/>
      <c r="H340" s="161"/>
      <c r="I340" s="161"/>
      <c r="J340" s="161"/>
      <c r="K340" s="161"/>
      <c r="L340" s="161"/>
      <c r="M340" s="161"/>
      <c r="N340" s="149"/>
      <c r="O340" s="161"/>
      <c r="P340" s="161"/>
      <c r="S340" s="149"/>
      <c r="T340" s="161"/>
      <c r="V340" s="166"/>
      <c r="W340" s="166"/>
      <c r="X340" s="166"/>
      <c r="Y340" s="166"/>
    </row>
    <row r="341" ht="22.5" customHeight="1">
      <c r="A341" s="161"/>
      <c r="B341" s="162"/>
      <c r="C341" s="161"/>
      <c r="D341" s="168"/>
      <c r="E341" s="168"/>
      <c r="F341" s="162"/>
      <c r="G341" s="149"/>
      <c r="H341" s="161"/>
      <c r="I341" s="161"/>
      <c r="J341" s="161"/>
      <c r="K341" s="161"/>
      <c r="L341" s="161"/>
      <c r="M341" s="161"/>
      <c r="N341" s="149"/>
      <c r="O341" s="161"/>
      <c r="P341" s="161"/>
      <c r="S341" s="149"/>
      <c r="T341" s="161"/>
      <c r="V341" s="166"/>
      <c r="W341" s="166"/>
      <c r="X341" s="166"/>
      <c r="Y341" s="166"/>
    </row>
    <row r="342" ht="22.5" customHeight="1">
      <c r="A342" s="161"/>
      <c r="B342" s="162"/>
      <c r="C342" s="161"/>
      <c r="D342" s="168"/>
      <c r="E342" s="168"/>
      <c r="F342" s="162"/>
      <c r="G342" s="149"/>
      <c r="H342" s="161"/>
      <c r="I342" s="161"/>
      <c r="J342" s="161"/>
      <c r="K342" s="161"/>
      <c r="L342" s="161"/>
      <c r="M342" s="161"/>
      <c r="N342" s="149"/>
      <c r="O342" s="161"/>
      <c r="P342" s="161"/>
      <c r="S342" s="149"/>
      <c r="T342" s="161"/>
      <c r="V342" s="166"/>
      <c r="W342" s="166"/>
      <c r="X342" s="166"/>
      <c r="Y342" s="166"/>
    </row>
    <row r="343" ht="22.5" customHeight="1">
      <c r="A343" s="161"/>
      <c r="B343" s="162"/>
      <c r="C343" s="161"/>
      <c r="D343" s="168"/>
      <c r="E343" s="168"/>
      <c r="F343" s="162"/>
      <c r="G343" s="149"/>
      <c r="H343" s="161"/>
      <c r="I343" s="161"/>
      <c r="J343" s="161"/>
      <c r="K343" s="161"/>
      <c r="L343" s="161"/>
      <c r="M343" s="161"/>
      <c r="N343" s="149"/>
      <c r="O343" s="161"/>
      <c r="P343" s="161"/>
      <c r="S343" s="149"/>
      <c r="T343" s="161"/>
      <c r="V343" s="166"/>
      <c r="W343" s="166"/>
      <c r="X343" s="166"/>
      <c r="Y343" s="166"/>
    </row>
    <row r="344" ht="22.5" customHeight="1">
      <c r="A344" s="161"/>
      <c r="B344" s="162"/>
      <c r="C344" s="161"/>
      <c r="D344" s="168"/>
      <c r="E344" s="168"/>
      <c r="F344" s="162"/>
      <c r="G344" s="149"/>
      <c r="H344" s="161"/>
      <c r="I344" s="161"/>
      <c r="J344" s="161"/>
      <c r="K344" s="161"/>
      <c r="L344" s="161"/>
      <c r="M344" s="161"/>
      <c r="N344" s="149"/>
      <c r="O344" s="161"/>
      <c r="P344" s="161"/>
      <c r="S344" s="149"/>
      <c r="T344" s="161"/>
      <c r="V344" s="166"/>
      <c r="W344" s="166"/>
      <c r="X344" s="166"/>
      <c r="Y344" s="166"/>
    </row>
    <row r="345" ht="22.5" customHeight="1">
      <c r="A345" s="161"/>
      <c r="B345" s="162"/>
      <c r="C345" s="161"/>
      <c r="D345" s="168"/>
      <c r="E345" s="168"/>
      <c r="F345" s="162"/>
      <c r="G345" s="149"/>
      <c r="H345" s="161"/>
      <c r="I345" s="161"/>
      <c r="J345" s="161"/>
      <c r="K345" s="161"/>
      <c r="L345" s="161"/>
      <c r="M345" s="161"/>
      <c r="N345" s="149"/>
      <c r="O345" s="161"/>
      <c r="P345" s="161"/>
      <c r="S345" s="149"/>
      <c r="T345" s="161"/>
      <c r="V345" s="166"/>
      <c r="W345" s="166"/>
      <c r="X345" s="166"/>
      <c r="Y345" s="166"/>
    </row>
    <row r="346" ht="22.5" customHeight="1">
      <c r="A346" s="161"/>
      <c r="B346" s="162"/>
      <c r="C346" s="161"/>
      <c r="D346" s="168"/>
      <c r="E346" s="168"/>
      <c r="F346" s="162"/>
      <c r="G346" s="149"/>
      <c r="H346" s="161"/>
      <c r="I346" s="161"/>
      <c r="J346" s="161"/>
      <c r="K346" s="161"/>
      <c r="L346" s="161"/>
      <c r="M346" s="161"/>
      <c r="N346" s="149"/>
      <c r="O346" s="161"/>
      <c r="P346" s="161"/>
      <c r="S346" s="149"/>
      <c r="T346" s="161"/>
      <c r="V346" s="166"/>
      <c r="W346" s="166"/>
      <c r="X346" s="166"/>
      <c r="Y346" s="166"/>
    </row>
    <row r="347" ht="22.5" customHeight="1">
      <c r="A347" s="161"/>
      <c r="B347" s="162"/>
      <c r="C347" s="161"/>
      <c r="D347" s="168"/>
      <c r="E347" s="168"/>
      <c r="F347" s="162"/>
      <c r="G347" s="149"/>
      <c r="H347" s="161"/>
      <c r="I347" s="161"/>
      <c r="J347" s="161"/>
      <c r="K347" s="161"/>
      <c r="L347" s="161"/>
      <c r="M347" s="161"/>
      <c r="N347" s="149"/>
      <c r="O347" s="161"/>
      <c r="P347" s="161"/>
      <c r="S347" s="149"/>
      <c r="T347" s="161"/>
      <c r="V347" s="166"/>
      <c r="W347" s="166"/>
      <c r="X347" s="166"/>
      <c r="Y347" s="166"/>
    </row>
    <row r="348" ht="22.5" customHeight="1">
      <c r="A348" s="161"/>
      <c r="B348" s="162"/>
      <c r="C348" s="161"/>
      <c r="D348" s="168"/>
      <c r="E348" s="168"/>
      <c r="F348" s="162"/>
      <c r="G348" s="149"/>
      <c r="H348" s="161"/>
      <c r="I348" s="161"/>
      <c r="J348" s="161"/>
      <c r="K348" s="161"/>
      <c r="L348" s="161"/>
      <c r="M348" s="161"/>
      <c r="N348" s="149"/>
      <c r="O348" s="161"/>
      <c r="P348" s="161"/>
      <c r="S348" s="149"/>
      <c r="T348" s="161"/>
      <c r="V348" s="166"/>
      <c r="W348" s="166"/>
      <c r="X348" s="166"/>
      <c r="Y348" s="166"/>
    </row>
    <row r="349" ht="22.5" customHeight="1">
      <c r="A349" s="161"/>
      <c r="B349" s="162"/>
      <c r="C349" s="161"/>
      <c r="D349" s="168"/>
      <c r="E349" s="168"/>
      <c r="F349" s="162"/>
      <c r="G349" s="149"/>
      <c r="H349" s="161"/>
      <c r="I349" s="161"/>
      <c r="J349" s="161"/>
      <c r="K349" s="161"/>
      <c r="L349" s="161"/>
      <c r="M349" s="161"/>
      <c r="N349" s="149"/>
      <c r="O349" s="161"/>
      <c r="P349" s="161"/>
      <c r="S349" s="149"/>
      <c r="T349" s="161"/>
      <c r="V349" s="166"/>
      <c r="W349" s="166"/>
      <c r="X349" s="166"/>
      <c r="Y349" s="166"/>
    </row>
    <row r="350" ht="22.5" customHeight="1">
      <c r="A350" s="161"/>
      <c r="B350" s="162"/>
      <c r="C350" s="161"/>
      <c r="D350" s="168"/>
      <c r="E350" s="168"/>
      <c r="F350" s="162"/>
      <c r="G350" s="149"/>
      <c r="H350" s="161"/>
      <c r="I350" s="161"/>
      <c r="J350" s="161"/>
      <c r="K350" s="161"/>
      <c r="L350" s="161"/>
      <c r="M350" s="161"/>
      <c r="N350" s="149"/>
      <c r="O350" s="161"/>
      <c r="P350" s="161"/>
      <c r="S350" s="149"/>
      <c r="T350" s="161"/>
      <c r="V350" s="166"/>
      <c r="W350" s="166"/>
      <c r="X350" s="166"/>
      <c r="Y350" s="166"/>
    </row>
    <row r="351" ht="22.5" customHeight="1">
      <c r="A351" s="161"/>
      <c r="B351" s="162"/>
      <c r="C351" s="161"/>
      <c r="D351" s="168"/>
      <c r="E351" s="168"/>
      <c r="F351" s="162"/>
      <c r="G351" s="149"/>
      <c r="H351" s="161"/>
      <c r="I351" s="161"/>
      <c r="J351" s="161"/>
      <c r="K351" s="161"/>
      <c r="L351" s="161"/>
      <c r="M351" s="161"/>
      <c r="N351" s="149"/>
      <c r="O351" s="161"/>
      <c r="P351" s="161"/>
      <c r="S351" s="149"/>
      <c r="T351" s="161"/>
      <c r="V351" s="166"/>
      <c r="W351" s="166"/>
      <c r="X351" s="166"/>
      <c r="Y351" s="166"/>
    </row>
    <row r="352" ht="22.5" customHeight="1">
      <c r="A352" s="161"/>
      <c r="B352" s="162"/>
      <c r="C352" s="161"/>
      <c r="D352" s="168"/>
      <c r="E352" s="168"/>
      <c r="F352" s="162"/>
      <c r="G352" s="149"/>
      <c r="H352" s="161"/>
      <c r="I352" s="161"/>
      <c r="J352" s="161"/>
      <c r="K352" s="161"/>
      <c r="L352" s="161"/>
      <c r="M352" s="161"/>
      <c r="N352" s="149"/>
      <c r="O352" s="161"/>
      <c r="P352" s="161"/>
      <c r="S352" s="149"/>
      <c r="T352" s="161"/>
      <c r="V352" s="166"/>
      <c r="W352" s="166"/>
      <c r="X352" s="166"/>
      <c r="Y352" s="166"/>
    </row>
    <row r="353" ht="22.5" customHeight="1">
      <c r="A353" s="161"/>
      <c r="B353" s="162"/>
      <c r="C353" s="161"/>
      <c r="D353" s="168"/>
      <c r="E353" s="168"/>
      <c r="F353" s="162"/>
      <c r="G353" s="149"/>
      <c r="H353" s="161"/>
      <c r="I353" s="161"/>
      <c r="J353" s="161"/>
      <c r="K353" s="161"/>
      <c r="L353" s="161"/>
      <c r="M353" s="161"/>
      <c r="N353" s="149"/>
      <c r="O353" s="161"/>
      <c r="P353" s="161"/>
      <c r="S353" s="149"/>
      <c r="T353" s="161"/>
      <c r="V353" s="166"/>
      <c r="W353" s="166"/>
      <c r="X353" s="166"/>
      <c r="Y353" s="166"/>
    </row>
    <row r="354" ht="22.5" customHeight="1">
      <c r="A354" s="161"/>
      <c r="B354" s="162"/>
      <c r="C354" s="161"/>
      <c r="D354" s="168"/>
      <c r="E354" s="168"/>
      <c r="F354" s="162"/>
      <c r="G354" s="149"/>
      <c r="H354" s="161"/>
      <c r="I354" s="161"/>
      <c r="J354" s="161"/>
      <c r="K354" s="161"/>
      <c r="L354" s="161"/>
      <c r="M354" s="161"/>
      <c r="N354" s="149"/>
      <c r="O354" s="161"/>
      <c r="P354" s="161"/>
      <c r="S354" s="149"/>
      <c r="T354" s="161"/>
      <c r="V354" s="166"/>
      <c r="W354" s="166"/>
      <c r="X354" s="166"/>
      <c r="Y354" s="166"/>
    </row>
    <row r="355" ht="22.5" customHeight="1">
      <c r="A355" s="161"/>
      <c r="B355" s="162"/>
      <c r="C355" s="161"/>
      <c r="D355" s="168"/>
      <c r="E355" s="168"/>
      <c r="F355" s="162"/>
      <c r="G355" s="149"/>
      <c r="H355" s="161"/>
      <c r="I355" s="161"/>
      <c r="J355" s="161"/>
      <c r="K355" s="161"/>
      <c r="L355" s="161"/>
      <c r="M355" s="161"/>
      <c r="N355" s="149"/>
      <c r="O355" s="161"/>
      <c r="P355" s="161"/>
      <c r="S355" s="149"/>
      <c r="T355" s="161"/>
      <c r="V355" s="166"/>
      <c r="W355" s="166"/>
      <c r="X355" s="166"/>
      <c r="Y355" s="166"/>
    </row>
    <row r="356" ht="22.5" customHeight="1">
      <c r="A356" s="161"/>
      <c r="B356" s="162"/>
      <c r="C356" s="161"/>
      <c r="D356" s="168"/>
      <c r="E356" s="168"/>
      <c r="F356" s="162"/>
      <c r="G356" s="149"/>
      <c r="H356" s="161"/>
      <c r="I356" s="161"/>
      <c r="J356" s="161"/>
      <c r="K356" s="161"/>
      <c r="L356" s="161"/>
      <c r="M356" s="161"/>
      <c r="N356" s="149"/>
      <c r="O356" s="161"/>
      <c r="P356" s="161"/>
      <c r="S356" s="149"/>
      <c r="T356" s="161"/>
      <c r="V356" s="166"/>
      <c r="W356" s="166"/>
      <c r="X356" s="166"/>
      <c r="Y356" s="166"/>
    </row>
    <row r="357" ht="22.5" customHeight="1">
      <c r="A357" s="161"/>
      <c r="B357" s="162"/>
      <c r="C357" s="161"/>
      <c r="D357" s="168"/>
      <c r="E357" s="168"/>
      <c r="F357" s="162"/>
      <c r="G357" s="149"/>
      <c r="H357" s="161"/>
      <c r="I357" s="161"/>
      <c r="J357" s="161"/>
      <c r="K357" s="161"/>
      <c r="L357" s="161"/>
      <c r="M357" s="161"/>
      <c r="N357" s="149"/>
      <c r="O357" s="161"/>
      <c r="P357" s="161"/>
      <c r="S357" s="149"/>
      <c r="T357" s="161"/>
      <c r="V357" s="166"/>
      <c r="W357" s="166"/>
      <c r="X357" s="166"/>
      <c r="Y357" s="166"/>
    </row>
    <row r="358" ht="22.5" customHeight="1">
      <c r="A358" s="161"/>
      <c r="B358" s="162"/>
      <c r="C358" s="161"/>
      <c r="D358" s="168"/>
      <c r="E358" s="168"/>
      <c r="F358" s="162"/>
      <c r="G358" s="149"/>
      <c r="H358" s="161"/>
      <c r="I358" s="161"/>
      <c r="J358" s="161"/>
      <c r="K358" s="161"/>
      <c r="L358" s="161"/>
      <c r="M358" s="161"/>
      <c r="N358" s="149"/>
      <c r="O358" s="161"/>
      <c r="P358" s="161"/>
      <c r="S358" s="149"/>
      <c r="T358" s="161"/>
      <c r="V358" s="166"/>
      <c r="W358" s="166"/>
      <c r="X358" s="166"/>
      <c r="Y358" s="166"/>
    </row>
    <row r="359" ht="22.5" customHeight="1">
      <c r="A359" s="161"/>
      <c r="B359" s="162"/>
      <c r="C359" s="161"/>
      <c r="D359" s="168"/>
      <c r="E359" s="168"/>
      <c r="F359" s="162"/>
      <c r="G359" s="149"/>
      <c r="H359" s="161"/>
      <c r="I359" s="161"/>
      <c r="J359" s="161"/>
      <c r="K359" s="161"/>
      <c r="L359" s="161"/>
      <c r="M359" s="161"/>
      <c r="N359" s="149"/>
      <c r="O359" s="161"/>
      <c r="P359" s="161"/>
      <c r="S359" s="149"/>
      <c r="T359" s="161"/>
      <c r="V359" s="166"/>
      <c r="W359" s="166"/>
      <c r="X359" s="166"/>
      <c r="Y359" s="166"/>
    </row>
    <row r="360" ht="22.5" customHeight="1">
      <c r="A360" s="161"/>
      <c r="B360" s="162"/>
      <c r="C360" s="161"/>
      <c r="D360" s="168"/>
      <c r="E360" s="168"/>
      <c r="F360" s="162"/>
      <c r="G360" s="149"/>
      <c r="H360" s="161"/>
      <c r="I360" s="161"/>
      <c r="J360" s="161"/>
      <c r="K360" s="161"/>
      <c r="L360" s="161"/>
      <c r="M360" s="161"/>
      <c r="N360" s="149"/>
      <c r="O360" s="161"/>
      <c r="P360" s="161"/>
      <c r="S360" s="149"/>
      <c r="T360" s="161"/>
      <c r="V360" s="166"/>
      <c r="W360" s="166"/>
      <c r="X360" s="166"/>
      <c r="Y360" s="166"/>
    </row>
    <row r="361" ht="22.5" customHeight="1">
      <c r="A361" s="161"/>
      <c r="B361" s="162"/>
      <c r="C361" s="161"/>
      <c r="D361" s="168"/>
      <c r="E361" s="168"/>
      <c r="F361" s="162"/>
      <c r="G361" s="149"/>
      <c r="H361" s="161"/>
      <c r="I361" s="161"/>
      <c r="J361" s="161"/>
      <c r="K361" s="161"/>
      <c r="L361" s="161"/>
      <c r="M361" s="161"/>
      <c r="N361" s="149"/>
      <c r="O361" s="161"/>
      <c r="P361" s="161"/>
      <c r="S361" s="149"/>
      <c r="T361" s="161"/>
      <c r="V361" s="166"/>
      <c r="W361" s="166"/>
      <c r="X361" s="166"/>
      <c r="Y361" s="166"/>
    </row>
    <row r="362" ht="22.5" customHeight="1">
      <c r="A362" s="161"/>
      <c r="B362" s="162"/>
      <c r="C362" s="161"/>
      <c r="D362" s="168"/>
      <c r="E362" s="168"/>
      <c r="F362" s="162"/>
      <c r="G362" s="149"/>
      <c r="H362" s="161"/>
      <c r="I362" s="161"/>
      <c r="J362" s="161"/>
      <c r="K362" s="161"/>
      <c r="L362" s="161"/>
      <c r="M362" s="161"/>
      <c r="N362" s="149"/>
      <c r="O362" s="161"/>
      <c r="P362" s="161"/>
      <c r="S362" s="149"/>
      <c r="T362" s="161"/>
      <c r="V362" s="166"/>
      <c r="W362" s="166"/>
      <c r="X362" s="166"/>
      <c r="Y362" s="166"/>
    </row>
    <row r="363" ht="22.5" customHeight="1">
      <c r="A363" s="161"/>
      <c r="B363" s="162"/>
      <c r="C363" s="161"/>
      <c r="D363" s="168"/>
      <c r="E363" s="168"/>
      <c r="F363" s="162"/>
      <c r="G363" s="149"/>
      <c r="H363" s="161"/>
      <c r="I363" s="161"/>
      <c r="J363" s="161"/>
      <c r="K363" s="161"/>
      <c r="L363" s="161"/>
      <c r="M363" s="161"/>
      <c r="N363" s="149"/>
      <c r="O363" s="161"/>
      <c r="P363" s="161"/>
      <c r="S363" s="149"/>
      <c r="T363" s="161"/>
      <c r="V363" s="166"/>
      <c r="W363" s="166"/>
      <c r="X363" s="166"/>
      <c r="Y363" s="166"/>
    </row>
    <row r="364" ht="22.5" customHeight="1">
      <c r="A364" s="161"/>
      <c r="B364" s="162"/>
      <c r="C364" s="161"/>
      <c r="D364" s="168"/>
      <c r="E364" s="168"/>
      <c r="F364" s="162"/>
      <c r="G364" s="149"/>
      <c r="H364" s="161"/>
      <c r="I364" s="161"/>
      <c r="J364" s="161"/>
      <c r="K364" s="161"/>
      <c r="L364" s="161"/>
      <c r="M364" s="161"/>
      <c r="N364" s="149"/>
      <c r="O364" s="161"/>
      <c r="P364" s="161"/>
      <c r="S364" s="149"/>
      <c r="T364" s="161"/>
      <c r="V364" s="166"/>
      <c r="W364" s="166"/>
      <c r="X364" s="166"/>
      <c r="Y364" s="166"/>
    </row>
    <row r="365" ht="22.5" customHeight="1">
      <c r="A365" s="161"/>
      <c r="B365" s="162"/>
      <c r="C365" s="161"/>
      <c r="D365" s="168"/>
      <c r="E365" s="168"/>
      <c r="F365" s="162"/>
      <c r="G365" s="149"/>
      <c r="H365" s="161"/>
      <c r="I365" s="161"/>
      <c r="J365" s="161"/>
      <c r="K365" s="161"/>
      <c r="L365" s="161"/>
      <c r="M365" s="161"/>
      <c r="N365" s="149"/>
      <c r="O365" s="161"/>
      <c r="P365" s="161"/>
      <c r="S365" s="149"/>
      <c r="T365" s="161"/>
      <c r="V365" s="166"/>
      <c r="W365" s="166"/>
      <c r="X365" s="166"/>
      <c r="Y365" s="166"/>
    </row>
    <row r="366" ht="22.5" customHeight="1">
      <c r="A366" s="161"/>
      <c r="B366" s="162"/>
      <c r="C366" s="161"/>
      <c r="D366" s="168"/>
      <c r="E366" s="168"/>
      <c r="F366" s="162"/>
      <c r="G366" s="149"/>
      <c r="H366" s="161"/>
      <c r="I366" s="161"/>
      <c r="J366" s="161"/>
      <c r="K366" s="161"/>
      <c r="L366" s="161"/>
      <c r="M366" s="161"/>
      <c r="N366" s="149"/>
      <c r="O366" s="161"/>
      <c r="P366" s="161"/>
      <c r="S366" s="149"/>
      <c r="T366" s="161"/>
      <c r="V366" s="166"/>
      <c r="W366" s="166"/>
      <c r="X366" s="166"/>
      <c r="Y366" s="166"/>
    </row>
    <row r="367" ht="22.5" customHeight="1">
      <c r="A367" s="161"/>
      <c r="B367" s="162"/>
      <c r="C367" s="161"/>
      <c r="D367" s="168"/>
      <c r="E367" s="168"/>
      <c r="F367" s="162"/>
      <c r="G367" s="149"/>
      <c r="H367" s="161"/>
      <c r="I367" s="161"/>
      <c r="J367" s="161"/>
      <c r="K367" s="161"/>
      <c r="L367" s="161"/>
      <c r="M367" s="161"/>
      <c r="N367" s="149"/>
      <c r="O367" s="161"/>
      <c r="P367" s="161"/>
      <c r="S367" s="149"/>
      <c r="T367" s="161"/>
      <c r="V367" s="166"/>
      <c r="W367" s="166"/>
      <c r="X367" s="166"/>
      <c r="Y367" s="166"/>
    </row>
    <row r="368" ht="22.5" customHeight="1">
      <c r="A368" s="161"/>
      <c r="B368" s="162"/>
      <c r="C368" s="161"/>
      <c r="D368" s="168"/>
      <c r="E368" s="168"/>
      <c r="F368" s="162"/>
      <c r="G368" s="149"/>
      <c r="H368" s="161"/>
      <c r="I368" s="161"/>
      <c r="J368" s="161"/>
      <c r="K368" s="161"/>
      <c r="L368" s="161"/>
      <c r="M368" s="161"/>
      <c r="N368" s="149"/>
      <c r="O368" s="161"/>
      <c r="P368" s="161"/>
      <c r="S368" s="149"/>
      <c r="T368" s="161"/>
      <c r="V368" s="166"/>
      <c r="W368" s="166"/>
      <c r="X368" s="166"/>
      <c r="Y368" s="166"/>
    </row>
    <row r="369" ht="22.5" customHeight="1">
      <c r="A369" s="161"/>
      <c r="B369" s="162"/>
      <c r="C369" s="161"/>
      <c r="D369" s="168"/>
      <c r="E369" s="168"/>
      <c r="F369" s="162"/>
      <c r="G369" s="149"/>
      <c r="H369" s="161"/>
      <c r="I369" s="161"/>
      <c r="J369" s="161"/>
      <c r="K369" s="161"/>
      <c r="L369" s="161"/>
      <c r="M369" s="161"/>
      <c r="N369" s="149"/>
      <c r="O369" s="161"/>
      <c r="P369" s="161"/>
      <c r="S369" s="149"/>
      <c r="T369" s="161"/>
      <c r="V369" s="166"/>
      <c r="W369" s="166"/>
      <c r="X369" s="166"/>
      <c r="Y369" s="166"/>
    </row>
    <row r="370" ht="22.5" customHeight="1">
      <c r="A370" s="161"/>
      <c r="B370" s="162"/>
      <c r="C370" s="161"/>
      <c r="D370" s="168"/>
      <c r="E370" s="168"/>
      <c r="F370" s="162"/>
      <c r="G370" s="149"/>
      <c r="H370" s="161"/>
      <c r="I370" s="161"/>
      <c r="J370" s="161"/>
      <c r="K370" s="161"/>
      <c r="L370" s="161"/>
      <c r="M370" s="161"/>
      <c r="N370" s="149"/>
      <c r="O370" s="161"/>
      <c r="P370" s="161"/>
      <c r="S370" s="149"/>
      <c r="T370" s="161"/>
      <c r="V370" s="166"/>
      <c r="W370" s="166"/>
      <c r="X370" s="166"/>
      <c r="Y370" s="166"/>
    </row>
    <row r="371" ht="22.5" customHeight="1">
      <c r="A371" s="161"/>
      <c r="B371" s="162"/>
      <c r="C371" s="161"/>
      <c r="D371" s="168"/>
      <c r="E371" s="168"/>
      <c r="F371" s="162"/>
      <c r="G371" s="149"/>
      <c r="H371" s="161"/>
      <c r="I371" s="161"/>
      <c r="J371" s="161"/>
      <c r="K371" s="161"/>
      <c r="L371" s="161"/>
      <c r="M371" s="161"/>
      <c r="N371" s="149"/>
      <c r="O371" s="161"/>
      <c r="P371" s="161"/>
      <c r="S371" s="149"/>
      <c r="T371" s="161"/>
      <c r="V371" s="166"/>
      <c r="W371" s="166"/>
      <c r="X371" s="166"/>
      <c r="Y371" s="166"/>
    </row>
    <row r="372" ht="22.5" customHeight="1">
      <c r="A372" s="161"/>
      <c r="B372" s="162"/>
      <c r="C372" s="161"/>
      <c r="D372" s="168"/>
      <c r="E372" s="168"/>
      <c r="F372" s="162"/>
      <c r="G372" s="149"/>
      <c r="H372" s="161"/>
      <c r="I372" s="161"/>
      <c r="J372" s="161"/>
      <c r="K372" s="161"/>
      <c r="L372" s="161"/>
      <c r="M372" s="161"/>
      <c r="N372" s="149"/>
      <c r="O372" s="161"/>
      <c r="P372" s="161"/>
      <c r="S372" s="149"/>
      <c r="T372" s="161"/>
      <c r="V372" s="166"/>
      <c r="W372" s="166"/>
      <c r="X372" s="166"/>
      <c r="Y372" s="166"/>
    </row>
    <row r="373" ht="22.5" customHeight="1">
      <c r="A373" s="161"/>
      <c r="B373" s="162"/>
      <c r="C373" s="161"/>
      <c r="D373" s="168"/>
      <c r="E373" s="168"/>
      <c r="F373" s="162"/>
      <c r="G373" s="149"/>
      <c r="H373" s="161"/>
      <c r="I373" s="161"/>
      <c r="J373" s="161"/>
      <c r="K373" s="161"/>
      <c r="L373" s="161"/>
      <c r="M373" s="161"/>
      <c r="N373" s="149"/>
      <c r="O373" s="161"/>
      <c r="P373" s="161"/>
      <c r="S373" s="149"/>
      <c r="T373" s="161"/>
      <c r="V373" s="166"/>
      <c r="W373" s="166"/>
      <c r="X373" s="166"/>
      <c r="Y373" s="166"/>
    </row>
    <row r="374" ht="22.5" customHeight="1">
      <c r="A374" s="161"/>
      <c r="B374" s="162"/>
      <c r="C374" s="161"/>
      <c r="D374" s="168"/>
      <c r="E374" s="168"/>
      <c r="F374" s="162"/>
      <c r="G374" s="149"/>
      <c r="H374" s="161"/>
      <c r="I374" s="161"/>
      <c r="J374" s="161"/>
      <c r="K374" s="161"/>
      <c r="L374" s="161"/>
      <c r="M374" s="161"/>
      <c r="N374" s="149"/>
      <c r="O374" s="161"/>
      <c r="P374" s="161"/>
      <c r="S374" s="149"/>
      <c r="T374" s="161"/>
      <c r="V374" s="166"/>
      <c r="W374" s="166"/>
      <c r="X374" s="166"/>
      <c r="Y374" s="166"/>
    </row>
    <row r="375" ht="22.5" customHeight="1">
      <c r="A375" s="161"/>
      <c r="B375" s="162"/>
      <c r="C375" s="161"/>
      <c r="D375" s="168"/>
      <c r="E375" s="168"/>
      <c r="F375" s="162"/>
      <c r="G375" s="149"/>
      <c r="H375" s="161"/>
      <c r="I375" s="161"/>
      <c r="J375" s="161"/>
      <c r="K375" s="161"/>
      <c r="L375" s="161"/>
      <c r="M375" s="161"/>
      <c r="N375" s="149"/>
      <c r="O375" s="161"/>
      <c r="P375" s="161"/>
      <c r="S375" s="149"/>
      <c r="T375" s="161"/>
      <c r="V375" s="166"/>
      <c r="W375" s="166"/>
      <c r="X375" s="166"/>
      <c r="Y375" s="166"/>
    </row>
    <row r="376" ht="22.5" customHeight="1">
      <c r="A376" s="161"/>
      <c r="B376" s="162"/>
      <c r="C376" s="161"/>
      <c r="D376" s="168"/>
      <c r="E376" s="168"/>
      <c r="F376" s="162"/>
      <c r="G376" s="149"/>
      <c r="H376" s="161"/>
      <c r="I376" s="161"/>
      <c r="J376" s="161"/>
      <c r="K376" s="161"/>
      <c r="L376" s="161"/>
      <c r="M376" s="161"/>
      <c r="N376" s="149"/>
      <c r="O376" s="161"/>
      <c r="P376" s="161"/>
      <c r="S376" s="149"/>
      <c r="T376" s="161"/>
      <c r="V376" s="166"/>
      <c r="W376" s="166"/>
      <c r="X376" s="166"/>
      <c r="Y376" s="166"/>
    </row>
    <row r="377" ht="22.5" customHeight="1">
      <c r="A377" s="161"/>
      <c r="B377" s="162"/>
      <c r="C377" s="161"/>
      <c r="D377" s="168"/>
      <c r="E377" s="168"/>
      <c r="F377" s="162"/>
      <c r="G377" s="149"/>
      <c r="H377" s="161"/>
      <c r="I377" s="161"/>
      <c r="J377" s="161"/>
      <c r="K377" s="161"/>
      <c r="L377" s="161"/>
      <c r="M377" s="161"/>
      <c r="N377" s="149"/>
      <c r="O377" s="161"/>
      <c r="P377" s="161"/>
      <c r="S377" s="149"/>
      <c r="T377" s="161"/>
      <c r="V377" s="166"/>
      <c r="W377" s="166"/>
      <c r="X377" s="166"/>
      <c r="Y377" s="166"/>
    </row>
    <row r="378" ht="22.5" customHeight="1">
      <c r="A378" s="161"/>
      <c r="B378" s="162"/>
      <c r="C378" s="161"/>
      <c r="D378" s="168"/>
      <c r="E378" s="168"/>
      <c r="F378" s="162"/>
      <c r="G378" s="149"/>
      <c r="H378" s="161"/>
      <c r="I378" s="161"/>
      <c r="J378" s="161"/>
      <c r="K378" s="161"/>
      <c r="L378" s="161"/>
      <c r="M378" s="161"/>
      <c r="N378" s="149"/>
      <c r="O378" s="161"/>
      <c r="P378" s="161"/>
      <c r="S378" s="149"/>
      <c r="T378" s="161"/>
      <c r="V378" s="166"/>
      <c r="W378" s="166"/>
      <c r="X378" s="166"/>
      <c r="Y378" s="166"/>
    </row>
    <row r="379" ht="22.5" customHeight="1">
      <c r="A379" s="161"/>
      <c r="B379" s="162"/>
      <c r="C379" s="161"/>
      <c r="D379" s="168"/>
      <c r="E379" s="168"/>
      <c r="F379" s="162"/>
      <c r="G379" s="149"/>
      <c r="H379" s="161"/>
      <c r="I379" s="161"/>
      <c r="J379" s="161"/>
      <c r="K379" s="161"/>
      <c r="L379" s="161"/>
      <c r="M379" s="161"/>
      <c r="N379" s="149"/>
      <c r="O379" s="161"/>
      <c r="P379" s="161"/>
      <c r="S379" s="149"/>
      <c r="T379" s="161"/>
      <c r="V379" s="166"/>
      <c r="W379" s="166"/>
      <c r="X379" s="166"/>
      <c r="Y379" s="166"/>
    </row>
    <row r="380" ht="22.5" customHeight="1">
      <c r="A380" s="161"/>
      <c r="B380" s="162"/>
      <c r="C380" s="161"/>
      <c r="D380" s="168"/>
      <c r="E380" s="168"/>
      <c r="F380" s="162"/>
      <c r="G380" s="149"/>
      <c r="H380" s="161"/>
      <c r="I380" s="161"/>
      <c r="J380" s="161"/>
      <c r="K380" s="161"/>
      <c r="L380" s="161"/>
      <c r="M380" s="161"/>
      <c r="N380" s="149"/>
      <c r="O380" s="161"/>
      <c r="P380" s="161"/>
      <c r="S380" s="149"/>
      <c r="T380" s="161"/>
      <c r="V380" s="166"/>
      <c r="W380" s="166"/>
      <c r="X380" s="166"/>
      <c r="Y380" s="166"/>
    </row>
    <row r="381" ht="22.5" customHeight="1">
      <c r="A381" s="161"/>
      <c r="B381" s="162"/>
      <c r="C381" s="161"/>
      <c r="D381" s="168"/>
      <c r="E381" s="168"/>
      <c r="F381" s="162"/>
      <c r="G381" s="149"/>
      <c r="H381" s="161"/>
      <c r="I381" s="161"/>
      <c r="J381" s="161"/>
      <c r="K381" s="161"/>
      <c r="L381" s="161"/>
      <c r="M381" s="161"/>
      <c r="N381" s="149"/>
      <c r="O381" s="161"/>
      <c r="P381" s="161"/>
      <c r="S381" s="149"/>
      <c r="T381" s="161"/>
      <c r="V381" s="166"/>
      <c r="W381" s="166"/>
      <c r="X381" s="166"/>
      <c r="Y381" s="166"/>
    </row>
    <row r="382" ht="22.5" customHeight="1">
      <c r="A382" s="161"/>
      <c r="B382" s="162"/>
      <c r="C382" s="161"/>
      <c r="D382" s="168"/>
      <c r="E382" s="168"/>
      <c r="F382" s="162"/>
      <c r="G382" s="149"/>
      <c r="H382" s="161"/>
      <c r="I382" s="161"/>
      <c r="J382" s="161"/>
      <c r="K382" s="161"/>
      <c r="L382" s="161"/>
      <c r="M382" s="161"/>
      <c r="N382" s="149"/>
      <c r="O382" s="161"/>
      <c r="P382" s="161"/>
      <c r="S382" s="149"/>
      <c r="T382" s="161"/>
      <c r="V382" s="166"/>
      <c r="W382" s="166"/>
      <c r="X382" s="166"/>
      <c r="Y382" s="166"/>
    </row>
    <row r="383" ht="22.5" customHeight="1">
      <c r="A383" s="161"/>
      <c r="B383" s="162"/>
      <c r="C383" s="161"/>
      <c r="D383" s="168"/>
      <c r="E383" s="168"/>
      <c r="F383" s="162"/>
      <c r="G383" s="149"/>
      <c r="H383" s="161"/>
      <c r="I383" s="161"/>
      <c r="J383" s="161"/>
      <c r="K383" s="161"/>
      <c r="L383" s="161"/>
      <c r="M383" s="161"/>
      <c r="N383" s="149"/>
      <c r="O383" s="161"/>
      <c r="P383" s="161"/>
      <c r="S383" s="149"/>
      <c r="T383" s="161"/>
      <c r="V383" s="166"/>
      <c r="W383" s="166"/>
      <c r="X383" s="166"/>
      <c r="Y383" s="166"/>
    </row>
    <row r="384" ht="22.5" customHeight="1">
      <c r="A384" s="161"/>
      <c r="B384" s="162"/>
      <c r="C384" s="161"/>
      <c r="D384" s="168"/>
      <c r="E384" s="168"/>
      <c r="F384" s="162"/>
      <c r="G384" s="149"/>
      <c r="H384" s="161"/>
      <c r="I384" s="161"/>
      <c r="J384" s="161"/>
      <c r="K384" s="161"/>
      <c r="L384" s="161"/>
      <c r="M384" s="161"/>
      <c r="N384" s="149"/>
      <c r="O384" s="161"/>
      <c r="P384" s="161"/>
      <c r="S384" s="149"/>
      <c r="T384" s="161"/>
      <c r="V384" s="166"/>
      <c r="W384" s="166"/>
      <c r="X384" s="166"/>
      <c r="Y384" s="166"/>
    </row>
    <row r="385" ht="22.5" customHeight="1">
      <c r="A385" s="161"/>
      <c r="B385" s="162"/>
      <c r="C385" s="161"/>
      <c r="D385" s="168"/>
      <c r="E385" s="168"/>
      <c r="F385" s="162"/>
      <c r="G385" s="149"/>
      <c r="H385" s="161"/>
      <c r="I385" s="161"/>
      <c r="J385" s="161"/>
      <c r="K385" s="161"/>
      <c r="L385" s="161"/>
      <c r="M385" s="161"/>
      <c r="N385" s="149"/>
      <c r="O385" s="161"/>
      <c r="P385" s="161"/>
      <c r="S385" s="149"/>
      <c r="T385" s="161"/>
      <c r="V385" s="166"/>
      <c r="W385" s="166"/>
      <c r="X385" s="166"/>
      <c r="Y385" s="166"/>
    </row>
    <row r="386" ht="22.5" customHeight="1">
      <c r="A386" s="161"/>
      <c r="B386" s="162"/>
      <c r="C386" s="161"/>
      <c r="D386" s="168"/>
      <c r="E386" s="168"/>
      <c r="F386" s="162"/>
      <c r="G386" s="149"/>
      <c r="H386" s="161"/>
      <c r="I386" s="161"/>
      <c r="J386" s="161"/>
      <c r="K386" s="161"/>
      <c r="L386" s="161"/>
      <c r="M386" s="161"/>
      <c r="N386" s="149"/>
      <c r="O386" s="161"/>
      <c r="P386" s="161"/>
      <c r="S386" s="149"/>
      <c r="T386" s="161"/>
      <c r="V386" s="166"/>
      <c r="W386" s="166"/>
      <c r="X386" s="166"/>
      <c r="Y386" s="166"/>
    </row>
    <row r="387" ht="22.5" customHeight="1">
      <c r="A387" s="161"/>
      <c r="B387" s="162"/>
      <c r="C387" s="161"/>
      <c r="D387" s="168"/>
      <c r="E387" s="168"/>
      <c r="F387" s="162"/>
      <c r="G387" s="149"/>
      <c r="H387" s="161"/>
      <c r="I387" s="161"/>
      <c r="J387" s="161"/>
      <c r="K387" s="161"/>
      <c r="L387" s="161"/>
      <c r="M387" s="161"/>
      <c r="N387" s="149"/>
      <c r="O387" s="161"/>
      <c r="P387" s="161"/>
      <c r="S387" s="149"/>
      <c r="T387" s="161"/>
      <c r="V387" s="166"/>
      <c r="W387" s="166"/>
      <c r="X387" s="166"/>
      <c r="Y387" s="166"/>
    </row>
    <row r="388" ht="22.5" customHeight="1">
      <c r="A388" s="161"/>
      <c r="B388" s="162"/>
      <c r="C388" s="161"/>
      <c r="D388" s="168"/>
      <c r="E388" s="168"/>
      <c r="F388" s="162"/>
      <c r="G388" s="149"/>
      <c r="H388" s="161"/>
      <c r="I388" s="161"/>
      <c r="J388" s="161"/>
      <c r="K388" s="161"/>
      <c r="L388" s="161"/>
      <c r="M388" s="161"/>
      <c r="N388" s="149"/>
      <c r="O388" s="161"/>
      <c r="P388" s="161"/>
      <c r="S388" s="149"/>
      <c r="T388" s="161"/>
      <c r="V388" s="166"/>
      <c r="W388" s="166"/>
      <c r="X388" s="166"/>
      <c r="Y388" s="166"/>
    </row>
    <row r="389" ht="22.5" customHeight="1">
      <c r="A389" s="161"/>
      <c r="B389" s="162"/>
      <c r="C389" s="161"/>
      <c r="D389" s="168"/>
      <c r="E389" s="168"/>
      <c r="F389" s="162"/>
      <c r="G389" s="149"/>
      <c r="H389" s="161"/>
      <c r="I389" s="161"/>
      <c r="J389" s="161"/>
      <c r="K389" s="161"/>
      <c r="L389" s="161"/>
      <c r="M389" s="161"/>
      <c r="N389" s="149"/>
      <c r="O389" s="161"/>
      <c r="P389" s="161"/>
      <c r="S389" s="149"/>
      <c r="T389" s="161"/>
      <c r="V389" s="166"/>
      <c r="W389" s="166"/>
      <c r="X389" s="166"/>
      <c r="Y389" s="166"/>
    </row>
    <row r="390" ht="22.5" customHeight="1">
      <c r="A390" s="161"/>
      <c r="B390" s="162"/>
      <c r="C390" s="161"/>
      <c r="D390" s="168"/>
      <c r="E390" s="168"/>
      <c r="F390" s="162"/>
      <c r="G390" s="149"/>
      <c r="H390" s="161"/>
      <c r="I390" s="161"/>
      <c r="J390" s="161"/>
      <c r="K390" s="161"/>
      <c r="L390" s="161"/>
      <c r="M390" s="161"/>
      <c r="N390" s="149"/>
      <c r="O390" s="161"/>
      <c r="P390" s="161"/>
      <c r="S390" s="149"/>
      <c r="T390" s="161"/>
      <c r="V390" s="166"/>
      <c r="W390" s="166"/>
      <c r="X390" s="166"/>
      <c r="Y390" s="166"/>
    </row>
    <row r="391" ht="22.5" customHeight="1">
      <c r="A391" s="161"/>
      <c r="B391" s="162"/>
      <c r="C391" s="161"/>
      <c r="D391" s="168"/>
      <c r="E391" s="168"/>
      <c r="F391" s="162"/>
      <c r="G391" s="149"/>
      <c r="H391" s="161"/>
      <c r="I391" s="161"/>
      <c r="J391" s="161"/>
      <c r="K391" s="161"/>
      <c r="L391" s="161"/>
      <c r="M391" s="161"/>
      <c r="N391" s="149"/>
      <c r="O391" s="161"/>
      <c r="P391" s="161"/>
      <c r="S391" s="149"/>
      <c r="T391" s="161"/>
      <c r="V391" s="166"/>
      <c r="W391" s="166"/>
      <c r="X391" s="166"/>
      <c r="Y391" s="166"/>
    </row>
    <row r="392" ht="22.5" customHeight="1">
      <c r="A392" s="161"/>
      <c r="B392" s="162"/>
      <c r="C392" s="161"/>
      <c r="D392" s="168"/>
      <c r="E392" s="168"/>
      <c r="F392" s="162"/>
      <c r="G392" s="149"/>
      <c r="H392" s="161"/>
      <c r="I392" s="161"/>
      <c r="J392" s="161"/>
      <c r="K392" s="161"/>
      <c r="L392" s="161"/>
      <c r="M392" s="161"/>
      <c r="N392" s="149"/>
      <c r="O392" s="161"/>
      <c r="P392" s="161"/>
      <c r="S392" s="149"/>
      <c r="T392" s="161"/>
      <c r="V392" s="166"/>
      <c r="W392" s="166"/>
      <c r="X392" s="166"/>
      <c r="Y392" s="166"/>
    </row>
    <row r="393" ht="22.5" customHeight="1">
      <c r="A393" s="161"/>
      <c r="B393" s="162"/>
      <c r="C393" s="161"/>
      <c r="D393" s="168"/>
      <c r="E393" s="168"/>
      <c r="F393" s="162"/>
      <c r="G393" s="149"/>
      <c r="H393" s="161"/>
      <c r="I393" s="161"/>
      <c r="J393" s="161"/>
      <c r="K393" s="161"/>
      <c r="L393" s="161"/>
      <c r="M393" s="161"/>
      <c r="N393" s="149"/>
      <c r="O393" s="161"/>
      <c r="P393" s="161"/>
      <c r="S393" s="149"/>
      <c r="T393" s="161"/>
      <c r="V393" s="166"/>
      <c r="W393" s="166"/>
      <c r="X393" s="166"/>
      <c r="Y393" s="166"/>
    </row>
    <row r="394" ht="22.5" customHeight="1">
      <c r="A394" s="161"/>
      <c r="B394" s="162"/>
      <c r="C394" s="161"/>
      <c r="D394" s="168"/>
      <c r="E394" s="168"/>
      <c r="F394" s="162"/>
      <c r="G394" s="149"/>
      <c r="H394" s="161"/>
      <c r="I394" s="161"/>
      <c r="J394" s="161"/>
      <c r="K394" s="161"/>
      <c r="L394" s="161"/>
      <c r="M394" s="161"/>
      <c r="N394" s="149"/>
      <c r="O394" s="161"/>
      <c r="P394" s="161"/>
      <c r="S394" s="149"/>
      <c r="T394" s="161"/>
      <c r="V394" s="166"/>
      <c r="W394" s="166"/>
      <c r="X394" s="166"/>
      <c r="Y394" s="166"/>
    </row>
    <row r="395" ht="22.5" customHeight="1">
      <c r="A395" s="161"/>
      <c r="B395" s="162"/>
      <c r="C395" s="161"/>
      <c r="D395" s="168"/>
      <c r="E395" s="168"/>
      <c r="F395" s="162"/>
      <c r="G395" s="149"/>
      <c r="H395" s="161"/>
      <c r="I395" s="161"/>
      <c r="J395" s="161"/>
      <c r="K395" s="161"/>
      <c r="L395" s="161"/>
      <c r="M395" s="161"/>
      <c r="N395" s="149"/>
      <c r="O395" s="161"/>
      <c r="P395" s="161"/>
      <c r="S395" s="149"/>
      <c r="T395" s="161"/>
      <c r="V395" s="166"/>
      <c r="W395" s="166"/>
      <c r="X395" s="166"/>
      <c r="Y395" s="166"/>
    </row>
    <row r="396" ht="22.5" customHeight="1">
      <c r="A396" s="161"/>
      <c r="B396" s="162"/>
      <c r="C396" s="161"/>
      <c r="D396" s="168"/>
      <c r="E396" s="168"/>
      <c r="F396" s="162"/>
      <c r="G396" s="149"/>
      <c r="H396" s="161"/>
      <c r="I396" s="161"/>
      <c r="J396" s="161"/>
      <c r="K396" s="161"/>
      <c r="L396" s="161"/>
      <c r="M396" s="161"/>
      <c r="N396" s="149"/>
      <c r="O396" s="161"/>
      <c r="P396" s="161"/>
      <c r="S396" s="149"/>
      <c r="T396" s="161"/>
      <c r="V396" s="166"/>
      <c r="W396" s="166"/>
      <c r="X396" s="166"/>
      <c r="Y396" s="166"/>
    </row>
    <row r="397" ht="22.5" customHeight="1">
      <c r="A397" s="161"/>
      <c r="B397" s="162"/>
      <c r="C397" s="161"/>
      <c r="D397" s="168"/>
      <c r="E397" s="168"/>
      <c r="F397" s="162"/>
      <c r="G397" s="149"/>
      <c r="H397" s="161"/>
      <c r="I397" s="161"/>
      <c r="J397" s="161"/>
      <c r="K397" s="161"/>
      <c r="L397" s="161"/>
      <c r="M397" s="161"/>
      <c r="N397" s="149"/>
      <c r="O397" s="161"/>
      <c r="P397" s="161"/>
      <c r="S397" s="149"/>
      <c r="T397" s="161"/>
      <c r="V397" s="166"/>
      <c r="W397" s="166"/>
      <c r="X397" s="166"/>
      <c r="Y397" s="166"/>
    </row>
    <row r="398" ht="22.5" customHeight="1">
      <c r="A398" s="161"/>
      <c r="B398" s="162"/>
      <c r="C398" s="161"/>
      <c r="D398" s="168"/>
      <c r="E398" s="168"/>
      <c r="F398" s="162"/>
      <c r="G398" s="149"/>
      <c r="H398" s="161"/>
      <c r="I398" s="161"/>
      <c r="J398" s="161"/>
      <c r="K398" s="161"/>
      <c r="L398" s="161"/>
      <c r="M398" s="161"/>
      <c r="N398" s="149"/>
      <c r="O398" s="161"/>
      <c r="P398" s="161"/>
      <c r="S398" s="149"/>
      <c r="T398" s="161"/>
      <c r="V398" s="166"/>
      <c r="W398" s="166"/>
      <c r="X398" s="166"/>
      <c r="Y398" s="166"/>
    </row>
    <row r="399" ht="22.5" customHeight="1">
      <c r="A399" s="161"/>
      <c r="B399" s="162"/>
      <c r="C399" s="161"/>
      <c r="D399" s="168"/>
      <c r="E399" s="168"/>
      <c r="F399" s="162"/>
      <c r="G399" s="149"/>
      <c r="H399" s="161"/>
      <c r="I399" s="161"/>
      <c r="J399" s="161"/>
      <c r="K399" s="161"/>
      <c r="L399" s="161"/>
      <c r="M399" s="161"/>
      <c r="N399" s="149"/>
      <c r="O399" s="161"/>
      <c r="P399" s="161"/>
      <c r="S399" s="149"/>
      <c r="T399" s="161"/>
      <c r="V399" s="166"/>
      <c r="W399" s="166"/>
      <c r="X399" s="166"/>
      <c r="Y399" s="166"/>
    </row>
    <row r="400" ht="22.5" customHeight="1">
      <c r="A400" s="161"/>
      <c r="B400" s="162"/>
      <c r="C400" s="161"/>
      <c r="D400" s="168"/>
      <c r="E400" s="168"/>
      <c r="F400" s="162"/>
      <c r="G400" s="149"/>
      <c r="H400" s="161"/>
      <c r="I400" s="161"/>
      <c r="J400" s="161"/>
      <c r="K400" s="161"/>
      <c r="L400" s="161"/>
      <c r="M400" s="161"/>
      <c r="N400" s="149"/>
      <c r="O400" s="161"/>
      <c r="P400" s="161"/>
      <c r="S400" s="149"/>
      <c r="T400" s="161"/>
      <c r="V400" s="166"/>
      <c r="W400" s="166"/>
      <c r="X400" s="166"/>
      <c r="Y400" s="166"/>
    </row>
    <row r="401" ht="22.5" customHeight="1">
      <c r="A401" s="161"/>
      <c r="B401" s="162"/>
      <c r="C401" s="161"/>
      <c r="D401" s="168"/>
      <c r="E401" s="168"/>
      <c r="F401" s="162"/>
      <c r="G401" s="149"/>
      <c r="H401" s="161"/>
      <c r="I401" s="161"/>
      <c r="J401" s="161"/>
      <c r="K401" s="161"/>
      <c r="L401" s="161"/>
      <c r="M401" s="161"/>
      <c r="N401" s="149"/>
      <c r="O401" s="161"/>
      <c r="P401" s="161"/>
      <c r="S401" s="149"/>
      <c r="T401" s="161"/>
      <c r="V401" s="166"/>
      <c r="W401" s="166"/>
      <c r="X401" s="166"/>
      <c r="Y401" s="166"/>
    </row>
    <row r="402" ht="22.5" customHeight="1">
      <c r="A402" s="161"/>
      <c r="B402" s="162"/>
      <c r="C402" s="161"/>
      <c r="D402" s="168"/>
      <c r="E402" s="168"/>
      <c r="F402" s="162"/>
      <c r="G402" s="149"/>
      <c r="H402" s="161"/>
      <c r="I402" s="161"/>
      <c r="J402" s="161"/>
      <c r="K402" s="161"/>
      <c r="L402" s="161"/>
      <c r="M402" s="161"/>
      <c r="N402" s="149"/>
      <c r="O402" s="161"/>
      <c r="P402" s="161"/>
      <c r="S402" s="149"/>
      <c r="T402" s="161"/>
      <c r="V402" s="166"/>
      <c r="W402" s="166"/>
      <c r="X402" s="166"/>
      <c r="Y402" s="166"/>
    </row>
    <row r="403" ht="22.5" customHeight="1">
      <c r="A403" s="161"/>
      <c r="B403" s="162"/>
      <c r="C403" s="161"/>
      <c r="D403" s="168"/>
      <c r="E403" s="168"/>
      <c r="F403" s="162"/>
      <c r="G403" s="149"/>
      <c r="H403" s="161"/>
      <c r="I403" s="161"/>
      <c r="J403" s="161"/>
      <c r="K403" s="161"/>
      <c r="L403" s="161"/>
      <c r="M403" s="161"/>
      <c r="N403" s="149"/>
      <c r="O403" s="161"/>
      <c r="P403" s="161"/>
      <c r="S403" s="149"/>
      <c r="T403" s="161"/>
      <c r="V403" s="166"/>
      <c r="W403" s="166"/>
      <c r="X403" s="166"/>
      <c r="Y403" s="166"/>
    </row>
    <row r="404" ht="22.5" customHeight="1">
      <c r="A404" s="161"/>
      <c r="B404" s="162"/>
      <c r="C404" s="161"/>
      <c r="D404" s="168"/>
      <c r="E404" s="168"/>
      <c r="F404" s="162"/>
      <c r="G404" s="149"/>
      <c r="H404" s="161"/>
      <c r="I404" s="161"/>
      <c r="J404" s="161"/>
      <c r="K404" s="161"/>
      <c r="L404" s="161"/>
      <c r="M404" s="161"/>
      <c r="N404" s="149"/>
      <c r="O404" s="161"/>
      <c r="P404" s="161"/>
      <c r="S404" s="149"/>
      <c r="T404" s="161"/>
      <c r="V404" s="166"/>
      <c r="W404" s="166"/>
      <c r="X404" s="166"/>
      <c r="Y404" s="166"/>
    </row>
    <row r="405" ht="22.5" customHeight="1">
      <c r="A405" s="161"/>
      <c r="B405" s="162"/>
      <c r="C405" s="161"/>
      <c r="D405" s="168"/>
      <c r="E405" s="168"/>
      <c r="F405" s="162"/>
      <c r="G405" s="149"/>
      <c r="H405" s="161"/>
      <c r="I405" s="161"/>
      <c r="J405" s="161"/>
      <c r="K405" s="161"/>
      <c r="L405" s="161"/>
      <c r="M405" s="161"/>
      <c r="N405" s="149"/>
      <c r="O405" s="161"/>
      <c r="P405" s="161"/>
      <c r="S405" s="149"/>
      <c r="T405" s="161"/>
      <c r="V405" s="166"/>
      <c r="W405" s="166"/>
      <c r="X405" s="166"/>
      <c r="Y405" s="166"/>
    </row>
    <row r="406" ht="22.5" customHeight="1">
      <c r="A406" s="161"/>
      <c r="B406" s="162"/>
      <c r="C406" s="161"/>
      <c r="D406" s="168"/>
      <c r="E406" s="168"/>
      <c r="F406" s="162"/>
      <c r="G406" s="149"/>
      <c r="H406" s="161"/>
      <c r="I406" s="161"/>
      <c r="J406" s="161"/>
      <c r="K406" s="161"/>
      <c r="L406" s="161"/>
      <c r="M406" s="161"/>
      <c r="N406" s="149"/>
      <c r="O406" s="161"/>
      <c r="P406" s="161"/>
      <c r="S406" s="149"/>
      <c r="T406" s="161"/>
      <c r="V406" s="166"/>
      <c r="W406" s="166"/>
      <c r="X406" s="166"/>
      <c r="Y406" s="166"/>
    </row>
    <row r="407" ht="22.5" customHeight="1">
      <c r="A407" s="161"/>
      <c r="B407" s="162"/>
      <c r="C407" s="161"/>
      <c r="D407" s="168"/>
      <c r="E407" s="168"/>
      <c r="F407" s="162"/>
      <c r="G407" s="149"/>
      <c r="H407" s="161"/>
      <c r="I407" s="161"/>
      <c r="J407" s="161"/>
      <c r="K407" s="161"/>
      <c r="L407" s="161"/>
      <c r="M407" s="161"/>
      <c r="N407" s="149"/>
      <c r="O407" s="161"/>
      <c r="P407" s="161"/>
      <c r="S407" s="149"/>
      <c r="T407" s="161"/>
      <c r="V407" s="166"/>
      <c r="W407" s="166"/>
      <c r="X407" s="166"/>
      <c r="Y407" s="166"/>
    </row>
    <row r="408" ht="22.5" customHeight="1">
      <c r="A408" s="161"/>
      <c r="B408" s="162"/>
      <c r="C408" s="161"/>
      <c r="D408" s="168"/>
      <c r="E408" s="168"/>
      <c r="F408" s="162"/>
      <c r="G408" s="149"/>
      <c r="H408" s="161"/>
      <c r="I408" s="161"/>
      <c r="J408" s="161"/>
      <c r="K408" s="161"/>
      <c r="L408" s="161"/>
      <c r="M408" s="161"/>
      <c r="N408" s="149"/>
      <c r="O408" s="161"/>
      <c r="P408" s="161"/>
      <c r="S408" s="149"/>
      <c r="T408" s="161"/>
      <c r="V408" s="166"/>
      <c r="W408" s="166"/>
      <c r="X408" s="166"/>
      <c r="Y408" s="166"/>
    </row>
    <row r="409" ht="22.5" customHeight="1">
      <c r="A409" s="161"/>
      <c r="B409" s="162"/>
      <c r="C409" s="161"/>
      <c r="D409" s="168"/>
      <c r="E409" s="168"/>
      <c r="F409" s="162"/>
      <c r="G409" s="149"/>
      <c r="H409" s="161"/>
      <c r="I409" s="161"/>
      <c r="J409" s="161"/>
      <c r="K409" s="161"/>
      <c r="L409" s="161"/>
      <c r="M409" s="161"/>
      <c r="N409" s="149"/>
      <c r="O409" s="161"/>
      <c r="P409" s="161"/>
      <c r="S409" s="149"/>
      <c r="T409" s="161"/>
      <c r="V409" s="166"/>
      <c r="W409" s="166"/>
      <c r="X409" s="166"/>
      <c r="Y409" s="166"/>
    </row>
    <row r="410" ht="22.5" customHeight="1">
      <c r="A410" s="161"/>
      <c r="B410" s="162"/>
      <c r="C410" s="161"/>
      <c r="D410" s="168"/>
      <c r="E410" s="168"/>
      <c r="F410" s="162"/>
      <c r="G410" s="149"/>
      <c r="H410" s="161"/>
      <c r="I410" s="161"/>
      <c r="J410" s="161"/>
      <c r="K410" s="161"/>
      <c r="L410" s="161"/>
      <c r="M410" s="161"/>
      <c r="N410" s="149"/>
      <c r="O410" s="161"/>
      <c r="P410" s="161"/>
      <c r="S410" s="149"/>
      <c r="T410" s="161"/>
      <c r="V410" s="166"/>
      <c r="W410" s="166"/>
      <c r="X410" s="166"/>
      <c r="Y410" s="166"/>
    </row>
    <row r="411" ht="22.5" customHeight="1">
      <c r="A411" s="161"/>
      <c r="B411" s="162"/>
      <c r="C411" s="161"/>
      <c r="D411" s="168"/>
      <c r="E411" s="168"/>
      <c r="F411" s="162"/>
      <c r="G411" s="149"/>
      <c r="H411" s="161"/>
      <c r="I411" s="161"/>
      <c r="J411" s="161"/>
      <c r="K411" s="161"/>
      <c r="L411" s="161"/>
      <c r="M411" s="161"/>
      <c r="N411" s="149"/>
      <c r="O411" s="161"/>
      <c r="P411" s="161"/>
      <c r="S411" s="149"/>
      <c r="T411" s="161"/>
      <c r="V411" s="166"/>
      <c r="W411" s="166"/>
      <c r="X411" s="166"/>
      <c r="Y411" s="166"/>
    </row>
    <row r="412" ht="22.5" customHeight="1">
      <c r="A412" s="161"/>
      <c r="B412" s="162"/>
      <c r="C412" s="161"/>
      <c r="D412" s="168"/>
      <c r="E412" s="168"/>
      <c r="F412" s="162"/>
      <c r="G412" s="149"/>
      <c r="H412" s="161"/>
      <c r="I412" s="161"/>
      <c r="J412" s="161"/>
      <c r="K412" s="161"/>
      <c r="L412" s="161"/>
      <c r="M412" s="161"/>
      <c r="N412" s="149"/>
      <c r="O412" s="161"/>
      <c r="P412" s="161"/>
      <c r="S412" s="149"/>
      <c r="T412" s="161"/>
      <c r="V412" s="166"/>
      <c r="W412" s="166"/>
      <c r="X412" s="166"/>
      <c r="Y412" s="166"/>
    </row>
    <row r="413" ht="22.5" customHeight="1">
      <c r="A413" s="161"/>
      <c r="B413" s="162"/>
      <c r="C413" s="161"/>
      <c r="D413" s="168"/>
      <c r="E413" s="168"/>
      <c r="F413" s="162"/>
      <c r="G413" s="149"/>
      <c r="H413" s="161"/>
      <c r="I413" s="161"/>
      <c r="J413" s="161"/>
      <c r="K413" s="161"/>
      <c r="L413" s="161"/>
      <c r="M413" s="161"/>
      <c r="N413" s="149"/>
      <c r="O413" s="161"/>
      <c r="P413" s="161"/>
      <c r="S413" s="149"/>
      <c r="T413" s="161"/>
      <c r="V413" s="166"/>
      <c r="W413" s="166"/>
      <c r="X413" s="166"/>
      <c r="Y413" s="166"/>
    </row>
    <row r="414" ht="22.5" customHeight="1">
      <c r="A414" s="161"/>
      <c r="B414" s="162"/>
      <c r="C414" s="161"/>
      <c r="D414" s="168"/>
      <c r="E414" s="168"/>
      <c r="F414" s="162"/>
      <c r="G414" s="149"/>
      <c r="H414" s="161"/>
      <c r="I414" s="161"/>
      <c r="J414" s="161"/>
      <c r="K414" s="161"/>
      <c r="L414" s="161"/>
      <c r="M414" s="161"/>
      <c r="N414" s="149"/>
      <c r="O414" s="161"/>
      <c r="P414" s="161"/>
      <c r="S414" s="149"/>
      <c r="T414" s="161"/>
      <c r="V414" s="166"/>
      <c r="W414" s="166"/>
      <c r="X414" s="166"/>
      <c r="Y414" s="166"/>
    </row>
    <row r="415" ht="22.5" customHeight="1">
      <c r="A415" s="161"/>
      <c r="B415" s="162"/>
      <c r="C415" s="161"/>
      <c r="D415" s="168"/>
      <c r="E415" s="168"/>
      <c r="F415" s="162"/>
      <c r="G415" s="149"/>
      <c r="H415" s="161"/>
      <c r="I415" s="161"/>
      <c r="J415" s="161"/>
      <c r="K415" s="161"/>
      <c r="L415" s="161"/>
      <c r="M415" s="161"/>
      <c r="N415" s="149"/>
      <c r="O415" s="161"/>
      <c r="P415" s="161"/>
      <c r="S415" s="149"/>
      <c r="T415" s="161"/>
      <c r="V415" s="166"/>
      <c r="W415" s="166"/>
      <c r="X415" s="166"/>
      <c r="Y415" s="166"/>
    </row>
    <row r="416" ht="22.5" customHeight="1">
      <c r="A416" s="161"/>
      <c r="B416" s="162"/>
      <c r="C416" s="161"/>
      <c r="D416" s="168"/>
      <c r="E416" s="168"/>
      <c r="F416" s="162"/>
      <c r="G416" s="149"/>
      <c r="H416" s="161"/>
      <c r="I416" s="161"/>
      <c r="J416" s="161"/>
      <c r="K416" s="161"/>
      <c r="L416" s="161"/>
      <c r="M416" s="161"/>
      <c r="N416" s="149"/>
      <c r="O416" s="161"/>
      <c r="P416" s="161"/>
      <c r="S416" s="149"/>
      <c r="T416" s="161"/>
      <c r="V416" s="166"/>
      <c r="W416" s="166"/>
      <c r="X416" s="166"/>
      <c r="Y416" s="166"/>
    </row>
    <row r="417" ht="22.5" customHeight="1">
      <c r="A417" s="161"/>
      <c r="B417" s="162"/>
      <c r="C417" s="161"/>
      <c r="D417" s="168"/>
      <c r="E417" s="168"/>
      <c r="F417" s="162"/>
      <c r="G417" s="149"/>
      <c r="H417" s="161"/>
      <c r="I417" s="161"/>
      <c r="J417" s="161"/>
      <c r="K417" s="161"/>
      <c r="L417" s="161"/>
      <c r="M417" s="161"/>
      <c r="N417" s="149"/>
      <c r="O417" s="161"/>
      <c r="P417" s="161"/>
      <c r="S417" s="149"/>
      <c r="T417" s="161"/>
      <c r="V417" s="166"/>
      <c r="W417" s="166"/>
      <c r="X417" s="166"/>
      <c r="Y417" s="166"/>
    </row>
    <row r="418" ht="22.5" customHeight="1">
      <c r="A418" s="161"/>
      <c r="B418" s="162"/>
      <c r="C418" s="161"/>
      <c r="D418" s="168"/>
      <c r="E418" s="168"/>
      <c r="F418" s="162"/>
      <c r="G418" s="149"/>
      <c r="H418" s="161"/>
      <c r="I418" s="161"/>
      <c r="J418" s="161"/>
      <c r="K418" s="161"/>
      <c r="L418" s="161"/>
      <c r="M418" s="161"/>
      <c r="N418" s="149"/>
      <c r="O418" s="161"/>
      <c r="P418" s="161"/>
      <c r="S418" s="149"/>
      <c r="T418" s="161"/>
      <c r="V418" s="166"/>
      <c r="W418" s="166"/>
      <c r="X418" s="166"/>
      <c r="Y418" s="166"/>
    </row>
    <row r="419" ht="22.5" customHeight="1">
      <c r="A419" s="161"/>
      <c r="B419" s="162"/>
      <c r="C419" s="161"/>
      <c r="D419" s="168"/>
      <c r="E419" s="168"/>
      <c r="F419" s="162"/>
      <c r="G419" s="149"/>
      <c r="H419" s="161"/>
      <c r="I419" s="161"/>
      <c r="J419" s="161"/>
      <c r="K419" s="161"/>
      <c r="L419" s="161"/>
      <c r="M419" s="161"/>
      <c r="N419" s="149"/>
      <c r="O419" s="161"/>
      <c r="P419" s="161"/>
      <c r="S419" s="149"/>
      <c r="T419" s="161"/>
      <c r="V419" s="166"/>
      <c r="W419" s="166"/>
      <c r="X419" s="166"/>
      <c r="Y419" s="166"/>
    </row>
    <row r="420" ht="22.5" customHeight="1">
      <c r="A420" s="161"/>
      <c r="B420" s="162"/>
      <c r="C420" s="161"/>
      <c r="D420" s="168"/>
      <c r="E420" s="168"/>
      <c r="F420" s="162"/>
      <c r="G420" s="149"/>
      <c r="H420" s="161"/>
      <c r="I420" s="161"/>
      <c r="J420" s="161"/>
      <c r="K420" s="161"/>
      <c r="L420" s="161"/>
      <c r="M420" s="161"/>
      <c r="N420" s="149"/>
      <c r="O420" s="161"/>
      <c r="P420" s="161"/>
      <c r="S420" s="149"/>
      <c r="T420" s="161"/>
      <c r="V420" s="166"/>
      <c r="W420" s="166"/>
      <c r="X420" s="166"/>
      <c r="Y420" s="166"/>
    </row>
    <row r="421" ht="22.5" customHeight="1">
      <c r="A421" s="161"/>
      <c r="B421" s="162"/>
      <c r="C421" s="161"/>
      <c r="D421" s="168"/>
      <c r="E421" s="168"/>
      <c r="F421" s="162"/>
      <c r="G421" s="149"/>
      <c r="H421" s="161"/>
      <c r="I421" s="161"/>
      <c r="J421" s="161"/>
      <c r="K421" s="161"/>
      <c r="L421" s="161"/>
      <c r="M421" s="161"/>
      <c r="N421" s="149"/>
      <c r="O421" s="161"/>
      <c r="P421" s="161"/>
      <c r="S421" s="149"/>
      <c r="T421" s="161"/>
      <c r="V421" s="166"/>
      <c r="W421" s="166"/>
      <c r="X421" s="166"/>
      <c r="Y421" s="166"/>
    </row>
    <row r="422" ht="22.5" customHeight="1">
      <c r="A422" s="161"/>
      <c r="B422" s="162"/>
      <c r="C422" s="161"/>
      <c r="D422" s="168"/>
      <c r="E422" s="168"/>
      <c r="F422" s="162"/>
      <c r="G422" s="149"/>
      <c r="H422" s="161"/>
      <c r="I422" s="161"/>
      <c r="J422" s="161"/>
      <c r="K422" s="161"/>
      <c r="L422" s="161"/>
      <c r="M422" s="161"/>
      <c r="N422" s="149"/>
      <c r="O422" s="161"/>
      <c r="P422" s="161"/>
      <c r="S422" s="149"/>
      <c r="T422" s="161"/>
      <c r="V422" s="166"/>
      <c r="W422" s="166"/>
      <c r="X422" s="166"/>
      <c r="Y422" s="166"/>
    </row>
    <row r="423" ht="22.5" customHeight="1">
      <c r="A423" s="161"/>
      <c r="B423" s="162"/>
      <c r="C423" s="161"/>
      <c r="D423" s="168"/>
      <c r="E423" s="168"/>
      <c r="F423" s="162"/>
      <c r="G423" s="149"/>
      <c r="H423" s="161"/>
      <c r="I423" s="161"/>
      <c r="J423" s="161"/>
      <c r="K423" s="161"/>
      <c r="L423" s="161"/>
      <c r="M423" s="161"/>
      <c r="N423" s="149"/>
      <c r="O423" s="161"/>
      <c r="P423" s="161"/>
      <c r="S423" s="149"/>
      <c r="T423" s="161"/>
      <c r="V423" s="166"/>
      <c r="W423" s="166"/>
      <c r="X423" s="166"/>
      <c r="Y423" s="166"/>
    </row>
    <row r="424" ht="22.5" customHeight="1">
      <c r="A424" s="161"/>
      <c r="B424" s="162"/>
      <c r="C424" s="161"/>
      <c r="D424" s="168"/>
      <c r="E424" s="168"/>
      <c r="F424" s="162"/>
      <c r="G424" s="149"/>
      <c r="H424" s="161"/>
      <c r="I424" s="161"/>
      <c r="J424" s="161"/>
      <c r="K424" s="161"/>
      <c r="L424" s="161"/>
      <c r="M424" s="161"/>
      <c r="N424" s="149"/>
      <c r="O424" s="161"/>
      <c r="P424" s="161"/>
      <c r="S424" s="149"/>
      <c r="T424" s="161"/>
      <c r="V424" s="166"/>
      <c r="W424" s="166"/>
      <c r="X424" s="166"/>
      <c r="Y424" s="166"/>
    </row>
    <row r="425" ht="22.5" customHeight="1">
      <c r="A425" s="161"/>
      <c r="B425" s="162"/>
      <c r="C425" s="161"/>
      <c r="D425" s="168"/>
      <c r="E425" s="168"/>
      <c r="F425" s="162"/>
      <c r="G425" s="149"/>
      <c r="H425" s="161"/>
      <c r="I425" s="161"/>
      <c r="J425" s="161"/>
      <c r="K425" s="161"/>
      <c r="L425" s="161"/>
      <c r="M425" s="161"/>
      <c r="N425" s="149"/>
      <c r="O425" s="161"/>
      <c r="P425" s="161"/>
      <c r="S425" s="149"/>
      <c r="T425" s="161"/>
      <c r="V425" s="166"/>
      <c r="W425" s="166"/>
      <c r="X425" s="166"/>
      <c r="Y425" s="166"/>
    </row>
    <row r="426" ht="22.5" customHeight="1">
      <c r="A426" s="161"/>
      <c r="B426" s="162"/>
      <c r="C426" s="161"/>
      <c r="D426" s="168"/>
      <c r="E426" s="168"/>
      <c r="F426" s="162"/>
      <c r="G426" s="149"/>
      <c r="H426" s="161"/>
      <c r="I426" s="161"/>
      <c r="J426" s="161"/>
      <c r="K426" s="161"/>
      <c r="L426" s="161"/>
      <c r="M426" s="161"/>
      <c r="N426" s="149"/>
      <c r="O426" s="161"/>
      <c r="P426" s="161"/>
      <c r="S426" s="149"/>
      <c r="T426" s="161"/>
      <c r="V426" s="166"/>
      <c r="W426" s="166"/>
      <c r="X426" s="166"/>
      <c r="Y426" s="166"/>
    </row>
    <row r="427" ht="22.5" customHeight="1">
      <c r="A427" s="161"/>
      <c r="B427" s="162"/>
      <c r="C427" s="161"/>
      <c r="D427" s="168"/>
      <c r="E427" s="168"/>
      <c r="F427" s="162"/>
      <c r="G427" s="149"/>
      <c r="H427" s="161"/>
      <c r="I427" s="161"/>
      <c r="J427" s="161"/>
      <c r="K427" s="161"/>
      <c r="L427" s="161"/>
      <c r="M427" s="161"/>
      <c r="N427" s="149"/>
      <c r="O427" s="161"/>
      <c r="P427" s="161"/>
      <c r="S427" s="149"/>
      <c r="T427" s="161"/>
      <c r="V427" s="166"/>
      <c r="W427" s="166"/>
      <c r="X427" s="166"/>
      <c r="Y427" s="166"/>
    </row>
    <row r="428" ht="22.5" customHeight="1">
      <c r="A428" s="161"/>
      <c r="B428" s="162"/>
      <c r="C428" s="161"/>
      <c r="D428" s="168"/>
      <c r="E428" s="168"/>
      <c r="F428" s="162"/>
      <c r="G428" s="149"/>
      <c r="H428" s="161"/>
      <c r="I428" s="161"/>
      <c r="J428" s="161"/>
      <c r="K428" s="161"/>
      <c r="L428" s="161"/>
      <c r="M428" s="161"/>
      <c r="N428" s="149"/>
      <c r="O428" s="161"/>
      <c r="P428" s="161"/>
      <c r="S428" s="149"/>
      <c r="T428" s="161"/>
      <c r="V428" s="166"/>
      <c r="W428" s="166"/>
      <c r="X428" s="166"/>
      <c r="Y428" s="166"/>
    </row>
    <row r="429" ht="22.5" customHeight="1">
      <c r="A429" s="161"/>
      <c r="B429" s="162"/>
      <c r="C429" s="161"/>
      <c r="D429" s="168"/>
      <c r="E429" s="168"/>
      <c r="F429" s="162"/>
      <c r="G429" s="149"/>
      <c r="H429" s="161"/>
      <c r="I429" s="161"/>
      <c r="J429" s="161"/>
      <c r="K429" s="161"/>
      <c r="L429" s="161"/>
      <c r="M429" s="161"/>
      <c r="N429" s="149"/>
      <c r="O429" s="161"/>
      <c r="P429" s="161"/>
      <c r="S429" s="149"/>
      <c r="T429" s="161"/>
      <c r="V429" s="166"/>
      <c r="W429" s="166"/>
      <c r="X429" s="166"/>
      <c r="Y429" s="166"/>
    </row>
    <row r="430" ht="22.5" customHeight="1">
      <c r="A430" s="161"/>
      <c r="B430" s="162"/>
      <c r="C430" s="161"/>
      <c r="D430" s="168"/>
      <c r="E430" s="168"/>
      <c r="F430" s="162"/>
      <c r="G430" s="149"/>
      <c r="H430" s="161"/>
      <c r="I430" s="161"/>
      <c r="J430" s="161"/>
      <c r="K430" s="161"/>
      <c r="L430" s="161"/>
      <c r="M430" s="161"/>
      <c r="N430" s="149"/>
      <c r="O430" s="161"/>
      <c r="P430" s="161"/>
      <c r="S430" s="149"/>
      <c r="T430" s="161"/>
      <c r="V430" s="166"/>
      <c r="W430" s="166"/>
      <c r="X430" s="166"/>
      <c r="Y430" s="166"/>
    </row>
    <row r="431" ht="22.5" customHeight="1">
      <c r="A431" s="161"/>
      <c r="B431" s="162"/>
      <c r="C431" s="161"/>
      <c r="D431" s="168"/>
      <c r="E431" s="168"/>
      <c r="F431" s="162"/>
      <c r="G431" s="149"/>
      <c r="H431" s="161"/>
      <c r="I431" s="161"/>
      <c r="J431" s="161"/>
      <c r="K431" s="161"/>
      <c r="L431" s="161"/>
      <c r="M431" s="161"/>
      <c r="N431" s="149"/>
      <c r="O431" s="161"/>
      <c r="P431" s="161"/>
      <c r="S431" s="149"/>
      <c r="T431" s="161"/>
      <c r="V431" s="166"/>
      <c r="W431" s="166"/>
      <c r="X431" s="166"/>
      <c r="Y431" s="166"/>
    </row>
    <row r="432" ht="22.5" customHeight="1">
      <c r="A432" s="161"/>
      <c r="B432" s="162"/>
      <c r="C432" s="161"/>
      <c r="D432" s="168"/>
      <c r="E432" s="168"/>
      <c r="F432" s="162"/>
      <c r="G432" s="149"/>
      <c r="H432" s="161"/>
      <c r="I432" s="161"/>
      <c r="J432" s="161"/>
      <c r="K432" s="161"/>
      <c r="L432" s="161"/>
      <c r="M432" s="161"/>
      <c r="N432" s="149"/>
      <c r="O432" s="161"/>
      <c r="P432" s="161"/>
      <c r="S432" s="149"/>
      <c r="T432" s="161"/>
      <c r="V432" s="166"/>
      <c r="W432" s="166"/>
      <c r="X432" s="166"/>
      <c r="Y432" s="166"/>
    </row>
    <row r="433" ht="22.5" customHeight="1">
      <c r="A433" s="161"/>
      <c r="B433" s="162"/>
      <c r="C433" s="161"/>
      <c r="D433" s="168"/>
      <c r="E433" s="168"/>
      <c r="F433" s="162"/>
      <c r="G433" s="149"/>
      <c r="H433" s="161"/>
      <c r="I433" s="161"/>
      <c r="J433" s="161"/>
      <c r="K433" s="161"/>
      <c r="L433" s="161"/>
      <c r="M433" s="161"/>
      <c r="N433" s="149"/>
      <c r="O433" s="161"/>
      <c r="P433" s="161"/>
      <c r="S433" s="149"/>
      <c r="T433" s="161"/>
      <c r="V433" s="166"/>
      <c r="W433" s="166"/>
      <c r="X433" s="166"/>
      <c r="Y433" s="166"/>
    </row>
    <row r="434" ht="22.5" customHeight="1">
      <c r="A434" s="161"/>
      <c r="B434" s="162"/>
      <c r="C434" s="161"/>
      <c r="D434" s="168"/>
      <c r="E434" s="168"/>
      <c r="F434" s="162"/>
      <c r="G434" s="149"/>
      <c r="H434" s="161"/>
      <c r="I434" s="161"/>
      <c r="J434" s="161"/>
      <c r="K434" s="161"/>
      <c r="L434" s="161"/>
      <c r="M434" s="161"/>
      <c r="N434" s="149"/>
      <c r="O434" s="161"/>
      <c r="P434" s="161"/>
      <c r="S434" s="149"/>
      <c r="T434" s="161"/>
      <c r="V434" s="166"/>
      <c r="W434" s="166"/>
      <c r="X434" s="166"/>
      <c r="Y434" s="166"/>
    </row>
    <row r="435" ht="22.5" customHeight="1">
      <c r="A435" s="161"/>
      <c r="B435" s="162"/>
      <c r="C435" s="161"/>
      <c r="D435" s="168"/>
      <c r="E435" s="168"/>
      <c r="F435" s="162"/>
      <c r="G435" s="149"/>
      <c r="H435" s="161"/>
      <c r="I435" s="161"/>
      <c r="J435" s="161"/>
      <c r="K435" s="161"/>
      <c r="L435" s="161"/>
      <c r="M435" s="161"/>
      <c r="N435" s="149"/>
      <c r="O435" s="161"/>
      <c r="P435" s="161"/>
      <c r="S435" s="149"/>
      <c r="T435" s="161"/>
      <c r="V435" s="166"/>
      <c r="W435" s="166"/>
      <c r="X435" s="166"/>
      <c r="Y435" s="166"/>
    </row>
    <row r="436" ht="22.5" customHeight="1">
      <c r="A436" s="161"/>
      <c r="B436" s="162"/>
      <c r="C436" s="161"/>
      <c r="D436" s="168"/>
      <c r="E436" s="168"/>
      <c r="F436" s="162"/>
      <c r="G436" s="149"/>
      <c r="H436" s="161"/>
      <c r="I436" s="161"/>
      <c r="J436" s="161"/>
      <c r="K436" s="161"/>
      <c r="L436" s="161"/>
      <c r="M436" s="161"/>
      <c r="N436" s="149"/>
      <c r="O436" s="161"/>
      <c r="P436" s="161"/>
      <c r="S436" s="149"/>
      <c r="T436" s="161"/>
      <c r="V436" s="166"/>
      <c r="W436" s="166"/>
      <c r="X436" s="166"/>
      <c r="Y436" s="166"/>
    </row>
    <row r="437" ht="22.5" customHeight="1">
      <c r="A437" s="161"/>
      <c r="B437" s="162"/>
      <c r="C437" s="161"/>
      <c r="D437" s="168"/>
      <c r="E437" s="168"/>
      <c r="F437" s="162"/>
      <c r="G437" s="149"/>
      <c r="H437" s="161"/>
      <c r="I437" s="161"/>
      <c r="J437" s="161"/>
      <c r="K437" s="161"/>
      <c r="L437" s="161"/>
      <c r="M437" s="161"/>
      <c r="N437" s="149"/>
      <c r="O437" s="161"/>
      <c r="P437" s="161"/>
      <c r="S437" s="149"/>
      <c r="T437" s="161"/>
      <c r="V437" s="166"/>
      <c r="W437" s="166"/>
      <c r="X437" s="166"/>
      <c r="Y437" s="166"/>
    </row>
    <row r="438" ht="22.5" customHeight="1">
      <c r="A438" s="161"/>
      <c r="B438" s="162"/>
      <c r="C438" s="161"/>
      <c r="D438" s="168"/>
      <c r="E438" s="168"/>
      <c r="F438" s="162"/>
      <c r="G438" s="149"/>
      <c r="H438" s="161"/>
      <c r="I438" s="161"/>
      <c r="J438" s="161"/>
      <c r="K438" s="161"/>
      <c r="L438" s="161"/>
      <c r="M438" s="161"/>
      <c r="N438" s="149"/>
      <c r="O438" s="161"/>
      <c r="P438" s="161"/>
      <c r="S438" s="149"/>
      <c r="T438" s="161"/>
      <c r="V438" s="166"/>
      <c r="W438" s="166"/>
      <c r="X438" s="166"/>
      <c r="Y438" s="166"/>
    </row>
    <row r="439" ht="22.5" customHeight="1">
      <c r="A439" s="161"/>
      <c r="B439" s="162"/>
      <c r="C439" s="161"/>
      <c r="D439" s="168"/>
      <c r="E439" s="168"/>
      <c r="F439" s="162"/>
      <c r="G439" s="149"/>
      <c r="H439" s="161"/>
      <c r="I439" s="161"/>
      <c r="J439" s="161"/>
      <c r="K439" s="161"/>
      <c r="L439" s="161"/>
      <c r="M439" s="161"/>
      <c r="N439" s="149"/>
      <c r="O439" s="161"/>
      <c r="P439" s="161"/>
      <c r="S439" s="149"/>
      <c r="T439" s="161"/>
      <c r="V439" s="166"/>
      <c r="W439" s="166"/>
      <c r="X439" s="166"/>
      <c r="Y439" s="166"/>
    </row>
    <row r="440" ht="22.5" customHeight="1">
      <c r="A440" s="161"/>
      <c r="B440" s="162"/>
      <c r="C440" s="161"/>
      <c r="D440" s="168"/>
      <c r="E440" s="168"/>
      <c r="F440" s="162"/>
      <c r="G440" s="149"/>
      <c r="H440" s="161"/>
      <c r="I440" s="161"/>
      <c r="J440" s="161"/>
      <c r="K440" s="161"/>
      <c r="L440" s="161"/>
      <c r="M440" s="161"/>
      <c r="N440" s="149"/>
      <c r="O440" s="161"/>
      <c r="P440" s="161"/>
      <c r="S440" s="149"/>
      <c r="T440" s="161"/>
      <c r="V440" s="166"/>
      <c r="W440" s="166"/>
      <c r="X440" s="166"/>
      <c r="Y440" s="166"/>
    </row>
    <row r="441" ht="22.5" customHeight="1">
      <c r="A441" s="161"/>
      <c r="B441" s="162"/>
      <c r="C441" s="161"/>
      <c r="D441" s="168"/>
      <c r="E441" s="168"/>
      <c r="F441" s="162"/>
      <c r="G441" s="149"/>
      <c r="H441" s="161"/>
      <c r="I441" s="161"/>
      <c r="J441" s="161"/>
      <c r="K441" s="161"/>
      <c r="L441" s="161"/>
      <c r="M441" s="161"/>
      <c r="N441" s="149"/>
      <c r="O441" s="161"/>
      <c r="P441" s="161"/>
      <c r="S441" s="149"/>
      <c r="T441" s="161"/>
      <c r="V441" s="166"/>
      <c r="W441" s="166"/>
      <c r="X441" s="166"/>
      <c r="Y441" s="166"/>
    </row>
    <row r="442" ht="22.5" customHeight="1">
      <c r="A442" s="161"/>
      <c r="B442" s="162"/>
      <c r="C442" s="161"/>
      <c r="D442" s="168"/>
      <c r="E442" s="168"/>
      <c r="F442" s="162"/>
      <c r="G442" s="149"/>
      <c r="H442" s="161"/>
      <c r="I442" s="161"/>
      <c r="J442" s="161"/>
      <c r="K442" s="161"/>
      <c r="L442" s="161"/>
      <c r="M442" s="161"/>
      <c r="N442" s="149"/>
      <c r="O442" s="161"/>
      <c r="P442" s="161"/>
      <c r="S442" s="149"/>
      <c r="T442" s="161"/>
      <c r="V442" s="166"/>
      <c r="W442" s="166"/>
      <c r="X442" s="166"/>
      <c r="Y442" s="166"/>
    </row>
    <row r="443" ht="22.5" customHeight="1">
      <c r="A443" s="161"/>
      <c r="B443" s="162"/>
      <c r="C443" s="161"/>
      <c r="D443" s="168"/>
      <c r="E443" s="168"/>
      <c r="F443" s="162"/>
      <c r="G443" s="149"/>
      <c r="H443" s="161"/>
      <c r="I443" s="161"/>
      <c r="J443" s="161"/>
      <c r="K443" s="161"/>
      <c r="L443" s="161"/>
      <c r="M443" s="161"/>
      <c r="N443" s="149"/>
      <c r="O443" s="161"/>
      <c r="P443" s="161"/>
      <c r="S443" s="149"/>
      <c r="T443" s="161"/>
      <c r="V443" s="166"/>
      <c r="W443" s="166"/>
      <c r="X443" s="166"/>
      <c r="Y443" s="166"/>
    </row>
    <row r="444" ht="22.5" customHeight="1">
      <c r="A444" s="161"/>
      <c r="B444" s="162"/>
      <c r="C444" s="161"/>
      <c r="D444" s="168"/>
      <c r="E444" s="168"/>
      <c r="F444" s="162"/>
      <c r="G444" s="149"/>
      <c r="H444" s="161"/>
      <c r="I444" s="161"/>
      <c r="J444" s="161"/>
      <c r="K444" s="161"/>
      <c r="L444" s="161"/>
      <c r="M444" s="161"/>
      <c r="N444" s="149"/>
      <c r="O444" s="161"/>
      <c r="P444" s="161"/>
      <c r="S444" s="149"/>
      <c r="T444" s="161"/>
      <c r="V444" s="166"/>
      <c r="W444" s="166"/>
      <c r="X444" s="166"/>
      <c r="Y444" s="166"/>
    </row>
    <row r="445" ht="22.5" customHeight="1">
      <c r="A445" s="161"/>
      <c r="B445" s="162"/>
      <c r="C445" s="161"/>
      <c r="D445" s="168"/>
      <c r="E445" s="168"/>
      <c r="F445" s="162"/>
      <c r="G445" s="149"/>
      <c r="H445" s="161"/>
      <c r="I445" s="161"/>
      <c r="J445" s="161"/>
      <c r="K445" s="161"/>
      <c r="L445" s="161"/>
      <c r="M445" s="161"/>
      <c r="N445" s="149"/>
      <c r="O445" s="161"/>
      <c r="P445" s="161"/>
      <c r="S445" s="149"/>
      <c r="T445" s="161"/>
      <c r="V445" s="166"/>
      <c r="W445" s="166"/>
      <c r="X445" s="166"/>
      <c r="Y445" s="166"/>
    </row>
    <row r="446" ht="22.5" customHeight="1">
      <c r="A446" s="161"/>
      <c r="B446" s="162"/>
      <c r="C446" s="161"/>
      <c r="D446" s="168"/>
      <c r="E446" s="168"/>
      <c r="F446" s="162"/>
      <c r="G446" s="149"/>
      <c r="H446" s="161"/>
      <c r="I446" s="161"/>
      <c r="J446" s="161"/>
      <c r="K446" s="161"/>
      <c r="L446" s="161"/>
      <c r="M446" s="161"/>
      <c r="N446" s="149"/>
      <c r="O446" s="161"/>
      <c r="P446" s="161"/>
      <c r="S446" s="149"/>
      <c r="T446" s="161"/>
      <c r="V446" s="166"/>
      <c r="W446" s="166"/>
      <c r="X446" s="166"/>
      <c r="Y446" s="166"/>
    </row>
    <row r="447" ht="22.5" customHeight="1">
      <c r="A447" s="161"/>
      <c r="B447" s="162"/>
      <c r="C447" s="161"/>
      <c r="D447" s="168"/>
      <c r="E447" s="168"/>
      <c r="F447" s="162"/>
      <c r="G447" s="149"/>
      <c r="H447" s="161"/>
      <c r="I447" s="161"/>
      <c r="J447" s="161"/>
      <c r="K447" s="161"/>
      <c r="L447" s="161"/>
      <c r="M447" s="161"/>
      <c r="N447" s="149"/>
      <c r="O447" s="161"/>
      <c r="P447" s="161"/>
      <c r="S447" s="149"/>
      <c r="T447" s="161"/>
      <c r="V447" s="166"/>
      <c r="W447" s="166"/>
      <c r="X447" s="166"/>
      <c r="Y447" s="166"/>
    </row>
    <row r="448" ht="22.5" customHeight="1">
      <c r="A448" s="161"/>
      <c r="B448" s="162"/>
      <c r="C448" s="161"/>
      <c r="D448" s="168"/>
      <c r="E448" s="168"/>
      <c r="F448" s="162"/>
      <c r="G448" s="149"/>
      <c r="H448" s="161"/>
      <c r="I448" s="161"/>
      <c r="J448" s="161"/>
      <c r="K448" s="161"/>
      <c r="L448" s="161"/>
      <c r="M448" s="161"/>
      <c r="N448" s="149"/>
      <c r="O448" s="161"/>
      <c r="P448" s="161"/>
      <c r="S448" s="149"/>
      <c r="T448" s="161"/>
      <c r="V448" s="166"/>
      <c r="W448" s="166"/>
      <c r="X448" s="166"/>
      <c r="Y448" s="166"/>
    </row>
    <row r="449" ht="22.5" customHeight="1">
      <c r="A449" s="161"/>
      <c r="B449" s="162"/>
      <c r="C449" s="161"/>
      <c r="D449" s="168"/>
      <c r="E449" s="168"/>
      <c r="F449" s="162"/>
      <c r="G449" s="149"/>
      <c r="H449" s="161"/>
      <c r="I449" s="161"/>
      <c r="J449" s="161"/>
      <c r="K449" s="161"/>
      <c r="L449" s="161"/>
      <c r="M449" s="161"/>
      <c r="N449" s="149"/>
      <c r="O449" s="161"/>
      <c r="P449" s="161"/>
      <c r="S449" s="149"/>
      <c r="T449" s="161"/>
      <c r="V449" s="166"/>
      <c r="W449" s="166"/>
      <c r="X449" s="166"/>
      <c r="Y449" s="166"/>
    </row>
    <row r="450" ht="22.5" customHeight="1">
      <c r="A450" s="161"/>
      <c r="B450" s="162"/>
      <c r="C450" s="161"/>
      <c r="D450" s="168"/>
      <c r="E450" s="168"/>
      <c r="F450" s="162"/>
      <c r="G450" s="149"/>
      <c r="H450" s="161"/>
      <c r="I450" s="161"/>
      <c r="J450" s="161"/>
      <c r="K450" s="161"/>
      <c r="L450" s="161"/>
      <c r="M450" s="161"/>
      <c r="N450" s="149"/>
      <c r="O450" s="161"/>
      <c r="P450" s="161"/>
      <c r="S450" s="149"/>
      <c r="T450" s="161"/>
      <c r="V450" s="166"/>
      <c r="W450" s="166"/>
      <c r="X450" s="166"/>
      <c r="Y450" s="166"/>
    </row>
    <row r="451" ht="22.5" customHeight="1">
      <c r="A451" s="161"/>
      <c r="B451" s="162"/>
      <c r="C451" s="161"/>
      <c r="D451" s="168"/>
      <c r="E451" s="168"/>
      <c r="F451" s="162"/>
      <c r="G451" s="149"/>
      <c r="H451" s="161"/>
      <c r="I451" s="161"/>
      <c r="J451" s="161"/>
      <c r="K451" s="161"/>
      <c r="L451" s="161"/>
      <c r="M451" s="161"/>
      <c r="N451" s="149"/>
      <c r="O451" s="161"/>
      <c r="P451" s="161"/>
      <c r="S451" s="149"/>
      <c r="T451" s="161"/>
      <c r="V451" s="166"/>
      <c r="W451" s="166"/>
      <c r="X451" s="166"/>
      <c r="Y451" s="166"/>
    </row>
    <row r="452" ht="22.5" customHeight="1">
      <c r="A452" s="161"/>
      <c r="B452" s="162"/>
      <c r="C452" s="161"/>
      <c r="D452" s="168"/>
      <c r="E452" s="168"/>
      <c r="F452" s="162"/>
      <c r="G452" s="149"/>
      <c r="H452" s="161"/>
      <c r="I452" s="161"/>
      <c r="J452" s="161"/>
      <c r="K452" s="161"/>
      <c r="L452" s="161"/>
      <c r="M452" s="161"/>
      <c r="N452" s="149"/>
      <c r="O452" s="161"/>
      <c r="P452" s="161"/>
      <c r="S452" s="149"/>
      <c r="T452" s="161"/>
      <c r="V452" s="166"/>
      <c r="W452" s="166"/>
      <c r="X452" s="166"/>
      <c r="Y452" s="166"/>
    </row>
    <row r="453" ht="22.5" customHeight="1">
      <c r="A453" s="161"/>
      <c r="B453" s="162"/>
      <c r="C453" s="161"/>
      <c r="D453" s="168"/>
      <c r="E453" s="168"/>
      <c r="F453" s="162"/>
      <c r="G453" s="149"/>
      <c r="H453" s="161"/>
      <c r="I453" s="161"/>
      <c r="J453" s="161"/>
      <c r="K453" s="161"/>
      <c r="L453" s="161"/>
      <c r="M453" s="161"/>
      <c r="N453" s="149"/>
      <c r="O453" s="161"/>
      <c r="P453" s="161"/>
      <c r="S453" s="149"/>
      <c r="T453" s="161"/>
      <c r="V453" s="166"/>
      <c r="W453" s="166"/>
      <c r="X453" s="166"/>
      <c r="Y453" s="166"/>
    </row>
    <row r="454" ht="22.5" customHeight="1">
      <c r="A454" s="161"/>
      <c r="B454" s="162"/>
      <c r="C454" s="161"/>
      <c r="D454" s="168"/>
      <c r="E454" s="168"/>
      <c r="F454" s="162"/>
      <c r="G454" s="149"/>
      <c r="H454" s="161"/>
      <c r="I454" s="161"/>
      <c r="J454" s="161"/>
      <c r="K454" s="161"/>
      <c r="L454" s="161"/>
      <c r="M454" s="161"/>
      <c r="N454" s="149"/>
      <c r="O454" s="161"/>
      <c r="P454" s="161"/>
      <c r="S454" s="149"/>
      <c r="T454" s="161"/>
      <c r="V454" s="166"/>
      <c r="W454" s="166"/>
      <c r="X454" s="166"/>
      <c r="Y454" s="166"/>
    </row>
    <row r="455" ht="22.5" customHeight="1">
      <c r="A455" s="161"/>
      <c r="B455" s="162"/>
      <c r="C455" s="161"/>
      <c r="D455" s="168"/>
      <c r="E455" s="168"/>
      <c r="F455" s="162"/>
      <c r="G455" s="149"/>
      <c r="H455" s="161"/>
      <c r="I455" s="161"/>
      <c r="J455" s="161"/>
      <c r="K455" s="161"/>
      <c r="L455" s="161"/>
      <c r="M455" s="161"/>
      <c r="N455" s="149"/>
      <c r="O455" s="161"/>
      <c r="P455" s="161"/>
      <c r="S455" s="149"/>
      <c r="T455" s="161"/>
      <c r="V455" s="166"/>
      <c r="W455" s="166"/>
      <c r="X455" s="166"/>
      <c r="Y455" s="166"/>
    </row>
    <row r="456" ht="22.5" customHeight="1">
      <c r="A456" s="161"/>
      <c r="B456" s="162"/>
      <c r="C456" s="161"/>
      <c r="D456" s="168"/>
      <c r="E456" s="168"/>
      <c r="F456" s="162"/>
      <c r="G456" s="149"/>
      <c r="H456" s="161"/>
      <c r="I456" s="161"/>
      <c r="J456" s="161"/>
      <c r="K456" s="161"/>
      <c r="L456" s="161"/>
      <c r="M456" s="161"/>
      <c r="N456" s="149"/>
      <c r="O456" s="161"/>
      <c r="P456" s="161"/>
      <c r="S456" s="149"/>
      <c r="T456" s="161"/>
      <c r="V456" s="166"/>
      <c r="W456" s="166"/>
      <c r="X456" s="166"/>
      <c r="Y456" s="166"/>
    </row>
    <row r="457" ht="22.5" customHeight="1">
      <c r="A457" s="161"/>
      <c r="B457" s="162"/>
      <c r="C457" s="161"/>
      <c r="D457" s="168"/>
      <c r="E457" s="168"/>
      <c r="F457" s="162"/>
      <c r="G457" s="149"/>
      <c r="H457" s="161"/>
      <c r="I457" s="161"/>
      <c r="J457" s="161"/>
      <c r="K457" s="161"/>
      <c r="L457" s="161"/>
      <c r="M457" s="161"/>
      <c r="N457" s="149"/>
      <c r="O457" s="161"/>
      <c r="P457" s="161"/>
      <c r="S457" s="149"/>
      <c r="T457" s="161"/>
      <c r="V457" s="166"/>
      <c r="W457" s="166"/>
      <c r="X457" s="166"/>
      <c r="Y457" s="166"/>
    </row>
    <row r="458" ht="22.5" customHeight="1">
      <c r="A458" s="161"/>
      <c r="B458" s="162"/>
      <c r="C458" s="161"/>
      <c r="D458" s="168"/>
      <c r="E458" s="168"/>
      <c r="F458" s="162"/>
      <c r="G458" s="149"/>
      <c r="H458" s="161"/>
      <c r="I458" s="161"/>
      <c r="J458" s="161"/>
      <c r="K458" s="161"/>
      <c r="L458" s="161"/>
      <c r="M458" s="161"/>
      <c r="N458" s="149"/>
      <c r="O458" s="161"/>
      <c r="P458" s="161"/>
      <c r="S458" s="149"/>
      <c r="T458" s="161"/>
      <c r="V458" s="166"/>
      <c r="W458" s="166"/>
      <c r="X458" s="166"/>
      <c r="Y458" s="166"/>
    </row>
    <row r="459" ht="22.5" customHeight="1">
      <c r="A459" s="161"/>
      <c r="B459" s="162"/>
      <c r="C459" s="161"/>
      <c r="D459" s="168"/>
      <c r="E459" s="168"/>
      <c r="F459" s="162"/>
      <c r="G459" s="149"/>
      <c r="H459" s="161"/>
      <c r="I459" s="161"/>
      <c r="J459" s="161"/>
      <c r="K459" s="161"/>
      <c r="L459" s="161"/>
      <c r="M459" s="161"/>
      <c r="N459" s="149"/>
      <c r="O459" s="161"/>
      <c r="P459" s="161"/>
      <c r="S459" s="149"/>
      <c r="T459" s="161"/>
      <c r="V459" s="166"/>
      <c r="W459" s="166"/>
      <c r="X459" s="166"/>
      <c r="Y459" s="166"/>
    </row>
    <row r="460" ht="22.5" customHeight="1">
      <c r="A460" s="161"/>
      <c r="B460" s="162"/>
      <c r="C460" s="161"/>
      <c r="D460" s="168"/>
      <c r="E460" s="168"/>
      <c r="F460" s="162"/>
      <c r="G460" s="149"/>
      <c r="H460" s="161"/>
      <c r="I460" s="161"/>
      <c r="J460" s="161"/>
      <c r="K460" s="161"/>
      <c r="L460" s="161"/>
      <c r="M460" s="161"/>
      <c r="N460" s="149"/>
      <c r="O460" s="161"/>
      <c r="P460" s="161"/>
      <c r="S460" s="149"/>
      <c r="T460" s="161"/>
      <c r="V460" s="166"/>
      <c r="W460" s="166"/>
      <c r="X460" s="166"/>
      <c r="Y460" s="166"/>
    </row>
    <row r="461" ht="22.5" customHeight="1">
      <c r="A461" s="161"/>
      <c r="B461" s="162"/>
      <c r="C461" s="161"/>
      <c r="D461" s="168"/>
      <c r="E461" s="168"/>
      <c r="F461" s="162"/>
      <c r="G461" s="149"/>
      <c r="H461" s="161"/>
      <c r="I461" s="161"/>
      <c r="J461" s="161"/>
      <c r="K461" s="161"/>
      <c r="L461" s="161"/>
      <c r="M461" s="161"/>
      <c r="N461" s="149"/>
      <c r="O461" s="161"/>
      <c r="P461" s="161"/>
      <c r="S461" s="149"/>
      <c r="T461" s="161"/>
      <c r="V461" s="166"/>
      <c r="W461" s="166"/>
      <c r="X461" s="166"/>
      <c r="Y461" s="166"/>
    </row>
    <row r="462" ht="22.5" customHeight="1">
      <c r="A462" s="161"/>
      <c r="B462" s="162"/>
      <c r="C462" s="161"/>
      <c r="D462" s="168"/>
      <c r="E462" s="168"/>
      <c r="F462" s="162"/>
      <c r="G462" s="149"/>
      <c r="H462" s="161"/>
      <c r="I462" s="161"/>
      <c r="J462" s="161"/>
      <c r="K462" s="161"/>
      <c r="L462" s="161"/>
      <c r="M462" s="161"/>
      <c r="N462" s="149"/>
      <c r="O462" s="161"/>
      <c r="P462" s="161"/>
      <c r="S462" s="149"/>
      <c r="T462" s="161"/>
      <c r="V462" s="166"/>
      <c r="W462" s="166"/>
      <c r="X462" s="166"/>
      <c r="Y462" s="166"/>
    </row>
    <row r="463" ht="22.5" customHeight="1">
      <c r="A463" s="161"/>
      <c r="B463" s="162"/>
      <c r="C463" s="161"/>
      <c r="D463" s="168"/>
      <c r="E463" s="168"/>
      <c r="F463" s="162"/>
      <c r="G463" s="149"/>
      <c r="H463" s="161"/>
      <c r="I463" s="161"/>
      <c r="J463" s="161"/>
      <c r="K463" s="161"/>
      <c r="L463" s="161"/>
      <c r="M463" s="161"/>
      <c r="N463" s="149"/>
      <c r="O463" s="161"/>
      <c r="P463" s="161"/>
      <c r="S463" s="149"/>
      <c r="T463" s="161"/>
      <c r="V463" s="166"/>
      <c r="W463" s="166"/>
      <c r="X463" s="166"/>
      <c r="Y463" s="166"/>
    </row>
    <row r="464" ht="22.5" customHeight="1">
      <c r="A464" s="161"/>
      <c r="B464" s="162"/>
      <c r="C464" s="161"/>
      <c r="D464" s="168"/>
      <c r="E464" s="168"/>
      <c r="F464" s="162"/>
      <c r="G464" s="149"/>
      <c r="H464" s="161"/>
      <c r="I464" s="161"/>
      <c r="J464" s="161"/>
      <c r="K464" s="161"/>
      <c r="L464" s="161"/>
      <c r="M464" s="161"/>
      <c r="N464" s="149"/>
      <c r="O464" s="161"/>
      <c r="P464" s="161"/>
      <c r="S464" s="149"/>
      <c r="T464" s="161"/>
      <c r="V464" s="166"/>
      <c r="W464" s="166"/>
      <c r="X464" s="166"/>
      <c r="Y464" s="166"/>
    </row>
    <row r="465" ht="22.5" customHeight="1">
      <c r="A465" s="161"/>
      <c r="B465" s="162"/>
      <c r="C465" s="161"/>
      <c r="D465" s="168"/>
      <c r="E465" s="168"/>
      <c r="F465" s="162"/>
      <c r="G465" s="149"/>
      <c r="H465" s="161"/>
      <c r="I465" s="161"/>
      <c r="J465" s="161"/>
      <c r="K465" s="161"/>
      <c r="L465" s="161"/>
      <c r="M465" s="161"/>
      <c r="N465" s="149"/>
      <c r="O465" s="161"/>
      <c r="P465" s="161"/>
      <c r="S465" s="149"/>
      <c r="T465" s="161"/>
      <c r="V465" s="166"/>
      <c r="W465" s="166"/>
      <c r="X465" s="166"/>
      <c r="Y465" s="166"/>
    </row>
    <row r="466" ht="22.5" customHeight="1">
      <c r="A466" s="161"/>
      <c r="B466" s="162"/>
      <c r="C466" s="161"/>
      <c r="D466" s="168"/>
      <c r="E466" s="168"/>
      <c r="F466" s="162"/>
      <c r="G466" s="149"/>
      <c r="H466" s="161"/>
      <c r="I466" s="161"/>
      <c r="J466" s="161"/>
      <c r="K466" s="161"/>
      <c r="L466" s="161"/>
      <c r="M466" s="161"/>
      <c r="N466" s="149"/>
      <c r="O466" s="161"/>
      <c r="P466" s="161"/>
      <c r="S466" s="149"/>
      <c r="T466" s="161"/>
      <c r="V466" s="166"/>
      <c r="W466" s="166"/>
      <c r="X466" s="166"/>
      <c r="Y466" s="166"/>
    </row>
    <row r="467" ht="22.5" customHeight="1">
      <c r="A467" s="161"/>
      <c r="B467" s="162"/>
      <c r="C467" s="161"/>
      <c r="D467" s="168"/>
      <c r="E467" s="168"/>
      <c r="F467" s="162"/>
      <c r="G467" s="149"/>
      <c r="H467" s="161"/>
      <c r="I467" s="161"/>
      <c r="J467" s="161"/>
      <c r="K467" s="161"/>
      <c r="L467" s="161"/>
      <c r="M467" s="161"/>
      <c r="N467" s="149"/>
      <c r="O467" s="161"/>
      <c r="P467" s="161"/>
      <c r="S467" s="149"/>
      <c r="T467" s="161"/>
      <c r="V467" s="166"/>
      <c r="W467" s="166"/>
      <c r="X467" s="166"/>
      <c r="Y467" s="166"/>
    </row>
    <row r="468" ht="22.5" customHeight="1">
      <c r="A468" s="161"/>
      <c r="B468" s="162"/>
      <c r="C468" s="161"/>
      <c r="D468" s="168"/>
      <c r="E468" s="168"/>
      <c r="F468" s="162"/>
      <c r="G468" s="149"/>
      <c r="H468" s="161"/>
      <c r="I468" s="161"/>
      <c r="J468" s="161"/>
      <c r="K468" s="161"/>
      <c r="L468" s="161"/>
      <c r="M468" s="161"/>
      <c r="N468" s="149"/>
      <c r="O468" s="161"/>
      <c r="P468" s="161"/>
      <c r="S468" s="149"/>
      <c r="T468" s="161"/>
      <c r="V468" s="166"/>
      <c r="W468" s="166"/>
      <c r="X468" s="166"/>
      <c r="Y468" s="166"/>
    </row>
    <row r="469" ht="22.5" customHeight="1">
      <c r="A469" s="161"/>
      <c r="B469" s="162"/>
      <c r="C469" s="161"/>
      <c r="D469" s="168"/>
      <c r="E469" s="168"/>
      <c r="F469" s="162"/>
      <c r="G469" s="149"/>
      <c r="H469" s="161"/>
      <c r="I469" s="161"/>
      <c r="J469" s="161"/>
      <c r="K469" s="161"/>
      <c r="L469" s="161"/>
      <c r="M469" s="161"/>
      <c r="N469" s="149"/>
      <c r="O469" s="161"/>
      <c r="P469" s="161"/>
      <c r="S469" s="149"/>
      <c r="T469" s="161"/>
      <c r="V469" s="166"/>
      <c r="W469" s="166"/>
      <c r="X469" s="166"/>
      <c r="Y469" s="166"/>
    </row>
    <row r="470" ht="22.5" customHeight="1">
      <c r="A470" s="161"/>
      <c r="B470" s="162"/>
      <c r="C470" s="161"/>
      <c r="D470" s="168"/>
      <c r="E470" s="168"/>
      <c r="F470" s="162"/>
      <c r="G470" s="149"/>
      <c r="H470" s="161"/>
      <c r="I470" s="161"/>
      <c r="J470" s="161"/>
      <c r="K470" s="161"/>
      <c r="L470" s="161"/>
      <c r="M470" s="161"/>
      <c r="N470" s="149"/>
      <c r="O470" s="161"/>
      <c r="P470" s="161"/>
      <c r="S470" s="149"/>
      <c r="T470" s="161"/>
      <c r="V470" s="166"/>
      <c r="W470" s="166"/>
      <c r="X470" s="166"/>
      <c r="Y470" s="166"/>
    </row>
    <row r="471" ht="22.5" customHeight="1">
      <c r="A471" s="161"/>
      <c r="B471" s="162"/>
      <c r="C471" s="161"/>
      <c r="D471" s="168"/>
      <c r="E471" s="168"/>
      <c r="F471" s="162"/>
      <c r="G471" s="149"/>
      <c r="H471" s="161"/>
      <c r="I471" s="161"/>
      <c r="J471" s="161"/>
      <c r="K471" s="161"/>
      <c r="L471" s="161"/>
      <c r="M471" s="161"/>
      <c r="N471" s="149"/>
      <c r="O471" s="161"/>
      <c r="P471" s="161"/>
      <c r="S471" s="149"/>
      <c r="T471" s="161"/>
      <c r="V471" s="166"/>
      <c r="W471" s="166"/>
      <c r="X471" s="166"/>
      <c r="Y471" s="166"/>
    </row>
    <row r="472" ht="22.5" customHeight="1">
      <c r="A472" s="161"/>
      <c r="B472" s="162"/>
      <c r="C472" s="161"/>
      <c r="D472" s="168"/>
      <c r="E472" s="168"/>
      <c r="F472" s="162"/>
      <c r="G472" s="149"/>
      <c r="H472" s="161"/>
      <c r="I472" s="161"/>
      <c r="J472" s="161"/>
      <c r="K472" s="161"/>
      <c r="L472" s="161"/>
      <c r="M472" s="161"/>
      <c r="N472" s="149"/>
      <c r="O472" s="161"/>
      <c r="P472" s="161"/>
      <c r="S472" s="149"/>
      <c r="T472" s="161"/>
      <c r="V472" s="166"/>
      <c r="W472" s="166"/>
      <c r="X472" s="166"/>
      <c r="Y472" s="166"/>
    </row>
    <row r="473" ht="22.5" customHeight="1">
      <c r="A473" s="161"/>
      <c r="B473" s="162"/>
      <c r="C473" s="161"/>
      <c r="D473" s="168"/>
      <c r="E473" s="168"/>
      <c r="F473" s="162"/>
      <c r="G473" s="149"/>
      <c r="H473" s="161"/>
      <c r="I473" s="161"/>
      <c r="J473" s="161"/>
      <c r="K473" s="161"/>
      <c r="L473" s="161"/>
      <c r="M473" s="161"/>
      <c r="N473" s="149"/>
      <c r="O473" s="161"/>
      <c r="P473" s="161"/>
      <c r="S473" s="149"/>
      <c r="T473" s="161"/>
      <c r="V473" s="166"/>
      <c r="W473" s="166"/>
      <c r="X473" s="166"/>
      <c r="Y473" s="166"/>
    </row>
    <row r="474" ht="22.5" customHeight="1">
      <c r="A474" s="161"/>
      <c r="B474" s="162"/>
      <c r="C474" s="161"/>
      <c r="D474" s="168"/>
      <c r="E474" s="168"/>
      <c r="F474" s="162"/>
      <c r="G474" s="149"/>
      <c r="H474" s="161"/>
      <c r="I474" s="161"/>
      <c r="J474" s="161"/>
      <c r="K474" s="161"/>
      <c r="L474" s="161"/>
      <c r="M474" s="161"/>
      <c r="N474" s="149"/>
      <c r="O474" s="161"/>
      <c r="P474" s="161"/>
      <c r="S474" s="149"/>
      <c r="T474" s="161"/>
      <c r="V474" s="166"/>
      <c r="W474" s="166"/>
      <c r="X474" s="166"/>
      <c r="Y474" s="166"/>
    </row>
    <row r="475" ht="22.5" customHeight="1">
      <c r="A475" s="161"/>
      <c r="B475" s="162"/>
      <c r="C475" s="161"/>
      <c r="D475" s="168"/>
      <c r="E475" s="168"/>
      <c r="F475" s="162"/>
      <c r="G475" s="149"/>
      <c r="H475" s="161"/>
      <c r="I475" s="161"/>
      <c r="J475" s="161"/>
      <c r="K475" s="161"/>
      <c r="L475" s="161"/>
      <c r="M475" s="161"/>
      <c r="N475" s="149"/>
      <c r="O475" s="161"/>
      <c r="P475" s="161"/>
      <c r="S475" s="149"/>
      <c r="T475" s="161"/>
      <c r="V475" s="166"/>
      <c r="W475" s="166"/>
      <c r="X475" s="166"/>
      <c r="Y475" s="166"/>
    </row>
    <row r="476" ht="22.5" customHeight="1">
      <c r="A476" s="161"/>
      <c r="B476" s="162"/>
      <c r="C476" s="161"/>
      <c r="D476" s="168"/>
      <c r="E476" s="168"/>
      <c r="F476" s="162"/>
      <c r="G476" s="149"/>
      <c r="H476" s="161"/>
      <c r="I476" s="161"/>
      <c r="J476" s="161"/>
      <c r="K476" s="161"/>
      <c r="L476" s="161"/>
      <c r="M476" s="161"/>
      <c r="N476" s="149"/>
      <c r="O476" s="161"/>
      <c r="P476" s="161"/>
      <c r="S476" s="149"/>
      <c r="T476" s="161"/>
      <c r="V476" s="166"/>
      <c r="W476" s="166"/>
      <c r="X476" s="166"/>
      <c r="Y476" s="166"/>
    </row>
    <row r="477" ht="22.5" customHeight="1">
      <c r="A477" s="161"/>
      <c r="B477" s="162"/>
      <c r="C477" s="161"/>
      <c r="D477" s="168"/>
      <c r="E477" s="168"/>
      <c r="F477" s="162"/>
      <c r="G477" s="149"/>
      <c r="H477" s="161"/>
      <c r="I477" s="161"/>
      <c r="J477" s="161"/>
      <c r="K477" s="161"/>
      <c r="L477" s="161"/>
      <c r="M477" s="161"/>
      <c r="N477" s="149"/>
      <c r="O477" s="161"/>
      <c r="P477" s="161"/>
      <c r="S477" s="149"/>
      <c r="T477" s="161"/>
      <c r="V477" s="166"/>
      <c r="W477" s="166"/>
      <c r="X477" s="166"/>
      <c r="Y477" s="166"/>
    </row>
    <row r="478" ht="22.5" customHeight="1">
      <c r="A478" s="161"/>
      <c r="B478" s="162"/>
      <c r="C478" s="161"/>
      <c r="D478" s="168"/>
      <c r="E478" s="168"/>
      <c r="F478" s="162"/>
      <c r="G478" s="149"/>
      <c r="H478" s="161"/>
      <c r="I478" s="161"/>
      <c r="J478" s="161"/>
      <c r="K478" s="161"/>
      <c r="L478" s="161"/>
      <c r="M478" s="161"/>
      <c r="N478" s="149"/>
      <c r="O478" s="161"/>
      <c r="P478" s="161"/>
      <c r="S478" s="149"/>
      <c r="T478" s="161"/>
      <c r="V478" s="166"/>
      <c r="W478" s="166"/>
      <c r="X478" s="166"/>
      <c r="Y478" s="166"/>
    </row>
    <row r="479" ht="22.5" customHeight="1">
      <c r="A479" s="161"/>
      <c r="B479" s="162"/>
      <c r="C479" s="161"/>
      <c r="D479" s="168"/>
      <c r="E479" s="168"/>
      <c r="F479" s="162"/>
      <c r="G479" s="149"/>
      <c r="H479" s="161"/>
      <c r="I479" s="161"/>
      <c r="J479" s="161"/>
      <c r="K479" s="161"/>
      <c r="L479" s="161"/>
      <c r="M479" s="161"/>
      <c r="N479" s="149"/>
      <c r="O479" s="161"/>
      <c r="P479" s="161"/>
      <c r="S479" s="149"/>
      <c r="T479" s="161"/>
      <c r="V479" s="166"/>
      <c r="W479" s="166"/>
      <c r="X479" s="166"/>
      <c r="Y479" s="166"/>
    </row>
    <row r="480" ht="22.5" customHeight="1">
      <c r="A480" s="161"/>
      <c r="B480" s="162"/>
      <c r="C480" s="161"/>
      <c r="D480" s="168"/>
      <c r="E480" s="168"/>
      <c r="F480" s="162"/>
      <c r="G480" s="149"/>
      <c r="H480" s="161"/>
      <c r="I480" s="161"/>
      <c r="J480" s="161"/>
      <c r="K480" s="161"/>
      <c r="L480" s="161"/>
      <c r="M480" s="161"/>
      <c r="N480" s="149"/>
      <c r="O480" s="161"/>
      <c r="P480" s="161"/>
      <c r="S480" s="149"/>
      <c r="T480" s="161"/>
      <c r="V480" s="166"/>
      <c r="W480" s="166"/>
      <c r="X480" s="166"/>
      <c r="Y480" s="166"/>
    </row>
    <row r="481" ht="22.5" customHeight="1">
      <c r="A481" s="161"/>
      <c r="B481" s="162"/>
      <c r="C481" s="161"/>
      <c r="D481" s="168"/>
      <c r="E481" s="168"/>
      <c r="F481" s="162"/>
      <c r="G481" s="149"/>
      <c r="H481" s="161"/>
      <c r="I481" s="161"/>
      <c r="J481" s="161"/>
      <c r="K481" s="161"/>
      <c r="L481" s="161"/>
      <c r="M481" s="161"/>
      <c r="N481" s="149"/>
      <c r="O481" s="161"/>
      <c r="P481" s="161"/>
      <c r="S481" s="149"/>
      <c r="T481" s="161"/>
      <c r="V481" s="166"/>
      <c r="W481" s="166"/>
      <c r="X481" s="166"/>
      <c r="Y481" s="166"/>
    </row>
    <row r="482" ht="22.5" customHeight="1">
      <c r="A482" s="161"/>
      <c r="B482" s="162"/>
      <c r="C482" s="161"/>
      <c r="D482" s="168"/>
      <c r="E482" s="168"/>
      <c r="F482" s="162"/>
      <c r="G482" s="149"/>
      <c r="H482" s="161"/>
      <c r="I482" s="161"/>
      <c r="J482" s="161"/>
      <c r="K482" s="161"/>
      <c r="L482" s="161"/>
      <c r="M482" s="161"/>
      <c r="N482" s="149"/>
      <c r="O482" s="161"/>
      <c r="P482" s="161"/>
      <c r="S482" s="149"/>
      <c r="T482" s="161"/>
      <c r="V482" s="166"/>
      <c r="W482" s="166"/>
      <c r="X482" s="166"/>
      <c r="Y482" s="166"/>
    </row>
    <row r="483" ht="22.5" customHeight="1">
      <c r="A483" s="161"/>
      <c r="B483" s="162"/>
      <c r="C483" s="161"/>
      <c r="D483" s="168"/>
      <c r="E483" s="168"/>
      <c r="F483" s="162"/>
      <c r="G483" s="149"/>
      <c r="H483" s="161"/>
      <c r="I483" s="161"/>
      <c r="J483" s="161"/>
      <c r="K483" s="161"/>
      <c r="L483" s="161"/>
      <c r="M483" s="161"/>
      <c r="N483" s="149"/>
      <c r="O483" s="161"/>
      <c r="P483" s="161"/>
      <c r="S483" s="149"/>
      <c r="T483" s="161"/>
      <c r="V483" s="166"/>
      <c r="W483" s="166"/>
      <c r="X483" s="166"/>
      <c r="Y483" s="166"/>
    </row>
    <row r="484" ht="22.5" customHeight="1">
      <c r="A484" s="161"/>
      <c r="B484" s="162"/>
      <c r="C484" s="161"/>
      <c r="D484" s="168"/>
      <c r="E484" s="168"/>
      <c r="F484" s="162"/>
      <c r="G484" s="149"/>
      <c r="H484" s="161"/>
      <c r="I484" s="161"/>
      <c r="J484" s="161"/>
      <c r="K484" s="161"/>
      <c r="L484" s="161"/>
      <c r="M484" s="161"/>
      <c r="N484" s="149"/>
      <c r="O484" s="161"/>
      <c r="P484" s="161"/>
      <c r="S484" s="149"/>
      <c r="T484" s="161"/>
      <c r="V484" s="166"/>
      <c r="W484" s="166"/>
      <c r="X484" s="166"/>
      <c r="Y484" s="166"/>
    </row>
    <row r="485" ht="22.5" customHeight="1">
      <c r="A485" s="161"/>
      <c r="B485" s="162"/>
      <c r="C485" s="161"/>
      <c r="D485" s="168"/>
      <c r="E485" s="168"/>
      <c r="F485" s="162"/>
      <c r="G485" s="149"/>
      <c r="H485" s="161"/>
      <c r="I485" s="161"/>
      <c r="J485" s="161"/>
      <c r="K485" s="161"/>
      <c r="L485" s="161"/>
      <c r="M485" s="161"/>
      <c r="N485" s="149"/>
      <c r="O485" s="161"/>
      <c r="P485" s="161"/>
      <c r="S485" s="149"/>
      <c r="T485" s="161"/>
      <c r="V485" s="166"/>
      <c r="W485" s="166"/>
      <c r="X485" s="166"/>
      <c r="Y485" s="166"/>
    </row>
    <row r="486" ht="22.5" customHeight="1">
      <c r="A486" s="161"/>
      <c r="B486" s="162"/>
      <c r="C486" s="161"/>
      <c r="D486" s="168"/>
      <c r="E486" s="168"/>
      <c r="F486" s="162"/>
      <c r="G486" s="149"/>
      <c r="H486" s="161"/>
      <c r="I486" s="161"/>
      <c r="J486" s="161"/>
      <c r="K486" s="161"/>
      <c r="L486" s="161"/>
      <c r="M486" s="161"/>
      <c r="N486" s="149"/>
      <c r="O486" s="161"/>
      <c r="P486" s="161"/>
      <c r="S486" s="149"/>
      <c r="T486" s="161"/>
      <c r="V486" s="166"/>
      <c r="W486" s="166"/>
      <c r="X486" s="166"/>
      <c r="Y486" s="166"/>
    </row>
    <row r="487" ht="22.5" customHeight="1">
      <c r="A487" s="161"/>
      <c r="B487" s="162"/>
      <c r="C487" s="161"/>
      <c r="D487" s="168"/>
      <c r="E487" s="168"/>
      <c r="F487" s="162"/>
      <c r="G487" s="149"/>
      <c r="H487" s="161"/>
      <c r="I487" s="161"/>
      <c r="J487" s="161"/>
      <c r="K487" s="161"/>
      <c r="L487" s="161"/>
      <c r="M487" s="161"/>
      <c r="N487" s="149"/>
      <c r="O487" s="161"/>
      <c r="P487" s="161"/>
      <c r="S487" s="149"/>
      <c r="T487" s="161"/>
      <c r="V487" s="166"/>
      <c r="W487" s="166"/>
      <c r="X487" s="166"/>
      <c r="Y487" s="166"/>
    </row>
    <row r="488" ht="22.5" customHeight="1">
      <c r="A488" s="161"/>
      <c r="B488" s="162"/>
      <c r="C488" s="161"/>
      <c r="D488" s="168"/>
      <c r="E488" s="168"/>
      <c r="F488" s="162"/>
      <c r="G488" s="149"/>
      <c r="H488" s="161"/>
      <c r="I488" s="161"/>
      <c r="J488" s="161"/>
      <c r="K488" s="161"/>
      <c r="L488" s="161"/>
      <c r="M488" s="161"/>
      <c r="N488" s="149"/>
      <c r="O488" s="161"/>
      <c r="P488" s="161"/>
      <c r="S488" s="149"/>
      <c r="T488" s="161"/>
      <c r="V488" s="166"/>
      <c r="W488" s="166"/>
      <c r="X488" s="166"/>
      <c r="Y488" s="166"/>
    </row>
    <row r="489" ht="22.5" customHeight="1">
      <c r="A489" s="161"/>
      <c r="B489" s="162"/>
      <c r="C489" s="161"/>
      <c r="D489" s="168"/>
      <c r="E489" s="168"/>
      <c r="F489" s="162"/>
      <c r="G489" s="149"/>
      <c r="H489" s="161"/>
      <c r="I489" s="161"/>
      <c r="J489" s="161"/>
      <c r="K489" s="161"/>
      <c r="L489" s="161"/>
      <c r="M489" s="161"/>
      <c r="N489" s="149"/>
      <c r="O489" s="161"/>
      <c r="P489" s="161"/>
      <c r="S489" s="149"/>
      <c r="T489" s="161"/>
      <c r="V489" s="166"/>
      <c r="W489" s="166"/>
      <c r="X489" s="166"/>
      <c r="Y489" s="166"/>
    </row>
    <row r="490" ht="22.5" customHeight="1">
      <c r="A490" s="161"/>
      <c r="B490" s="162"/>
      <c r="C490" s="161"/>
      <c r="D490" s="168"/>
      <c r="E490" s="168"/>
      <c r="F490" s="162"/>
      <c r="G490" s="149"/>
      <c r="H490" s="161"/>
      <c r="I490" s="161"/>
      <c r="J490" s="161"/>
      <c r="K490" s="161"/>
      <c r="L490" s="161"/>
      <c r="M490" s="161"/>
      <c r="N490" s="149"/>
      <c r="O490" s="161"/>
      <c r="P490" s="161"/>
      <c r="S490" s="149"/>
      <c r="T490" s="161"/>
      <c r="V490" s="166"/>
      <c r="W490" s="166"/>
      <c r="X490" s="166"/>
      <c r="Y490" s="166"/>
    </row>
    <row r="491" ht="22.5" customHeight="1">
      <c r="A491" s="161"/>
      <c r="B491" s="162"/>
      <c r="C491" s="161"/>
      <c r="D491" s="168"/>
      <c r="E491" s="168"/>
      <c r="F491" s="162"/>
      <c r="G491" s="149"/>
      <c r="H491" s="161"/>
      <c r="I491" s="161"/>
      <c r="J491" s="161"/>
      <c r="K491" s="161"/>
      <c r="L491" s="161"/>
      <c r="M491" s="161"/>
      <c r="N491" s="149"/>
      <c r="O491" s="161"/>
      <c r="P491" s="161"/>
      <c r="S491" s="149"/>
      <c r="T491" s="161"/>
      <c r="V491" s="166"/>
      <c r="W491" s="166"/>
      <c r="X491" s="166"/>
      <c r="Y491" s="166"/>
    </row>
    <row r="492" ht="22.5" customHeight="1">
      <c r="A492" s="161"/>
      <c r="B492" s="162"/>
      <c r="C492" s="161"/>
      <c r="D492" s="168"/>
      <c r="E492" s="168"/>
      <c r="F492" s="162"/>
      <c r="G492" s="149"/>
      <c r="H492" s="161"/>
      <c r="I492" s="161"/>
      <c r="J492" s="161"/>
      <c r="K492" s="161"/>
      <c r="L492" s="161"/>
      <c r="M492" s="161"/>
      <c r="N492" s="149"/>
      <c r="O492" s="161"/>
      <c r="P492" s="161"/>
      <c r="S492" s="149"/>
      <c r="T492" s="161"/>
      <c r="V492" s="166"/>
      <c r="W492" s="166"/>
      <c r="X492" s="166"/>
      <c r="Y492" s="166"/>
    </row>
    <row r="493" ht="22.5" customHeight="1">
      <c r="A493" s="161"/>
      <c r="B493" s="162"/>
      <c r="C493" s="161"/>
      <c r="D493" s="168"/>
      <c r="E493" s="168"/>
      <c r="F493" s="162"/>
      <c r="G493" s="149"/>
      <c r="H493" s="161"/>
      <c r="I493" s="161"/>
      <c r="J493" s="161"/>
      <c r="K493" s="161"/>
      <c r="L493" s="161"/>
      <c r="M493" s="161"/>
      <c r="N493" s="149"/>
      <c r="O493" s="161"/>
      <c r="P493" s="161"/>
      <c r="S493" s="149"/>
      <c r="T493" s="161"/>
      <c r="V493" s="166"/>
      <c r="W493" s="166"/>
      <c r="X493" s="166"/>
      <c r="Y493" s="166"/>
    </row>
    <row r="494" ht="22.5" customHeight="1">
      <c r="A494" s="161"/>
      <c r="B494" s="162"/>
      <c r="C494" s="161"/>
      <c r="D494" s="168"/>
      <c r="E494" s="168"/>
      <c r="F494" s="162"/>
      <c r="G494" s="149"/>
      <c r="H494" s="161"/>
      <c r="I494" s="161"/>
      <c r="J494" s="161"/>
      <c r="K494" s="161"/>
      <c r="L494" s="161"/>
      <c r="M494" s="161"/>
      <c r="N494" s="149"/>
      <c r="O494" s="161"/>
      <c r="P494" s="161"/>
      <c r="S494" s="149"/>
      <c r="T494" s="161"/>
      <c r="V494" s="166"/>
      <c r="W494" s="166"/>
      <c r="X494" s="166"/>
      <c r="Y494" s="166"/>
    </row>
    <row r="495" ht="22.5" customHeight="1">
      <c r="A495" s="161"/>
      <c r="B495" s="162"/>
      <c r="C495" s="161"/>
      <c r="D495" s="168"/>
      <c r="E495" s="168"/>
      <c r="F495" s="162"/>
      <c r="G495" s="149"/>
      <c r="H495" s="161"/>
      <c r="I495" s="161"/>
      <c r="J495" s="161"/>
      <c r="K495" s="161"/>
      <c r="L495" s="161"/>
      <c r="M495" s="161"/>
      <c r="N495" s="149"/>
      <c r="O495" s="161"/>
      <c r="P495" s="161"/>
      <c r="S495" s="149"/>
      <c r="T495" s="161"/>
      <c r="V495" s="166"/>
      <c r="W495" s="166"/>
      <c r="X495" s="166"/>
      <c r="Y495" s="166"/>
    </row>
    <row r="496" ht="22.5" customHeight="1">
      <c r="A496" s="161"/>
      <c r="B496" s="162"/>
      <c r="C496" s="161"/>
      <c r="D496" s="168"/>
      <c r="E496" s="168"/>
      <c r="F496" s="162"/>
      <c r="G496" s="149"/>
      <c r="H496" s="161"/>
      <c r="I496" s="161"/>
      <c r="J496" s="161"/>
      <c r="K496" s="161"/>
      <c r="L496" s="161"/>
      <c r="M496" s="161"/>
      <c r="N496" s="149"/>
      <c r="O496" s="161"/>
      <c r="P496" s="161"/>
      <c r="S496" s="149"/>
      <c r="T496" s="161"/>
      <c r="V496" s="166"/>
      <c r="W496" s="166"/>
      <c r="X496" s="166"/>
      <c r="Y496" s="166"/>
    </row>
    <row r="497" ht="22.5" customHeight="1">
      <c r="A497" s="161"/>
      <c r="B497" s="162"/>
      <c r="C497" s="161"/>
      <c r="D497" s="168"/>
      <c r="E497" s="168"/>
      <c r="F497" s="162"/>
      <c r="G497" s="149"/>
      <c r="H497" s="161"/>
      <c r="I497" s="161"/>
      <c r="J497" s="161"/>
      <c r="K497" s="161"/>
      <c r="L497" s="161"/>
      <c r="M497" s="161"/>
      <c r="N497" s="149"/>
      <c r="O497" s="161"/>
      <c r="P497" s="161"/>
      <c r="S497" s="149"/>
      <c r="T497" s="161"/>
      <c r="V497" s="166"/>
      <c r="W497" s="166"/>
      <c r="X497" s="166"/>
      <c r="Y497" s="166"/>
    </row>
    <row r="498" ht="22.5" customHeight="1">
      <c r="A498" s="161"/>
      <c r="B498" s="162"/>
      <c r="C498" s="161"/>
      <c r="D498" s="168"/>
      <c r="E498" s="168"/>
      <c r="F498" s="162"/>
      <c r="G498" s="149"/>
      <c r="H498" s="161"/>
      <c r="I498" s="161"/>
      <c r="J498" s="161"/>
      <c r="K498" s="161"/>
      <c r="L498" s="161"/>
      <c r="M498" s="161"/>
      <c r="N498" s="149"/>
      <c r="O498" s="161"/>
      <c r="P498" s="161"/>
      <c r="S498" s="149"/>
      <c r="T498" s="161"/>
      <c r="V498" s="166"/>
      <c r="W498" s="166"/>
      <c r="X498" s="166"/>
      <c r="Y498" s="166"/>
    </row>
    <row r="499" ht="22.5" customHeight="1">
      <c r="A499" s="161"/>
      <c r="B499" s="162"/>
      <c r="C499" s="161"/>
      <c r="D499" s="168"/>
      <c r="E499" s="168"/>
      <c r="F499" s="162"/>
      <c r="G499" s="149"/>
      <c r="H499" s="161"/>
      <c r="I499" s="161"/>
      <c r="J499" s="161"/>
      <c r="K499" s="161"/>
      <c r="L499" s="161"/>
      <c r="M499" s="161"/>
      <c r="N499" s="149"/>
      <c r="O499" s="161"/>
      <c r="P499" s="161"/>
      <c r="S499" s="149"/>
      <c r="T499" s="161"/>
      <c r="V499" s="166"/>
      <c r="W499" s="166"/>
      <c r="X499" s="166"/>
      <c r="Y499" s="166"/>
    </row>
    <row r="500" ht="22.5" customHeight="1">
      <c r="A500" s="161"/>
      <c r="B500" s="162"/>
      <c r="C500" s="161"/>
      <c r="D500" s="168"/>
      <c r="E500" s="168"/>
      <c r="F500" s="162"/>
      <c r="G500" s="149"/>
      <c r="H500" s="161"/>
      <c r="I500" s="161"/>
      <c r="J500" s="161"/>
      <c r="K500" s="161"/>
      <c r="L500" s="161"/>
      <c r="M500" s="161"/>
      <c r="N500" s="149"/>
      <c r="O500" s="161"/>
      <c r="P500" s="161"/>
      <c r="S500" s="149"/>
      <c r="T500" s="161"/>
      <c r="V500" s="166"/>
      <c r="W500" s="166"/>
      <c r="X500" s="166"/>
      <c r="Y500" s="166"/>
    </row>
    <row r="501" ht="22.5" customHeight="1">
      <c r="A501" s="161"/>
      <c r="B501" s="162"/>
      <c r="C501" s="161"/>
      <c r="D501" s="168"/>
      <c r="E501" s="168"/>
      <c r="F501" s="162"/>
      <c r="G501" s="149"/>
      <c r="H501" s="161"/>
      <c r="I501" s="161"/>
      <c r="J501" s="161"/>
      <c r="K501" s="161"/>
      <c r="L501" s="161"/>
      <c r="M501" s="161"/>
      <c r="N501" s="149"/>
      <c r="O501" s="161"/>
      <c r="P501" s="161"/>
      <c r="S501" s="149"/>
      <c r="T501" s="161"/>
      <c r="V501" s="166"/>
      <c r="W501" s="166"/>
      <c r="X501" s="166"/>
      <c r="Y501" s="166"/>
    </row>
    <row r="502" ht="22.5" customHeight="1">
      <c r="A502" s="161"/>
      <c r="B502" s="162"/>
      <c r="C502" s="161"/>
      <c r="D502" s="168"/>
      <c r="E502" s="168"/>
      <c r="F502" s="162"/>
      <c r="G502" s="149"/>
      <c r="H502" s="161"/>
      <c r="I502" s="161"/>
      <c r="J502" s="161"/>
      <c r="K502" s="161"/>
      <c r="L502" s="161"/>
      <c r="M502" s="161"/>
      <c r="N502" s="149"/>
      <c r="O502" s="161"/>
      <c r="P502" s="161"/>
      <c r="S502" s="149"/>
      <c r="T502" s="161"/>
      <c r="V502" s="166"/>
      <c r="W502" s="166"/>
      <c r="X502" s="166"/>
      <c r="Y502" s="166"/>
    </row>
    <row r="503" ht="22.5" customHeight="1">
      <c r="A503" s="161"/>
      <c r="B503" s="162"/>
      <c r="C503" s="161"/>
      <c r="D503" s="168"/>
      <c r="E503" s="168"/>
      <c r="F503" s="162"/>
      <c r="G503" s="149"/>
      <c r="H503" s="161"/>
      <c r="I503" s="161"/>
      <c r="J503" s="161"/>
      <c r="K503" s="161"/>
      <c r="L503" s="161"/>
      <c r="M503" s="161"/>
      <c r="N503" s="149"/>
      <c r="O503" s="161"/>
      <c r="P503" s="161"/>
      <c r="S503" s="149"/>
      <c r="T503" s="161"/>
      <c r="V503" s="166"/>
      <c r="W503" s="166"/>
      <c r="X503" s="166"/>
      <c r="Y503" s="166"/>
    </row>
    <row r="504" ht="22.5" customHeight="1">
      <c r="A504" s="161"/>
      <c r="B504" s="162"/>
      <c r="C504" s="161"/>
      <c r="D504" s="168"/>
      <c r="E504" s="168"/>
      <c r="F504" s="162"/>
      <c r="G504" s="149"/>
      <c r="H504" s="161"/>
      <c r="I504" s="161"/>
      <c r="J504" s="161"/>
      <c r="K504" s="161"/>
      <c r="L504" s="161"/>
      <c r="M504" s="161"/>
      <c r="N504" s="149"/>
      <c r="O504" s="161"/>
      <c r="P504" s="161"/>
      <c r="S504" s="149"/>
      <c r="T504" s="161"/>
      <c r="V504" s="166"/>
      <c r="W504" s="166"/>
      <c r="X504" s="166"/>
      <c r="Y504" s="166"/>
    </row>
    <row r="505" ht="22.5" customHeight="1">
      <c r="A505" s="161"/>
      <c r="B505" s="162"/>
      <c r="C505" s="161"/>
      <c r="D505" s="168"/>
      <c r="E505" s="168"/>
      <c r="F505" s="162"/>
      <c r="G505" s="149"/>
      <c r="H505" s="161"/>
      <c r="I505" s="161"/>
      <c r="J505" s="161"/>
      <c r="K505" s="161"/>
      <c r="L505" s="161"/>
      <c r="M505" s="161"/>
      <c r="N505" s="149"/>
      <c r="O505" s="161"/>
      <c r="P505" s="161"/>
      <c r="S505" s="149"/>
      <c r="T505" s="161"/>
      <c r="V505" s="166"/>
      <c r="W505" s="166"/>
      <c r="X505" s="166"/>
      <c r="Y505" s="166"/>
    </row>
    <row r="506" ht="22.5" customHeight="1">
      <c r="A506" s="161"/>
      <c r="B506" s="162"/>
      <c r="C506" s="161"/>
      <c r="D506" s="168"/>
      <c r="E506" s="168"/>
      <c r="F506" s="162"/>
      <c r="G506" s="149"/>
      <c r="H506" s="161"/>
      <c r="I506" s="161"/>
      <c r="J506" s="161"/>
      <c r="K506" s="161"/>
      <c r="L506" s="161"/>
      <c r="M506" s="161"/>
      <c r="N506" s="149"/>
      <c r="O506" s="161"/>
      <c r="P506" s="161"/>
      <c r="S506" s="149"/>
      <c r="T506" s="161"/>
      <c r="V506" s="166"/>
      <c r="W506" s="166"/>
      <c r="X506" s="166"/>
      <c r="Y506" s="166"/>
    </row>
    <row r="507" ht="22.5" customHeight="1">
      <c r="A507" s="161"/>
      <c r="B507" s="162"/>
      <c r="C507" s="161"/>
      <c r="D507" s="168"/>
      <c r="E507" s="168"/>
      <c r="F507" s="162"/>
      <c r="G507" s="149"/>
      <c r="H507" s="161"/>
      <c r="I507" s="161"/>
      <c r="J507" s="161"/>
      <c r="K507" s="161"/>
      <c r="L507" s="161"/>
      <c r="M507" s="161"/>
      <c r="N507" s="149"/>
      <c r="O507" s="161"/>
      <c r="P507" s="161"/>
      <c r="S507" s="149"/>
      <c r="T507" s="161"/>
      <c r="V507" s="166"/>
      <c r="W507" s="166"/>
      <c r="X507" s="166"/>
      <c r="Y507" s="166"/>
    </row>
    <row r="508" ht="22.5" customHeight="1">
      <c r="A508" s="161"/>
      <c r="B508" s="162"/>
      <c r="C508" s="161"/>
      <c r="D508" s="168"/>
      <c r="E508" s="168"/>
      <c r="F508" s="162"/>
      <c r="G508" s="149"/>
      <c r="H508" s="161"/>
      <c r="I508" s="161"/>
      <c r="J508" s="161"/>
      <c r="K508" s="161"/>
      <c r="L508" s="161"/>
      <c r="M508" s="161"/>
      <c r="N508" s="149"/>
      <c r="O508" s="161"/>
      <c r="P508" s="161"/>
      <c r="S508" s="149"/>
      <c r="T508" s="161"/>
      <c r="V508" s="166"/>
      <c r="W508" s="166"/>
      <c r="X508" s="166"/>
      <c r="Y508" s="166"/>
    </row>
    <row r="509" ht="22.5" customHeight="1">
      <c r="A509" s="161"/>
      <c r="B509" s="162"/>
      <c r="C509" s="161"/>
      <c r="D509" s="168"/>
      <c r="E509" s="168"/>
      <c r="F509" s="162"/>
      <c r="G509" s="149"/>
      <c r="H509" s="161"/>
      <c r="I509" s="161"/>
      <c r="J509" s="161"/>
      <c r="K509" s="161"/>
      <c r="L509" s="161"/>
      <c r="M509" s="161"/>
      <c r="N509" s="149"/>
      <c r="O509" s="161"/>
      <c r="P509" s="161"/>
      <c r="S509" s="149"/>
      <c r="T509" s="161"/>
      <c r="V509" s="166"/>
      <c r="W509" s="166"/>
      <c r="X509" s="166"/>
      <c r="Y509" s="166"/>
    </row>
    <row r="510" ht="22.5" customHeight="1">
      <c r="A510" s="161"/>
      <c r="B510" s="162"/>
      <c r="C510" s="161"/>
      <c r="D510" s="168"/>
      <c r="E510" s="168"/>
      <c r="F510" s="162"/>
      <c r="G510" s="149"/>
      <c r="H510" s="161"/>
      <c r="I510" s="161"/>
      <c r="J510" s="161"/>
      <c r="K510" s="161"/>
      <c r="L510" s="161"/>
      <c r="M510" s="161"/>
      <c r="N510" s="149"/>
      <c r="O510" s="161"/>
      <c r="P510" s="161"/>
      <c r="S510" s="149"/>
      <c r="T510" s="161"/>
      <c r="V510" s="166"/>
      <c r="W510" s="166"/>
      <c r="X510" s="166"/>
      <c r="Y510" s="166"/>
    </row>
    <row r="511" ht="22.5" customHeight="1">
      <c r="A511" s="161"/>
      <c r="B511" s="162"/>
      <c r="C511" s="161"/>
      <c r="D511" s="168"/>
      <c r="E511" s="168"/>
      <c r="F511" s="162"/>
      <c r="G511" s="149"/>
      <c r="H511" s="161"/>
      <c r="I511" s="161"/>
      <c r="J511" s="161"/>
      <c r="K511" s="161"/>
      <c r="L511" s="161"/>
      <c r="M511" s="161"/>
      <c r="N511" s="149"/>
      <c r="O511" s="161"/>
      <c r="P511" s="161"/>
      <c r="S511" s="149"/>
      <c r="T511" s="161"/>
      <c r="V511" s="166"/>
      <c r="W511" s="166"/>
      <c r="X511" s="166"/>
      <c r="Y511" s="166"/>
    </row>
    <row r="512" ht="22.5" customHeight="1">
      <c r="A512" s="161"/>
      <c r="B512" s="162"/>
      <c r="C512" s="161"/>
      <c r="D512" s="168"/>
      <c r="E512" s="168"/>
      <c r="F512" s="162"/>
      <c r="G512" s="149"/>
      <c r="H512" s="161"/>
      <c r="I512" s="161"/>
      <c r="J512" s="161"/>
      <c r="K512" s="161"/>
      <c r="L512" s="161"/>
      <c r="M512" s="161"/>
      <c r="N512" s="149"/>
      <c r="O512" s="161"/>
      <c r="P512" s="161"/>
      <c r="S512" s="149"/>
      <c r="T512" s="161"/>
      <c r="V512" s="166"/>
      <c r="W512" s="166"/>
      <c r="X512" s="166"/>
      <c r="Y512" s="166"/>
    </row>
    <row r="513" ht="22.5" customHeight="1">
      <c r="A513" s="161"/>
      <c r="B513" s="162"/>
      <c r="C513" s="161"/>
      <c r="D513" s="168"/>
      <c r="E513" s="168"/>
      <c r="F513" s="162"/>
      <c r="G513" s="149"/>
      <c r="H513" s="161"/>
      <c r="I513" s="161"/>
      <c r="J513" s="161"/>
      <c r="K513" s="161"/>
      <c r="L513" s="161"/>
      <c r="M513" s="161"/>
      <c r="N513" s="149"/>
      <c r="O513" s="161"/>
      <c r="P513" s="161"/>
      <c r="S513" s="149"/>
      <c r="T513" s="161"/>
      <c r="V513" s="166"/>
      <c r="W513" s="166"/>
      <c r="X513" s="166"/>
      <c r="Y513" s="166"/>
    </row>
    <row r="514" ht="22.5" customHeight="1">
      <c r="A514" s="161"/>
      <c r="B514" s="162"/>
      <c r="C514" s="161"/>
      <c r="D514" s="168"/>
      <c r="E514" s="168"/>
      <c r="F514" s="162"/>
      <c r="G514" s="149"/>
      <c r="H514" s="161"/>
      <c r="I514" s="161"/>
      <c r="J514" s="161"/>
      <c r="K514" s="161"/>
      <c r="L514" s="161"/>
      <c r="M514" s="161"/>
      <c r="N514" s="149"/>
      <c r="O514" s="161"/>
      <c r="P514" s="161"/>
      <c r="S514" s="149"/>
      <c r="T514" s="161"/>
      <c r="V514" s="166"/>
      <c r="W514" s="166"/>
      <c r="X514" s="166"/>
      <c r="Y514" s="166"/>
    </row>
    <row r="515" ht="22.5" customHeight="1">
      <c r="A515" s="161"/>
      <c r="B515" s="162"/>
      <c r="C515" s="161"/>
      <c r="D515" s="168"/>
      <c r="E515" s="168"/>
      <c r="F515" s="162"/>
      <c r="G515" s="149"/>
      <c r="H515" s="161"/>
      <c r="I515" s="161"/>
      <c r="J515" s="161"/>
      <c r="K515" s="161"/>
      <c r="L515" s="161"/>
      <c r="M515" s="161"/>
      <c r="N515" s="149"/>
      <c r="O515" s="161"/>
      <c r="P515" s="161"/>
      <c r="S515" s="149"/>
      <c r="T515" s="161"/>
      <c r="V515" s="166"/>
      <c r="W515" s="166"/>
      <c r="X515" s="166"/>
      <c r="Y515" s="166"/>
    </row>
    <row r="516" ht="22.5" customHeight="1">
      <c r="A516" s="161"/>
      <c r="B516" s="162"/>
      <c r="C516" s="161"/>
      <c r="D516" s="168"/>
      <c r="E516" s="168"/>
      <c r="F516" s="162"/>
      <c r="G516" s="149"/>
      <c r="H516" s="161"/>
      <c r="I516" s="161"/>
      <c r="J516" s="161"/>
      <c r="K516" s="161"/>
      <c r="L516" s="161"/>
      <c r="M516" s="161"/>
      <c r="N516" s="149"/>
      <c r="O516" s="161"/>
      <c r="P516" s="161"/>
      <c r="S516" s="149"/>
      <c r="T516" s="161"/>
      <c r="V516" s="166"/>
      <c r="W516" s="166"/>
      <c r="X516" s="166"/>
      <c r="Y516" s="166"/>
    </row>
    <row r="517" ht="22.5" customHeight="1">
      <c r="A517" s="161"/>
      <c r="B517" s="162"/>
      <c r="C517" s="161"/>
      <c r="D517" s="168"/>
      <c r="E517" s="168"/>
      <c r="F517" s="162"/>
      <c r="G517" s="149"/>
      <c r="H517" s="161"/>
      <c r="I517" s="161"/>
      <c r="J517" s="161"/>
      <c r="K517" s="161"/>
      <c r="L517" s="161"/>
      <c r="M517" s="161"/>
      <c r="N517" s="149"/>
      <c r="O517" s="161"/>
      <c r="P517" s="161"/>
      <c r="S517" s="149"/>
      <c r="T517" s="161"/>
      <c r="V517" s="166"/>
      <c r="W517" s="166"/>
      <c r="X517" s="166"/>
      <c r="Y517" s="166"/>
    </row>
    <row r="518" ht="22.5" customHeight="1">
      <c r="A518" s="161"/>
      <c r="B518" s="162"/>
      <c r="C518" s="161"/>
      <c r="D518" s="168"/>
      <c r="E518" s="168"/>
      <c r="F518" s="162"/>
      <c r="G518" s="149"/>
      <c r="H518" s="161"/>
      <c r="I518" s="161"/>
      <c r="J518" s="161"/>
      <c r="K518" s="161"/>
      <c r="L518" s="161"/>
      <c r="M518" s="161"/>
      <c r="N518" s="149"/>
      <c r="O518" s="161"/>
      <c r="P518" s="161"/>
      <c r="S518" s="149"/>
      <c r="T518" s="161"/>
      <c r="V518" s="166"/>
      <c r="W518" s="166"/>
      <c r="X518" s="166"/>
      <c r="Y518" s="166"/>
    </row>
    <row r="519" ht="22.5" customHeight="1">
      <c r="A519" s="161"/>
      <c r="B519" s="162"/>
      <c r="C519" s="161"/>
      <c r="D519" s="168"/>
      <c r="E519" s="168"/>
      <c r="F519" s="162"/>
      <c r="G519" s="149"/>
      <c r="H519" s="161"/>
      <c r="I519" s="161"/>
      <c r="J519" s="161"/>
      <c r="K519" s="161"/>
      <c r="L519" s="161"/>
      <c r="M519" s="161"/>
      <c r="N519" s="149"/>
      <c r="O519" s="161"/>
      <c r="P519" s="161"/>
      <c r="S519" s="149"/>
      <c r="T519" s="161"/>
      <c r="V519" s="166"/>
      <c r="W519" s="166"/>
      <c r="X519" s="166"/>
      <c r="Y519" s="166"/>
    </row>
    <row r="520" ht="22.5" customHeight="1">
      <c r="A520" s="161"/>
      <c r="B520" s="162"/>
      <c r="C520" s="161"/>
      <c r="D520" s="168"/>
      <c r="E520" s="168"/>
      <c r="F520" s="162"/>
      <c r="G520" s="149"/>
      <c r="H520" s="161"/>
      <c r="I520" s="161"/>
      <c r="J520" s="161"/>
      <c r="K520" s="161"/>
      <c r="L520" s="161"/>
      <c r="M520" s="161"/>
      <c r="N520" s="149"/>
      <c r="O520" s="161"/>
      <c r="P520" s="161"/>
      <c r="S520" s="149"/>
      <c r="T520" s="161"/>
      <c r="V520" s="166"/>
      <c r="W520" s="166"/>
      <c r="X520" s="166"/>
      <c r="Y520" s="166"/>
    </row>
    <row r="521" ht="22.5" customHeight="1">
      <c r="A521" s="161"/>
      <c r="B521" s="162"/>
      <c r="C521" s="161"/>
      <c r="D521" s="168"/>
      <c r="E521" s="168"/>
      <c r="F521" s="162"/>
      <c r="G521" s="149"/>
      <c r="H521" s="161"/>
      <c r="I521" s="161"/>
      <c r="J521" s="161"/>
      <c r="K521" s="161"/>
      <c r="L521" s="161"/>
      <c r="M521" s="161"/>
      <c r="N521" s="149"/>
      <c r="O521" s="161"/>
      <c r="P521" s="161"/>
      <c r="S521" s="149"/>
      <c r="T521" s="161"/>
      <c r="V521" s="166"/>
      <c r="W521" s="166"/>
      <c r="X521" s="166"/>
      <c r="Y521" s="166"/>
    </row>
    <row r="522" ht="22.5" customHeight="1">
      <c r="A522" s="161"/>
      <c r="B522" s="162"/>
      <c r="C522" s="161"/>
      <c r="D522" s="168"/>
      <c r="E522" s="168"/>
      <c r="F522" s="162"/>
      <c r="G522" s="149"/>
      <c r="H522" s="161"/>
      <c r="I522" s="161"/>
      <c r="J522" s="161"/>
      <c r="K522" s="161"/>
      <c r="L522" s="161"/>
      <c r="M522" s="161"/>
      <c r="N522" s="149"/>
      <c r="O522" s="161"/>
      <c r="P522" s="161"/>
      <c r="S522" s="149"/>
      <c r="T522" s="161"/>
      <c r="V522" s="166"/>
      <c r="W522" s="166"/>
      <c r="X522" s="166"/>
      <c r="Y522" s="166"/>
    </row>
    <row r="523" ht="22.5" customHeight="1">
      <c r="A523" s="161"/>
      <c r="B523" s="162"/>
      <c r="C523" s="161"/>
      <c r="D523" s="168"/>
      <c r="E523" s="168"/>
      <c r="F523" s="162"/>
      <c r="G523" s="149"/>
      <c r="H523" s="161"/>
      <c r="I523" s="161"/>
      <c r="J523" s="161"/>
      <c r="K523" s="161"/>
      <c r="L523" s="161"/>
      <c r="M523" s="161"/>
      <c r="N523" s="149"/>
      <c r="O523" s="161"/>
      <c r="P523" s="161"/>
      <c r="S523" s="149"/>
      <c r="T523" s="161"/>
      <c r="V523" s="166"/>
      <c r="W523" s="166"/>
      <c r="X523" s="166"/>
      <c r="Y523" s="166"/>
    </row>
    <row r="524" ht="22.5" customHeight="1">
      <c r="A524" s="161"/>
      <c r="B524" s="162"/>
      <c r="C524" s="161"/>
      <c r="D524" s="168"/>
      <c r="E524" s="168"/>
      <c r="F524" s="162"/>
      <c r="G524" s="149"/>
      <c r="H524" s="161"/>
      <c r="I524" s="161"/>
      <c r="J524" s="161"/>
      <c r="K524" s="161"/>
      <c r="L524" s="161"/>
      <c r="M524" s="161"/>
      <c r="N524" s="149"/>
      <c r="O524" s="161"/>
      <c r="P524" s="161"/>
      <c r="S524" s="149"/>
      <c r="T524" s="161"/>
      <c r="V524" s="166"/>
      <c r="W524" s="166"/>
      <c r="X524" s="166"/>
      <c r="Y524" s="166"/>
    </row>
    <row r="525" ht="22.5" customHeight="1">
      <c r="A525" s="161"/>
      <c r="B525" s="162"/>
      <c r="C525" s="161"/>
      <c r="D525" s="168"/>
      <c r="E525" s="168"/>
      <c r="F525" s="162"/>
      <c r="G525" s="149"/>
      <c r="H525" s="161"/>
      <c r="I525" s="161"/>
      <c r="J525" s="161"/>
      <c r="K525" s="161"/>
      <c r="L525" s="161"/>
      <c r="M525" s="161"/>
      <c r="N525" s="149"/>
      <c r="O525" s="161"/>
      <c r="P525" s="161"/>
      <c r="S525" s="149"/>
      <c r="T525" s="161"/>
      <c r="V525" s="166"/>
      <c r="W525" s="166"/>
      <c r="X525" s="166"/>
      <c r="Y525" s="166"/>
    </row>
    <row r="526" ht="22.5" customHeight="1">
      <c r="A526" s="161"/>
      <c r="B526" s="162"/>
      <c r="C526" s="161"/>
      <c r="D526" s="168"/>
      <c r="E526" s="168"/>
      <c r="F526" s="162"/>
      <c r="G526" s="149"/>
      <c r="H526" s="161"/>
      <c r="I526" s="161"/>
      <c r="J526" s="161"/>
      <c r="K526" s="161"/>
      <c r="L526" s="161"/>
      <c r="M526" s="161"/>
      <c r="N526" s="149"/>
      <c r="O526" s="161"/>
      <c r="P526" s="161"/>
      <c r="S526" s="149"/>
      <c r="T526" s="161"/>
      <c r="V526" s="166"/>
      <c r="W526" s="166"/>
      <c r="X526" s="166"/>
      <c r="Y526" s="166"/>
    </row>
    <row r="527" ht="22.5" customHeight="1">
      <c r="A527" s="161"/>
      <c r="B527" s="162"/>
      <c r="C527" s="161"/>
      <c r="D527" s="168"/>
      <c r="E527" s="168"/>
      <c r="F527" s="162"/>
      <c r="G527" s="149"/>
      <c r="H527" s="161"/>
      <c r="I527" s="161"/>
      <c r="J527" s="161"/>
      <c r="K527" s="161"/>
      <c r="L527" s="161"/>
      <c r="M527" s="161"/>
      <c r="N527" s="149"/>
      <c r="O527" s="161"/>
      <c r="P527" s="161"/>
      <c r="S527" s="149"/>
      <c r="T527" s="161"/>
      <c r="V527" s="166"/>
      <c r="W527" s="166"/>
      <c r="X527" s="166"/>
      <c r="Y527" s="166"/>
    </row>
    <row r="528" ht="22.5" customHeight="1">
      <c r="A528" s="161"/>
      <c r="B528" s="162"/>
      <c r="C528" s="161"/>
      <c r="D528" s="168"/>
      <c r="E528" s="168"/>
      <c r="F528" s="162"/>
      <c r="G528" s="149"/>
      <c r="H528" s="161"/>
      <c r="I528" s="161"/>
      <c r="J528" s="161"/>
      <c r="K528" s="161"/>
      <c r="L528" s="161"/>
      <c r="M528" s="161"/>
      <c r="N528" s="149"/>
      <c r="O528" s="161"/>
      <c r="P528" s="161"/>
      <c r="S528" s="149"/>
      <c r="T528" s="161"/>
      <c r="V528" s="166"/>
      <c r="W528" s="166"/>
      <c r="X528" s="166"/>
      <c r="Y528" s="166"/>
    </row>
    <row r="529" ht="22.5" customHeight="1">
      <c r="A529" s="161"/>
      <c r="B529" s="162"/>
      <c r="C529" s="161"/>
      <c r="D529" s="168"/>
      <c r="E529" s="168"/>
      <c r="F529" s="162"/>
      <c r="G529" s="149"/>
      <c r="H529" s="161"/>
      <c r="I529" s="161"/>
      <c r="J529" s="161"/>
      <c r="K529" s="161"/>
      <c r="L529" s="161"/>
      <c r="M529" s="161"/>
      <c r="N529" s="149"/>
      <c r="O529" s="161"/>
      <c r="P529" s="161"/>
      <c r="S529" s="149"/>
      <c r="T529" s="161"/>
      <c r="V529" s="166"/>
      <c r="W529" s="166"/>
      <c r="X529" s="166"/>
      <c r="Y529" s="166"/>
    </row>
    <row r="530" ht="22.5" customHeight="1">
      <c r="A530" s="161"/>
      <c r="B530" s="162"/>
      <c r="C530" s="161"/>
      <c r="D530" s="168"/>
      <c r="E530" s="168"/>
      <c r="F530" s="162"/>
      <c r="G530" s="149"/>
      <c r="H530" s="161"/>
      <c r="I530" s="161"/>
      <c r="J530" s="161"/>
      <c r="K530" s="161"/>
      <c r="L530" s="161"/>
      <c r="M530" s="161"/>
      <c r="N530" s="149"/>
      <c r="O530" s="161"/>
      <c r="P530" s="161"/>
      <c r="S530" s="149"/>
      <c r="T530" s="161"/>
      <c r="V530" s="166"/>
      <c r="W530" s="166"/>
      <c r="X530" s="166"/>
      <c r="Y530" s="166"/>
    </row>
    <row r="531" ht="22.5" customHeight="1">
      <c r="A531" s="161"/>
      <c r="B531" s="162"/>
      <c r="C531" s="161"/>
      <c r="D531" s="168"/>
      <c r="E531" s="168"/>
      <c r="F531" s="162"/>
      <c r="G531" s="149"/>
      <c r="H531" s="161"/>
      <c r="I531" s="161"/>
      <c r="J531" s="161"/>
      <c r="K531" s="161"/>
      <c r="L531" s="161"/>
      <c r="M531" s="161"/>
      <c r="N531" s="149"/>
      <c r="O531" s="161"/>
      <c r="P531" s="161"/>
      <c r="S531" s="149"/>
      <c r="T531" s="161"/>
      <c r="V531" s="166"/>
      <c r="W531" s="166"/>
      <c r="X531" s="166"/>
      <c r="Y531" s="166"/>
    </row>
    <row r="532" ht="22.5" customHeight="1">
      <c r="A532" s="161"/>
      <c r="B532" s="162"/>
      <c r="C532" s="161"/>
      <c r="D532" s="168"/>
      <c r="E532" s="168"/>
      <c r="F532" s="162"/>
      <c r="G532" s="149"/>
      <c r="H532" s="161"/>
      <c r="I532" s="161"/>
      <c r="J532" s="161"/>
      <c r="K532" s="161"/>
      <c r="L532" s="161"/>
      <c r="M532" s="161"/>
      <c r="N532" s="149"/>
      <c r="O532" s="161"/>
      <c r="P532" s="161"/>
      <c r="S532" s="149"/>
      <c r="T532" s="161"/>
      <c r="V532" s="166"/>
      <c r="W532" s="166"/>
      <c r="X532" s="166"/>
      <c r="Y532" s="166"/>
    </row>
    <row r="533" ht="22.5" customHeight="1">
      <c r="A533" s="161"/>
      <c r="B533" s="162"/>
      <c r="C533" s="161"/>
      <c r="D533" s="168"/>
      <c r="E533" s="168"/>
      <c r="F533" s="162"/>
      <c r="G533" s="149"/>
      <c r="H533" s="161"/>
      <c r="I533" s="161"/>
      <c r="J533" s="161"/>
      <c r="K533" s="161"/>
      <c r="L533" s="161"/>
      <c r="M533" s="161"/>
      <c r="N533" s="149"/>
      <c r="O533" s="161"/>
      <c r="P533" s="161"/>
      <c r="S533" s="149"/>
      <c r="T533" s="161"/>
      <c r="V533" s="166"/>
      <c r="W533" s="166"/>
      <c r="X533" s="166"/>
      <c r="Y533" s="166"/>
    </row>
    <row r="534" ht="22.5" customHeight="1">
      <c r="A534" s="161"/>
      <c r="B534" s="162"/>
      <c r="C534" s="161"/>
      <c r="D534" s="168"/>
      <c r="E534" s="168"/>
      <c r="F534" s="162"/>
      <c r="G534" s="149"/>
      <c r="H534" s="161"/>
      <c r="I534" s="161"/>
      <c r="J534" s="161"/>
      <c r="K534" s="161"/>
      <c r="L534" s="161"/>
      <c r="M534" s="161"/>
      <c r="N534" s="149"/>
      <c r="O534" s="161"/>
      <c r="P534" s="161"/>
      <c r="S534" s="149"/>
      <c r="T534" s="161"/>
      <c r="V534" s="166"/>
      <c r="W534" s="166"/>
      <c r="X534" s="166"/>
      <c r="Y534" s="166"/>
    </row>
    <row r="535" ht="22.5" customHeight="1">
      <c r="A535" s="161"/>
      <c r="B535" s="162"/>
      <c r="C535" s="161"/>
      <c r="D535" s="168"/>
      <c r="E535" s="168"/>
      <c r="F535" s="162"/>
      <c r="G535" s="149"/>
      <c r="H535" s="161"/>
      <c r="I535" s="161"/>
      <c r="J535" s="161"/>
      <c r="K535" s="161"/>
      <c r="L535" s="161"/>
      <c r="M535" s="161"/>
      <c r="N535" s="149"/>
      <c r="O535" s="161"/>
      <c r="P535" s="161"/>
      <c r="S535" s="149"/>
      <c r="T535" s="161"/>
      <c r="V535" s="166"/>
      <c r="W535" s="166"/>
      <c r="X535" s="166"/>
      <c r="Y535" s="166"/>
    </row>
    <row r="536" ht="22.5" customHeight="1">
      <c r="A536" s="161"/>
      <c r="B536" s="162"/>
      <c r="C536" s="161"/>
      <c r="D536" s="168"/>
      <c r="E536" s="168"/>
      <c r="F536" s="162"/>
      <c r="G536" s="149"/>
      <c r="H536" s="161"/>
      <c r="I536" s="161"/>
      <c r="J536" s="161"/>
      <c r="K536" s="161"/>
      <c r="L536" s="161"/>
      <c r="M536" s="161"/>
      <c r="N536" s="149"/>
      <c r="O536" s="161"/>
      <c r="P536" s="161"/>
      <c r="S536" s="149"/>
      <c r="T536" s="161"/>
      <c r="V536" s="166"/>
      <c r="W536" s="166"/>
      <c r="X536" s="166"/>
      <c r="Y536" s="166"/>
    </row>
    <row r="537" ht="22.5" customHeight="1">
      <c r="A537" s="161"/>
      <c r="B537" s="162"/>
      <c r="C537" s="161"/>
      <c r="D537" s="168"/>
      <c r="E537" s="168"/>
      <c r="F537" s="162"/>
      <c r="G537" s="149"/>
      <c r="H537" s="161"/>
      <c r="I537" s="161"/>
      <c r="J537" s="161"/>
      <c r="K537" s="161"/>
      <c r="L537" s="161"/>
      <c r="M537" s="161"/>
      <c r="N537" s="149"/>
      <c r="O537" s="161"/>
      <c r="P537" s="161"/>
      <c r="S537" s="149"/>
      <c r="T537" s="161"/>
      <c r="V537" s="166"/>
      <c r="W537" s="166"/>
      <c r="X537" s="166"/>
      <c r="Y537" s="166"/>
    </row>
    <row r="538" ht="22.5" customHeight="1">
      <c r="A538" s="161"/>
      <c r="B538" s="162"/>
      <c r="C538" s="161"/>
      <c r="D538" s="168"/>
      <c r="E538" s="168"/>
      <c r="F538" s="162"/>
      <c r="G538" s="149"/>
      <c r="H538" s="161"/>
      <c r="I538" s="161"/>
      <c r="J538" s="161"/>
      <c r="K538" s="161"/>
      <c r="L538" s="161"/>
      <c r="M538" s="161"/>
      <c r="N538" s="149"/>
      <c r="O538" s="161"/>
      <c r="P538" s="161"/>
      <c r="S538" s="149"/>
      <c r="T538" s="161"/>
      <c r="V538" s="166"/>
      <c r="W538" s="166"/>
      <c r="X538" s="166"/>
      <c r="Y538" s="166"/>
    </row>
    <row r="539" ht="22.5" customHeight="1">
      <c r="A539" s="161"/>
      <c r="B539" s="162"/>
      <c r="C539" s="161"/>
      <c r="D539" s="168"/>
      <c r="E539" s="168"/>
      <c r="F539" s="162"/>
      <c r="G539" s="149"/>
      <c r="H539" s="161"/>
      <c r="I539" s="161"/>
      <c r="J539" s="161"/>
      <c r="K539" s="161"/>
      <c r="L539" s="161"/>
      <c r="M539" s="161"/>
      <c r="N539" s="149"/>
      <c r="O539" s="161"/>
      <c r="P539" s="161"/>
      <c r="S539" s="149"/>
      <c r="T539" s="161"/>
      <c r="V539" s="166"/>
      <c r="W539" s="166"/>
      <c r="X539" s="166"/>
      <c r="Y539" s="166"/>
    </row>
    <row r="540" ht="22.5" customHeight="1">
      <c r="A540" s="161"/>
      <c r="B540" s="162"/>
      <c r="C540" s="161"/>
      <c r="D540" s="168"/>
      <c r="E540" s="168"/>
      <c r="F540" s="162"/>
      <c r="G540" s="149"/>
      <c r="H540" s="161"/>
      <c r="I540" s="161"/>
      <c r="J540" s="161"/>
      <c r="K540" s="161"/>
      <c r="L540" s="161"/>
      <c r="M540" s="161"/>
      <c r="N540" s="149"/>
      <c r="O540" s="161"/>
      <c r="P540" s="161"/>
      <c r="S540" s="149"/>
      <c r="T540" s="161"/>
      <c r="V540" s="166"/>
      <c r="W540" s="166"/>
      <c r="X540" s="166"/>
      <c r="Y540" s="166"/>
    </row>
    <row r="541" ht="22.5" customHeight="1">
      <c r="A541" s="161"/>
      <c r="B541" s="162"/>
      <c r="C541" s="161"/>
      <c r="D541" s="168"/>
      <c r="E541" s="168"/>
      <c r="F541" s="162"/>
      <c r="G541" s="149"/>
      <c r="H541" s="161"/>
      <c r="I541" s="161"/>
      <c r="J541" s="161"/>
      <c r="K541" s="161"/>
      <c r="L541" s="161"/>
      <c r="M541" s="161"/>
      <c r="N541" s="149"/>
      <c r="O541" s="161"/>
      <c r="P541" s="161"/>
      <c r="S541" s="149"/>
      <c r="T541" s="161"/>
      <c r="V541" s="166"/>
      <c r="W541" s="166"/>
      <c r="X541" s="166"/>
      <c r="Y541" s="166"/>
    </row>
    <row r="542" ht="22.5" customHeight="1">
      <c r="A542" s="161"/>
      <c r="B542" s="162"/>
      <c r="C542" s="161"/>
      <c r="D542" s="168"/>
      <c r="E542" s="168"/>
      <c r="F542" s="162"/>
      <c r="G542" s="149"/>
      <c r="H542" s="161"/>
      <c r="I542" s="161"/>
      <c r="J542" s="161"/>
      <c r="K542" s="161"/>
      <c r="L542" s="161"/>
      <c r="M542" s="161"/>
      <c r="N542" s="149"/>
      <c r="O542" s="161"/>
      <c r="P542" s="161"/>
      <c r="S542" s="149"/>
      <c r="T542" s="161"/>
      <c r="V542" s="166"/>
      <c r="W542" s="166"/>
      <c r="X542" s="166"/>
      <c r="Y542" s="166"/>
    </row>
    <row r="543" ht="22.5" customHeight="1">
      <c r="A543" s="161"/>
      <c r="B543" s="162"/>
      <c r="C543" s="161"/>
      <c r="D543" s="168"/>
      <c r="E543" s="168"/>
      <c r="F543" s="162"/>
      <c r="G543" s="149"/>
      <c r="H543" s="161"/>
      <c r="I543" s="161"/>
      <c r="J543" s="161"/>
      <c r="K543" s="161"/>
      <c r="L543" s="161"/>
      <c r="M543" s="161"/>
      <c r="N543" s="149"/>
      <c r="O543" s="161"/>
      <c r="P543" s="161"/>
      <c r="S543" s="149"/>
      <c r="T543" s="161"/>
      <c r="V543" s="166"/>
      <c r="W543" s="166"/>
      <c r="X543" s="166"/>
      <c r="Y543" s="166"/>
    </row>
    <row r="544" ht="22.5" customHeight="1">
      <c r="A544" s="161"/>
      <c r="B544" s="162"/>
      <c r="C544" s="161"/>
      <c r="D544" s="168"/>
      <c r="E544" s="168"/>
      <c r="F544" s="162"/>
      <c r="G544" s="149"/>
      <c r="H544" s="161"/>
      <c r="I544" s="161"/>
      <c r="J544" s="161"/>
      <c r="K544" s="161"/>
      <c r="L544" s="161"/>
      <c r="M544" s="161"/>
      <c r="N544" s="149"/>
      <c r="O544" s="161"/>
      <c r="P544" s="161"/>
      <c r="S544" s="149"/>
      <c r="T544" s="161"/>
      <c r="V544" s="166"/>
      <c r="W544" s="166"/>
      <c r="X544" s="166"/>
      <c r="Y544" s="166"/>
    </row>
    <row r="545" ht="22.5" customHeight="1">
      <c r="A545" s="161"/>
      <c r="B545" s="162"/>
      <c r="C545" s="161"/>
      <c r="D545" s="168"/>
      <c r="E545" s="168"/>
      <c r="F545" s="162"/>
      <c r="G545" s="149"/>
      <c r="H545" s="161"/>
      <c r="I545" s="161"/>
      <c r="J545" s="161"/>
      <c r="K545" s="161"/>
      <c r="L545" s="161"/>
      <c r="M545" s="161"/>
      <c r="N545" s="149"/>
      <c r="O545" s="161"/>
      <c r="P545" s="161"/>
      <c r="S545" s="149"/>
      <c r="T545" s="161"/>
      <c r="V545" s="166"/>
      <c r="W545" s="166"/>
      <c r="X545" s="166"/>
      <c r="Y545" s="166"/>
    </row>
    <row r="546" ht="22.5" customHeight="1">
      <c r="A546" s="161"/>
      <c r="B546" s="162"/>
      <c r="C546" s="161"/>
      <c r="D546" s="168"/>
      <c r="E546" s="168"/>
      <c r="F546" s="162"/>
      <c r="G546" s="149"/>
      <c r="H546" s="161"/>
      <c r="I546" s="161"/>
      <c r="J546" s="161"/>
      <c r="K546" s="161"/>
      <c r="L546" s="161"/>
      <c r="M546" s="161"/>
      <c r="N546" s="149"/>
      <c r="O546" s="161"/>
      <c r="P546" s="161"/>
      <c r="S546" s="149"/>
      <c r="T546" s="161"/>
      <c r="V546" s="166"/>
      <c r="W546" s="166"/>
      <c r="X546" s="166"/>
      <c r="Y546" s="166"/>
    </row>
    <row r="547" ht="22.5" customHeight="1">
      <c r="A547" s="161"/>
      <c r="B547" s="162"/>
      <c r="C547" s="161"/>
      <c r="D547" s="168"/>
      <c r="E547" s="168"/>
      <c r="F547" s="162"/>
      <c r="G547" s="149"/>
      <c r="H547" s="161"/>
      <c r="I547" s="161"/>
      <c r="J547" s="161"/>
      <c r="K547" s="161"/>
      <c r="L547" s="161"/>
      <c r="M547" s="161"/>
      <c r="N547" s="149"/>
      <c r="O547" s="161"/>
      <c r="P547" s="161"/>
      <c r="S547" s="149"/>
      <c r="T547" s="161"/>
      <c r="V547" s="166"/>
      <c r="W547" s="166"/>
      <c r="X547" s="166"/>
      <c r="Y547" s="166"/>
    </row>
    <row r="548" ht="22.5" customHeight="1">
      <c r="A548" s="161"/>
      <c r="B548" s="162"/>
      <c r="C548" s="161"/>
      <c r="D548" s="168"/>
      <c r="E548" s="168"/>
      <c r="F548" s="162"/>
      <c r="G548" s="149"/>
      <c r="H548" s="161"/>
      <c r="I548" s="161"/>
      <c r="J548" s="161"/>
      <c r="K548" s="161"/>
      <c r="L548" s="161"/>
      <c r="M548" s="161"/>
      <c r="N548" s="149"/>
      <c r="O548" s="161"/>
      <c r="P548" s="161"/>
      <c r="S548" s="149"/>
      <c r="T548" s="161"/>
      <c r="V548" s="166"/>
      <c r="W548" s="166"/>
      <c r="X548" s="166"/>
      <c r="Y548" s="166"/>
    </row>
    <row r="549" ht="22.5" customHeight="1">
      <c r="A549" s="161"/>
      <c r="B549" s="162"/>
      <c r="C549" s="161"/>
      <c r="D549" s="168"/>
      <c r="E549" s="168"/>
      <c r="F549" s="162"/>
      <c r="G549" s="149"/>
      <c r="H549" s="161"/>
      <c r="I549" s="161"/>
      <c r="J549" s="161"/>
      <c r="K549" s="161"/>
      <c r="L549" s="161"/>
      <c r="M549" s="161"/>
      <c r="N549" s="149"/>
      <c r="O549" s="161"/>
      <c r="P549" s="161"/>
      <c r="S549" s="149"/>
      <c r="T549" s="161"/>
      <c r="V549" s="166"/>
      <c r="W549" s="166"/>
      <c r="X549" s="166"/>
      <c r="Y549" s="166"/>
    </row>
    <row r="550" ht="22.5" customHeight="1">
      <c r="A550" s="161"/>
      <c r="B550" s="162"/>
      <c r="C550" s="161"/>
      <c r="D550" s="168"/>
      <c r="E550" s="168"/>
      <c r="F550" s="162"/>
      <c r="G550" s="149"/>
      <c r="H550" s="161"/>
      <c r="I550" s="161"/>
      <c r="J550" s="161"/>
      <c r="K550" s="161"/>
      <c r="L550" s="161"/>
      <c r="M550" s="161"/>
      <c r="N550" s="149"/>
      <c r="O550" s="161"/>
      <c r="P550" s="161"/>
      <c r="S550" s="149"/>
      <c r="T550" s="161"/>
      <c r="V550" s="166"/>
      <c r="W550" s="166"/>
      <c r="X550" s="166"/>
      <c r="Y550" s="166"/>
    </row>
    <row r="551" ht="22.5" customHeight="1">
      <c r="A551" s="161"/>
      <c r="B551" s="162"/>
      <c r="C551" s="161"/>
      <c r="D551" s="168"/>
      <c r="E551" s="168"/>
      <c r="F551" s="162"/>
      <c r="G551" s="149"/>
      <c r="H551" s="161"/>
      <c r="I551" s="161"/>
      <c r="J551" s="161"/>
      <c r="K551" s="161"/>
      <c r="L551" s="161"/>
      <c r="M551" s="161"/>
      <c r="N551" s="149"/>
      <c r="O551" s="161"/>
      <c r="P551" s="161"/>
      <c r="S551" s="149"/>
      <c r="T551" s="161"/>
      <c r="V551" s="166"/>
      <c r="W551" s="166"/>
      <c r="X551" s="166"/>
      <c r="Y551" s="166"/>
    </row>
    <row r="552" ht="22.5" customHeight="1">
      <c r="A552" s="161"/>
      <c r="B552" s="162"/>
      <c r="C552" s="161"/>
      <c r="D552" s="168"/>
      <c r="E552" s="168"/>
      <c r="F552" s="162"/>
      <c r="G552" s="149"/>
      <c r="H552" s="161"/>
      <c r="I552" s="161"/>
      <c r="J552" s="161"/>
      <c r="K552" s="161"/>
      <c r="L552" s="161"/>
      <c r="M552" s="161"/>
      <c r="N552" s="149"/>
      <c r="O552" s="161"/>
      <c r="P552" s="161"/>
      <c r="S552" s="149"/>
      <c r="T552" s="161"/>
      <c r="V552" s="166"/>
      <c r="W552" s="166"/>
      <c r="X552" s="166"/>
      <c r="Y552" s="166"/>
    </row>
    <row r="553" ht="22.5" customHeight="1">
      <c r="A553" s="161"/>
      <c r="B553" s="162"/>
      <c r="C553" s="161"/>
      <c r="D553" s="168"/>
      <c r="E553" s="168"/>
      <c r="F553" s="162"/>
      <c r="G553" s="149"/>
      <c r="H553" s="161"/>
      <c r="I553" s="161"/>
      <c r="J553" s="161"/>
      <c r="K553" s="161"/>
      <c r="L553" s="161"/>
      <c r="M553" s="161"/>
      <c r="N553" s="149"/>
      <c r="O553" s="161"/>
      <c r="P553" s="161"/>
      <c r="S553" s="149"/>
      <c r="T553" s="161"/>
      <c r="V553" s="166"/>
      <c r="W553" s="166"/>
      <c r="X553" s="166"/>
      <c r="Y553" s="166"/>
    </row>
    <row r="554" ht="22.5" customHeight="1">
      <c r="A554" s="161"/>
      <c r="B554" s="162"/>
      <c r="C554" s="161"/>
      <c r="D554" s="168"/>
      <c r="E554" s="168"/>
      <c r="F554" s="162"/>
      <c r="G554" s="149"/>
      <c r="H554" s="161"/>
      <c r="I554" s="161"/>
      <c r="J554" s="161"/>
      <c r="K554" s="161"/>
      <c r="L554" s="161"/>
      <c r="M554" s="161"/>
      <c r="N554" s="149"/>
      <c r="O554" s="161"/>
      <c r="P554" s="161"/>
      <c r="S554" s="149"/>
      <c r="T554" s="161"/>
      <c r="V554" s="166"/>
      <c r="W554" s="166"/>
      <c r="X554" s="166"/>
      <c r="Y554" s="166"/>
    </row>
    <row r="555" ht="22.5" customHeight="1">
      <c r="A555" s="161"/>
      <c r="B555" s="162"/>
      <c r="C555" s="161"/>
      <c r="D555" s="168"/>
      <c r="E555" s="168"/>
      <c r="F555" s="162"/>
      <c r="G555" s="149"/>
      <c r="H555" s="161"/>
      <c r="I555" s="161"/>
      <c r="J555" s="161"/>
      <c r="K555" s="161"/>
      <c r="L555" s="161"/>
      <c r="M555" s="161"/>
      <c r="N555" s="149"/>
      <c r="O555" s="161"/>
      <c r="P555" s="161"/>
      <c r="S555" s="149"/>
      <c r="T555" s="161"/>
      <c r="V555" s="166"/>
      <c r="W555" s="166"/>
      <c r="X555" s="166"/>
      <c r="Y555" s="166"/>
    </row>
    <row r="556" ht="22.5" customHeight="1">
      <c r="A556" s="161"/>
      <c r="B556" s="162"/>
      <c r="C556" s="161"/>
      <c r="D556" s="168"/>
      <c r="E556" s="168"/>
      <c r="F556" s="162"/>
      <c r="G556" s="149"/>
      <c r="H556" s="161"/>
      <c r="I556" s="161"/>
      <c r="J556" s="161"/>
      <c r="K556" s="161"/>
      <c r="L556" s="161"/>
      <c r="M556" s="161"/>
      <c r="N556" s="149"/>
      <c r="O556" s="161"/>
      <c r="P556" s="161"/>
      <c r="S556" s="149"/>
      <c r="T556" s="161"/>
      <c r="V556" s="166"/>
      <c r="W556" s="166"/>
      <c r="X556" s="166"/>
      <c r="Y556" s="166"/>
    </row>
    <row r="557" ht="22.5" customHeight="1">
      <c r="A557" s="161"/>
      <c r="B557" s="162"/>
      <c r="C557" s="161"/>
      <c r="D557" s="168"/>
      <c r="E557" s="168"/>
      <c r="F557" s="162"/>
      <c r="G557" s="149"/>
      <c r="H557" s="161"/>
      <c r="I557" s="161"/>
      <c r="J557" s="161"/>
      <c r="K557" s="161"/>
      <c r="L557" s="161"/>
      <c r="M557" s="161"/>
      <c r="N557" s="149"/>
      <c r="O557" s="161"/>
      <c r="P557" s="161"/>
      <c r="S557" s="149"/>
      <c r="T557" s="161"/>
      <c r="V557" s="166"/>
      <c r="W557" s="166"/>
      <c r="X557" s="166"/>
      <c r="Y557" s="166"/>
    </row>
    <row r="558" ht="22.5" customHeight="1">
      <c r="A558" s="161"/>
      <c r="B558" s="162"/>
      <c r="C558" s="161"/>
      <c r="D558" s="168"/>
      <c r="E558" s="168"/>
      <c r="F558" s="162"/>
      <c r="G558" s="149"/>
      <c r="H558" s="161"/>
      <c r="I558" s="161"/>
      <c r="J558" s="161"/>
      <c r="K558" s="161"/>
      <c r="L558" s="161"/>
      <c r="M558" s="161"/>
      <c r="N558" s="149"/>
      <c r="O558" s="161"/>
      <c r="P558" s="161"/>
      <c r="S558" s="149"/>
      <c r="T558" s="161"/>
      <c r="V558" s="166"/>
      <c r="W558" s="166"/>
      <c r="X558" s="166"/>
      <c r="Y558" s="166"/>
    </row>
    <row r="559" ht="22.5" customHeight="1">
      <c r="A559" s="161"/>
      <c r="B559" s="162"/>
      <c r="C559" s="161"/>
      <c r="D559" s="168"/>
      <c r="E559" s="168"/>
      <c r="F559" s="162"/>
      <c r="G559" s="149"/>
      <c r="H559" s="161"/>
      <c r="I559" s="161"/>
      <c r="J559" s="161"/>
      <c r="K559" s="161"/>
      <c r="L559" s="161"/>
      <c r="M559" s="161"/>
      <c r="N559" s="149"/>
      <c r="O559" s="161"/>
      <c r="P559" s="161"/>
      <c r="S559" s="149"/>
      <c r="T559" s="161"/>
      <c r="V559" s="166"/>
      <c r="W559" s="166"/>
      <c r="X559" s="166"/>
      <c r="Y559" s="166"/>
    </row>
    <row r="560" ht="22.5" customHeight="1">
      <c r="A560" s="161"/>
      <c r="B560" s="162"/>
      <c r="C560" s="161"/>
      <c r="D560" s="168"/>
      <c r="E560" s="168"/>
      <c r="F560" s="162"/>
      <c r="G560" s="149"/>
      <c r="H560" s="161"/>
      <c r="I560" s="161"/>
      <c r="J560" s="161"/>
      <c r="K560" s="161"/>
      <c r="L560" s="161"/>
      <c r="M560" s="161"/>
      <c r="N560" s="149"/>
      <c r="O560" s="161"/>
      <c r="P560" s="161"/>
      <c r="S560" s="149"/>
      <c r="T560" s="161"/>
      <c r="V560" s="166"/>
      <c r="W560" s="166"/>
      <c r="X560" s="166"/>
      <c r="Y560" s="166"/>
    </row>
    <row r="561" ht="22.5" customHeight="1">
      <c r="A561" s="161"/>
      <c r="B561" s="162"/>
      <c r="C561" s="161"/>
      <c r="D561" s="168"/>
      <c r="E561" s="168"/>
      <c r="F561" s="162"/>
      <c r="G561" s="149"/>
      <c r="H561" s="161"/>
      <c r="I561" s="161"/>
      <c r="J561" s="161"/>
      <c r="K561" s="161"/>
      <c r="L561" s="161"/>
      <c r="M561" s="161"/>
      <c r="N561" s="149"/>
      <c r="O561" s="161"/>
      <c r="P561" s="161"/>
      <c r="S561" s="149"/>
      <c r="T561" s="161"/>
      <c r="V561" s="166"/>
      <c r="W561" s="166"/>
      <c r="X561" s="166"/>
      <c r="Y561" s="166"/>
    </row>
    <row r="562" ht="22.5" customHeight="1">
      <c r="A562" s="161"/>
      <c r="B562" s="162"/>
      <c r="C562" s="161"/>
      <c r="D562" s="168"/>
      <c r="E562" s="168"/>
      <c r="F562" s="162"/>
      <c r="G562" s="149"/>
      <c r="H562" s="161"/>
      <c r="I562" s="161"/>
      <c r="J562" s="161"/>
      <c r="K562" s="161"/>
      <c r="L562" s="161"/>
      <c r="M562" s="161"/>
      <c r="N562" s="149"/>
      <c r="O562" s="161"/>
      <c r="P562" s="161"/>
      <c r="S562" s="149"/>
      <c r="T562" s="161"/>
      <c r="V562" s="166"/>
      <c r="W562" s="166"/>
      <c r="X562" s="166"/>
      <c r="Y562" s="166"/>
    </row>
    <row r="563" ht="22.5" customHeight="1">
      <c r="A563" s="161"/>
      <c r="B563" s="162"/>
      <c r="C563" s="161"/>
      <c r="D563" s="168"/>
      <c r="E563" s="168"/>
      <c r="F563" s="162"/>
      <c r="G563" s="149"/>
      <c r="H563" s="161"/>
      <c r="I563" s="161"/>
      <c r="J563" s="161"/>
      <c r="K563" s="161"/>
      <c r="L563" s="161"/>
      <c r="M563" s="161"/>
      <c r="N563" s="149"/>
      <c r="O563" s="161"/>
      <c r="P563" s="161"/>
      <c r="S563" s="149"/>
      <c r="T563" s="161"/>
      <c r="V563" s="166"/>
      <c r="W563" s="166"/>
      <c r="X563" s="166"/>
      <c r="Y563" s="166"/>
    </row>
    <row r="564" ht="22.5" customHeight="1">
      <c r="A564" s="161"/>
      <c r="B564" s="162"/>
      <c r="C564" s="161"/>
      <c r="D564" s="168"/>
      <c r="E564" s="168"/>
      <c r="F564" s="162"/>
      <c r="G564" s="149"/>
      <c r="H564" s="161"/>
      <c r="I564" s="161"/>
      <c r="J564" s="161"/>
      <c r="K564" s="161"/>
      <c r="L564" s="161"/>
      <c r="M564" s="161"/>
      <c r="N564" s="149"/>
      <c r="O564" s="161"/>
      <c r="P564" s="161"/>
      <c r="S564" s="149"/>
      <c r="T564" s="161"/>
      <c r="V564" s="166"/>
      <c r="W564" s="166"/>
      <c r="X564" s="166"/>
      <c r="Y564" s="166"/>
    </row>
    <row r="565" ht="22.5" customHeight="1">
      <c r="A565" s="161"/>
      <c r="B565" s="162"/>
      <c r="C565" s="161"/>
      <c r="D565" s="168"/>
      <c r="E565" s="168"/>
      <c r="F565" s="162"/>
      <c r="G565" s="149"/>
      <c r="H565" s="161"/>
      <c r="I565" s="161"/>
      <c r="J565" s="161"/>
      <c r="K565" s="161"/>
      <c r="L565" s="161"/>
      <c r="M565" s="161"/>
      <c r="N565" s="149"/>
      <c r="O565" s="161"/>
      <c r="P565" s="161"/>
      <c r="S565" s="149"/>
      <c r="T565" s="161"/>
      <c r="V565" s="166"/>
      <c r="W565" s="166"/>
      <c r="X565" s="166"/>
      <c r="Y565" s="166"/>
    </row>
    <row r="566" ht="22.5" customHeight="1">
      <c r="A566" s="161"/>
      <c r="B566" s="162"/>
      <c r="C566" s="161"/>
      <c r="D566" s="168"/>
      <c r="E566" s="168"/>
      <c r="F566" s="162"/>
      <c r="G566" s="149"/>
      <c r="H566" s="161"/>
      <c r="I566" s="161"/>
      <c r="J566" s="161"/>
      <c r="K566" s="161"/>
      <c r="L566" s="161"/>
      <c r="M566" s="161"/>
      <c r="N566" s="149"/>
      <c r="O566" s="161"/>
      <c r="P566" s="161"/>
      <c r="S566" s="149"/>
      <c r="T566" s="161"/>
      <c r="V566" s="166"/>
      <c r="W566" s="166"/>
      <c r="X566" s="166"/>
      <c r="Y566" s="166"/>
    </row>
    <row r="567" ht="22.5" customHeight="1">
      <c r="A567" s="161"/>
      <c r="B567" s="162"/>
      <c r="C567" s="161"/>
      <c r="D567" s="168"/>
      <c r="E567" s="168"/>
      <c r="F567" s="162"/>
      <c r="G567" s="149"/>
      <c r="H567" s="161"/>
      <c r="I567" s="161"/>
      <c r="J567" s="161"/>
      <c r="K567" s="161"/>
      <c r="L567" s="161"/>
      <c r="M567" s="161"/>
      <c r="N567" s="149"/>
      <c r="O567" s="161"/>
      <c r="P567" s="161"/>
      <c r="S567" s="149"/>
      <c r="T567" s="161"/>
      <c r="V567" s="166"/>
      <c r="W567" s="166"/>
      <c r="X567" s="166"/>
      <c r="Y567" s="166"/>
    </row>
    <row r="568" ht="22.5" customHeight="1">
      <c r="A568" s="161"/>
      <c r="B568" s="162"/>
      <c r="C568" s="161"/>
      <c r="D568" s="168"/>
      <c r="E568" s="168"/>
      <c r="F568" s="162"/>
      <c r="G568" s="149"/>
      <c r="H568" s="161"/>
      <c r="I568" s="161"/>
      <c r="J568" s="161"/>
      <c r="K568" s="161"/>
      <c r="L568" s="161"/>
      <c r="M568" s="161"/>
      <c r="N568" s="149"/>
      <c r="O568" s="161"/>
      <c r="P568" s="161"/>
      <c r="S568" s="149"/>
      <c r="T568" s="161"/>
      <c r="V568" s="166"/>
      <c r="W568" s="166"/>
      <c r="X568" s="166"/>
      <c r="Y568" s="166"/>
    </row>
    <row r="569" ht="22.5" customHeight="1">
      <c r="A569" s="161"/>
      <c r="B569" s="162"/>
      <c r="C569" s="161"/>
      <c r="D569" s="168"/>
      <c r="E569" s="168"/>
      <c r="F569" s="162"/>
      <c r="G569" s="149"/>
      <c r="H569" s="161"/>
      <c r="I569" s="161"/>
      <c r="J569" s="161"/>
      <c r="K569" s="161"/>
      <c r="L569" s="161"/>
      <c r="M569" s="161"/>
      <c r="N569" s="149"/>
      <c r="O569" s="161"/>
      <c r="P569" s="161"/>
      <c r="S569" s="149"/>
      <c r="T569" s="161"/>
      <c r="V569" s="166"/>
      <c r="W569" s="166"/>
      <c r="X569" s="166"/>
      <c r="Y569" s="166"/>
    </row>
    <row r="570" ht="22.5" customHeight="1">
      <c r="A570" s="161"/>
      <c r="B570" s="162"/>
      <c r="C570" s="161"/>
      <c r="D570" s="168"/>
      <c r="E570" s="168"/>
      <c r="F570" s="162"/>
      <c r="G570" s="149"/>
      <c r="H570" s="161"/>
      <c r="I570" s="161"/>
      <c r="J570" s="161"/>
      <c r="K570" s="161"/>
      <c r="L570" s="161"/>
      <c r="M570" s="161"/>
      <c r="N570" s="149"/>
      <c r="O570" s="161"/>
      <c r="P570" s="161"/>
      <c r="S570" s="149"/>
      <c r="T570" s="161"/>
      <c r="V570" s="166"/>
      <c r="W570" s="166"/>
      <c r="X570" s="166"/>
      <c r="Y570" s="166"/>
    </row>
    <row r="571" ht="22.5" customHeight="1">
      <c r="A571" s="161"/>
      <c r="B571" s="162"/>
      <c r="C571" s="161"/>
      <c r="D571" s="168"/>
      <c r="E571" s="168"/>
      <c r="F571" s="162"/>
      <c r="G571" s="149"/>
      <c r="H571" s="161"/>
      <c r="I571" s="161"/>
      <c r="J571" s="161"/>
      <c r="K571" s="161"/>
      <c r="L571" s="161"/>
      <c r="M571" s="161"/>
      <c r="N571" s="149"/>
      <c r="O571" s="161"/>
      <c r="P571" s="161"/>
      <c r="S571" s="149"/>
      <c r="T571" s="161"/>
      <c r="V571" s="166"/>
      <c r="W571" s="166"/>
      <c r="X571" s="166"/>
      <c r="Y571" s="166"/>
    </row>
    <row r="572" ht="22.5" customHeight="1">
      <c r="A572" s="161"/>
      <c r="B572" s="162"/>
      <c r="C572" s="161"/>
      <c r="D572" s="168"/>
      <c r="E572" s="168"/>
      <c r="F572" s="162"/>
      <c r="G572" s="149"/>
      <c r="H572" s="161"/>
      <c r="I572" s="161"/>
      <c r="J572" s="161"/>
      <c r="K572" s="161"/>
      <c r="L572" s="161"/>
      <c r="M572" s="161"/>
      <c r="N572" s="149"/>
      <c r="O572" s="161"/>
      <c r="P572" s="161"/>
      <c r="S572" s="149"/>
      <c r="T572" s="161"/>
      <c r="V572" s="166"/>
      <c r="W572" s="166"/>
      <c r="X572" s="166"/>
      <c r="Y572" s="166"/>
    </row>
    <row r="573" ht="22.5" customHeight="1">
      <c r="A573" s="161"/>
      <c r="B573" s="162"/>
      <c r="C573" s="161"/>
      <c r="D573" s="168"/>
      <c r="E573" s="168"/>
      <c r="F573" s="162"/>
      <c r="G573" s="149"/>
      <c r="H573" s="161"/>
      <c r="I573" s="161"/>
      <c r="J573" s="161"/>
      <c r="K573" s="161"/>
      <c r="L573" s="161"/>
      <c r="M573" s="161"/>
      <c r="N573" s="149"/>
      <c r="O573" s="161"/>
      <c r="P573" s="161"/>
      <c r="S573" s="149"/>
      <c r="T573" s="161"/>
      <c r="V573" s="166"/>
      <c r="W573" s="166"/>
      <c r="X573" s="166"/>
      <c r="Y573" s="166"/>
    </row>
    <row r="574" ht="22.5" customHeight="1">
      <c r="A574" s="161"/>
      <c r="B574" s="162"/>
      <c r="C574" s="161"/>
      <c r="D574" s="168"/>
      <c r="E574" s="168"/>
      <c r="F574" s="162"/>
      <c r="G574" s="149"/>
      <c r="H574" s="161"/>
      <c r="I574" s="161"/>
      <c r="J574" s="161"/>
      <c r="K574" s="161"/>
      <c r="L574" s="161"/>
      <c r="M574" s="161"/>
      <c r="N574" s="149"/>
      <c r="O574" s="161"/>
      <c r="P574" s="161"/>
      <c r="S574" s="149"/>
      <c r="T574" s="161"/>
      <c r="V574" s="166"/>
      <c r="W574" s="166"/>
      <c r="X574" s="166"/>
      <c r="Y574" s="166"/>
    </row>
    <row r="575" ht="22.5" customHeight="1">
      <c r="A575" s="161"/>
      <c r="B575" s="162"/>
      <c r="C575" s="161"/>
      <c r="D575" s="168"/>
      <c r="E575" s="168"/>
      <c r="F575" s="162"/>
      <c r="G575" s="149"/>
      <c r="H575" s="161"/>
      <c r="I575" s="161"/>
      <c r="J575" s="161"/>
      <c r="K575" s="161"/>
      <c r="L575" s="161"/>
      <c r="M575" s="161"/>
      <c r="N575" s="149"/>
      <c r="O575" s="161"/>
      <c r="P575" s="161"/>
      <c r="S575" s="149"/>
      <c r="T575" s="161"/>
      <c r="V575" s="166"/>
      <c r="W575" s="166"/>
      <c r="X575" s="166"/>
      <c r="Y575" s="166"/>
    </row>
    <row r="576" ht="22.5" customHeight="1">
      <c r="A576" s="161"/>
      <c r="B576" s="162"/>
      <c r="C576" s="161"/>
      <c r="D576" s="168"/>
      <c r="E576" s="168"/>
      <c r="F576" s="162"/>
      <c r="G576" s="149"/>
      <c r="H576" s="161"/>
      <c r="I576" s="161"/>
      <c r="J576" s="161"/>
      <c r="K576" s="161"/>
      <c r="L576" s="161"/>
      <c r="M576" s="161"/>
      <c r="N576" s="149"/>
      <c r="O576" s="161"/>
      <c r="P576" s="161"/>
      <c r="S576" s="149"/>
      <c r="T576" s="161"/>
      <c r="V576" s="166"/>
      <c r="W576" s="166"/>
      <c r="X576" s="166"/>
      <c r="Y576" s="166"/>
    </row>
    <row r="577" ht="22.5" customHeight="1">
      <c r="A577" s="161"/>
      <c r="B577" s="162"/>
      <c r="C577" s="161"/>
      <c r="D577" s="168"/>
      <c r="E577" s="168"/>
      <c r="F577" s="162"/>
      <c r="G577" s="149"/>
      <c r="H577" s="161"/>
      <c r="I577" s="161"/>
      <c r="J577" s="161"/>
      <c r="K577" s="161"/>
      <c r="L577" s="161"/>
      <c r="M577" s="161"/>
      <c r="N577" s="149"/>
      <c r="O577" s="161"/>
      <c r="P577" s="161"/>
      <c r="S577" s="149"/>
      <c r="T577" s="161"/>
      <c r="V577" s="166"/>
      <c r="W577" s="166"/>
      <c r="X577" s="166"/>
      <c r="Y577" s="166"/>
    </row>
    <row r="578" ht="22.5" customHeight="1">
      <c r="A578" s="161"/>
      <c r="B578" s="162"/>
      <c r="C578" s="161"/>
      <c r="D578" s="168"/>
      <c r="E578" s="168"/>
      <c r="F578" s="162"/>
      <c r="G578" s="149"/>
      <c r="H578" s="161"/>
      <c r="I578" s="161"/>
      <c r="J578" s="161"/>
      <c r="K578" s="161"/>
      <c r="L578" s="161"/>
      <c r="M578" s="161"/>
      <c r="N578" s="149"/>
      <c r="O578" s="161"/>
      <c r="P578" s="161"/>
      <c r="S578" s="149"/>
      <c r="T578" s="161"/>
      <c r="V578" s="166"/>
      <c r="W578" s="166"/>
      <c r="X578" s="166"/>
      <c r="Y578" s="166"/>
    </row>
    <row r="579" ht="22.5" customHeight="1">
      <c r="A579" s="161"/>
      <c r="B579" s="162"/>
      <c r="C579" s="161"/>
      <c r="D579" s="168"/>
      <c r="E579" s="168"/>
      <c r="F579" s="162"/>
      <c r="G579" s="149"/>
      <c r="H579" s="161"/>
      <c r="I579" s="161"/>
      <c r="J579" s="161"/>
      <c r="K579" s="161"/>
      <c r="L579" s="161"/>
      <c r="M579" s="161"/>
      <c r="N579" s="149"/>
      <c r="O579" s="161"/>
      <c r="P579" s="161"/>
      <c r="S579" s="149"/>
      <c r="T579" s="161"/>
      <c r="V579" s="166"/>
      <c r="W579" s="166"/>
      <c r="X579" s="166"/>
      <c r="Y579" s="166"/>
    </row>
    <row r="580" ht="22.5" customHeight="1">
      <c r="A580" s="161"/>
      <c r="B580" s="162"/>
      <c r="C580" s="161"/>
      <c r="D580" s="168"/>
      <c r="E580" s="168"/>
      <c r="F580" s="162"/>
      <c r="G580" s="149"/>
      <c r="H580" s="161"/>
      <c r="I580" s="161"/>
      <c r="J580" s="161"/>
      <c r="K580" s="161"/>
      <c r="L580" s="161"/>
      <c r="M580" s="161"/>
      <c r="N580" s="149"/>
      <c r="O580" s="161"/>
      <c r="P580" s="161"/>
      <c r="S580" s="149"/>
      <c r="T580" s="161"/>
      <c r="V580" s="166"/>
      <c r="W580" s="166"/>
      <c r="X580" s="166"/>
      <c r="Y580" s="166"/>
    </row>
    <row r="581" ht="22.5" customHeight="1">
      <c r="A581" s="161"/>
      <c r="B581" s="162"/>
      <c r="C581" s="161"/>
      <c r="D581" s="168"/>
      <c r="E581" s="168"/>
      <c r="F581" s="162"/>
      <c r="G581" s="149"/>
      <c r="H581" s="161"/>
      <c r="I581" s="161"/>
      <c r="J581" s="161"/>
      <c r="K581" s="161"/>
      <c r="L581" s="161"/>
      <c r="M581" s="161"/>
      <c r="N581" s="149"/>
      <c r="O581" s="161"/>
      <c r="P581" s="161"/>
      <c r="S581" s="149"/>
      <c r="T581" s="161"/>
      <c r="V581" s="166"/>
      <c r="W581" s="166"/>
      <c r="X581" s="166"/>
      <c r="Y581" s="166"/>
    </row>
    <row r="582" ht="22.5" customHeight="1">
      <c r="A582" s="161"/>
      <c r="B582" s="162"/>
      <c r="C582" s="161"/>
      <c r="D582" s="168"/>
      <c r="E582" s="168"/>
      <c r="F582" s="162"/>
      <c r="G582" s="149"/>
      <c r="H582" s="161"/>
      <c r="I582" s="161"/>
      <c r="J582" s="161"/>
      <c r="K582" s="161"/>
      <c r="L582" s="161"/>
      <c r="M582" s="161"/>
      <c r="N582" s="149"/>
      <c r="O582" s="161"/>
      <c r="P582" s="161"/>
      <c r="S582" s="149"/>
      <c r="T582" s="161"/>
      <c r="V582" s="166"/>
      <c r="W582" s="166"/>
      <c r="X582" s="166"/>
      <c r="Y582" s="166"/>
    </row>
    <row r="583" ht="22.5" customHeight="1">
      <c r="A583" s="161"/>
      <c r="B583" s="162"/>
      <c r="C583" s="161"/>
      <c r="D583" s="168"/>
      <c r="E583" s="168"/>
      <c r="F583" s="162"/>
      <c r="G583" s="149"/>
      <c r="H583" s="161"/>
      <c r="I583" s="161"/>
      <c r="J583" s="161"/>
      <c r="K583" s="161"/>
      <c r="L583" s="161"/>
      <c r="M583" s="161"/>
      <c r="N583" s="149"/>
      <c r="O583" s="161"/>
      <c r="P583" s="161"/>
      <c r="S583" s="149"/>
      <c r="T583" s="161"/>
      <c r="V583" s="166"/>
      <c r="W583" s="166"/>
      <c r="X583" s="166"/>
      <c r="Y583" s="166"/>
    </row>
    <row r="584" ht="22.5" customHeight="1">
      <c r="A584" s="161"/>
      <c r="B584" s="162"/>
      <c r="C584" s="161"/>
      <c r="D584" s="168"/>
      <c r="E584" s="168"/>
      <c r="F584" s="162"/>
      <c r="G584" s="149"/>
      <c r="H584" s="161"/>
      <c r="I584" s="161"/>
      <c r="J584" s="161"/>
      <c r="K584" s="161"/>
      <c r="L584" s="161"/>
      <c r="M584" s="161"/>
      <c r="N584" s="149"/>
      <c r="O584" s="161"/>
      <c r="P584" s="161"/>
      <c r="S584" s="149"/>
      <c r="T584" s="161"/>
      <c r="V584" s="166"/>
      <c r="W584" s="166"/>
      <c r="X584" s="166"/>
      <c r="Y584" s="166"/>
    </row>
    <row r="585" ht="22.5" customHeight="1">
      <c r="A585" s="161"/>
      <c r="B585" s="162"/>
      <c r="C585" s="161"/>
      <c r="D585" s="168"/>
      <c r="E585" s="168"/>
      <c r="F585" s="162"/>
      <c r="G585" s="149"/>
      <c r="H585" s="161"/>
      <c r="I585" s="161"/>
      <c r="J585" s="161"/>
      <c r="K585" s="161"/>
      <c r="L585" s="161"/>
      <c r="M585" s="161"/>
      <c r="N585" s="149"/>
      <c r="O585" s="161"/>
      <c r="P585" s="161"/>
      <c r="S585" s="149"/>
      <c r="T585" s="161"/>
      <c r="V585" s="166"/>
      <c r="W585" s="166"/>
      <c r="X585" s="166"/>
      <c r="Y585" s="166"/>
    </row>
    <row r="586" ht="22.5" customHeight="1">
      <c r="A586" s="161"/>
      <c r="B586" s="162"/>
      <c r="C586" s="161"/>
      <c r="D586" s="168"/>
      <c r="E586" s="168"/>
      <c r="F586" s="162"/>
      <c r="G586" s="149"/>
      <c r="H586" s="161"/>
      <c r="I586" s="161"/>
      <c r="J586" s="161"/>
      <c r="K586" s="161"/>
      <c r="L586" s="161"/>
      <c r="M586" s="161"/>
      <c r="N586" s="149"/>
      <c r="O586" s="161"/>
      <c r="P586" s="161"/>
      <c r="S586" s="149"/>
      <c r="T586" s="161"/>
      <c r="V586" s="166"/>
      <c r="W586" s="166"/>
      <c r="X586" s="166"/>
      <c r="Y586" s="166"/>
    </row>
    <row r="587" ht="22.5" customHeight="1">
      <c r="A587" s="161"/>
      <c r="B587" s="162"/>
      <c r="C587" s="161"/>
      <c r="D587" s="168"/>
      <c r="E587" s="168"/>
      <c r="F587" s="162"/>
      <c r="G587" s="149"/>
      <c r="H587" s="161"/>
      <c r="I587" s="161"/>
      <c r="J587" s="161"/>
      <c r="K587" s="161"/>
      <c r="L587" s="161"/>
      <c r="M587" s="161"/>
      <c r="N587" s="149"/>
      <c r="O587" s="161"/>
      <c r="P587" s="161"/>
      <c r="S587" s="149"/>
      <c r="T587" s="161"/>
      <c r="V587" s="166"/>
      <c r="W587" s="166"/>
      <c r="X587" s="166"/>
      <c r="Y587" s="166"/>
    </row>
    <row r="588" ht="22.5" customHeight="1">
      <c r="A588" s="161"/>
      <c r="B588" s="162"/>
      <c r="C588" s="161"/>
      <c r="D588" s="168"/>
      <c r="E588" s="168"/>
      <c r="F588" s="162"/>
      <c r="G588" s="149"/>
      <c r="H588" s="161"/>
      <c r="I588" s="161"/>
      <c r="J588" s="161"/>
      <c r="K588" s="161"/>
      <c r="L588" s="161"/>
      <c r="M588" s="161"/>
      <c r="N588" s="149"/>
      <c r="O588" s="161"/>
      <c r="P588" s="161"/>
      <c r="S588" s="149"/>
      <c r="T588" s="161"/>
      <c r="V588" s="166"/>
      <c r="W588" s="166"/>
      <c r="X588" s="166"/>
      <c r="Y588" s="166"/>
    </row>
    <row r="589" ht="22.5" customHeight="1">
      <c r="A589" s="161"/>
      <c r="B589" s="162"/>
      <c r="C589" s="161"/>
      <c r="D589" s="168"/>
      <c r="E589" s="168"/>
      <c r="F589" s="162"/>
      <c r="G589" s="149"/>
      <c r="H589" s="161"/>
      <c r="I589" s="161"/>
      <c r="J589" s="161"/>
      <c r="K589" s="161"/>
      <c r="L589" s="161"/>
      <c r="M589" s="161"/>
      <c r="N589" s="149"/>
      <c r="O589" s="161"/>
      <c r="P589" s="161"/>
      <c r="S589" s="149"/>
      <c r="T589" s="161"/>
      <c r="V589" s="166"/>
      <c r="W589" s="166"/>
      <c r="X589" s="166"/>
      <c r="Y589" s="166"/>
    </row>
    <row r="590" ht="22.5" customHeight="1">
      <c r="A590" s="161"/>
      <c r="B590" s="162"/>
      <c r="C590" s="161"/>
      <c r="D590" s="168"/>
      <c r="E590" s="168"/>
      <c r="F590" s="162"/>
      <c r="G590" s="149"/>
      <c r="H590" s="161"/>
      <c r="I590" s="161"/>
      <c r="J590" s="161"/>
      <c r="K590" s="161"/>
      <c r="L590" s="161"/>
      <c r="M590" s="161"/>
      <c r="N590" s="149"/>
      <c r="O590" s="161"/>
      <c r="P590" s="161"/>
      <c r="S590" s="149"/>
      <c r="T590" s="161"/>
      <c r="V590" s="166"/>
      <c r="W590" s="166"/>
      <c r="X590" s="166"/>
      <c r="Y590" s="166"/>
    </row>
    <row r="591" ht="22.5" customHeight="1">
      <c r="A591" s="161"/>
      <c r="B591" s="162"/>
      <c r="C591" s="161"/>
      <c r="D591" s="168"/>
      <c r="E591" s="168"/>
      <c r="F591" s="162"/>
      <c r="G591" s="149"/>
      <c r="H591" s="161"/>
      <c r="I591" s="161"/>
      <c r="J591" s="161"/>
      <c r="K591" s="161"/>
      <c r="L591" s="161"/>
      <c r="M591" s="161"/>
      <c r="N591" s="149"/>
      <c r="O591" s="161"/>
      <c r="P591" s="161"/>
      <c r="S591" s="149"/>
      <c r="T591" s="161"/>
      <c r="V591" s="166"/>
      <c r="W591" s="166"/>
      <c r="X591" s="166"/>
      <c r="Y591" s="166"/>
    </row>
    <row r="592" ht="22.5" customHeight="1">
      <c r="A592" s="161"/>
      <c r="B592" s="162"/>
      <c r="C592" s="161"/>
      <c r="D592" s="168"/>
      <c r="E592" s="168"/>
      <c r="F592" s="162"/>
      <c r="G592" s="149"/>
      <c r="H592" s="161"/>
      <c r="I592" s="161"/>
      <c r="J592" s="161"/>
      <c r="K592" s="161"/>
      <c r="L592" s="161"/>
      <c r="M592" s="161"/>
      <c r="N592" s="149"/>
      <c r="O592" s="161"/>
      <c r="P592" s="161"/>
      <c r="S592" s="149"/>
      <c r="T592" s="161"/>
      <c r="V592" s="166"/>
      <c r="W592" s="166"/>
      <c r="X592" s="166"/>
      <c r="Y592" s="166"/>
    </row>
    <row r="593" ht="22.5" customHeight="1">
      <c r="A593" s="161"/>
      <c r="B593" s="162"/>
      <c r="C593" s="161"/>
      <c r="D593" s="168"/>
      <c r="E593" s="168"/>
      <c r="F593" s="162"/>
      <c r="G593" s="149"/>
      <c r="H593" s="161"/>
      <c r="I593" s="161"/>
      <c r="J593" s="161"/>
      <c r="K593" s="161"/>
      <c r="L593" s="161"/>
      <c r="M593" s="161"/>
      <c r="N593" s="149"/>
      <c r="O593" s="161"/>
      <c r="P593" s="161"/>
      <c r="S593" s="149"/>
      <c r="T593" s="161"/>
      <c r="V593" s="166"/>
      <c r="W593" s="166"/>
      <c r="X593" s="166"/>
      <c r="Y593" s="166"/>
    </row>
    <row r="594" ht="22.5" customHeight="1">
      <c r="A594" s="161"/>
      <c r="B594" s="162"/>
      <c r="C594" s="161"/>
      <c r="D594" s="168"/>
      <c r="E594" s="168"/>
      <c r="F594" s="162"/>
      <c r="G594" s="149"/>
      <c r="H594" s="161"/>
      <c r="I594" s="161"/>
      <c r="J594" s="161"/>
      <c r="K594" s="161"/>
      <c r="L594" s="161"/>
      <c r="M594" s="161"/>
      <c r="N594" s="149"/>
      <c r="O594" s="161"/>
      <c r="P594" s="161"/>
      <c r="S594" s="149"/>
      <c r="T594" s="161"/>
      <c r="V594" s="166"/>
      <c r="W594" s="166"/>
      <c r="X594" s="166"/>
      <c r="Y594" s="166"/>
    </row>
    <row r="595" ht="22.5" customHeight="1">
      <c r="A595" s="161"/>
      <c r="B595" s="162"/>
      <c r="C595" s="161"/>
      <c r="D595" s="168"/>
      <c r="E595" s="168"/>
      <c r="F595" s="162"/>
      <c r="G595" s="149"/>
      <c r="H595" s="161"/>
      <c r="I595" s="161"/>
      <c r="J595" s="161"/>
      <c r="K595" s="161"/>
      <c r="L595" s="161"/>
      <c r="M595" s="161"/>
      <c r="N595" s="149"/>
      <c r="O595" s="161"/>
      <c r="P595" s="161"/>
      <c r="S595" s="149"/>
      <c r="T595" s="161"/>
      <c r="V595" s="166"/>
      <c r="W595" s="166"/>
      <c r="X595" s="166"/>
      <c r="Y595" s="166"/>
    </row>
    <row r="596" ht="22.5" customHeight="1">
      <c r="A596" s="161"/>
      <c r="B596" s="162"/>
      <c r="C596" s="161"/>
      <c r="D596" s="168"/>
      <c r="E596" s="168"/>
      <c r="F596" s="162"/>
      <c r="G596" s="149"/>
      <c r="H596" s="161"/>
      <c r="I596" s="161"/>
      <c r="J596" s="161"/>
      <c r="K596" s="161"/>
      <c r="L596" s="161"/>
      <c r="M596" s="161"/>
      <c r="N596" s="149"/>
      <c r="O596" s="161"/>
      <c r="P596" s="161"/>
      <c r="S596" s="149"/>
      <c r="T596" s="161"/>
      <c r="V596" s="166"/>
      <c r="W596" s="166"/>
      <c r="X596" s="166"/>
      <c r="Y596" s="166"/>
    </row>
    <row r="597" ht="22.5" customHeight="1">
      <c r="A597" s="161"/>
      <c r="B597" s="162"/>
      <c r="C597" s="161"/>
      <c r="D597" s="168"/>
      <c r="E597" s="168"/>
      <c r="F597" s="162"/>
      <c r="G597" s="149"/>
      <c r="H597" s="161"/>
      <c r="I597" s="161"/>
      <c r="J597" s="161"/>
      <c r="K597" s="161"/>
      <c r="L597" s="161"/>
      <c r="M597" s="161"/>
      <c r="N597" s="149"/>
      <c r="O597" s="161"/>
      <c r="P597" s="161"/>
      <c r="S597" s="149"/>
      <c r="T597" s="161"/>
      <c r="V597" s="166"/>
      <c r="W597" s="166"/>
      <c r="X597" s="166"/>
      <c r="Y597" s="166"/>
    </row>
    <row r="598" ht="22.5" customHeight="1">
      <c r="A598" s="161"/>
      <c r="B598" s="162"/>
      <c r="C598" s="161"/>
      <c r="D598" s="168"/>
      <c r="E598" s="168"/>
      <c r="F598" s="162"/>
      <c r="G598" s="149"/>
      <c r="H598" s="161"/>
      <c r="I598" s="161"/>
      <c r="J598" s="161"/>
      <c r="K598" s="161"/>
      <c r="L598" s="161"/>
      <c r="M598" s="161"/>
      <c r="N598" s="149"/>
      <c r="O598" s="161"/>
      <c r="P598" s="161"/>
      <c r="S598" s="149"/>
      <c r="T598" s="161"/>
      <c r="V598" s="166"/>
      <c r="W598" s="166"/>
      <c r="X598" s="166"/>
      <c r="Y598" s="166"/>
    </row>
    <row r="599" ht="22.5" customHeight="1">
      <c r="A599" s="161"/>
      <c r="B599" s="162"/>
      <c r="C599" s="161"/>
      <c r="D599" s="168"/>
      <c r="E599" s="168"/>
      <c r="F599" s="162"/>
      <c r="G599" s="149"/>
      <c r="H599" s="161"/>
      <c r="I599" s="161"/>
      <c r="J599" s="161"/>
      <c r="K599" s="161"/>
      <c r="L599" s="161"/>
      <c r="M599" s="161"/>
      <c r="N599" s="149"/>
      <c r="O599" s="161"/>
      <c r="P599" s="161"/>
      <c r="S599" s="149"/>
      <c r="T599" s="161"/>
      <c r="V599" s="166"/>
      <c r="W599" s="166"/>
      <c r="X599" s="166"/>
      <c r="Y599" s="166"/>
    </row>
    <row r="600" ht="22.5" customHeight="1">
      <c r="A600" s="161"/>
      <c r="B600" s="162"/>
      <c r="C600" s="161"/>
      <c r="D600" s="168"/>
      <c r="E600" s="168"/>
      <c r="F600" s="162"/>
      <c r="G600" s="149"/>
      <c r="H600" s="161"/>
      <c r="I600" s="161"/>
      <c r="J600" s="161"/>
      <c r="K600" s="161"/>
      <c r="L600" s="161"/>
      <c r="M600" s="161"/>
      <c r="N600" s="149"/>
      <c r="O600" s="161"/>
      <c r="P600" s="161"/>
      <c r="S600" s="149"/>
      <c r="T600" s="161"/>
      <c r="V600" s="166"/>
      <c r="W600" s="166"/>
      <c r="X600" s="166"/>
      <c r="Y600" s="166"/>
    </row>
    <row r="601" ht="22.5" customHeight="1">
      <c r="A601" s="161"/>
      <c r="B601" s="162"/>
      <c r="C601" s="161"/>
      <c r="D601" s="168"/>
      <c r="E601" s="168"/>
      <c r="F601" s="162"/>
      <c r="G601" s="149"/>
      <c r="H601" s="161"/>
      <c r="I601" s="161"/>
      <c r="J601" s="161"/>
      <c r="K601" s="161"/>
      <c r="L601" s="161"/>
      <c r="M601" s="161"/>
      <c r="N601" s="149"/>
      <c r="O601" s="161"/>
      <c r="P601" s="161"/>
      <c r="S601" s="149"/>
      <c r="T601" s="161"/>
      <c r="V601" s="166"/>
      <c r="W601" s="166"/>
      <c r="X601" s="166"/>
      <c r="Y601" s="166"/>
    </row>
    <row r="602" ht="22.5" customHeight="1">
      <c r="A602" s="161"/>
      <c r="B602" s="162"/>
      <c r="C602" s="161"/>
      <c r="D602" s="168"/>
      <c r="E602" s="168"/>
      <c r="F602" s="162"/>
      <c r="G602" s="149"/>
      <c r="H602" s="161"/>
      <c r="I602" s="161"/>
      <c r="J602" s="161"/>
      <c r="K602" s="161"/>
      <c r="L602" s="161"/>
      <c r="M602" s="161"/>
      <c r="N602" s="149"/>
      <c r="O602" s="161"/>
      <c r="P602" s="161"/>
      <c r="S602" s="149"/>
      <c r="T602" s="161"/>
      <c r="V602" s="166"/>
      <c r="W602" s="166"/>
      <c r="X602" s="166"/>
      <c r="Y602" s="166"/>
    </row>
    <row r="603" ht="22.5" customHeight="1">
      <c r="A603" s="161"/>
      <c r="B603" s="162"/>
      <c r="C603" s="161"/>
      <c r="D603" s="168"/>
      <c r="E603" s="168"/>
      <c r="F603" s="162"/>
      <c r="G603" s="149"/>
      <c r="H603" s="161"/>
      <c r="I603" s="161"/>
      <c r="J603" s="161"/>
      <c r="K603" s="161"/>
      <c r="L603" s="161"/>
      <c r="M603" s="161"/>
      <c r="N603" s="149"/>
      <c r="O603" s="161"/>
      <c r="P603" s="161"/>
      <c r="S603" s="149"/>
      <c r="T603" s="161"/>
      <c r="V603" s="166"/>
      <c r="W603" s="166"/>
      <c r="X603" s="166"/>
      <c r="Y603" s="166"/>
    </row>
    <row r="604" ht="22.5" customHeight="1">
      <c r="A604" s="161"/>
      <c r="B604" s="162"/>
      <c r="C604" s="161"/>
      <c r="D604" s="168"/>
      <c r="E604" s="168"/>
      <c r="F604" s="162"/>
      <c r="G604" s="149"/>
      <c r="H604" s="161"/>
      <c r="I604" s="161"/>
      <c r="J604" s="161"/>
      <c r="K604" s="161"/>
      <c r="L604" s="161"/>
      <c r="M604" s="161"/>
      <c r="N604" s="149"/>
      <c r="O604" s="161"/>
      <c r="P604" s="161"/>
      <c r="S604" s="149"/>
      <c r="T604" s="161"/>
      <c r="V604" s="166"/>
      <c r="W604" s="166"/>
      <c r="X604" s="166"/>
      <c r="Y604" s="166"/>
    </row>
    <row r="605" ht="22.5" customHeight="1">
      <c r="A605" s="161"/>
      <c r="B605" s="162"/>
      <c r="C605" s="161"/>
      <c r="D605" s="168"/>
      <c r="E605" s="168"/>
      <c r="F605" s="162"/>
      <c r="G605" s="149"/>
      <c r="H605" s="161"/>
      <c r="I605" s="161"/>
      <c r="J605" s="161"/>
      <c r="K605" s="161"/>
      <c r="L605" s="161"/>
      <c r="M605" s="161"/>
      <c r="N605" s="149"/>
      <c r="O605" s="161"/>
      <c r="P605" s="161"/>
      <c r="S605" s="149"/>
      <c r="T605" s="161"/>
      <c r="V605" s="166"/>
      <c r="W605" s="166"/>
      <c r="X605" s="166"/>
      <c r="Y605" s="166"/>
    </row>
    <row r="606" ht="22.5" customHeight="1">
      <c r="A606" s="161"/>
      <c r="B606" s="162"/>
      <c r="C606" s="161"/>
      <c r="D606" s="168"/>
      <c r="E606" s="168"/>
      <c r="F606" s="162"/>
      <c r="G606" s="149"/>
      <c r="H606" s="161"/>
      <c r="I606" s="161"/>
      <c r="J606" s="161"/>
      <c r="K606" s="161"/>
      <c r="L606" s="161"/>
      <c r="M606" s="161"/>
      <c r="N606" s="149"/>
      <c r="O606" s="161"/>
      <c r="P606" s="161"/>
      <c r="S606" s="149"/>
      <c r="T606" s="161"/>
      <c r="V606" s="166"/>
      <c r="W606" s="166"/>
      <c r="X606" s="166"/>
      <c r="Y606" s="166"/>
    </row>
    <row r="607" ht="22.5" customHeight="1">
      <c r="A607" s="161"/>
      <c r="B607" s="162"/>
      <c r="C607" s="161"/>
      <c r="D607" s="168"/>
      <c r="E607" s="168"/>
      <c r="F607" s="162"/>
      <c r="G607" s="149"/>
      <c r="H607" s="161"/>
      <c r="I607" s="161"/>
      <c r="J607" s="161"/>
      <c r="K607" s="161"/>
      <c r="L607" s="161"/>
      <c r="M607" s="161"/>
      <c r="N607" s="149"/>
      <c r="O607" s="161"/>
      <c r="P607" s="161"/>
      <c r="S607" s="149"/>
      <c r="T607" s="161"/>
      <c r="V607" s="166"/>
      <c r="W607" s="166"/>
      <c r="X607" s="166"/>
      <c r="Y607" s="166"/>
    </row>
    <row r="608" ht="22.5" customHeight="1">
      <c r="A608" s="161"/>
      <c r="B608" s="162"/>
      <c r="C608" s="161"/>
      <c r="D608" s="168"/>
      <c r="E608" s="168"/>
      <c r="F608" s="162"/>
      <c r="G608" s="149"/>
      <c r="H608" s="161"/>
      <c r="I608" s="161"/>
      <c r="J608" s="161"/>
      <c r="K608" s="161"/>
      <c r="L608" s="161"/>
      <c r="M608" s="161"/>
      <c r="N608" s="149"/>
      <c r="O608" s="161"/>
      <c r="P608" s="161"/>
      <c r="S608" s="149"/>
      <c r="T608" s="161"/>
      <c r="V608" s="166"/>
      <c r="W608" s="166"/>
      <c r="X608" s="166"/>
      <c r="Y608" s="166"/>
    </row>
    <row r="609" ht="22.5" customHeight="1">
      <c r="A609" s="161"/>
      <c r="B609" s="162"/>
      <c r="C609" s="161"/>
      <c r="D609" s="168"/>
      <c r="E609" s="168"/>
      <c r="F609" s="162"/>
      <c r="G609" s="149"/>
      <c r="H609" s="161"/>
      <c r="I609" s="161"/>
      <c r="J609" s="161"/>
      <c r="K609" s="161"/>
      <c r="L609" s="161"/>
      <c r="M609" s="161"/>
      <c r="N609" s="149"/>
      <c r="O609" s="161"/>
      <c r="P609" s="161"/>
      <c r="S609" s="149"/>
      <c r="T609" s="161"/>
      <c r="V609" s="166"/>
      <c r="W609" s="166"/>
      <c r="X609" s="166"/>
      <c r="Y609" s="166"/>
    </row>
    <row r="610" ht="22.5" customHeight="1">
      <c r="A610" s="161"/>
      <c r="B610" s="162"/>
      <c r="C610" s="161"/>
      <c r="D610" s="168"/>
      <c r="E610" s="168"/>
      <c r="F610" s="162"/>
      <c r="G610" s="149"/>
      <c r="H610" s="161"/>
      <c r="I610" s="161"/>
      <c r="J610" s="161"/>
      <c r="K610" s="161"/>
      <c r="L610" s="161"/>
      <c r="M610" s="161"/>
      <c r="N610" s="149"/>
      <c r="O610" s="161"/>
      <c r="P610" s="161"/>
      <c r="S610" s="149"/>
      <c r="T610" s="161"/>
      <c r="V610" s="166"/>
      <c r="W610" s="166"/>
      <c r="X610" s="166"/>
      <c r="Y610" s="166"/>
    </row>
    <row r="611" ht="22.5" customHeight="1">
      <c r="A611" s="161"/>
      <c r="B611" s="162"/>
      <c r="C611" s="161"/>
      <c r="D611" s="168"/>
      <c r="E611" s="168"/>
      <c r="F611" s="162"/>
      <c r="G611" s="149"/>
      <c r="H611" s="161"/>
      <c r="I611" s="161"/>
      <c r="J611" s="161"/>
      <c r="K611" s="161"/>
      <c r="L611" s="161"/>
      <c r="M611" s="161"/>
      <c r="N611" s="149"/>
      <c r="O611" s="161"/>
      <c r="P611" s="161"/>
      <c r="S611" s="149"/>
      <c r="T611" s="161"/>
      <c r="V611" s="166"/>
      <c r="W611" s="166"/>
      <c r="X611" s="166"/>
      <c r="Y611" s="166"/>
    </row>
    <row r="612" ht="22.5" customHeight="1">
      <c r="A612" s="161"/>
      <c r="B612" s="162"/>
      <c r="C612" s="161"/>
      <c r="D612" s="168"/>
      <c r="E612" s="168"/>
      <c r="F612" s="162"/>
      <c r="G612" s="149"/>
      <c r="H612" s="161"/>
      <c r="I612" s="161"/>
      <c r="J612" s="161"/>
      <c r="K612" s="161"/>
      <c r="L612" s="161"/>
      <c r="M612" s="161"/>
      <c r="N612" s="149"/>
      <c r="O612" s="161"/>
      <c r="P612" s="161"/>
      <c r="S612" s="149"/>
      <c r="T612" s="161"/>
      <c r="V612" s="166"/>
      <c r="W612" s="166"/>
      <c r="X612" s="166"/>
      <c r="Y612" s="166"/>
    </row>
    <row r="613" ht="22.5" customHeight="1">
      <c r="A613" s="161"/>
      <c r="B613" s="162"/>
      <c r="C613" s="161"/>
      <c r="D613" s="168"/>
      <c r="E613" s="168"/>
      <c r="F613" s="162"/>
      <c r="G613" s="149"/>
      <c r="H613" s="161"/>
      <c r="I613" s="161"/>
      <c r="J613" s="161"/>
      <c r="K613" s="161"/>
      <c r="L613" s="161"/>
      <c r="M613" s="161"/>
      <c r="N613" s="149"/>
      <c r="O613" s="161"/>
      <c r="P613" s="161"/>
      <c r="S613" s="149"/>
      <c r="T613" s="161"/>
      <c r="V613" s="166"/>
      <c r="W613" s="166"/>
      <c r="X613" s="166"/>
      <c r="Y613" s="166"/>
    </row>
    <row r="614" ht="22.5" customHeight="1">
      <c r="A614" s="161"/>
      <c r="B614" s="162"/>
      <c r="C614" s="161"/>
      <c r="D614" s="168"/>
      <c r="E614" s="168"/>
      <c r="F614" s="162"/>
      <c r="G614" s="149"/>
      <c r="H614" s="161"/>
      <c r="I614" s="161"/>
      <c r="J614" s="161"/>
      <c r="K614" s="161"/>
      <c r="L614" s="161"/>
      <c r="M614" s="161"/>
      <c r="N614" s="149"/>
      <c r="O614" s="161"/>
      <c r="P614" s="161"/>
      <c r="S614" s="149"/>
      <c r="T614" s="161"/>
      <c r="V614" s="166"/>
      <c r="W614" s="166"/>
      <c r="X614" s="166"/>
      <c r="Y614" s="166"/>
    </row>
    <row r="615" ht="22.5" customHeight="1">
      <c r="A615" s="161"/>
      <c r="B615" s="162"/>
      <c r="C615" s="161"/>
      <c r="D615" s="168"/>
      <c r="E615" s="168"/>
      <c r="F615" s="162"/>
      <c r="G615" s="149"/>
      <c r="H615" s="161"/>
      <c r="I615" s="161"/>
      <c r="J615" s="161"/>
      <c r="K615" s="161"/>
      <c r="L615" s="161"/>
      <c r="M615" s="161"/>
      <c r="N615" s="149"/>
      <c r="O615" s="161"/>
      <c r="P615" s="161"/>
      <c r="S615" s="149"/>
      <c r="T615" s="161"/>
      <c r="V615" s="166"/>
      <c r="W615" s="166"/>
      <c r="X615" s="166"/>
      <c r="Y615" s="166"/>
    </row>
    <row r="616" ht="22.5" customHeight="1">
      <c r="A616" s="161"/>
      <c r="B616" s="162"/>
      <c r="C616" s="161"/>
      <c r="D616" s="168"/>
      <c r="E616" s="168"/>
      <c r="F616" s="162"/>
      <c r="G616" s="149"/>
      <c r="H616" s="161"/>
      <c r="I616" s="161"/>
      <c r="J616" s="161"/>
      <c r="K616" s="161"/>
      <c r="L616" s="161"/>
      <c r="M616" s="161"/>
      <c r="N616" s="149"/>
      <c r="O616" s="161"/>
      <c r="P616" s="161"/>
      <c r="S616" s="149"/>
      <c r="T616" s="161"/>
      <c r="V616" s="166"/>
      <c r="W616" s="166"/>
      <c r="X616" s="166"/>
      <c r="Y616" s="166"/>
    </row>
    <row r="617" ht="22.5" customHeight="1">
      <c r="A617" s="161"/>
      <c r="B617" s="162"/>
      <c r="C617" s="161"/>
      <c r="D617" s="168"/>
      <c r="E617" s="168"/>
      <c r="F617" s="162"/>
      <c r="G617" s="149"/>
      <c r="H617" s="161"/>
      <c r="I617" s="161"/>
      <c r="J617" s="161"/>
      <c r="K617" s="161"/>
      <c r="L617" s="161"/>
      <c r="M617" s="161"/>
      <c r="N617" s="149"/>
      <c r="O617" s="161"/>
      <c r="P617" s="161"/>
      <c r="S617" s="149"/>
      <c r="T617" s="161"/>
      <c r="V617" s="166"/>
      <c r="W617" s="166"/>
      <c r="X617" s="166"/>
      <c r="Y617" s="166"/>
    </row>
    <row r="618" ht="22.5" customHeight="1">
      <c r="A618" s="161"/>
      <c r="B618" s="162"/>
      <c r="C618" s="161"/>
      <c r="D618" s="168"/>
      <c r="E618" s="168"/>
      <c r="F618" s="162"/>
      <c r="G618" s="149"/>
      <c r="H618" s="161"/>
      <c r="I618" s="161"/>
      <c r="J618" s="161"/>
      <c r="K618" s="161"/>
      <c r="L618" s="161"/>
      <c r="M618" s="161"/>
      <c r="N618" s="149"/>
      <c r="O618" s="161"/>
      <c r="P618" s="161"/>
      <c r="S618" s="149"/>
      <c r="T618" s="161"/>
      <c r="V618" s="166"/>
      <c r="W618" s="166"/>
      <c r="X618" s="166"/>
      <c r="Y618" s="166"/>
    </row>
    <row r="619" ht="22.5" customHeight="1">
      <c r="A619" s="161"/>
      <c r="B619" s="162"/>
      <c r="C619" s="161"/>
      <c r="D619" s="168"/>
      <c r="E619" s="168"/>
      <c r="F619" s="162"/>
      <c r="G619" s="149"/>
      <c r="H619" s="161"/>
      <c r="I619" s="161"/>
      <c r="J619" s="161"/>
      <c r="K619" s="161"/>
      <c r="L619" s="161"/>
      <c r="M619" s="161"/>
      <c r="N619" s="149"/>
      <c r="O619" s="161"/>
      <c r="P619" s="161"/>
      <c r="S619" s="149"/>
      <c r="T619" s="161"/>
      <c r="V619" s="166"/>
      <c r="W619" s="166"/>
      <c r="X619" s="166"/>
      <c r="Y619" s="166"/>
    </row>
    <row r="620" ht="22.5" customHeight="1">
      <c r="A620" s="161"/>
      <c r="B620" s="162"/>
      <c r="C620" s="161"/>
      <c r="D620" s="168"/>
      <c r="E620" s="168"/>
      <c r="F620" s="162"/>
      <c r="G620" s="149"/>
      <c r="H620" s="161"/>
      <c r="I620" s="161"/>
      <c r="J620" s="161"/>
      <c r="K620" s="161"/>
      <c r="L620" s="161"/>
      <c r="M620" s="161"/>
      <c r="N620" s="149"/>
      <c r="O620" s="161"/>
      <c r="P620" s="161"/>
      <c r="S620" s="149"/>
      <c r="T620" s="161"/>
      <c r="V620" s="166"/>
      <c r="W620" s="166"/>
      <c r="X620" s="166"/>
      <c r="Y620" s="166"/>
    </row>
    <row r="621" ht="22.5" customHeight="1">
      <c r="A621" s="161"/>
      <c r="B621" s="162"/>
      <c r="C621" s="161"/>
      <c r="D621" s="168"/>
      <c r="E621" s="168"/>
      <c r="F621" s="162"/>
      <c r="G621" s="149"/>
      <c r="H621" s="161"/>
      <c r="I621" s="161"/>
      <c r="J621" s="161"/>
      <c r="K621" s="161"/>
      <c r="L621" s="161"/>
      <c r="M621" s="161"/>
      <c r="N621" s="149"/>
      <c r="O621" s="161"/>
      <c r="P621" s="161"/>
      <c r="S621" s="149"/>
      <c r="T621" s="161"/>
      <c r="V621" s="166"/>
      <c r="W621" s="166"/>
      <c r="X621" s="166"/>
      <c r="Y621" s="166"/>
    </row>
    <row r="622" ht="22.5" customHeight="1">
      <c r="A622" s="161"/>
      <c r="B622" s="162"/>
      <c r="C622" s="161"/>
      <c r="D622" s="168"/>
      <c r="E622" s="168"/>
      <c r="F622" s="162"/>
      <c r="G622" s="149"/>
      <c r="H622" s="161"/>
      <c r="I622" s="161"/>
      <c r="J622" s="161"/>
      <c r="K622" s="161"/>
      <c r="L622" s="161"/>
      <c r="M622" s="161"/>
      <c r="N622" s="149"/>
      <c r="O622" s="161"/>
      <c r="P622" s="161"/>
      <c r="S622" s="149"/>
      <c r="T622" s="161"/>
      <c r="V622" s="166"/>
      <c r="W622" s="166"/>
      <c r="X622" s="166"/>
      <c r="Y622" s="166"/>
    </row>
    <row r="623" ht="22.5" customHeight="1">
      <c r="A623" s="161"/>
      <c r="B623" s="162"/>
      <c r="C623" s="161"/>
      <c r="D623" s="168"/>
      <c r="E623" s="168"/>
      <c r="F623" s="162"/>
      <c r="G623" s="149"/>
      <c r="H623" s="161"/>
      <c r="I623" s="161"/>
      <c r="J623" s="161"/>
      <c r="K623" s="161"/>
      <c r="L623" s="161"/>
      <c r="M623" s="161"/>
      <c r="N623" s="149"/>
      <c r="O623" s="161"/>
      <c r="P623" s="161"/>
      <c r="S623" s="149"/>
      <c r="T623" s="161"/>
      <c r="V623" s="166"/>
      <c r="W623" s="166"/>
      <c r="X623" s="166"/>
      <c r="Y623" s="166"/>
    </row>
    <row r="624" ht="22.5" customHeight="1">
      <c r="A624" s="161"/>
      <c r="B624" s="162"/>
      <c r="C624" s="161"/>
      <c r="D624" s="168"/>
      <c r="E624" s="168"/>
      <c r="F624" s="162"/>
      <c r="G624" s="149"/>
      <c r="H624" s="161"/>
      <c r="I624" s="161"/>
      <c r="J624" s="161"/>
      <c r="K624" s="161"/>
      <c r="L624" s="161"/>
      <c r="M624" s="161"/>
      <c r="N624" s="149"/>
      <c r="O624" s="161"/>
      <c r="P624" s="161"/>
      <c r="S624" s="149"/>
      <c r="T624" s="161"/>
      <c r="V624" s="166"/>
      <c r="W624" s="166"/>
      <c r="X624" s="166"/>
      <c r="Y624" s="166"/>
    </row>
    <row r="625" ht="22.5" customHeight="1">
      <c r="A625" s="161"/>
      <c r="B625" s="162"/>
      <c r="C625" s="161"/>
      <c r="D625" s="168"/>
      <c r="E625" s="168"/>
      <c r="F625" s="162"/>
      <c r="G625" s="149"/>
      <c r="H625" s="161"/>
      <c r="I625" s="161"/>
      <c r="J625" s="161"/>
      <c r="K625" s="161"/>
      <c r="L625" s="161"/>
      <c r="M625" s="161"/>
      <c r="N625" s="149"/>
      <c r="O625" s="161"/>
      <c r="P625" s="161"/>
      <c r="S625" s="149"/>
      <c r="T625" s="161"/>
      <c r="V625" s="166"/>
      <c r="W625" s="166"/>
      <c r="X625" s="166"/>
      <c r="Y625" s="166"/>
    </row>
    <row r="626" ht="22.5" customHeight="1">
      <c r="A626" s="161"/>
      <c r="B626" s="162"/>
      <c r="C626" s="161"/>
      <c r="D626" s="168"/>
      <c r="E626" s="168"/>
      <c r="F626" s="162"/>
      <c r="G626" s="149"/>
      <c r="H626" s="161"/>
      <c r="I626" s="161"/>
      <c r="J626" s="161"/>
      <c r="K626" s="161"/>
      <c r="L626" s="161"/>
      <c r="M626" s="161"/>
      <c r="N626" s="149"/>
      <c r="O626" s="161"/>
      <c r="P626" s="161"/>
      <c r="S626" s="149"/>
      <c r="T626" s="161"/>
      <c r="V626" s="166"/>
      <c r="W626" s="166"/>
      <c r="X626" s="166"/>
      <c r="Y626" s="166"/>
    </row>
    <row r="627" ht="22.5" customHeight="1">
      <c r="A627" s="161"/>
      <c r="B627" s="162"/>
      <c r="C627" s="161"/>
      <c r="D627" s="168"/>
      <c r="E627" s="168"/>
      <c r="F627" s="162"/>
      <c r="G627" s="149"/>
      <c r="H627" s="161"/>
      <c r="I627" s="161"/>
      <c r="J627" s="161"/>
      <c r="K627" s="161"/>
      <c r="L627" s="161"/>
      <c r="M627" s="161"/>
      <c r="N627" s="149"/>
      <c r="O627" s="161"/>
      <c r="P627" s="161"/>
      <c r="S627" s="149"/>
      <c r="T627" s="161"/>
      <c r="V627" s="166"/>
      <c r="W627" s="166"/>
      <c r="X627" s="166"/>
      <c r="Y627" s="166"/>
    </row>
    <row r="628" ht="22.5" customHeight="1">
      <c r="A628" s="161"/>
      <c r="B628" s="162"/>
      <c r="C628" s="161"/>
      <c r="D628" s="168"/>
      <c r="E628" s="168"/>
      <c r="F628" s="162"/>
      <c r="G628" s="149"/>
      <c r="H628" s="161"/>
      <c r="I628" s="161"/>
      <c r="J628" s="161"/>
      <c r="K628" s="161"/>
      <c r="L628" s="161"/>
      <c r="M628" s="161"/>
      <c r="N628" s="149"/>
      <c r="O628" s="161"/>
      <c r="P628" s="161"/>
      <c r="S628" s="149"/>
      <c r="T628" s="161"/>
      <c r="V628" s="166"/>
      <c r="W628" s="166"/>
      <c r="X628" s="166"/>
      <c r="Y628" s="166"/>
    </row>
    <row r="629" ht="22.5" customHeight="1">
      <c r="A629" s="161"/>
      <c r="B629" s="162"/>
      <c r="C629" s="161"/>
      <c r="D629" s="168"/>
      <c r="E629" s="168"/>
      <c r="F629" s="162"/>
      <c r="G629" s="149"/>
      <c r="H629" s="161"/>
      <c r="I629" s="161"/>
      <c r="J629" s="161"/>
      <c r="K629" s="161"/>
      <c r="L629" s="161"/>
      <c r="M629" s="161"/>
      <c r="N629" s="149"/>
      <c r="O629" s="161"/>
      <c r="P629" s="161"/>
      <c r="S629" s="149"/>
      <c r="T629" s="161"/>
      <c r="V629" s="166"/>
      <c r="W629" s="166"/>
      <c r="X629" s="166"/>
      <c r="Y629" s="166"/>
    </row>
    <row r="630" ht="22.5" customHeight="1">
      <c r="A630" s="161"/>
      <c r="B630" s="162"/>
      <c r="C630" s="161"/>
      <c r="D630" s="168"/>
      <c r="E630" s="168"/>
      <c r="F630" s="162"/>
      <c r="G630" s="149"/>
      <c r="H630" s="161"/>
      <c r="I630" s="161"/>
      <c r="J630" s="161"/>
      <c r="K630" s="161"/>
      <c r="L630" s="161"/>
      <c r="M630" s="161"/>
      <c r="N630" s="149"/>
      <c r="O630" s="161"/>
      <c r="P630" s="161"/>
      <c r="S630" s="149"/>
      <c r="T630" s="161"/>
      <c r="V630" s="166"/>
      <c r="W630" s="166"/>
      <c r="X630" s="166"/>
      <c r="Y630" s="166"/>
    </row>
    <row r="631" ht="22.5" customHeight="1">
      <c r="A631" s="161"/>
      <c r="B631" s="162"/>
      <c r="C631" s="161"/>
      <c r="D631" s="168"/>
      <c r="E631" s="168"/>
      <c r="F631" s="162"/>
      <c r="G631" s="149"/>
      <c r="H631" s="161"/>
      <c r="I631" s="161"/>
      <c r="J631" s="161"/>
      <c r="K631" s="161"/>
      <c r="L631" s="161"/>
      <c r="M631" s="161"/>
      <c r="N631" s="149"/>
      <c r="O631" s="161"/>
      <c r="P631" s="161"/>
      <c r="S631" s="149"/>
      <c r="T631" s="161"/>
      <c r="V631" s="166"/>
      <c r="W631" s="166"/>
      <c r="X631" s="166"/>
      <c r="Y631" s="166"/>
    </row>
    <row r="632" ht="22.5" customHeight="1">
      <c r="A632" s="161"/>
      <c r="B632" s="162"/>
      <c r="C632" s="161"/>
      <c r="D632" s="168"/>
      <c r="E632" s="168"/>
      <c r="F632" s="162"/>
      <c r="G632" s="149"/>
      <c r="H632" s="161"/>
      <c r="I632" s="161"/>
      <c r="J632" s="161"/>
      <c r="K632" s="161"/>
      <c r="L632" s="161"/>
      <c r="M632" s="161"/>
      <c r="N632" s="149"/>
      <c r="O632" s="161"/>
      <c r="P632" s="161"/>
      <c r="S632" s="149"/>
      <c r="T632" s="161"/>
      <c r="V632" s="166"/>
      <c r="W632" s="166"/>
      <c r="X632" s="166"/>
      <c r="Y632" s="166"/>
    </row>
    <row r="633" ht="22.5" customHeight="1">
      <c r="A633" s="161"/>
      <c r="B633" s="162"/>
      <c r="C633" s="161"/>
      <c r="D633" s="168"/>
      <c r="E633" s="168"/>
      <c r="F633" s="162"/>
      <c r="G633" s="149"/>
      <c r="H633" s="161"/>
      <c r="I633" s="161"/>
      <c r="J633" s="161"/>
      <c r="K633" s="161"/>
      <c r="L633" s="161"/>
      <c r="M633" s="161"/>
      <c r="N633" s="149"/>
      <c r="O633" s="161"/>
      <c r="P633" s="161"/>
      <c r="S633" s="149"/>
      <c r="T633" s="161"/>
      <c r="V633" s="166"/>
      <c r="W633" s="166"/>
      <c r="X633" s="166"/>
      <c r="Y633" s="166"/>
    </row>
    <row r="634" ht="22.5" customHeight="1">
      <c r="A634" s="161"/>
      <c r="B634" s="162"/>
      <c r="C634" s="161"/>
      <c r="D634" s="168"/>
      <c r="E634" s="168"/>
      <c r="F634" s="162"/>
      <c r="G634" s="149"/>
      <c r="H634" s="161"/>
      <c r="I634" s="161"/>
      <c r="J634" s="161"/>
      <c r="K634" s="161"/>
      <c r="L634" s="161"/>
      <c r="M634" s="161"/>
      <c r="N634" s="149"/>
      <c r="O634" s="161"/>
      <c r="P634" s="161"/>
      <c r="S634" s="149"/>
      <c r="T634" s="161"/>
      <c r="V634" s="166"/>
      <c r="W634" s="166"/>
      <c r="X634" s="166"/>
      <c r="Y634" s="166"/>
    </row>
    <row r="635" ht="22.5" customHeight="1">
      <c r="A635" s="161"/>
      <c r="B635" s="162"/>
      <c r="C635" s="161"/>
      <c r="D635" s="168"/>
      <c r="E635" s="168"/>
      <c r="F635" s="162"/>
      <c r="G635" s="149"/>
      <c r="H635" s="161"/>
      <c r="I635" s="161"/>
      <c r="J635" s="161"/>
      <c r="K635" s="161"/>
      <c r="L635" s="161"/>
      <c r="M635" s="161"/>
      <c r="N635" s="149"/>
      <c r="O635" s="161"/>
      <c r="P635" s="161"/>
      <c r="S635" s="149"/>
      <c r="T635" s="161"/>
      <c r="V635" s="166"/>
      <c r="W635" s="166"/>
      <c r="X635" s="166"/>
      <c r="Y635" s="166"/>
    </row>
    <row r="636" ht="22.5" customHeight="1">
      <c r="A636" s="161"/>
      <c r="B636" s="162"/>
      <c r="C636" s="161"/>
      <c r="D636" s="168"/>
      <c r="E636" s="168"/>
      <c r="F636" s="162"/>
      <c r="G636" s="149"/>
      <c r="H636" s="161"/>
      <c r="I636" s="161"/>
      <c r="J636" s="161"/>
      <c r="K636" s="161"/>
      <c r="L636" s="161"/>
      <c r="M636" s="161"/>
      <c r="N636" s="149"/>
      <c r="O636" s="161"/>
      <c r="P636" s="161"/>
      <c r="S636" s="149"/>
      <c r="T636" s="161"/>
      <c r="V636" s="166"/>
      <c r="W636" s="166"/>
      <c r="X636" s="166"/>
      <c r="Y636" s="166"/>
    </row>
    <row r="637" ht="22.5" customHeight="1">
      <c r="A637" s="161"/>
      <c r="B637" s="162"/>
      <c r="C637" s="161"/>
      <c r="D637" s="168"/>
      <c r="E637" s="168"/>
      <c r="F637" s="162"/>
      <c r="G637" s="149"/>
      <c r="H637" s="161"/>
      <c r="I637" s="161"/>
      <c r="J637" s="161"/>
      <c r="K637" s="161"/>
      <c r="L637" s="161"/>
      <c r="M637" s="161"/>
      <c r="N637" s="149"/>
      <c r="O637" s="161"/>
      <c r="P637" s="161"/>
      <c r="S637" s="149"/>
      <c r="T637" s="161"/>
      <c r="V637" s="166"/>
      <c r="W637" s="166"/>
      <c r="X637" s="166"/>
      <c r="Y637" s="166"/>
    </row>
    <row r="638" ht="22.5" customHeight="1">
      <c r="A638" s="161"/>
      <c r="B638" s="162"/>
      <c r="C638" s="161"/>
      <c r="D638" s="168"/>
      <c r="E638" s="168"/>
      <c r="F638" s="162"/>
      <c r="G638" s="149"/>
      <c r="H638" s="161"/>
      <c r="I638" s="161"/>
      <c r="J638" s="161"/>
      <c r="K638" s="161"/>
      <c r="L638" s="161"/>
      <c r="M638" s="161"/>
      <c r="N638" s="149"/>
      <c r="O638" s="161"/>
      <c r="P638" s="161"/>
      <c r="S638" s="149"/>
      <c r="T638" s="161"/>
      <c r="V638" s="166"/>
      <c r="W638" s="166"/>
      <c r="X638" s="166"/>
      <c r="Y638" s="166"/>
    </row>
    <row r="639" ht="22.5" customHeight="1">
      <c r="A639" s="161"/>
      <c r="B639" s="162"/>
      <c r="C639" s="161"/>
      <c r="D639" s="168"/>
      <c r="E639" s="168"/>
      <c r="F639" s="162"/>
      <c r="G639" s="149"/>
      <c r="H639" s="161"/>
      <c r="I639" s="161"/>
      <c r="J639" s="161"/>
      <c r="K639" s="161"/>
      <c r="L639" s="161"/>
      <c r="M639" s="161"/>
      <c r="N639" s="149"/>
      <c r="O639" s="161"/>
      <c r="P639" s="161"/>
      <c r="S639" s="149"/>
      <c r="T639" s="161"/>
      <c r="V639" s="166"/>
      <c r="W639" s="166"/>
      <c r="X639" s="166"/>
      <c r="Y639" s="166"/>
    </row>
    <row r="640" ht="22.5" customHeight="1">
      <c r="A640" s="161"/>
      <c r="B640" s="162"/>
      <c r="C640" s="161"/>
      <c r="D640" s="168"/>
      <c r="E640" s="168"/>
      <c r="F640" s="162"/>
      <c r="G640" s="149"/>
      <c r="H640" s="161"/>
      <c r="I640" s="161"/>
      <c r="J640" s="161"/>
      <c r="K640" s="161"/>
      <c r="L640" s="161"/>
      <c r="M640" s="161"/>
      <c r="N640" s="149"/>
      <c r="O640" s="161"/>
      <c r="P640" s="161"/>
      <c r="S640" s="149"/>
      <c r="T640" s="161"/>
      <c r="V640" s="166"/>
      <c r="W640" s="166"/>
      <c r="X640" s="166"/>
      <c r="Y640" s="166"/>
    </row>
    <row r="641" ht="22.5" customHeight="1">
      <c r="A641" s="161"/>
      <c r="B641" s="162"/>
      <c r="C641" s="161"/>
      <c r="D641" s="168"/>
      <c r="E641" s="168"/>
      <c r="F641" s="162"/>
      <c r="G641" s="149"/>
      <c r="H641" s="161"/>
      <c r="I641" s="161"/>
      <c r="J641" s="161"/>
      <c r="K641" s="161"/>
      <c r="L641" s="161"/>
      <c r="M641" s="161"/>
      <c r="N641" s="149"/>
      <c r="O641" s="161"/>
      <c r="P641" s="161"/>
      <c r="S641" s="149"/>
      <c r="T641" s="161"/>
      <c r="V641" s="166"/>
      <c r="W641" s="166"/>
      <c r="X641" s="166"/>
      <c r="Y641" s="166"/>
    </row>
    <row r="642" ht="22.5" customHeight="1">
      <c r="A642" s="161"/>
      <c r="B642" s="162"/>
      <c r="C642" s="161"/>
      <c r="D642" s="168"/>
      <c r="E642" s="168"/>
      <c r="F642" s="162"/>
      <c r="G642" s="149"/>
      <c r="H642" s="161"/>
      <c r="I642" s="161"/>
      <c r="J642" s="161"/>
      <c r="K642" s="161"/>
      <c r="L642" s="161"/>
      <c r="M642" s="161"/>
      <c r="N642" s="149"/>
      <c r="O642" s="161"/>
      <c r="P642" s="161"/>
      <c r="S642" s="149"/>
      <c r="T642" s="161"/>
      <c r="V642" s="166"/>
      <c r="W642" s="166"/>
      <c r="X642" s="166"/>
      <c r="Y642" s="166"/>
    </row>
    <row r="643" ht="22.5" customHeight="1">
      <c r="A643" s="161"/>
      <c r="B643" s="162"/>
      <c r="C643" s="161"/>
      <c r="D643" s="168"/>
      <c r="E643" s="168"/>
      <c r="F643" s="162"/>
      <c r="G643" s="149"/>
      <c r="H643" s="161"/>
      <c r="I643" s="161"/>
      <c r="J643" s="161"/>
      <c r="K643" s="161"/>
      <c r="L643" s="161"/>
      <c r="M643" s="161"/>
      <c r="N643" s="149"/>
      <c r="O643" s="161"/>
      <c r="P643" s="161"/>
      <c r="S643" s="149"/>
      <c r="T643" s="161"/>
      <c r="V643" s="166"/>
      <c r="W643" s="166"/>
      <c r="X643" s="166"/>
      <c r="Y643" s="166"/>
    </row>
    <row r="644" ht="22.5" customHeight="1">
      <c r="A644" s="161"/>
      <c r="B644" s="162"/>
      <c r="C644" s="161"/>
      <c r="D644" s="168"/>
      <c r="E644" s="168"/>
      <c r="F644" s="162"/>
      <c r="G644" s="149"/>
      <c r="H644" s="161"/>
      <c r="I644" s="161"/>
      <c r="J644" s="161"/>
      <c r="K644" s="161"/>
      <c r="L644" s="161"/>
      <c r="M644" s="161"/>
      <c r="N644" s="149"/>
      <c r="O644" s="161"/>
      <c r="P644" s="161"/>
      <c r="S644" s="149"/>
      <c r="T644" s="161"/>
      <c r="V644" s="166"/>
      <c r="W644" s="166"/>
      <c r="X644" s="166"/>
      <c r="Y644" s="166"/>
    </row>
    <row r="645" ht="22.5" customHeight="1">
      <c r="A645" s="161"/>
      <c r="B645" s="162"/>
      <c r="C645" s="161"/>
      <c r="D645" s="168"/>
      <c r="E645" s="168"/>
      <c r="F645" s="162"/>
      <c r="G645" s="149"/>
      <c r="H645" s="161"/>
      <c r="I645" s="161"/>
      <c r="J645" s="161"/>
      <c r="K645" s="161"/>
      <c r="L645" s="161"/>
      <c r="M645" s="161"/>
      <c r="N645" s="149"/>
      <c r="O645" s="161"/>
      <c r="P645" s="161"/>
      <c r="S645" s="149"/>
      <c r="T645" s="161"/>
      <c r="V645" s="166"/>
      <c r="W645" s="166"/>
      <c r="X645" s="166"/>
      <c r="Y645" s="166"/>
    </row>
    <row r="646" ht="22.5" customHeight="1">
      <c r="A646" s="161"/>
      <c r="B646" s="162"/>
      <c r="C646" s="161"/>
      <c r="D646" s="168"/>
      <c r="E646" s="168"/>
      <c r="F646" s="162"/>
      <c r="G646" s="149"/>
      <c r="H646" s="161"/>
      <c r="I646" s="161"/>
      <c r="J646" s="161"/>
      <c r="K646" s="161"/>
      <c r="L646" s="161"/>
      <c r="M646" s="161"/>
      <c r="N646" s="149"/>
      <c r="O646" s="161"/>
      <c r="P646" s="161"/>
      <c r="S646" s="149"/>
      <c r="T646" s="161"/>
      <c r="V646" s="166"/>
      <c r="W646" s="166"/>
      <c r="X646" s="166"/>
      <c r="Y646" s="166"/>
    </row>
    <row r="647" ht="22.5" customHeight="1">
      <c r="A647" s="161"/>
      <c r="B647" s="162"/>
      <c r="C647" s="161"/>
      <c r="D647" s="168"/>
      <c r="E647" s="168"/>
      <c r="F647" s="162"/>
      <c r="G647" s="149"/>
      <c r="H647" s="161"/>
      <c r="I647" s="161"/>
      <c r="J647" s="161"/>
      <c r="K647" s="161"/>
      <c r="L647" s="161"/>
      <c r="M647" s="161"/>
      <c r="N647" s="149"/>
      <c r="O647" s="161"/>
      <c r="P647" s="161"/>
      <c r="S647" s="149"/>
      <c r="T647" s="161"/>
      <c r="V647" s="166"/>
      <c r="W647" s="166"/>
      <c r="X647" s="166"/>
      <c r="Y647" s="166"/>
    </row>
    <row r="648" ht="22.5" customHeight="1">
      <c r="A648" s="161"/>
      <c r="B648" s="162"/>
      <c r="C648" s="161"/>
      <c r="D648" s="168"/>
      <c r="E648" s="168"/>
      <c r="F648" s="162"/>
      <c r="G648" s="149"/>
      <c r="H648" s="161"/>
      <c r="I648" s="161"/>
      <c r="J648" s="161"/>
      <c r="K648" s="161"/>
      <c r="L648" s="161"/>
      <c r="M648" s="161"/>
      <c r="N648" s="149"/>
      <c r="O648" s="161"/>
      <c r="P648" s="161"/>
      <c r="S648" s="149"/>
      <c r="T648" s="161"/>
      <c r="V648" s="166"/>
      <c r="W648" s="166"/>
      <c r="X648" s="166"/>
      <c r="Y648" s="166"/>
    </row>
    <row r="649" ht="22.5" customHeight="1">
      <c r="A649" s="161"/>
      <c r="B649" s="162"/>
      <c r="C649" s="161"/>
      <c r="D649" s="168"/>
      <c r="E649" s="168"/>
      <c r="F649" s="162"/>
      <c r="G649" s="149"/>
      <c r="H649" s="161"/>
      <c r="I649" s="161"/>
      <c r="J649" s="161"/>
      <c r="K649" s="161"/>
      <c r="L649" s="161"/>
      <c r="M649" s="161"/>
      <c r="N649" s="149"/>
      <c r="O649" s="161"/>
      <c r="P649" s="161"/>
      <c r="S649" s="149"/>
      <c r="T649" s="161"/>
      <c r="V649" s="166"/>
      <c r="W649" s="166"/>
      <c r="X649" s="166"/>
      <c r="Y649" s="166"/>
    </row>
    <row r="650" ht="22.5" customHeight="1">
      <c r="A650" s="161"/>
      <c r="B650" s="162"/>
      <c r="C650" s="161"/>
      <c r="D650" s="168"/>
      <c r="E650" s="168"/>
      <c r="F650" s="162"/>
      <c r="G650" s="149"/>
      <c r="H650" s="161"/>
      <c r="I650" s="161"/>
      <c r="J650" s="161"/>
      <c r="K650" s="161"/>
      <c r="L650" s="161"/>
      <c r="M650" s="161"/>
      <c r="N650" s="149"/>
      <c r="O650" s="161"/>
      <c r="P650" s="161"/>
      <c r="S650" s="149"/>
      <c r="T650" s="161"/>
      <c r="V650" s="166"/>
      <c r="W650" s="166"/>
      <c r="X650" s="166"/>
      <c r="Y650" s="166"/>
    </row>
    <row r="651" ht="22.5" customHeight="1">
      <c r="A651" s="161"/>
      <c r="B651" s="162"/>
      <c r="C651" s="161"/>
      <c r="D651" s="168"/>
      <c r="E651" s="168"/>
      <c r="F651" s="162"/>
      <c r="G651" s="149"/>
      <c r="H651" s="161"/>
      <c r="I651" s="161"/>
      <c r="J651" s="161"/>
      <c r="K651" s="161"/>
      <c r="L651" s="161"/>
      <c r="M651" s="161"/>
      <c r="N651" s="149"/>
      <c r="O651" s="161"/>
      <c r="P651" s="161"/>
      <c r="S651" s="149"/>
      <c r="T651" s="161"/>
      <c r="V651" s="166"/>
      <c r="W651" s="166"/>
      <c r="X651" s="166"/>
      <c r="Y651" s="166"/>
    </row>
    <row r="652" ht="22.5" customHeight="1">
      <c r="A652" s="161"/>
      <c r="B652" s="162"/>
      <c r="C652" s="161"/>
      <c r="D652" s="168"/>
      <c r="E652" s="168"/>
      <c r="F652" s="162"/>
      <c r="G652" s="149"/>
      <c r="H652" s="161"/>
      <c r="I652" s="161"/>
      <c r="J652" s="161"/>
      <c r="K652" s="161"/>
      <c r="L652" s="161"/>
      <c r="M652" s="161"/>
      <c r="N652" s="149"/>
      <c r="O652" s="161"/>
      <c r="P652" s="161"/>
      <c r="S652" s="149"/>
      <c r="T652" s="161"/>
      <c r="V652" s="166"/>
      <c r="W652" s="166"/>
      <c r="X652" s="166"/>
      <c r="Y652" s="166"/>
    </row>
    <row r="653" ht="22.5" customHeight="1">
      <c r="A653" s="161"/>
      <c r="B653" s="162"/>
      <c r="C653" s="161"/>
      <c r="D653" s="168"/>
      <c r="E653" s="168"/>
      <c r="F653" s="162"/>
      <c r="G653" s="149"/>
      <c r="H653" s="161"/>
      <c r="I653" s="161"/>
      <c r="J653" s="161"/>
      <c r="K653" s="161"/>
      <c r="L653" s="161"/>
      <c r="M653" s="161"/>
      <c r="N653" s="149"/>
      <c r="O653" s="161"/>
      <c r="P653" s="161"/>
      <c r="S653" s="149"/>
      <c r="T653" s="161"/>
      <c r="V653" s="166"/>
      <c r="W653" s="166"/>
      <c r="X653" s="166"/>
      <c r="Y653" s="166"/>
    </row>
    <row r="654" ht="22.5" customHeight="1">
      <c r="A654" s="161"/>
      <c r="B654" s="162"/>
      <c r="C654" s="161"/>
      <c r="D654" s="168"/>
      <c r="E654" s="168"/>
      <c r="F654" s="162"/>
      <c r="G654" s="149"/>
      <c r="H654" s="161"/>
      <c r="I654" s="161"/>
      <c r="J654" s="161"/>
      <c r="K654" s="161"/>
      <c r="L654" s="161"/>
      <c r="M654" s="161"/>
      <c r="N654" s="149"/>
      <c r="O654" s="161"/>
      <c r="P654" s="161"/>
      <c r="S654" s="149"/>
      <c r="T654" s="161"/>
      <c r="V654" s="166"/>
      <c r="W654" s="166"/>
      <c r="X654" s="166"/>
      <c r="Y654" s="166"/>
    </row>
    <row r="655" ht="22.5" customHeight="1">
      <c r="A655" s="161"/>
      <c r="B655" s="162"/>
      <c r="C655" s="161"/>
      <c r="D655" s="168"/>
      <c r="E655" s="168"/>
      <c r="F655" s="162"/>
      <c r="G655" s="149"/>
      <c r="H655" s="161"/>
      <c r="I655" s="161"/>
      <c r="J655" s="161"/>
      <c r="K655" s="161"/>
      <c r="L655" s="161"/>
      <c r="M655" s="161"/>
      <c r="N655" s="149"/>
      <c r="O655" s="161"/>
      <c r="P655" s="161"/>
      <c r="S655" s="149"/>
      <c r="T655" s="161"/>
      <c r="V655" s="166"/>
      <c r="W655" s="166"/>
      <c r="X655" s="166"/>
      <c r="Y655" s="166"/>
    </row>
    <row r="656" ht="22.5" customHeight="1">
      <c r="A656" s="161"/>
      <c r="B656" s="162"/>
      <c r="C656" s="161"/>
      <c r="D656" s="168"/>
      <c r="E656" s="168"/>
      <c r="F656" s="162"/>
      <c r="G656" s="149"/>
      <c r="H656" s="161"/>
      <c r="I656" s="161"/>
      <c r="J656" s="161"/>
      <c r="K656" s="161"/>
      <c r="L656" s="161"/>
      <c r="M656" s="161"/>
      <c r="N656" s="149"/>
      <c r="O656" s="161"/>
      <c r="P656" s="161"/>
      <c r="S656" s="149"/>
      <c r="T656" s="161"/>
      <c r="V656" s="166"/>
      <c r="W656" s="166"/>
      <c r="X656" s="166"/>
      <c r="Y656" s="166"/>
    </row>
    <row r="657" ht="22.5" customHeight="1">
      <c r="A657" s="161"/>
      <c r="B657" s="162"/>
      <c r="C657" s="161"/>
      <c r="D657" s="168"/>
      <c r="E657" s="168"/>
      <c r="F657" s="162"/>
      <c r="G657" s="149"/>
      <c r="H657" s="161"/>
      <c r="I657" s="161"/>
      <c r="J657" s="161"/>
      <c r="K657" s="161"/>
      <c r="L657" s="161"/>
      <c r="M657" s="161"/>
      <c r="N657" s="149"/>
      <c r="O657" s="161"/>
      <c r="P657" s="161"/>
      <c r="S657" s="149"/>
      <c r="T657" s="161"/>
      <c r="V657" s="166"/>
      <c r="W657" s="166"/>
      <c r="X657" s="166"/>
      <c r="Y657" s="166"/>
    </row>
    <row r="658" ht="22.5" customHeight="1">
      <c r="A658" s="161"/>
      <c r="B658" s="162"/>
      <c r="C658" s="161"/>
      <c r="D658" s="168"/>
      <c r="E658" s="168"/>
      <c r="F658" s="162"/>
      <c r="G658" s="149"/>
      <c r="H658" s="161"/>
      <c r="I658" s="161"/>
      <c r="J658" s="161"/>
      <c r="K658" s="161"/>
      <c r="L658" s="161"/>
      <c r="M658" s="161"/>
      <c r="N658" s="149"/>
      <c r="O658" s="161"/>
      <c r="P658" s="161"/>
      <c r="S658" s="149"/>
      <c r="T658" s="161"/>
      <c r="V658" s="166"/>
      <c r="W658" s="166"/>
      <c r="X658" s="166"/>
      <c r="Y658" s="166"/>
    </row>
    <row r="659" ht="22.5" customHeight="1">
      <c r="A659" s="161"/>
      <c r="B659" s="162"/>
      <c r="C659" s="161"/>
      <c r="D659" s="168"/>
      <c r="E659" s="168"/>
      <c r="F659" s="162"/>
      <c r="G659" s="149"/>
      <c r="H659" s="161"/>
      <c r="I659" s="161"/>
      <c r="J659" s="161"/>
      <c r="K659" s="161"/>
      <c r="L659" s="161"/>
      <c r="M659" s="161"/>
      <c r="N659" s="149"/>
      <c r="O659" s="161"/>
      <c r="P659" s="161"/>
      <c r="S659" s="149"/>
      <c r="T659" s="161"/>
      <c r="V659" s="166"/>
      <c r="W659" s="166"/>
      <c r="X659" s="166"/>
      <c r="Y659" s="166"/>
    </row>
    <row r="660" ht="22.5" customHeight="1">
      <c r="A660" s="161"/>
      <c r="B660" s="162"/>
      <c r="C660" s="161"/>
      <c r="D660" s="168"/>
      <c r="E660" s="168"/>
      <c r="F660" s="162"/>
      <c r="G660" s="149"/>
      <c r="H660" s="161"/>
      <c r="I660" s="161"/>
      <c r="J660" s="161"/>
      <c r="K660" s="161"/>
      <c r="L660" s="161"/>
      <c r="M660" s="161"/>
      <c r="N660" s="149"/>
      <c r="O660" s="161"/>
      <c r="P660" s="161"/>
      <c r="S660" s="149"/>
      <c r="T660" s="161"/>
      <c r="V660" s="166"/>
      <c r="W660" s="166"/>
      <c r="X660" s="166"/>
      <c r="Y660" s="166"/>
    </row>
    <row r="661" ht="22.5" customHeight="1">
      <c r="A661" s="161"/>
      <c r="B661" s="162"/>
      <c r="C661" s="161"/>
      <c r="D661" s="168"/>
      <c r="E661" s="168"/>
      <c r="F661" s="162"/>
      <c r="G661" s="149"/>
      <c r="H661" s="161"/>
      <c r="I661" s="161"/>
      <c r="J661" s="161"/>
      <c r="K661" s="161"/>
      <c r="L661" s="161"/>
      <c r="M661" s="161"/>
      <c r="N661" s="149"/>
      <c r="O661" s="161"/>
      <c r="P661" s="161"/>
      <c r="S661" s="149"/>
      <c r="T661" s="161"/>
      <c r="V661" s="166"/>
      <c r="W661" s="166"/>
      <c r="X661" s="166"/>
      <c r="Y661" s="166"/>
    </row>
    <row r="662" ht="22.5" customHeight="1">
      <c r="A662" s="161"/>
      <c r="B662" s="162"/>
      <c r="C662" s="161"/>
      <c r="D662" s="168"/>
      <c r="E662" s="168"/>
      <c r="F662" s="162"/>
      <c r="G662" s="149"/>
      <c r="H662" s="161"/>
      <c r="I662" s="161"/>
      <c r="J662" s="161"/>
      <c r="K662" s="161"/>
      <c r="L662" s="161"/>
      <c r="M662" s="161"/>
      <c r="N662" s="149"/>
      <c r="O662" s="161"/>
      <c r="P662" s="161"/>
      <c r="S662" s="149"/>
      <c r="T662" s="161"/>
      <c r="V662" s="166"/>
      <c r="W662" s="166"/>
      <c r="X662" s="166"/>
      <c r="Y662" s="166"/>
    </row>
    <row r="663" ht="22.5" customHeight="1">
      <c r="A663" s="161"/>
      <c r="B663" s="162"/>
      <c r="C663" s="161"/>
      <c r="D663" s="168"/>
      <c r="E663" s="168"/>
      <c r="F663" s="162"/>
      <c r="G663" s="149"/>
      <c r="H663" s="161"/>
      <c r="I663" s="161"/>
      <c r="J663" s="161"/>
      <c r="K663" s="161"/>
      <c r="L663" s="161"/>
      <c r="M663" s="161"/>
      <c r="N663" s="149"/>
      <c r="O663" s="161"/>
      <c r="P663" s="161"/>
      <c r="S663" s="149"/>
      <c r="T663" s="161"/>
      <c r="V663" s="166"/>
      <c r="W663" s="166"/>
      <c r="X663" s="166"/>
      <c r="Y663" s="166"/>
    </row>
    <row r="664" ht="22.5" customHeight="1">
      <c r="A664" s="161"/>
      <c r="B664" s="162"/>
      <c r="C664" s="161"/>
      <c r="D664" s="168"/>
      <c r="E664" s="168"/>
      <c r="F664" s="162"/>
      <c r="G664" s="149"/>
      <c r="H664" s="161"/>
      <c r="I664" s="161"/>
      <c r="J664" s="161"/>
      <c r="K664" s="161"/>
      <c r="L664" s="161"/>
      <c r="M664" s="161"/>
      <c r="N664" s="149"/>
      <c r="O664" s="161"/>
      <c r="P664" s="161"/>
      <c r="S664" s="149"/>
      <c r="T664" s="161"/>
      <c r="V664" s="166"/>
      <c r="W664" s="166"/>
      <c r="X664" s="166"/>
      <c r="Y664" s="166"/>
    </row>
    <row r="665" ht="22.5" customHeight="1">
      <c r="A665" s="161"/>
      <c r="B665" s="162"/>
      <c r="C665" s="161"/>
      <c r="D665" s="168"/>
      <c r="E665" s="168"/>
      <c r="F665" s="162"/>
      <c r="G665" s="149"/>
      <c r="H665" s="161"/>
      <c r="I665" s="161"/>
      <c r="J665" s="161"/>
      <c r="K665" s="161"/>
      <c r="L665" s="161"/>
      <c r="M665" s="161"/>
      <c r="N665" s="149"/>
      <c r="O665" s="161"/>
      <c r="P665" s="161"/>
      <c r="S665" s="149"/>
      <c r="T665" s="161"/>
      <c r="V665" s="166"/>
      <c r="W665" s="166"/>
      <c r="X665" s="166"/>
      <c r="Y665" s="166"/>
    </row>
    <row r="666" ht="22.5" customHeight="1">
      <c r="A666" s="161"/>
      <c r="B666" s="162"/>
      <c r="C666" s="161"/>
      <c r="D666" s="168"/>
      <c r="E666" s="168"/>
      <c r="F666" s="162"/>
      <c r="G666" s="149"/>
      <c r="H666" s="161"/>
      <c r="I666" s="161"/>
      <c r="J666" s="161"/>
      <c r="K666" s="161"/>
      <c r="L666" s="161"/>
      <c r="M666" s="161"/>
      <c r="N666" s="149"/>
      <c r="O666" s="161"/>
      <c r="P666" s="161"/>
      <c r="S666" s="149"/>
      <c r="T666" s="161"/>
      <c r="V666" s="166"/>
      <c r="W666" s="166"/>
      <c r="X666" s="166"/>
      <c r="Y666" s="166"/>
    </row>
    <row r="667" ht="22.5" customHeight="1">
      <c r="A667" s="161"/>
      <c r="B667" s="162"/>
      <c r="C667" s="161"/>
      <c r="D667" s="168"/>
      <c r="E667" s="168"/>
      <c r="F667" s="162"/>
      <c r="G667" s="149"/>
      <c r="H667" s="161"/>
      <c r="I667" s="161"/>
      <c r="J667" s="161"/>
      <c r="K667" s="161"/>
      <c r="L667" s="161"/>
      <c r="M667" s="161"/>
      <c r="N667" s="149"/>
      <c r="O667" s="161"/>
      <c r="P667" s="161"/>
      <c r="S667" s="149"/>
      <c r="T667" s="161"/>
      <c r="V667" s="166"/>
      <c r="W667" s="166"/>
      <c r="X667" s="166"/>
      <c r="Y667" s="166"/>
    </row>
    <row r="668" ht="22.5" customHeight="1">
      <c r="A668" s="161"/>
      <c r="B668" s="162"/>
      <c r="C668" s="161"/>
      <c r="D668" s="168"/>
      <c r="E668" s="168"/>
      <c r="F668" s="162"/>
      <c r="G668" s="149"/>
      <c r="H668" s="161"/>
      <c r="I668" s="161"/>
      <c r="J668" s="161"/>
      <c r="K668" s="161"/>
      <c r="L668" s="161"/>
      <c r="M668" s="161"/>
      <c r="N668" s="149"/>
      <c r="O668" s="161"/>
      <c r="P668" s="161"/>
      <c r="S668" s="149"/>
      <c r="T668" s="161"/>
      <c r="V668" s="166"/>
      <c r="W668" s="166"/>
      <c r="X668" s="166"/>
      <c r="Y668" s="166"/>
    </row>
    <row r="669" ht="22.5" customHeight="1">
      <c r="A669" s="161"/>
      <c r="B669" s="162"/>
      <c r="C669" s="161"/>
      <c r="D669" s="168"/>
      <c r="E669" s="168"/>
      <c r="F669" s="162"/>
      <c r="G669" s="149"/>
      <c r="H669" s="161"/>
      <c r="I669" s="161"/>
      <c r="J669" s="161"/>
      <c r="K669" s="161"/>
      <c r="L669" s="161"/>
      <c r="M669" s="161"/>
      <c r="N669" s="149"/>
      <c r="O669" s="161"/>
      <c r="P669" s="161"/>
      <c r="S669" s="149"/>
      <c r="T669" s="161"/>
      <c r="V669" s="166"/>
      <c r="W669" s="166"/>
      <c r="X669" s="166"/>
      <c r="Y669" s="166"/>
    </row>
    <row r="670" ht="22.5" customHeight="1">
      <c r="A670" s="161"/>
      <c r="B670" s="162"/>
      <c r="C670" s="161"/>
      <c r="D670" s="168"/>
      <c r="E670" s="168"/>
      <c r="F670" s="162"/>
      <c r="G670" s="149"/>
      <c r="H670" s="161"/>
      <c r="I670" s="161"/>
      <c r="J670" s="161"/>
      <c r="K670" s="161"/>
      <c r="L670" s="161"/>
      <c r="M670" s="161"/>
      <c r="N670" s="149"/>
      <c r="O670" s="161"/>
      <c r="P670" s="161"/>
      <c r="S670" s="149"/>
      <c r="T670" s="161"/>
      <c r="V670" s="166"/>
      <c r="W670" s="166"/>
      <c r="X670" s="166"/>
      <c r="Y670" s="166"/>
    </row>
    <row r="671" ht="22.5" customHeight="1">
      <c r="A671" s="161"/>
      <c r="B671" s="162"/>
      <c r="C671" s="161"/>
      <c r="D671" s="168"/>
      <c r="E671" s="168"/>
      <c r="F671" s="162"/>
      <c r="G671" s="149"/>
      <c r="H671" s="161"/>
      <c r="I671" s="161"/>
      <c r="J671" s="161"/>
      <c r="K671" s="161"/>
      <c r="L671" s="161"/>
      <c r="M671" s="161"/>
      <c r="N671" s="149"/>
      <c r="O671" s="161"/>
      <c r="P671" s="161"/>
      <c r="S671" s="149"/>
      <c r="T671" s="161"/>
      <c r="V671" s="166"/>
      <c r="W671" s="166"/>
      <c r="X671" s="166"/>
      <c r="Y671" s="166"/>
    </row>
    <row r="672" ht="22.5" customHeight="1">
      <c r="A672" s="161"/>
      <c r="B672" s="162"/>
      <c r="C672" s="161"/>
      <c r="D672" s="168"/>
      <c r="E672" s="168"/>
      <c r="F672" s="162"/>
      <c r="G672" s="149"/>
      <c r="H672" s="161"/>
      <c r="I672" s="161"/>
      <c r="J672" s="161"/>
      <c r="K672" s="161"/>
      <c r="L672" s="161"/>
      <c r="M672" s="161"/>
      <c r="N672" s="149"/>
      <c r="O672" s="161"/>
      <c r="P672" s="161"/>
      <c r="S672" s="149"/>
      <c r="T672" s="161"/>
      <c r="V672" s="166"/>
      <c r="W672" s="166"/>
      <c r="X672" s="166"/>
      <c r="Y672" s="166"/>
    </row>
    <row r="673" ht="22.5" customHeight="1">
      <c r="A673" s="161"/>
      <c r="B673" s="162"/>
      <c r="C673" s="161"/>
      <c r="D673" s="168"/>
      <c r="E673" s="168"/>
      <c r="F673" s="162"/>
      <c r="G673" s="149"/>
      <c r="H673" s="161"/>
      <c r="I673" s="161"/>
      <c r="J673" s="161"/>
      <c r="K673" s="161"/>
      <c r="L673" s="161"/>
      <c r="M673" s="161"/>
      <c r="N673" s="149"/>
      <c r="O673" s="161"/>
      <c r="P673" s="161"/>
      <c r="S673" s="149"/>
      <c r="T673" s="161"/>
      <c r="V673" s="166"/>
      <c r="W673" s="166"/>
      <c r="X673" s="166"/>
      <c r="Y673" s="166"/>
    </row>
    <row r="674" ht="22.5" customHeight="1">
      <c r="A674" s="161"/>
      <c r="B674" s="162"/>
      <c r="C674" s="161"/>
      <c r="D674" s="168"/>
      <c r="E674" s="168"/>
      <c r="F674" s="162"/>
      <c r="G674" s="149"/>
      <c r="H674" s="161"/>
      <c r="I674" s="161"/>
      <c r="J674" s="161"/>
      <c r="K674" s="161"/>
      <c r="L674" s="161"/>
      <c r="M674" s="161"/>
      <c r="N674" s="149"/>
      <c r="O674" s="161"/>
      <c r="P674" s="161"/>
      <c r="S674" s="149"/>
      <c r="T674" s="161"/>
      <c r="V674" s="166"/>
      <c r="W674" s="166"/>
      <c r="X674" s="166"/>
      <c r="Y674" s="166"/>
    </row>
    <row r="675" ht="22.5" customHeight="1">
      <c r="A675" s="161"/>
      <c r="B675" s="162"/>
      <c r="C675" s="161"/>
      <c r="D675" s="168"/>
      <c r="E675" s="168"/>
      <c r="F675" s="162"/>
      <c r="G675" s="149"/>
      <c r="H675" s="161"/>
      <c r="I675" s="161"/>
      <c r="J675" s="161"/>
      <c r="K675" s="161"/>
      <c r="L675" s="161"/>
      <c r="M675" s="161"/>
      <c r="N675" s="149"/>
      <c r="O675" s="161"/>
      <c r="P675" s="161"/>
      <c r="S675" s="149"/>
      <c r="T675" s="161"/>
      <c r="V675" s="166"/>
      <c r="W675" s="166"/>
      <c r="X675" s="166"/>
      <c r="Y675" s="166"/>
    </row>
    <row r="676" ht="22.5" customHeight="1">
      <c r="A676" s="161"/>
      <c r="B676" s="162"/>
      <c r="C676" s="161"/>
      <c r="D676" s="168"/>
      <c r="E676" s="168"/>
      <c r="F676" s="162"/>
      <c r="G676" s="149"/>
      <c r="H676" s="161"/>
      <c r="I676" s="161"/>
      <c r="J676" s="161"/>
      <c r="K676" s="161"/>
      <c r="L676" s="161"/>
      <c r="M676" s="161"/>
      <c r="N676" s="149"/>
      <c r="O676" s="161"/>
      <c r="P676" s="161"/>
      <c r="S676" s="149"/>
      <c r="T676" s="161"/>
      <c r="V676" s="166"/>
      <c r="W676" s="166"/>
      <c r="X676" s="166"/>
      <c r="Y676" s="166"/>
    </row>
    <row r="677" ht="22.5" customHeight="1">
      <c r="A677" s="161"/>
      <c r="B677" s="162"/>
      <c r="C677" s="161"/>
      <c r="D677" s="168"/>
      <c r="E677" s="168"/>
      <c r="F677" s="162"/>
      <c r="G677" s="149"/>
      <c r="H677" s="161"/>
      <c r="I677" s="161"/>
      <c r="J677" s="161"/>
      <c r="K677" s="161"/>
      <c r="L677" s="161"/>
      <c r="M677" s="161"/>
      <c r="N677" s="149"/>
      <c r="O677" s="161"/>
      <c r="P677" s="161"/>
      <c r="S677" s="149"/>
      <c r="T677" s="161"/>
      <c r="V677" s="166"/>
      <c r="W677" s="166"/>
      <c r="X677" s="166"/>
      <c r="Y677" s="166"/>
    </row>
    <row r="678" ht="22.5" customHeight="1">
      <c r="A678" s="161"/>
      <c r="B678" s="162"/>
      <c r="C678" s="161"/>
      <c r="D678" s="168"/>
      <c r="E678" s="168"/>
      <c r="F678" s="162"/>
      <c r="G678" s="149"/>
      <c r="H678" s="161"/>
      <c r="I678" s="161"/>
      <c r="J678" s="161"/>
      <c r="K678" s="161"/>
      <c r="L678" s="161"/>
      <c r="M678" s="161"/>
      <c r="N678" s="149"/>
      <c r="O678" s="161"/>
      <c r="P678" s="161"/>
      <c r="S678" s="149"/>
      <c r="T678" s="161"/>
      <c r="V678" s="166"/>
      <c r="W678" s="166"/>
      <c r="X678" s="166"/>
      <c r="Y678" s="166"/>
    </row>
    <row r="679" ht="22.5" customHeight="1">
      <c r="A679" s="161"/>
      <c r="B679" s="162"/>
      <c r="C679" s="161"/>
      <c r="D679" s="168"/>
      <c r="E679" s="168"/>
      <c r="F679" s="162"/>
      <c r="G679" s="149"/>
      <c r="H679" s="161"/>
      <c r="I679" s="161"/>
      <c r="J679" s="161"/>
      <c r="K679" s="161"/>
      <c r="L679" s="161"/>
      <c r="M679" s="161"/>
      <c r="N679" s="149"/>
      <c r="O679" s="161"/>
      <c r="P679" s="161"/>
      <c r="S679" s="149"/>
      <c r="T679" s="161"/>
      <c r="V679" s="166"/>
      <c r="W679" s="166"/>
      <c r="X679" s="166"/>
      <c r="Y679" s="166"/>
    </row>
    <row r="680" ht="22.5" customHeight="1">
      <c r="A680" s="161"/>
      <c r="B680" s="162"/>
      <c r="C680" s="161"/>
      <c r="D680" s="168"/>
      <c r="E680" s="168"/>
      <c r="F680" s="162"/>
      <c r="G680" s="149"/>
      <c r="H680" s="161"/>
      <c r="I680" s="161"/>
      <c r="J680" s="161"/>
      <c r="K680" s="161"/>
      <c r="L680" s="161"/>
      <c r="M680" s="161"/>
      <c r="N680" s="149"/>
      <c r="O680" s="161"/>
      <c r="P680" s="161"/>
      <c r="S680" s="149"/>
      <c r="T680" s="161"/>
      <c r="V680" s="166"/>
      <c r="W680" s="166"/>
      <c r="X680" s="166"/>
      <c r="Y680" s="166"/>
    </row>
    <row r="681" ht="22.5" customHeight="1">
      <c r="A681" s="161"/>
      <c r="B681" s="162"/>
      <c r="C681" s="161"/>
      <c r="D681" s="168"/>
      <c r="E681" s="168"/>
      <c r="F681" s="162"/>
      <c r="G681" s="149"/>
      <c r="H681" s="161"/>
      <c r="I681" s="161"/>
      <c r="J681" s="161"/>
      <c r="K681" s="161"/>
      <c r="L681" s="161"/>
      <c r="M681" s="161"/>
      <c r="N681" s="149"/>
      <c r="O681" s="161"/>
      <c r="P681" s="161"/>
      <c r="S681" s="149"/>
      <c r="T681" s="161"/>
      <c r="V681" s="166"/>
      <c r="W681" s="166"/>
      <c r="X681" s="166"/>
      <c r="Y681" s="166"/>
    </row>
    <row r="682" ht="22.5" customHeight="1">
      <c r="A682" s="161"/>
      <c r="B682" s="162"/>
      <c r="C682" s="161"/>
      <c r="D682" s="168"/>
      <c r="E682" s="168"/>
      <c r="F682" s="162"/>
      <c r="G682" s="149"/>
      <c r="H682" s="161"/>
      <c r="I682" s="161"/>
      <c r="J682" s="161"/>
      <c r="K682" s="161"/>
      <c r="L682" s="161"/>
      <c r="M682" s="161"/>
      <c r="N682" s="149"/>
      <c r="O682" s="161"/>
      <c r="P682" s="161"/>
      <c r="S682" s="149"/>
      <c r="T682" s="161"/>
      <c r="V682" s="166"/>
      <c r="W682" s="166"/>
      <c r="X682" s="166"/>
      <c r="Y682" s="166"/>
    </row>
    <row r="683" ht="22.5" customHeight="1">
      <c r="A683" s="161"/>
      <c r="B683" s="162"/>
      <c r="C683" s="161"/>
      <c r="D683" s="168"/>
      <c r="E683" s="168"/>
      <c r="F683" s="162"/>
      <c r="G683" s="149"/>
      <c r="H683" s="161"/>
      <c r="I683" s="161"/>
      <c r="J683" s="161"/>
      <c r="K683" s="161"/>
      <c r="L683" s="161"/>
      <c r="M683" s="161"/>
      <c r="N683" s="149"/>
      <c r="O683" s="161"/>
      <c r="P683" s="161"/>
      <c r="S683" s="149"/>
      <c r="T683" s="161"/>
      <c r="V683" s="166"/>
      <c r="W683" s="166"/>
      <c r="X683" s="166"/>
      <c r="Y683" s="166"/>
    </row>
    <row r="684" ht="22.5" customHeight="1">
      <c r="A684" s="161"/>
      <c r="B684" s="162"/>
      <c r="C684" s="161"/>
      <c r="D684" s="168"/>
      <c r="E684" s="168"/>
      <c r="F684" s="162"/>
      <c r="G684" s="149"/>
      <c r="H684" s="161"/>
      <c r="I684" s="161"/>
      <c r="J684" s="161"/>
      <c r="K684" s="161"/>
      <c r="L684" s="161"/>
      <c r="M684" s="161"/>
      <c r="N684" s="149"/>
      <c r="O684" s="161"/>
      <c r="P684" s="161"/>
      <c r="S684" s="149"/>
      <c r="T684" s="161"/>
      <c r="V684" s="166"/>
      <c r="W684" s="166"/>
      <c r="X684" s="166"/>
      <c r="Y684" s="166"/>
    </row>
    <row r="685" ht="22.5" customHeight="1">
      <c r="A685" s="161"/>
      <c r="B685" s="162"/>
      <c r="C685" s="161"/>
      <c r="D685" s="168"/>
      <c r="E685" s="168"/>
      <c r="F685" s="162"/>
      <c r="G685" s="149"/>
      <c r="H685" s="161"/>
      <c r="I685" s="161"/>
      <c r="J685" s="161"/>
      <c r="K685" s="161"/>
      <c r="L685" s="161"/>
      <c r="M685" s="161"/>
      <c r="N685" s="149"/>
      <c r="O685" s="161"/>
      <c r="P685" s="161"/>
      <c r="S685" s="149"/>
      <c r="T685" s="161"/>
      <c r="V685" s="166"/>
      <c r="W685" s="166"/>
      <c r="X685" s="166"/>
      <c r="Y685" s="166"/>
    </row>
    <row r="686" ht="22.5" customHeight="1">
      <c r="A686" s="161"/>
      <c r="B686" s="162"/>
      <c r="C686" s="161"/>
      <c r="D686" s="168"/>
      <c r="E686" s="168"/>
      <c r="F686" s="162"/>
      <c r="G686" s="149"/>
      <c r="H686" s="161"/>
      <c r="I686" s="161"/>
      <c r="J686" s="161"/>
      <c r="K686" s="161"/>
      <c r="L686" s="161"/>
      <c r="M686" s="161"/>
      <c r="N686" s="149"/>
      <c r="O686" s="161"/>
      <c r="P686" s="161"/>
      <c r="S686" s="149"/>
      <c r="T686" s="161"/>
      <c r="V686" s="166"/>
      <c r="W686" s="166"/>
      <c r="X686" s="166"/>
      <c r="Y686" s="166"/>
    </row>
    <row r="687" ht="22.5" customHeight="1">
      <c r="A687" s="161"/>
      <c r="B687" s="162"/>
      <c r="C687" s="161"/>
      <c r="D687" s="168"/>
      <c r="E687" s="168"/>
      <c r="F687" s="162"/>
      <c r="G687" s="149"/>
      <c r="H687" s="161"/>
      <c r="I687" s="161"/>
      <c r="J687" s="161"/>
      <c r="K687" s="161"/>
      <c r="L687" s="161"/>
      <c r="M687" s="161"/>
      <c r="N687" s="149"/>
      <c r="O687" s="161"/>
      <c r="P687" s="161"/>
      <c r="S687" s="149"/>
      <c r="T687" s="161"/>
      <c r="V687" s="166"/>
      <c r="W687" s="166"/>
      <c r="X687" s="166"/>
      <c r="Y687" s="166"/>
    </row>
    <row r="688" ht="22.5" customHeight="1">
      <c r="A688" s="161"/>
      <c r="B688" s="162"/>
      <c r="C688" s="161"/>
      <c r="D688" s="168"/>
      <c r="E688" s="168"/>
      <c r="F688" s="162"/>
      <c r="G688" s="149"/>
      <c r="H688" s="161"/>
      <c r="I688" s="161"/>
      <c r="J688" s="161"/>
      <c r="K688" s="161"/>
      <c r="L688" s="161"/>
      <c r="M688" s="161"/>
      <c r="N688" s="149"/>
      <c r="O688" s="161"/>
      <c r="P688" s="161"/>
      <c r="S688" s="149"/>
      <c r="T688" s="161"/>
      <c r="V688" s="166"/>
      <c r="W688" s="166"/>
      <c r="X688" s="166"/>
      <c r="Y688" s="166"/>
    </row>
    <row r="689" ht="22.5" customHeight="1">
      <c r="A689" s="161"/>
      <c r="B689" s="162"/>
      <c r="C689" s="161"/>
      <c r="D689" s="168"/>
      <c r="E689" s="168"/>
      <c r="F689" s="162"/>
      <c r="G689" s="149"/>
      <c r="H689" s="161"/>
      <c r="I689" s="161"/>
      <c r="J689" s="161"/>
      <c r="K689" s="161"/>
      <c r="L689" s="161"/>
      <c r="M689" s="161"/>
      <c r="N689" s="149"/>
      <c r="O689" s="161"/>
      <c r="P689" s="161"/>
      <c r="S689" s="149"/>
      <c r="T689" s="161"/>
      <c r="V689" s="166"/>
      <c r="W689" s="166"/>
      <c r="X689" s="166"/>
      <c r="Y689" s="166"/>
    </row>
    <row r="690" ht="22.5" customHeight="1">
      <c r="A690" s="161"/>
      <c r="B690" s="162"/>
      <c r="C690" s="161"/>
      <c r="D690" s="168"/>
      <c r="E690" s="168"/>
      <c r="F690" s="162"/>
      <c r="G690" s="149"/>
      <c r="H690" s="161"/>
      <c r="I690" s="161"/>
      <c r="J690" s="161"/>
      <c r="K690" s="161"/>
      <c r="L690" s="161"/>
      <c r="M690" s="161"/>
      <c r="N690" s="149"/>
      <c r="O690" s="161"/>
      <c r="P690" s="161"/>
      <c r="S690" s="149"/>
      <c r="T690" s="161"/>
      <c r="V690" s="166"/>
      <c r="W690" s="166"/>
      <c r="X690" s="166"/>
      <c r="Y690" s="166"/>
    </row>
    <row r="691" ht="22.5" customHeight="1">
      <c r="A691" s="161"/>
      <c r="B691" s="162"/>
      <c r="C691" s="161"/>
      <c r="D691" s="168"/>
      <c r="E691" s="168"/>
      <c r="F691" s="162"/>
      <c r="G691" s="149"/>
      <c r="H691" s="161"/>
      <c r="I691" s="161"/>
      <c r="J691" s="161"/>
      <c r="K691" s="161"/>
      <c r="L691" s="161"/>
      <c r="M691" s="161"/>
      <c r="N691" s="149"/>
      <c r="O691" s="161"/>
      <c r="P691" s="161"/>
      <c r="S691" s="149"/>
      <c r="T691" s="161"/>
      <c r="V691" s="166"/>
      <c r="W691" s="166"/>
      <c r="X691" s="166"/>
      <c r="Y691" s="166"/>
    </row>
    <row r="692" ht="22.5" customHeight="1">
      <c r="A692" s="161"/>
      <c r="B692" s="162"/>
      <c r="C692" s="161"/>
      <c r="D692" s="168"/>
      <c r="E692" s="168"/>
      <c r="F692" s="162"/>
      <c r="G692" s="149"/>
      <c r="H692" s="161"/>
      <c r="I692" s="161"/>
      <c r="J692" s="161"/>
      <c r="K692" s="161"/>
      <c r="L692" s="161"/>
      <c r="M692" s="161"/>
      <c r="N692" s="149"/>
      <c r="O692" s="161"/>
      <c r="P692" s="161"/>
      <c r="S692" s="149"/>
      <c r="T692" s="161"/>
      <c r="V692" s="166"/>
      <c r="W692" s="166"/>
      <c r="X692" s="166"/>
      <c r="Y692" s="166"/>
    </row>
    <row r="693" ht="22.5" customHeight="1">
      <c r="A693" s="161"/>
      <c r="B693" s="162"/>
      <c r="C693" s="161"/>
      <c r="D693" s="168"/>
      <c r="E693" s="168"/>
      <c r="F693" s="162"/>
      <c r="G693" s="149"/>
      <c r="H693" s="161"/>
      <c r="I693" s="161"/>
      <c r="J693" s="161"/>
      <c r="K693" s="161"/>
      <c r="L693" s="161"/>
      <c r="M693" s="161"/>
      <c r="N693" s="149"/>
      <c r="O693" s="161"/>
      <c r="P693" s="161"/>
      <c r="S693" s="149"/>
      <c r="T693" s="161"/>
      <c r="V693" s="166"/>
      <c r="W693" s="166"/>
      <c r="X693" s="166"/>
      <c r="Y693" s="166"/>
    </row>
    <row r="694" ht="22.5" customHeight="1">
      <c r="A694" s="161"/>
      <c r="B694" s="162"/>
      <c r="C694" s="161"/>
      <c r="D694" s="168"/>
      <c r="E694" s="168"/>
      <c r="F694" s="162"/>
      <c r="G694" s="149"/>
      <c r="H694" s="161"/>
      <c r="I694" s="161"/>
      <c r="J694" s="161"/>
      <c r="K694" s="161"/>
      <c r="L694" s="161"/>
      <c r="M694" s="161"/>
      <c r="N694" s="149"/>
      <c r="O694" s="161"/>
      <c r="P694" s="161"/>
      <c r="S694" s="149"/>
      <c r="T694" s="161"/>
      <c r="V694" s="166"/>
      <c r="W694" s="166"/>
      <c r="X694" s="166"/>
      <c r="Y694" s="166"/>
    </row>
    <row r="695" ht="22.5" customHeight="1">
      <c r="A695" s="161"/>
      <c r="B695" s="162"/>
      <c r="C695" s="161"/>
      <c r="D695" s="168"/>
      <c r="E695" s="168"/>
      <c r="F695" s="162"/>
      <c r="G695" s="149"/>
      <c r="H695" s="161"/>
      <c r="I695" s="161"/>
      <c r="J695" s="161"/>
      <c r="K695" s="161"/>
      <c r="L695" s="161"/>
      <c r="M695" s="161"/>
      <c r="N695" s="149"/>
      <c r="O695" s="161"/>
      <c r="P695" s="161"/>
      <c r="S695" s="149"/>
      <c r="T695" s="161"/>
      <c r="V695" s="166"/>
      <c r="W695" s="166"/>
      <c r="X695" s="166"/>
      <c r="Y695" s="166"/>
    </row>
    <row r="696" ht="22.5" customHeight="1">
      <c r="A696" s="161"/>
      <c r="B696" s="162"/>
      <c r="C696" s="161"/>
      <c r="D696" s="168"/>
      <c r="E696" s="168"/>
      <c r="F696" s="162"/>
      <c r="G696" s="149"/>
      <c r="H696" s="161"/>
      <c r="I696" s="161"/>
      <c r="J696" s="161"/>
      <c r="K696" s="161"/>
      <c r="L696" s="161"/>
      <c r="M696" s="161"/>
      <c r="N696" s="149"/>
      <c r="O696" s="161"/>
      <c r="P696" s="161"/>
      <c r="S696" s="149"/>
      <c r="T696" s="161"/>
      <c r="V696" s="166"/>
      <c r="W696" s="166"/>
      <c r="X696" s="166"/>
      <c r="Y696" s="166"/>
    </row>
    <row r="697" ht="22.5" customHeight="1">
      <c r="A697" s="161"/>
      <c r="B697" s="162"/>
      <c r="C697" s="161"/>
      <c r="D697" s="168"/>
      <c r="E697" s="168"/>
      <c r="F697" s="162"/>
      <c r="G697" s="149"/>
      <c r="H697" s="161"/>
      <c r="I697" s="161"/>
      <c r="J697" s="161"/>
      <c r="K697" s="161"/>
      <c r="L697" s="161"/>
      <c r="M697" s="161"/>
      <c r="N697" s="149"/>
      <c r="O697" s="161"/>
      <c r="P697" s="161"/>
      <c r="S697" s="149"/>
      <c r="T697" s="161"/>
      <c r="V697" s="166"/>
      <c r="W697" s="166"/>
      <c r="X697" s="166"/>
      <c r="Y697" s="166"/>
    </row>
    <row r="698" ht="22.5" customHeight="1">
      <c r="A698" s="161"/>
      <c r="B698" s="162"/>
      <c r="C698" s="161"/>
      <c r="D698" s="168"/>
      <c r="E698" s="168"/>
      <c r="F698" s="162"/>
      <c r="G698" s="149"/>
      <c r="H698" s="161"/>
      <c r="I698" s="161"/>
      <c r="J698" s="161"/>
      <c r="K698" s="161"/>
      <c r="L698" s="161"/>
      <c r="M698" s="161"/>
      <c r="N698" s="149"/>
      <c r="O698" s="161"/>
      <c r="P698" s="161"/>
      <c r="S698" s="149"/>
      <c r="T698" s="161"/>
      <c r="V698" s="166"/>
      <c r="W698" s="166"/>
      <c r="X698" s="166"/>
      <c r="Y698" s="166"/>
    </row>
    <row r="699" ht="22.5" customHeight="1">
      <c r="A699" s="161"/>
      <c r="B699" s="162"/>
      <c r="C699" s="161"/>
      <c r="D699" s="168"/>
      <c r="E699" s="168"/>
      <c r="F699" s="162"/>
      <c r="G699" s="149"/>
      <c r="H699" s="161"/>
      <c r="I699" s="161"/>
      <c r="J699" s="161"/>
      <c r="K699" s="161"/>
      <c r="L699" s="161"/>
      <c r="M699" s="161"/>
      <c r="N699" s="149"/>
      <c r="O699" s="161"/>
      <c r="P699" s="161"/>
      <c r="S699" s="149"/>
      <c r="T699" s="161"/>
      <c r="V699" s="166"/>
      <c r="W699" s="166"/>
      <c r="X699" s="166"/>
      <c r="Y699" s="166"/>
    </row>
    <row r="700" ht="22.5" customHeight="1">
      <c r="A700" s="161"/>
      <c r="B700" s="162"/>
      <c r="C700" s="161"/>
      <c r="D700" s="168"/>
      <c r="E700" s="168"/>
      <c r="F700" s="162"/>
      <c r="G700" s="149"/>
      <c r="H700" s="161"/>
      <c r="I700" s="161"/>
      <c r="J700" s="161"/>
      <c r="K700" s="161"/>
      <c r="L700" s="161"/>
      <c r="M700" s="161"/>
      <c r="N700" s="149"/>
      <c r="O700" s="161"/>
      <c r="P700" s="161"/>
      <c r="S700" s="149"/>
      <c r="T700" s="161"/>
      <c r="V700" s="166"/>
      <c r="W700" s="166"/>
      <c r="X700" s="166"/>
      <c r="Y700" s="166"/>
    </row>
    <row r="701" ht="22.5" customHeight="1">
      <c r="A701" s="161"/>
      <c r="B701" s="162"/>
      <c r="C701" s="161"/>
      <c r="D701" s="168"/>
      <c r="E701" s="168"/>
      <c r="F701" s="162"/>
      <c r="G701" s="149"/>
      <c r="H701" s="161"/>
      <c r="I701" s="161"/>
      <c r="J701" s="161"/>
      <c r="K701" s="161"/>
      <c r="L701" s="161"/>
      <c r="M701" s="161"/>
      <c r="N701" s="149"/>
      <c r="O701" s="161"/>
      <c r="P701" s="161"/>
      <c r="S701" s="149"/>
      <c r="T701" s="161"/>
      <c r="V701" s="166"/>
      <c r="W701" s="166"/>
      <c r="X701" s="166"/>
      <c r="Y701" s="166"/>
    </row>
    <row r="702" ht="22.5" customHeight="1">
      <c r="A702" s="161"/>
      <c r="B702" s="162"/>
      <c r="C702" s="161"/>
      <c r="D702" s="168"/>
      <c r="E702" s="168"/>
      <c r="F702" s="162"/>
      <c r="G702" s="149"/>
      <c r="H702" s="161"/>
      <c r="I702" s="161"/>
      <c r="J702" s="161"/>
      <c r="K702" s="161"/>
      <c r="L702" s="161"/>
      <c r="M702" s="161"/>
      <c r="N702" s="149"/>
      <c r="O702" s="161"/>
      <c r="P702" s="161"/>
      <c r="S702" s="149"/>
      <c r="T702" s="161"/>
      <c r="V702" s="166"/>
      <c r="W702" s="166"/>
      <c r="X702" s="166"/>
      <c r="Y702" s="166"/>
    </row>
    <row r="703" ht="22.5" customHeight="1">
      <c r="A703" s="161"/>
      <c r="B703" s="162"/>
      <c r="C703" s="161"/>
      <c r="D703" s="168"/>
      <c r="E703" s="168"/>
      <c r="F703" s="162"/>
      <c r="G703" s="149"/>
      <c r="H703" s="161"/>
      <c r="I703" s="161"/>
      <c r="J703" s="161"/>
      <c r="K703" s="161"/>
      <c r="L703" s="161"/>
      <c r="M703" s="161"/>
      <c r="N703" s="149"/>
      <c r="O703" s="161"/>
      <c r="P703" s="161"/>
      <c r="S703" s="149"/>
      <c r="T703" s="161"/>
      <c r="V703" s="166"/>
      <c r="W703" s="166"/>
      <c r="X703" s="166"/>
      <c r="Y703" s="166"/>
    </row>
    <row r="704" ht="22.5" customHeight="1">
      <c r="A704" s="161"/>
      <c r="B704" s="162"/>
      <c r="C704" s="161"/>
      <c r="D704" s="168"/>
      <c r="E704" s="168"/>
      <c r="F704" s="162"/>
      <c r="G704" s="149"/>
      <c r="H704" s="161"/>
      <c r="I704" s="161"/>
      <c r="J704" s="161"/>
      <c r="K704" s="161"/>
      <c r="L704" s="161"/>
      <c r="M704" s="161"/>
      <c r="N704" s="149"/>
      <c r="O704" s="161"/>
      <c r="P704" s="161"/>
      <c r="S704" s="149"/>
      <c r="T704" s="161"/>
      <c r="V704" s="166"/>
      <c r="W704" s="166"/>
      <c r="X704" s="166"/>
      <c r="Y704" s="166"/>
    </row>
    <row r="705" ht="22.5" customHeight="1">
      <c r="A705" s="161"/>
      <c r="B705" s="162"/>
      <c r="C705" s="161"/>
      <c r="D705" s="168"/>
      <c r="E705" s="168"/>
      <c r="F705" s="162"/>
      <c r="G705" s="149"/>
      <c r="H705" s="161"/>
      <c r="I705" s="161"/>
      <c r="J705" s="161"/>
      <c r="K705" s="161"/>
      <c r="L705" s="161"/>
      <c r="M705" s="161"/>
      <c r="N705" s="149"/>
      <c r="O705" s="161"/>
      <c r="P705" s="161"/>
      <c r="S705" s="149"/>
      <c r="T705" s="161"/>
      <c r="V705" s="166"/>
      <c r="W705" s="166"/>
      <c r="X705" s="166"/>
      <c r="Y705" s="166"/>
    </row>
    <row r="706" ht="22.5" customHeight="1">
      <c r="A706" s="161"/>
      <c r="B706" s="162"/>
      <c r="C706" s="161"/>
      <c r="D706" s="168"/>
      <c r="E706" s="168"/>
      <c r="F706" s="162"/>
      <c r="G706" s="149"/>
      <c r="H706" s="161"/>
      <c r="I706" s="161"/>
      <c r="J706" s="161"/>
      <c r="K706" s="161"/>
      <c r="L706" s="161"/>
      <c r="M706" s="161"/>
      <c r="N706" s="149"/>
      <c r="O706" s="161"/>
      <c r="P706" s="161"/>
      <c r="S706" s="149"/>
      <c r="T706" s="161"/>
      <c r="V706" s="166"/>
      <c r="W706" s="166"/>
      <c r="X706" s="166"/>
      <c r="Y706" s="166"/>
    </row>
    <row r="707" ht="22.5" customHeight="1">
      <c r="A707" s="161"/>
      <c r="B707" s="162"/>
      <c r="C707" s="161"/>
      <c r="D707" s="168"/>
      <c r="E707" s="168"/>
      <c r="F707" s="162"/>
      <c r="G707" s="149"/>
      <c r="H707" s="161"/>
      <c r="I707" s="161"/>
      <c r="J707" s="161"/>
      <c r="K707" s="161"/>
      <c r="L707" s="161"/>
      <c r="M707" s="161"/>
      <c r="N707" s="149"/>
      <c r="O707" s="161"/>
      <c r="P707" s="161"/>
      <c r="S707" s="149"/>
      <c r="T707" s="161"/>
      <c r="V707" s="166"/>
      <c r="W707" s="166"/>
      <c r="X707" s="166"/>
      <c r="Y707" s="166"/>
    </row>
    <row r="708" ht="22.5" customHeight="1">
      <c r="A708" s="161"/>
      <c r="B708" s="162"/>
      <c r="C708" s="161"/>
      <c r="D708" s="168"/>
      <c r="E708" s="168"/>
      <c r="F708" s="162"/>
      <c r="G708" s="149"/>
      <c r="H708" s="161"/>
      <c r="I708" s="161"/>
      <c r="J708" s="161"/>
      <c r="K708" s="161"/>
      <c r="L708" s="161"/>
      <c r="M708" s="161"/>
      <c r="N708" s="149"/>
      <c r="O708" s="161"/>
      <c r="P708" s="161"/>
      <c r="S708" s="149"/>
      <c r="T708" s="161"/>
      <c r="V708" s="166"/>
      <c r="W708" s="166"/>
      <c r="X708" s="166"/>
      <c r="Y708" s="166"/>
    </row>
    <row r="709" ht="22.5" customHeight="1">
      <c r="A709" s="161"/>
      <c r="B709" s="162"/>
      <c r="C709" s="161"/>
      <c r="D709" s="168"/>
      <c r="E709" s="168"/>
      <c r="F709" s="162"/>
      <c r="G709" s="149"/>
      <c r="H709" s="161"/>
      <c r="I709" s="161"/>
      <c r="J709" s="161"/>
      <c r="K709" s="161"/>
      <c r="L709" s="161"/>
      <c r="M709" s="161"/>
      <c r="N709" s="149"/>
      <c r="O709" s="161"/>
      <c r="P709" s="161"/>
      <c r="S709" s="149"/>
      <c r="T709" s="161"/>
      <c r="V709" s="166"/>
      <c r="W709" s="166"/>
      <c r="X709" s="166"/>
      <c r="Y709" s="166"/>
    </row>
    <row r="710" ht="22.5" customHeight="1">
      <c r="A710" s="161"/>
      <c r="B710" s="162"/>
      <c r="C710" s="161"/>
      <c r="D710" s="168"/>
      <c r="E710" s="168"/>
      <c r="F710" s="162"/>
      <c r="G710" s="149"/>
      <c r="H710" s="161"/>
      <c r="I710" s="161"/>
      <c r="J710" s="161"/>
      <c r="K710" s="161"/>
      <c r="L710" s="161"/>
      <c r="M710" s="161"/>
      <c r="N710" s="149"/>
      <c r="O710" s="161"/>
      <c r="P710" s="161"/>
      <c r="S710" s="149"/>
      <c r="T710" s="161"/>
      <c r="V710" s="166"/>
      <c r="W710" s="166"/>
      <c r="X710" s="166"/>
      <c r="Y710" s="166"/>
    </row>
    <row r="711" ht="22.5" customHeight="1">
      <c r="A711" s="161"/>
      <c r="B711" s="162"/>
      <c r="C711" s="161"/>
      <c r="D711" s="168"/>
      <c r="E711" s="168"/>
      <c r="F711" s="162"/>
      <c r="G711" s="149"/>
      <c r="H711" s="161"/>
      <c r="I711" s="161"/>
      <c r="J711" s="161"/>
      <c r="K711" s="161"/>
      <c r="L711" s="161"/>
      <c r="M711" s="161"/>
      <c r="N711" s="149"/>
      <c r="O711" s="161"/>
      <c r="P711" s="161"/>
      <c r="S711" s="149"/>
      <c r="T711" s="161"/>
      <c r="V711" s="166"/>
      <c r="W711" s="166"/>
      <c r="X711" s="166"/>
      <c r="Y711" s="166"/>
    </row>
    <row r="712" ht="22.5" customHeight="1">
      <c r="A712" s="161"/>
      <c r="B712" s="162"/>
      <c r="C712" s="161"/>
      <c r="D712" s="168"/>
      <c r="E712" s="168"/>
      <c r="F712" s="162"/>
      <c r="G712" s="149"/>
      <c r="H712" s="161"/>
      <c r="I712" s="161"/>
      <c r="J712" s="161"/>
      <c r="K712" s="161"/>
      <c r="L712" s="161"/>
      <c r="M712" s="161"/>
      <c r="N712" s="149"/>
      <c r="O712" s="161"/>
      <c r="P712" s="161"/>
      <c r="S712" s="149"/>
      <c r="T712" s="161"/>
      <c r="V712" s="166"/>
      <c r="W712" s="166"/>
      <c r="X712" s="166"/>
      <c r="Y712" s="166"/>
    </row>
    <row r="713" ht="22.5" customHeight="1">
      <c r="A713" s="161"/>
      <c r="B713" s="162"/>
      <c r="C713" s="161"/>
      <c r="D713" s="168"/>
      <c r="E713" s="168"/>
      <c r="F713" s="162"/>
      <c r="G713" s="149"/>
      <c r="H713" s="161"/>
      <c r="I713" s="161"/>
      <c r="J713" s="161"/>
      <c r="K713" s="161"/>
      <c r="L713" s="161"/>
      <c r="M713" s="161"/>
      <c r="N713" s="149"/>
      <c r="O713" s="161"/>
      <c r="P713" s="161"/>
      <c r="S713" s="149"/>
      <c r="T713" s="161"/>
      <c r="V713" s="166"/>
      <c r="W713" s="166"/>
      <c r="X713" s="166"/>
      <c r="Y713" s="166"/>
    </row>
    <row r="714" ht="22.5" customHeight="1">
      <c r="A714" s="161"/>
      <c r="B714" s="162"/>
      <c r="C714" s="161"/>
      <c r="D714" s="168"/>
      <c r="E714" s="168"/>
      <c r="F714" s="162"/>
      <c r="G714" s="149"/>
      <c r="H714" s="161"/>
      <c r="I714" s="161"/>
      <c r="J714" s="161"/>
      <c r="K714" s="161"/>
      <c r="L714" s="161"/>
      <c r="M714" s="161"/>
      <c r="N714" s="149"/>
      <c r="O714" s="161"/>
      <c r="P714" s="161"/>
      <c r="S714" s="149"/>
      <c r="T714" s="161"/>
      <c r="V714" s="166"/>
      <c r="W714" s="166"/>
      <c r="X714" s="166"/>
      <c r="Y714" s="166"/>
    </row>
    <row r="715" ht="22.5" customHeight="1">
      <c r="A715" s="161"/>
      <c r="B715" s="162"/>
      <c r="C715" s="161"/>
      <c r="D715" s="168"/>
      <c r="E715" s="168"/>
      <c r="F715" s="162"/>
      <c r="G715" s="149"/>
      <c r="H715" s="161"/>
      <c r="I715" s="161"/>
      <c r="J715" s="161"/>
      <c r="K715" s="161"/>
      <c r="L715" s="161"/>
      <c r="M715" s="161"/>
      <c r="N715" s="149"/>
      <c r="O715" s="161"/>
      <c r="P715" s="161"/>
      <c r="S715" s="149"/>
      <c r="T715" s="161"/>
      <c r="V715" s="166"/>
      <c r="W715" s="166"/>
      <c r="X715" s="166"/>
      <c r="Y715" s="166"/>
    </row>
    <row r="716" ht="22.5" customHeight="1">
      <c r="A716" s="161"/>
      <c r="B716" s="162"/>
      <c r="C716" s="161"/>
      <c r="D716" s="168"/>
      <c r="E716" s="168"/>
      <c r="F716" s="162"/>
      <c r="G716" s="149"/>
      <c r="H716" s="161"/>
      <c r="I716" s="161"/>
      <c r="J716" s="161"/>
      <c r="K716" s="161"/>
      <c r="L716" s="161"/>
      <c r="M716" s="161"/>
      <c r="N716" s="149"/>
      <c r="O716" s="161"/>
      <c r="P716" s="161"/>
      <c r="S716" s="149"/>
      <c r="T716" s="161"/>
      <c r="V716" s="166"/>
      <c r="W716" s="166"/>
      <c r="X716" s="166"/>
      <c r="Y716" s="166"/>
    </row>
    <row r="717" ht="22.5" customHeight="1">
      <c r="A717" s="161"/>
      <c r="B717" s="162"/>
      <c r="C717" s="161"/>
      <c r="D717" s="168"/>
      <c r="E717" s="168"/>
      <c r="F717" s="162"/>
      <c r="G717" s="149"/>
      <c r="H717" s="161"/>
      <c r="I717" s="161"/>
      <c r="J717" s="161"/>
      <c r="K717" s="161"/>
      <c r="L717" s="161"/>
      <c r="M717" s="161"/>
      <c r="N717" s="149"/>
      <c r="O717" s="161"/>
      <c r="P717" s="161"/>
      <c r="S717" s="149"/>
      <c r="T717" s="161"/>
      <c r="V717" s="166"/>
      <c r="W717" s="166"/>
      <c r="X717" s="166"/>
      <c r="Y717" s="166"/>
    </row>
    <row r="718" ht="22.5" customHeight="1">
      <c r="A718" s="161"/>
      <c r="B718" s="162"/>
      <c r="C718" s="161"/>
      <c r="D718" s="168"/>
      <c r="E718" s="168"/>
      <c r="F718" s="162"/>
      <c r="G718" s="149"/>
      <c r="H718" s="161"/>
      <c r="I718" s="161"/>
      <c r="J718" s="161"/>
      <c r="K718" s="161"/>
      <c r="L718" s="161"/>
      <c r="M718" s="161"/>
      <c r="N718" s="149"/>
      <c r="O718" s="161"/>
      <c r="P718" s="161"/>
      <c r="S718" s="149"/>
      <c r="T718" s="161"/>
      <c r="V718" s="166"/>
      <c r="W718" s="166"/>
      <c r="X718" s="166"/>
      <c r="Y718" s="166"/>
    </row>
    <row r="719" ht="22.5" customHeight="1">
      <c r="A719" s="161"/>
      <c r="B719" s="162"/>
      <c r="C719" s="161"/>
      <c r="D719" s="168"/>
      <c r="E719" s="168"/>
      <c r="F719" s="162"/>
      <c r="G719" s="149"/>
      <c r="H719" s="161"/>
      <c r="I719" s="161"/>
      <c r="J719" s="161"/>
      <c r="K719" s="161"/>
      <c r="L719" s="161"/>
      <c r="M719" s="161"/>
      <c r="N719" s="149"/>
      <c r="O719" s="161"/>
      <c r="P719" s="161"/>
      <c r="S719" s="149"/>
      <c r="T719" s="161"/>
      <c r="V719" s="166"/>
      <c r="W719" s="166"/>
      <c r="X719" s="166"/>
      <c r="Y719" s="166"/>
    </row>
    <row r="720" ht="22.5" customHeight="1">
      <c r="A720" s="161"/>
      <c r="B720" s="162"/>
      <c r="C720" s="161"/>
      <c r="D720" s="168"/>
      <c r="E720" s="168"/>
      <c r="F720" s="162"/>
      <c r="G720" s="149"/>
      <c r="H720" s="161"/>
      <c r="I720" s="161"/>
      <c r="J720" s="161"/>
      <c r="K720" s="161"/>
      <c r="L720" s="161"/>
      <c r="M720" s="161"/>
      <c r="N720" s="149"/>
      <c r="O720" s="161"/>
      <c r="P720" s="161"/>
      <c r="S720" s="149"/>
      <c r="T720" s="161"/>
      <c r="V720" s="166"/>
      <c r="W720" s="166"/>
      <c r="X720" s="166"/>
      <c r="Y720" s="166"/>
    </row>
    <row r="721" ht="22.5" customHeight="1">
      <c r="A721" s="161"/>
      <c r="B721" s="162"/>
      <c r="C721" s="161"/>
      <c r="D721" s="168"/>
      <c r="E721" s="168"/>
      <c r="F721" s="162"/>
      <c r="G721" s="149"/>
      <c r="H721" s="161"/>
      <c r="I721" s="161"/>
      <c r="J721" s="161"/>
      <c r="K721" s="161"/>
      <c r="L721" s="161"/>
      <c r="M721" s="161"/>
      <c r="N721" s="149"/>
      <c r="O721" s="161"/>
      <c r="P721" s="161"/>
      <c r="S721" s="149"/>
      <c r="T721" s="161"/>
      <c r="V721" s="166"/>
      <c r="W721" s="166"/>
      <c r="X721" s="166"/>
      <c r="Y721" s="166"/>
    </row>
    <row r="722" ht="22.5" customHeight="1">
      <c r="A722" s="161"/>
      <c r="B722" s="162"/>
      <c r="C722" s="161"/>
      <c r="D722" s="168"/>
      <c r="E722" s="168"/>
      <c r="F722" s="162"/>
      <c r="G722" s="149"/>
      <c r="H722" s="161"/>
      <c r="I722" s="161"/>
      <c r="J722" s="161"/>
      <c r="K722" s="161"/>
      <c r="L722" s="161"/>
      <c r="M722" s="161"/>
      <c r="N722" s="149"/>
      <c r="O722" s="161"/>
      <c r="P722" s="161"/>
      <c r="S722" s="149"/>
      <c r="T722" s="161"/>
      <c r="V722" s="166"/>
      <c r="W722" s="166"/>
      <c r="X722" s="166"/>
      <c r="Y722" s="166"/>
    </row>
    <row r="723" ht="22.5" customHeight="1">
      <c r="A723" s="161"/>
      <c r="B723" s="162"/>
      <c r="C723" s="161"/>
      <c r="D723" s="168"/>
      <c r="E723" s="168"/>
      <c r="F723" s="162"/>
      <c r="G723" s="149"/>
      <c r="H723" s="161"/>
      <c r="I723" s="161"/>
      <c r="J723" s="161"/>
      <c r="K723" s="161"/>
      <c r="L723" s="161"/>
      <c r="M723" s="161"/>
      <c r="N723" s="149"/>
      <c r="O723" s="161"/>
      <c r="P723" s="161"/>
      <c r="S723" s="149"/>
      <c r="T723" s="161"/>
      <c r="V723" s="166"/>
      <c r="W723" s="166"/>
      <c r="X723" s="166"/>
      <c r="Y723" s="166"/>
    </row>
    <row r="724" ht="22.5" customHeight="1">
      <c r="A724" s="161"/>
      <c r="B724" s="162"/>
      <c r="C724" s="161"/>
      <c r="D724" s="168"/>
      <c r="E724" s="168"/>
      <c r="F724" s="162"/>
      <c r="G724" s="149"/>
      <c r="H724" s="161"/>
      <c r="I724" s="161"/>
      <c r="J724" s="161"/>
      <c r="K724" s="161"/>
      <c r="L724" s="161"/>
      <c r="M724" s="161"/>
      <c r="N724" s="149"/>
      <c r="O724" s="161"/>
      <c r="P724" s="161"/>
      <c r="S724" s="149"/>
      <c r="T724" s="161"/>
      <c r="V724" s="166"/>
      <c r="W724" s="166"/>
      <c r="X724" s="166"/>
      <c r="Y724" s="166"/>
    </row>
    <row r="725" ht="22.5" customHeight="1">
      <c r="A725" s="161"/>
      <c r="B725" s="162"/>
      <c r="C725" s="161"/>
      <c r="D725" s="168"/>
      <c r="E725" s="168"/>
      <c r="F725" s="162"/>
      <c r="G725" s="149"/>
      <c r="H725" s="161"/>
      <c r="I725" s="161"/>
      <c r="J725" s="161"/>
      <c r="K725" s="161"/>
      <c r="L725" s="161"/>
      <c r="M725" s="161"/>
      <c r="N725" s="149"/>
      <c r="O725" s="161"/>
      <c r="P725" s="161"/>
      <c r="S725" s="149"/>
      <c r="T725" s="161"/>
      <c r="V725" s="166"/>
      <c r="W725" s="166"/>
      <c r="X725" s="166"/>
      <c r="Y725" s="166"/>
    </row>
    <row r="726" ht="22.5" customHeight="1">
      <c r="A726" s="161"/>
      <c r="B726" s="162"/>
      <c r="C726" s="161"/>
      <c r="D726" s="168"/>
      <c r="E726" s="168"/>
      <c r="F726" s="162"/>
      <c r="G726" s="149"/>
      <c r="H726" s="161"/>
      <c r="I726" s="161"/>
      <c r="J726" s="161"/>
      <c r="K726" s="161"/>
      <c r="L726" s="161"/>
      <c r="M726" s="161"/>
      <c r="N726" s="149"/>
      <c r="O726" s="161"/>
      <c r="P726" s="161"/>
      <c r="S726" s="149"/>
      <c r="T726" s="161"/>
      <c r="V726" s="166"/>
      <c r="W726" s="166"/>
      <c r="X726" s="166"/>
      <c r="Y726" s="166"/>
    </row>
    <row r="727" ht="22.5" customHeight="1">
      <c r="A727" s="161"/>
      <c r="B727" s="162"/>
      <c r="C727" s="161"/>
      <c r="D727" s="168"/>
      <c r="E727" s="168"/>
      <c r="F727" s="162"/>
      <c r="G727" s="149"/>
      <c r="H727" s="161"/>
      <c r="I727" s="161"/>
      <c r="J727" s="161"/>
      <c r="K727" s="161"/>
      <c r="L727" s="161"/>
      <c r="M727" s="161"/>
      <c r="N727" s="149"/>
      <c r="O727" s="161"/>
      <c r="P727" s="161"/>
      <c r="S727" s="149"/>
      <c r="T727" s="161"/>
      <c r="V727" s="166"/>
      <c r="W727" s="166"/>
      <c r="X727" s="166"/>
      <c r="Y727" s="166"/>
    </row>
    <row r="728" ht="22.5" customHeight="1">
      <c r="A728" s="161"/>
      <c r="B728" s="162"/>
      <c r="C728" s="161"/>
      <c r="D728" s="168"/>
      <c r="E728" s="168"/>
      <c r="F728" s="162"/>
      <c r="G728" s="149"/>
      <c r="H728" s="161"/>
      <c r="I728" s="161"/>
      <c r="J728" s="161"/>
      <c r="K728" s="161"/>
      <c r="L728" s="161"/>
      <c r="M728" s="161"/>
      <c r="N728" s="149"/>
      <c r="O728" s="161"/>
      <c r="P728" s="161"/>
      <c r="S728" s="149"/>
      <c r="T728" s="161"/>
      <c r="V728" s="166"/>
      <c r="W728" s="166"/>
      <c r="X728" s="166"/>
      <c r="Y728" s="166"/>
    </row>
    <row r="729" ht="22.5" customHeight="1">
      <c r="A729" s="161"/>
      <c r="B729" s="162"/>
      <c r="C729" s="161"/>
      <c r="D729" s="168"/>
      <c r="E729" s="168"/>
      <c r="F729" s="162"/>
      <c r="G729" s="149"/>
      <c r="H729" s="161"/>
      <c r="I729" s="161"/>
      <c r="J729" s="161"/>
      <c r="K729" s="161"/>
      <c r="L729" s="161"/>
      <c r="M729" s="161"/>
      <c r="N729" s="149"/>
      <c r="O729" s="161"/>
      <c r="P729" s="161"/>
      <c r="S729" s="149"/>
      <c r="T729" s="161"/>
      <c r="V729" s="166"/>
      <c r="W729" s="166"/>
      <c r="X729" s="166"/>
      <c r="Y729" s="166"/>
    </row>
    <row r="730" ht="22.5" customHeight="1">
      <c r="A730" s="161"/>
      <c r="B730" s="162"/>
      <c r="C730" s="161"/>
      <c r="D730" s="168"/>
      <c r="E730" s="168"/>
      <c r="F730" s="162"/>
      <c r="G730" s="149"/>
      <c r="H730" s="161"/>
      <c r="I730" s="161"/>
      <c r="J730" s="161"/>
      <c r="K730" s="161"/>
      <c r="L730" s="161"/>
      <c r="M730" s="161"/>
      <c r="N730" s="149"/>
      <c r="O730" s="161"/>
      <c r="P730" s="161"/>
      <c r="S730" s="149"/>
      <c r="T730" s="161"/>
      <c r="V730" s="166"/>
      <c r="W730" s="166"/>
      <c r="X730" s="166"/>
      <c r="Y730" s="166"/>
    </row>
    <row r="731" ht="22.5" customHeight="1">
      <c r="A731" s="161"/>
      <c r="B731" s="162"/>
      <c r="C731" s="161"/>
      <c r="D731" s="168"/>
      <c r="E731" s="168"/>
      <c r="F731" s="162"/>
      <c r="G731" s="149"/>
      <c r="H731" s="161"/>
      <c r="I731" s="161"/>
      <c r="J731" s="161"/>
      <c r="K731" s="161"/>
      <c r="L731" s="161"/>
      <c r="M731" s="161"/>
      <c r="N731" s="149"/>
      <c r="O731" s="161"/>
      <c r="P731" s="161"/>
      <c r="S731" s="149"/>
      <c r="T731" s="161"/>
      <c r="V731" s="166"/>
      <c r="W731" s="166"/>
      <c r="X731" s="166"/>
      <c r="Y731" s="166"/>
    </row>
    <row r="732" ht="22.5" customHeight="1">
      <c r="A732" s="161"/>
      <c r="B732" s="162"/>
      <c r="C732" s="161"/>
      <c r="D732" s="168"/>
      <c r="E732" s="168"/>
      <c r="F732" s="162"/>
      <c r="G732" s="149"/>
      <c r="H732" s="161"/>
      <c r="I732" s="161"/>
      <c r="J732" s="161"/>
      <c r="K732" s="161"/>
      <c r="L732" s="161"/>
      <c r="M732" s="161"/>
      <c r="N732" s="149"/>
      <c r="O732" s="161"/>
      <c r="P732" s="161"/>
      <c r="S732" s="149"/>
      <c r="T732" s="161"/>
      <c r="V732" s="166"/>
      <c r="W732" s="166"/>
      <c r="X732" s="166"/>
      <c r="Y732" s="166"/>
    </row>
    <row r="733" ht="22.5" customHeight="1">
      <c r="A733" s="161"/>
      <c r="B733" s="162"/>
      <c r="C733" s="161"/>
      <c r="D733" s="168"/>
      <c r="E733" s="168"/>
      <c r="F733" s="162"/>
      <c r="G733" s="149"/>
      <c r="H733" s="161"/>
      <c r="I733" s="161"/>
      <c r="J733" s="161"/>
      <c r="K733" s="161"/>
      <c r="L733" s="161"/>
      <c r="M733" s="161"/>
      <c r="N733" s="149"/>
      <c r="O733" s="161"/>
      <c r="P733" s="161"/>
      <c r="S733" s="149"/>
      <c r="T733" s="161"/>
      <c r="V733" s="166"/>
      <c r="W733" s="166"/>
      <c r="X733" s="166"/>
      <c r="Y733" s="166"/>
    </row>
    <row r="734" ht="22.5" customHeight="1">
      <c r="A734" s="161"/>
      <c r="B734" s="162"/>
      <c r="C734" s="161"/>
      <c r="D734" s="168"/>
      <c r="E734" s="168"/>
      <c r="F734" s="162"/>
      <c r="G734" s="149"/>
      <c r="H734" s="161"/>
      <c r="I734" s="161"/>
      <c r="J734" s="161"/>
      <c r="K734" s="161"/>
      <c r="L734" s="161"/>
      <c r="M734" s="161"/>
      <c r="N734" s="149"/>
      <c r="O734" s="161"/>
      <c r="P734" s="161"/>
      <c r="S734" s="149"/>
      <c r="T734" s="161"/>
      <c r="V734" s="166"/>
      <c r="W734" s="166"/>
      <c r="X734" s="166"/>
      <c r="Y734" s="166"/>
    </row>
    <row r="735" ht="22.5" customHeight="1">
      <c r="A735" s="161"/>
      <c r="B735" s="162"/>
      <c r="C735" s="161"/>
      <c r="D735" s="168"/>
      <c r="E735" s="168"/>
      <c r="F735" s="162"/>
      <c r="G735" s="149"/>
      <c r="H735" s="161"/>
      <c r="I735" s="161"/>
      <c r="J735" s="161"/>
      <c r="K735" s="161"/>
      <c r="L735" s="161"/>
      <c r="M735" s="161"/>
      <c r="N735" s="149"/>
      <c r="O735" s="161"/>
      <c r="P735" s="161"/>
      <c r="S735" s="149"/>
      <c r="T735" s="161"/>
      <c r="V735" s="166"/>
      <c r="W735" s="166"/>
      <c r="X735" s="166"/>
      <c r="Y735" s="166"/>
    </row>
    <row r="736" ht="22.5" customHeight="1">
      <c r="A736" s="161"/>
      <c r="B736" s="162"/>
      <c r="C736" s="161"/>
      <c r="D736" s="168"/>
      <c r="E736" s="168"/>
      <c r="F736" s="162"/>
      <c r="G736" s="149"/>
      <c r="H736" s="161"/>
      <c r="I736" s="161"/>
      <c r="J736" s="161"/>
      <c r="K736" s="161"/>
      <c r="L736" s="161"/>
      <c r="M736" s="161"/>
      <c r="N736" s="149"/>
      <c r="O736" s="161"/>
      <c r="P736" s="161"/>
      <c r="S736" s="149"/>
      <c r="T736" s="161"/>
      <c r="V736" s="166"/>
      <c r="W736" s="166"/>
      <c r="X736" s="166"/>
      <c r="Y736" s="166"/>
    </row>
    <row r="737" ht="22.5" customHeight="1">
      <c r="A737" s="161"/>
      <c r="B737" s="162"/>
      <c r="C737" s="161"/>
      <c r="D737" s="168"/>
      <c r="E737" s="168"/>
      <c r="F737" s="162"/>
      <c r="G737" s="149"/>
      <c r="H737" s="161"/>
      <c r="I737" s="161"/>
      <c r="J737" s="161"/>
      <c r="K737" s="161"/>
      <c r="L737" s="161"/>
      <c r="M737" s="161"/>
      <c r="N737" s="149"/>
      <c r="O737" s="161"/>
      <c r="P737" s="161"/>
      <c r="S737" s="149"/>
      <c r="T737" s="161"/>
      <c r="V737" s="166"/>
      <c r="W737" s="166"/>
      <c r="X737" s="166"/>
      <c r="Y737" s="166"/>
    </row>
    <row r="738" ht="22.5" customHeight="1">
      <c r="A738" s="161"/>
      <c r="B738" s="162"/>
      <c r="C738" s="161"/>
      <c r="D738" s="168"/>
      <c r="E738" s="168"/>
      <c r="F738" s="162"/>
      <c r="G738" s="149"/>
      <c r="H738" s="161"/>
      <c r="I738" s="161"/>
      <c r="J738" s="161"/>
      <c r="K738" s="161"/>
      <c r="L738" s="161"/>
      <c r="M738" s="161"/>
      <c r="N738" s="149"/>
      <c r="O738" s="161"/>
      <c r="P738" s="161"/>
      <c r="S738" s="149"/>
      <c r="T738" s="161"/>
      <c r="V738" s="166"/>
      <c r="W738" s="166"/>
      <c r="X738" s="166"/>
      <c r="Y738" s="166"/>
    </row>
    <row r="739" ht="22.5" customHeight="1">
      <c r="A739" s="161"/>
      <c r="B739" s="162"/>
      <c r="C739" s="161"/>
      <c r="D739" s="168"/>
      <c r="E739" s="168"/>
      <c r="F739" s="162"/>
      <c r="G739" s="149"/>
      <c r="H739" s="161"/>
      <c r="I739" s="161"/>
      <c r="J739" s="161"/>
      <c r="K739" s="161"/>
      <c r="L739" s="161"/>
      <c r="M739" s="161"/>
      <c r="N739" s="149"/>
      <c r="O739" s="161"/>
      <c r="P739" s="161"/>
      <c r="S739" s="149"/>
      <c r="T739" s="161"/>
      <c r="V739" s="166"/>
      <c r="W739" s="166"/>
      <c r="X739" s="166"/>
      <c r="Y739" s="166"/>
    </row>
    <row r="740" ht="22.5" customHeight="1">
      <c r="A740" s="161"/>
      <c r="B740" s="162"/>
      <c r="C740" s="161"/>
      <c r="D740" s="168"/>
      <c r="E740" s="168"/>
      <c r="F740" s="162"/>
      <c r="G740" s="149"/>
      <c r="H740" s="161"/>
      <c r="I740" s="161"/>
      <c r="J740" s="161"/>
      <c r="K740" s="161"/>
      <c r="L740" s="161"/>
      <c r="M740" s="161"/>
      <c r="N740" s="149"/>
      <c r="O740" s="161"/>
      <c r="P740" s="161"/>
      <c r="S740" s="149"/>
      <c r="T740" s="161"/>
      <c r="V740" s="166"/>
      <c r="W740" s="166"/>
      <c r="X740" s="166"/>
      <c r="Y740" s="166"/>
    </row>
    <row r="741" ht="22.5" customHeight="1">
      <c r="A741" s="161"/>
      <c r="B741" s="162"/>
      <c r="C741" s="161"/>
      <c r="D741" s="168"/>
      <c r="E741" s="168"/>
      <c r="F741" s="162"/>
      <c r="G741" s="149"/>
      <c r="H741" s="161"/>
      <c r="I741" s="161"/>
      <c r="J741" s="161"/>
      <c r="K741" s="161"/>
      <c r="L741" s="161"/>
      <c r="M741" s="161"/>
      <c r="N741" s="149"/>
      <c r="O741" s="161"/>
      <c r="P741" s="161"/>
      <c r="S741" s="149"/>
      <c r="T741" s="161"/>
      <c r="V741" s="166"/>
      <c r="W741" s="166"/>
      <c r="X741" s="166"/>
      <c r="Y741" s="166"/>
    </row>
    <row r="742" ht="22.5" customHeight="1">
      <c r="A742" s="161"/>
      <c r="B742" s="162"/>
      <c r="C742" s="161"/>
      <c r="D742" s="168"/>
      <c r="E742" s="168"/>
      <c r="F742" s="162"/>
      <c r="G742" s="149"/>
      <c r="H742" s="161"/>
      <c r="I742" s="161"/>
      <c r="J742" s="161"/>
      <c r="K742" s="161"/>
      <c r="L742" s="161"/>
      <c r="M742" s="161"/>
      <c r="N742" s="149"/>
      <c r="O742" s="161"/>
      <c r="P742" s="161"/>
      <c r="S742" s="149"/>
      <c r="T742" s="161"/>
      <c r="V742" s="166"/>
      <c r="W742" s="166"/>
      <c r="X742" s="166"/>
      <c r="Y742" s="166"/>
    </row>
    <row r="743" ht="22.5" customHeight="1">
      <c r="A743" s="161"/>
      <c r="B743" s="162"/>
      <c r="C743" s="161"/>
      <c r="D743" s="168"/>
      <c r="E743" s="168"/>
      <c r="F743" s="162"/>
      <c r="G743" s="149"/>
      <c r="H743" s="161"/>
      <c r="I743" s="161"/>
      <c r="J743" s="161"/>
      <c r="K743" s="161"/>
      <c r="L743" s="161"/>
      <c r="M743" s="161"/>
      <c r="N743" s="149"/>
      <c r="O743" s="161"/>
      <c r="P743" s="161"/>
      <c r="S743" s="149"/>
      <c r="T743" s="161"/>
      <c r="V743" s="166"/>
      <c r="W743" s="166"/>
      <c r="X743" s="166"/>
      <c r="Y743" s="166"/>
    </row>
    <row r="744" ht="22.5" customHeight="1">
      <c r="A744" s="161"/>
      <c r="B744" s="162"/>
      <c r="C744" s="161"/>
      <c r="D744" s="168"/>
      <c r="E744" s="168"/>
      <c r="F744" s="162"/>
      <c r="G744" s="149"/>
      <c r="H744" s="161"/>
      <c r="I744" s="161"/>
      <c r="J744" s="161"/>
      <c r="K744" s="161"/>
      <c r="L744" s="161"/>
      <c r="M744" s="161"/>
      <c r="N744" s="149"/>
      <c r="O744" s="161"/>
      <c r="P744" s="161"/>
      <c r="S744" s="149"/>
      <c r="T744" s="161"/>
      <c r="V744" s="166"/>
      <c r="W744" s="166"/>
      <c r="X744" s="166"/>
      <c r="Y744" s="166"/>
    </row>
    <row r="745" ht="22.5" customHeight="1">
      <c r="A745" s="161"/>
      <c r="B745" s="162"/>
      <c r="C745" s="161"/>
      <c r="D745" s="168"/>
      <c r="E745" s="168"/>
      <c r="F745" s="162"/>
      <c r="G745" s="149"/>
      <c r="H745" s="161"/>
      <c r="I745" s="161"/>
      <c r="J745" s="161"/>
      <c r="K745" s="161"/>
      <c r="L745" s="161"/>
      <c r="M745" s="161"/>
      <c r="N745" s="149"/>
      <c r="O745" s="161"/>
      <c r="P745" s="161"/>
      <c r="S745" s="149"/>
      <c r="T745" s="161"/>
      <c r="V745" s="166"/>
      <c r="W745" s="166"/>
      <c r="X745" s="166"/>
      <c r="Y745" s="166"/>
    </row>
    <row r="746" ht="22.5" customHeight="1">
      <c r="A746" s="161"/>
      <c r="B746" s="162"/>
      <c r="C746" s="161"/>
      <c r="D746" s="168"/>
      <c r="E746" s="168"/>
      <c r="F746" s="162"/>
      <c r="G746" s="149"/>
      <c r="H746" s="161"/>
      <c r="I746" s="161"/>
      <c r="J746" s="161"/>
      <c r="K746" s="161"/>
      <c r="L746" s="161"/>
      <c r="M746" s="161"/>
      <c r="N746" s="149"/>
      <c r="O746" s="161"/>
      <c r="P746" s="161"/>
      <c r="S746" s="149"/>
      <c r="T746" s="161"/>
      <c r="V746" s="166"/>
      <c r="W746" s="166"/>
      <c r="X746" s="166"/>
      <c r="Y746" s="166"/>
    </row>
    <row r="747" ht="22.5" customHeight="1">
      <c r="A747" s="161"/>
      <c r="B747" s="162"/>
      <c r="C747" s="161"/>
      <c r="D747" s="168"/>
      <c r="E747" s="168"/>
      <c r="F747" s="162"/>
      <c r="G747" s="149"/>
      <c r="H747" s="161"/>
      <c r="I747" s="161"/>
      <c r="J747" s="161"/>
      <c r="K747" s="161"/>
      <c r="L747" s="161"/>
      <c r="M747" s="161"/>
      <c r="N747" s="149"/>
      <c r="O747" s="161"/>
      <c r="P747" s="161"/>
      <c r="S747" s="149"/>
      <c r="T747" s="161"/>
      <c r="V747" s="166"/>
      <c r="W747" s="166"/>
      <c r="X747" s="166"/>
      <c r="Y747" s="166"/>
    </row>
    <row r="748" ht="22.5" customHeight="1">
      <c r="A748" s="161"/>
      <c r="B748" s="162"/>
      <c r="C748" s="161"/>
      <c r="D748" s="168"/>
      <c r="E748" s="168"/>
      <c r="F748" s="162"/>
      <c r="G748" s="149"/>
      <c r="H748" s="161"/>
      <c r="I748" s="161"/>
      <c r="J748" s="161"/>
      <c r="K748" s="161"/>
      <c r="L748" s="161"/>
      <c r="M748" s="161"/>
      <c r="N748" s="149"/>
      <c r="O748" s="161"/>
      <c r="P748" s="161"/>
      <c r="S748" s="149"/>
      <c r="T748" s="161"/>
      <c r="V748" s="166"/>
      <c r="W748" s="166"/>
      <c r="X748" s="166"/>
      <c r="Y748" s="166"/>
    </row>
    <row r="749" ht="22.5" customHeight="1">
      <c r="A749" s="161"/>
      <c r="B749" s="162"/>
      <c r="C749" s="161"/>
      <c r="D749" s="168"/>
      <c r="E749" s="168"/>
      <c r="F749" s="162"/>
      <c r="G749" s="149"/>
      <c r="H749" s="161"/>
      <c r="I749" s="161"/>
      <c r="J749" s="161"/>
      <c r="K749" s="161"/>
      <c r="L749" s="161"/>
      <c r="M749" s="161"/>
      <c r="N749" s="149"/>
      <c r="O749" s="161"/>
      <c r="P749" s="161"/>
      <c r="S749" s="149"/>
      <c r="T749" s="161"/>
      <c r="V749" s="166"/>
      <c r="W749" s="166"/>
      <c r="X749" s="166"/>
      <c r="Y749" s="166"/>
    </row>
    <row r="750" ht="22.5" customHeight="1">
      <c r="A750" s="161"/>
      <c r="B750" s="162"/>
      <c r="C750" s="161"/>
      <c r="D750" s="168"/>
      <c r="E750" s="168"/>
      <c r="F750" s="162"/>
      <c r="G750" s="149"/>
      <c r="H750" s="161"/>
      <c r="I750" s="161"/>
      <c r="J750" s="161"/>
      <c r="K750" s="161"/>
      <c r="L750" s="161"/>
      <c r="M750" s="161"/>
      <c r="N750" s="149"/>
      <c r="O750" s="161"/>
      <c r="P750" s="161"/>
      <c r="S750" s="149"/>
      <c r="T750" s="161"/>
      <c r="V750" s="166"/>
      <c r="W750" s="166"/>
      <c r="X750" s="166"/>
      <c r="Y750" s="166"/>
    </row>
    <row r="751" ht="22.5" customHeight="1">
      <c r="A751" s="161"/>
      <c r="B751" s="162"/>
      <c r="C751" s="161"/>
      <c r="D751" s="168"/>
      <c r="E751" s="168"/>
      <c r="F751" s="162"/>
      <c r="G751" s="149"/>
      <c r="H751" s="161"/>
      <c r="I751" s="161"/>
      <c r="J751" s="161"/>
      <c r="K751" s="161"/>
      <c r="L751" s="161"/>
      <c r="M751" s="161"/>
      <c r="N751" s="149"/>
      <c r="O751" s="161"/>
      <c r="P751" s="161"/>
      <c r="S751" s="149"/>
      <c r="T751" s="161"/>
      <c r="V751" s="166"/>
      <c r="W751" s="166"/>
      <c r="X751" s="166"/>
      <c r="Y751" s="166"/>
    </row>
    <row r="752" ht="22.5" customHeight="1">
      <c r="A752" s="161"/>
      <c r="B752" s="162"/>
      <c r="C752" s="161"/>
      <c r="D752" s="168"/>
      <c r="E752" s="168"/>
      <c r="F752" s="162"/>
      <c r="G752" s="149"/>
      <c r="H752" s="161"/>
      <c r="I752" s="161"/>
      <c r="J752" s="161"/>
      <c r="K752" s="161"/>
      <c r="L752" s="161"/>
      <c r="M752" s="161"/>
      <c r="N752" s="149"/>
      <c r="O752" s="161"/>
      <c r="P752" s="161"/>
      <c r="S752" s="149"/>
      <c r="T752" s="161"/>
      <c r="V752" s="166"/>
      <c r="W752" s="166"/>
      <c r="X752" s="166"/>
      <c r="Y752" s="166"/>
    </row>
    <row r="753" ht="22.5" customHeight="1">
      <c r="A753" s="161"/>
      <c r="B753" s="162"/>
      <c r="C753" s="161"/>
      <c r="D753" s="168"/>
      <c r="E753" s="168"/>
      <c r="F753" s="162"/>
      <c r="G753" s="149"/>
      <c r="H753" s="161"/>
      <c r="I753" s="161"/>
      <c r="J753" s="161"/>
      <c r="K753" s="161"/>
      <c r="L753" s="161"/>
      <c r="M753" s="161"/>
      <c r="N753" s="149"/>
      <c r="O753" s="161"/>
      <c r="P753" s="161"/>
      <c r="S753" s="149"/>
      <c r="T753" s="161"/>
      <c r="V753" s="166"/>
      <c r="W753" s="166"/>
      <c r="X753" s="166"/>
      <c r="Y753" s="166"/>
    </row>
    <row r="754" ht="22.5" customHeight="1">
      <c r="A754" s="161"/>
      <c r="B754" s="162"/>
      <c r="C754" s="161"/>
      <c r="D754" s="168"/>
      <c r="E754" s="168"/>
      <c r="F754" s="162"/>
      <c r="G754" s="149"/>
      <c r="H754" s="161"/>
      <c r="I754" s="161"/>
      <c r="J754" s="161"/>
      <c r="K754" s="161"/>
      <c r="L754" s="161"/>
      <c r="M754" s="161"/>
      <c r="N754" s="149"/>
      <c r="O754" s="161"/>
      <c r="P754" s="161"/>
      <c r="S754" s="149"/>
      <c r="T754" s="161"/>
      <c r="V754" s="166"/>
      <c r="W754" s="166"/>
      <c r="X754" s="166"/>
      <c r="Y754" s="166"/>
    </row>
    <row r="755" ht="22.5" customHeight="1">
      <c r="A755" s="161"/>
      <c r="B755" s="162"/>
      <c r="C755" s="161"/>
      <c r="D755" s="168"/>
      <c r="E755" s="168"/>
      <c r="F755" s="162"/>
      <c r="G755" s="149"/>
      <c r="H755" s="161"/>
      <c r="I755" s="161"/>
      <c r="J755" s="161"/>
      <c r="K755" s="161"/>
      <c r="L755" s="161"/>
      <c r="M755" s="161"/>
      <c r="N755" s="149"/>
      <c r="O755" s="161"/>
      <c r="P755" s="161"/>
      <c r="S755" s="149"/>
      <c r="T755" s="161"/>
      <c r="V755" s="166"/>
      <c r="W755" s="166"/>
      <c r="X755" s="166"/>
      <c r="Y755" s="166"/>
    </row>
    <row r="756" ht="22.5" customHeight="1">
      <c r="A756" s="161"/>
      <c r="B756" s="162"/>
      <c r="C756" s="161"/>
      <c r="D756" s="168"/>
      <c r="E756" s="168"/>
      <c r="F756" s="162"/>
      <c r="G756" s="149"/>
      <c r="H756" s="161"/>
      <c r="I756" s="161"/>
      <c r="J756" s="161"/>
      <c r="K756" s="161"/>
      <c r="L756" s="161"/>
      <c r="M756" s="161"/>
      <c r="N756" s="149"/>
      <c r="O756" s="161"/>
      <c r="P756" s="161"/>
      <c r="S756" s="149"/>
      <c r="T756" s="161"/>
      <c r="V756" s="166"/>
      <c r="W756" s="166"/>
      <c r="X756" s="166"/>
      <c r="Y756" s="166"/>
    </row>
    <row r="757" ht="22.5" customHeight="1">
      <c r="A757" s="161"/>
      <c r="B757" s="162"/>
      <c r="C757" s="161"/>
      <c r="D757" s="168"/>
      <c r="E757" s="168"/>
      <c r="F757" s="162"/>
      <c r="G757" s="149"/>
      <c r="H757" s="161"/>
      <c r="I757" s="161"/>
      <c r="J757" s="161"/>
      <c r="K757" s="161"/>
      <c r="L757" s="161"/>
      <c r="M757" s="161"/>
      <c r="N757" s="149"/>
      <c r="O757" s="161"/>
      <c r="P757" s="161"/>
      <c r="S757" s="149"/>
      <c r="T757" s="161"/>
      <c r="V757" s="166"/>
      <c r="W757" s="166"/>
      <c r="X757" s="166"/>
      <c r="Y757" s="166"/>
    </row>
    <row r="758" ht="22.5" customHeight="1">
      <c r="A758" s="161"/>
      <c r="B758" s="162"/>
      <c r="C758" s="161"/>
      <c r="D758" s="168"/>
      <c r="E758" s="168"/>
      <c r="F758" s="162"/>
      <c r="G758" s="149"/>
      <c r="H758" s="161"/>
      <c r="I758" s="161"/>
      <c r="J758" s="161"/>
      <c r="K758" s="161"/>
      <c r="L758" s="161"/>
      <c r="M758" s="161"/>
      <c r="N758" s="149"/>
      <c r="O758" s="161"/>
      <c r="P758" s="161"/>
      <c r="S758" s="149"/>
      <c r="T758" s="161"/>
      <c r="V758" s="166"/>
      <c r="W758" s="166"/>
      <c r="X758" s="166"/>
      <c r="Y758" s="166"/>
    </row>
    <row r="759" ht="22.5" customHeight="1">
      <c r="A759" s="161"/>
      <c r="B759" s="162"/>
      <c r="C759" s="161"/>
      <c r="D759" s="168"/>
      <c r="E759" s="168"/>
      <c r="F759" s="162"/>
      <c r="G759" s="149"/>
      <c r="H759" s="161"/>
      <c r="I759" s="161"/>
      <c r="J759" s="161"/>
      <c r="K759" s="161"/>
      <c r="L759" s="161"/>
      <c r="M759" s="161"/>
      <c r="N759" s="149"/>
      <c r="O759" s="161"/>
      <c r="P759" s="161"/>
      <c r="S759" s="149"/>
      <c r="T759" s="161"/>
      <c r="V759" s="166"/>
      <c r="W759" s="166"/>
      <c r="X759" s="166"/>
      <c r="Y759" s="166"/>
    </row>
    <row r="760" ht="22.5" customHeight="1">
      <c r="A760" s="161"/>
      <c r="B760" s="162"/>
      <c r="C760" s="161"/>
      <c r="D760" s="168"/>
      <c r="E760" s="168"/>
      <c r="F760" s="162"/>
      <c r="G760" s="149"/>
      <c r="H760" s="161"/>
      <c r="I760" s="161"/>
      <c r="J760" s="161"/>
      <c r="K760" s="161"/>
      <c r="L760" s="161"/>
      <c r="M760" s="161"/>
      <c r="N760" s="149"/>
      <c r="O760" s="161"/>
      <c r="P760" s="161"/>
      <c r="S760" s="149"/>
      <c r="T760" s="161"/>
      <c r="V760" s="166"/>
      <c r="W760" s="166"/>
      <c r="X760" s="166"/>
      <c r="Y760" s="166"/>
    </row>
    <row r="761" ht="22.5" customHeight="1">
      <c r="A761" s="161"/>
      <c r="B761" s="162"/>
      <c r="C761" s="161"/>
      <c r="D761" s="168"/>
      <c r="E761" s="168"/>
      <c r="F761" s="162"/>
      <c r="G761" s="149"/>
      <c r="H761" s="161"/>
      <c r="I761" s="161"/>
      <c r="J761" s="161"/>
      <c r="K761" s="161"/>
      <c r="L761" s="161"/>
      <c r="M761" s="161"/>
      <c r="N761" s="149"/>
      <c r="O761" s="161"/>
      <c r="P761" s="161"/>
      <c r="S761" s="149"/>
      <c r="T761" s="161"/>
      <c r="V761" s="166"/>
      <c r="W761" s="166"/>
      <c r="X761" s="166"/>
      <c r="Y761" s="166"/>
    </row>
    <row r="762" ht="22.5" customHeight="1">
      <c r="A762" s="161"/>
      <c r="B762" s="162"/>
      <c r="C762" s="161"/>
      <c r="D762" s="168"/>
      <c r="E762" s="168"/>
      <c r="F762" s="162"/>
      <c r="G762" s="149"/>
      <c r="H762" s="161"/>
      <c r="I762" s="161"/>
      <c r="J762" s="161"/>
      <c r="K762" s="161"/>
      <c r="L762" s="161"/>
      <c r="M762" s="161"/>
      <c r="N762" s="149"/>
      <c r="O762" s="161"/>
      <c r="P762" s="161"/>
      <c r="S762" s="149"/>
      <c r="T762" s="161"/>
      <c r="V762" s="166"/>
      <c r="W762" s="166"/>
      <c r="X762" s="166"/>
      <c r="Y762" s="166"/>
    </row>
    <row r="763" ht="22.5" customHeight="1">
      <c r="A763" s="161"/>
      <c r="B763" s="162"/>
      <c r="C763" s="161"/>
      <c r="D763" s="168"/>
      <c r="E763" s="168"/>
      <c r="F763" s="162"/>
      <c r="G763" s="149"/>
      <c r="H763" s="161"/>
      <c r="I763" s="161"/>
      <c r="J763" s="161"/>
      <c r="K763" s="161"/>
      <c r="L763" s="161"/>
      <c r="M763" s="161"/>
      <c r="N763" s="149"/>
      <c r="O763" s="161"/>
      <c r="P763" s="161"/>
      <c r="S763" s="149"/>
      <c r="T763" s="161"/>
      <c r="V763" s="166"/>
      <c r="W763" s="166"/>
      <c r="X763" s="166"/>
      <c r="Y763" s="166"/>
    </row>
    <row r="764" ht="22.5" customHeight="1">
      <c r="A764" s="161"/>
      <c r="B764" s="162"/>
      <c r="C764" s="161"/>
      <c r="D764" s="168"/>
      <c r="E764" s="168"/>
      <c r="F764" s="162"/>
      <c r="G764" s="149"/>
      <c r="H764" s="161"/>
      <c r="I764" s="161"/>
      <c r="J764" s="161"/>
      <c r="K764" s="161"/>
      <c r="L764" s="161"/>
      <c r="M764" s="161"/>
      <c r="N764" s="149"/>
      <c r="O764" s="161"/>
      <c r="P764" s="161"/>
      <c r="S764" s="149"/>
      <c r="T764" s="161"/>
      <c r="V764" s="166"/>
      <c r="W764" s="166"/>
      <c r="X764" s="166"/>
      <c r="Y764" s="166"/>
    </row>
    <row r="765" ht="22.5" customHeight="1">
      <c r="A765" s="161"/>
      <c r="B765" s="162"/>
      <c r="C765" s="161"/>
      <c r="D765" s="168"/>
      <c r="E765" s="168"/>
      <c r="F765" s="162"/>
      <c r="G765" s="149"/>
      <c r="H765" s="161"/>
      <c r="I765" s="161"/>
      <c r="J765" s="161"/>
      <c r="K765" s="161"/>
      <c r="L765" s="161"/>
      <c r="M765" s="161"/>
      <c r="N765" s="149"/>
      <c r="O765" s="161"/>
      <c r="P765" s="161"/>
      <c r="S765" s="149"/>
      <c r="T765" s="161"/>
      <c r="V765" s="166"/>
      <c r="W765" s="166"/>
      <c r="X765" s="166"/>
      <c r="Y765" s="166"/>
    </row>
    <row r="766" ht="22.5" customHeight="1">
      <c r="A766" s="161"/>
      <c r="B766" s="162"/>
      <c r="C766" s="161"/>
      <c r="D766" s="168"/>
      <c r="E766" s="168"/>
      <c r="F766" s="162"/>
      <c r="G766" s="149"/>
      <c r="H766" s="161"/>
      <c r="I766" s="161"/>
      <c r="J766" s="161"/>
      <c r="K766" s="161"/>
      <c r="L766" s="161"/>
      <c r="M766" s="161"/>
      <c r="N766" s="149"/>
      <c r="O766" s="161"/>
      <c r="P766" s="161"/>
      <c r="S766" s="149"/>
      <c r="T766" s="161"/>
      <c r="V766" s="166"/>
      <c r="W766" s="166"/>
      <c r="X766" s="166"/>
      <c r="Y766" s="166"/>
    </row>
    <row r="767" ht="22.5" customHeight="1">
      <c r="A767" s="161"/>
      <c r="B767" s="162"/>
      <c r="C767" s="161"/>
      <c r="D767" s="168"/>
      <c r="E767" s="168"/>
      <c r="F767" s="162"/>
      <c r="G767" s="149"/>
      <c r="H767" s="161"/>
      <c r="I767" s="161"/>
      <c r="J767" s="161"/>
      <c r="K767" s="161"/>
      <c r="L767" s="161"/>
      <c r="M767" s="161"/>
      <c r="N767" s="149"/>
      <c r="O767" s="161"/>
      <c r="P767" s="161"/>
      <c r="S767" s="149"/>
      <c r="T767" s="161"/>
      <c r="V767" s="166"/>
      <c r="W767" s="166"/>
      <c r="X767" s="166"/>
      <c r="Y767" s="166"/>
    </row>
    <row r="768" ht="22.5" customHeight="1">
      <c r="A768" s="161"/>
      <c r="B768" s="162"/>
      <c r="C768" s="161"/>
      <c r="D768" s="168"/>
      <c r="E768" s="168"/>
      <c r="F768" s="162"/>
      <c r="G768" s="149"/>
      <c r="H768" s="161"/>
      <c r="I768" s="161"/>
      <c r="J768" s="161"/>
      <c r="K768" s="161"/>
      <c r="L768" s="161"/>
      <c r="M768" s="161"/>
      <c r="N768" s="149"/>
      <c r="O768" s="161"/>
      <c r="P768" s="161"/>
      <c r="S768" s="149"/>
      <c r="T768" s="161"/>
      <c r="V768" s="166"/>
      <c r="W768" s="166"/>
      <c r="X768" s="166"/>
      <c r="Y768" s="166"/>
    </row>
    <row r="769" ht="22.5" customHeight="1">
      <c r="A769" s="161"/>
      <c r="B769" s="162"/>
      <c r="C769" s="161"/>
      <c r="D769" s="168"/>
      <c r="E769" s="168"/>
      <c r="F769" s="162"/>
      <c r="G769" s="149"/>
      <c r="H769" s="161"/>
      <c r="I769" s="161"/>
      <c r="J769" s="161"/>
      <c r="K769" s="161"/>
      <c r="L769" s="161"/>
      <c r="M769" s="161"/>
      <c r="N769" s="149"/>
      <c r="O769" s="161"/>
      <c r="P769" s="161"/>
      <c r="S769" s="149"/>
      <c r="T769" s="161"/>
      <c r="V769" s="166"/>
      <c r="W769" s="166"/>
      <c r="X769" s="166"/>
      <c r="Y769" s="166"/>
    </row>
    <row r="770" ht="22.5" customHeight="1">
      <c r="A770" s="161"/>
      <c r="B770" s="162"/>
      <c r="C770" s="161"/>
      <c r="D770" s="168"/>
      <c r="E770" s="168"/>
      <c r="F770" s="162"/>
      <c r="G770" s="149"/>
      <c r="H770" s="161"/>
      <c r="I770" s="161"/>
      <c r="J770" s="161"/>
      <c r="K770" s="161"/>
      <c r="L770" s="161"/>
      <c r="M770" s="161"/>
      <c r="N770" s="149"/>
      <c r="O770" s="161"/>
      <c r="P770" s="161"/>
      <c r="S770" s="149"/>
      <c r="T770" s="161"/>
      <c r="V770" s="166"/>
      <c r="W770" s="166"/>
      <c r="X770" s="166"/>
      <c r="Y770" s="166"/>
    </row>
    <row r="771" ht="22.5" customHeight="1">
      <c r="A771" s="161"/>
      <c r="B771" s="162"/>
      <c r="C771" s="161"/>
      <c r="D771" s="168"/>
      <c r="E771" s="168"/>
      <c r="F771" s="162"/>
      <c r="G771" s="149"/>
      <c r="H771" s="161"/>
      <c r="I771" s="161"/>
      <c r="J771" s="161"/>
      <c r="K771" s="161"/>
      <c r="L771" s="161"/>
      <c r="M771" s="161"/>
      <c r="N771" s="149"/>
      <c r="O771" s="161"/>
      <c r="P771" s="161"/>
      <c r="S771" s="149"/>
      <c r="T771" s="161"/>
      <c r="V771" s="166"/>
      <c r="W771" s="166"/>
      <c r="X771" s="166"/>
      <c r="Y771" s="166"/>
    </row>
    <row r="772" ht="22.5" customHeight="1">
      <c r="A772" s="161"/>
      <c r="B772" s="162"/>
      <c r="C772" s="161"/>
      <c r="D772" s="168"/>
      <c r="E772" s="168"/>
      <c r="F772" s="162"/>
      <c r="G772" s="149"/>
      <c r="H772" s="161"/>
      <c r="I772" s="161"/>
      <c r="J772" s="161"/>
      <c r="K772" s="161"/>
      <c r="L772" s="161"/>
      <c r="M772" s="161"/>
      <c r="N772" s="149"/>
      <c r="O772" s="161"/>
      <c r="P772" s="161"/>
      <c r="S772" s="149"/>
      <c r="T772" s="161"/>
      <c r="V772" s="166"/>
      <c r="W772" s="166"/>
      <c r="X772" s="166"/>
      <c r="Y772" s="166"/>
    </row>
    <row r="773" ht="22.5" customHeight="1">
      <c r="A773" s="161"/>
      <c r="B773" s="162"/>
      <c r="C773" s="161"/>
      <c r="D773" s="168"/>
      <c r="E773" s="168"/>
      <c r="F773" s="162"/>
      <c r="G773" s="149"/>
      <c r="H773" s="161"/>
      <c r="I773" s="161"/>
      <c r="J773" s="161"/>
      <c r="K773" s="161"/>
      <c r="L773" s="161"/>
      <c r="M773" s="161"/>
      <c r="N773" s="149"/>
      <c r="O773" s="161"/>
      <c r="P773" s="161"/>
      <c r="S773" s="149"/>
      <c r="T773" s="161"/>
      <c r="V773" s="166"/>
      <c r="W773" s="166"/>
      <c r="X773" s="166"/>
      <c r="Y773" s="166"/>
    </row>
    <row r="774" ht="22.5" customHeight="1">
      <c r="A774" s="161"/>
      <c r="B774" s="162"/>
      <c r="C774" s="161"/>
      <c r="D774" s="168"/>
      <c r="E774" s="168"/>
      <c r="F774" s="162"/>
      <c r="G774" s="149"/>
      <c r="H774" s="161"/>
      <c r="I774" s="161"/>
      <c r="J774" s="161"/>
      <c r="K774" s="161"/>
      <c r="L774" s="161"/>
      <c r="M774" s="161"/>
      <c r="N774" s="149"/>
      <c r="O774" s="161"/>
      <c r="P774" s="161"/>
      <c r="S774" s="149"/>
      <c r="T774" s="161"/>
      <c r="V774" s="166"/>
      <c r="W774" s="166"/>
      <c r="X774" s="166"/>
      <c r="Y774" s="166"/>
    </row>
    <row r="775" ht="22.5" customHeight="1">
      <c r="A775" s="161"/>
      <c r="B775" s="162"/>
      <c r="C775" s="161"/>
      <c r="D775" s="168"/>
      <c r="E775" s="168"/>
      <c r="F775" s="162"/>
      <c r="G775" s="149"/>
      <c r="H775" s="161"/>
      <c r="I775" s="161"/>
      <c r="J775" s="161"/>
      <c r="K775" s="161"/>
      <c r="L775" s="161"/>
      <c r="M775" s="161"/>
      <c r="N775" s="149"/>
      <c r="O775" s="161"/>
      <c r="P775" s="161"/>
      <c r="S775" s="149"/>
      <c r="T775" s="161"/>
      <c r="V775" s="166"/>
      <c r="W775" s="166"/>
      <c r="X775" s="166"/>
      <c r="Y775" s="166"/>
    </row>
    <row r="776" ht="22.5" customHeight="1">
      <c r="A776" s="161"/>
      <c r="B776" s="162"/>
      <c r="C776" s="161"/>
      <c r="D776" s="168"/>
      <c r="E776" s="168"/>
      <c r="F776" s="162"/>
      <c r="G776" s="149"/>
      <c r="H776" s="161"/>
      <c r="I776" s="161"/>
      <c r="J776" s="161"/>
      <c r="K776" s="161"/>
      <c r="L776" s="161"/>
      <c r="M776" s="161"/>
      <c r="N776" s="149"/>
      <c r="O776" s="161"/>
      <c r="P776" s="161"/>
      <c r="S776" s="149"/>
      <c r="T776" s="161"/>
      <c r="V776" s="166"/>
      <c r="W776" s="166"/>
      <c r="X776" s="166"/>
      <c r="Y776" s="166"/>
    </row>
    <row r="777" ht="22.5" customHeight="1">
      <c r="A777" s="161"/>
      <c r="B777" s="162"/>
      <c r="C777" s="161"/>
      <c r="D777" s="168"/>
      <c r="E777" s="168"/>
      <c r="F777" s="162"/>
      <c r="G777" s="149"/>
      <c r="H777" s="161"/>
      <c r="I777" s="161"/>
      <c r="J777" s="161"/>
      <c r="K777" s="161"/>
      <c r="L777" s="161"/>
      <c r="M777" s="161"/>
      <c r="N777" s="149"/>
      <c r="O777" s="161"/>
      <c r="P777" s="161"/>
      <c r="S777" s="149"/>
      <c r="T777" s="161"/>
      <c r="V777" s="166"/>
      <c r="W777" s="166"/>
      <c r="X777" s="166"/>
      <c r="Y777" s="166"/>
    </row>
    <row r="778" ht="22.5" customHeight="1">
      <c r="A778" s="161"/>
      <c r="B778" s="162"/>
      <c r="C778" s="161"/>
      <c r="D778" s="168"/>
      <c r="E778" s="168"/>
      <c r="F778" s="162"/>
      <c r="G778" s="149"/>
      <c r="H778" s="161"/>
      <c r="I778" s="161"/>
      <c r="J778" s="161"/>
      <c r="K778" s="161"/>
      <c r="L778" s="161"/>
      <c r="M778" s="161"/>
      <c r="N778" s="149"/>
      <c r="O778" s="161"/>
      <c r="P778" s="161"/>
      <c r="S778" s="149"/>
      <c r="T778" s="161"/>
      <c r="V778" s="166"/>
      <c r="W778" s="166"/>
      <c r="X778" s="166"/>
      <c r="Y778" s="166"/>
    </row>
    <row r="779" ht="22.5" customHeight="1">
      <c r="A779" s="161"/>
      <c r="B779" s="162"/>
      <c r="C779" s="161"/>
      <c r="D779" s="168"/>
      <c r="E779" s="168"/>
      <c r="F779" s="162"/>
      <c r="G779" s="149"/>
      <c r="H779" s="161"/>
      <c r="I779" s="161"/>
      <c r="J779" s="161"/>
      <c r="K779" s="161"/>
      <c r="L779" s="161"/>
      <c r="M779" s="161"/>
      <c r="N779" s="149"/>
      <c r="O779" s="161"/>
      <c r="P779" s="161"/>
      <c r="S779" s="149"/>
      <c r="T779" s="161"/>
      <c r="V779" s="166"/>
      <c r="W779" s="166"/>
      <c r="X779" s="166"/>
      <c r="Y779" s="166"/>
    </row>
    <row r="780" ht="22.5" customHeight="1">
      <c r="A780" s="161"/>
      <c r="B780" s="162"/>
      <c r="C780" s="161"/>
      <c r="D780" s="168"/>
      <c r="E780" s="168"/>
      <c r="F780" s="162"/>
      <c r="G780" s="149"/>
      <c r="H780" s="161"/>
      <c r="I780" s="161"/>
      <c r="J780" s="161"/>
      <c r="K780" s="161"/>
      <c r="L780" s="161"/>
      <c r="M780" s="161"/>
      <c r="N780" s="149"/>
      <c r="O780" s="161"/>
      <c r="P780" s="161"/>
      <c r="S780" s="149"/>
      <c r="T780" s="161"/>
      <c r="V780" s="166"/>
      <c r="W780" s="166"/>
      <c r="X780" s="166"/>
      <c r="Y780" s="166"/>
    </row>
    <row r="781" ht="22.5" customHeight="1">
      <c r="A781" s="161"/>
      <c r="B781" s="162"/>
      <c r="C781" s="161"/>
      <c r="D781" s="168"/>
      <c r="E781" s="168"/>
      <c r="F781" s="162"/>
      <c r="G781" s="149"/>
      <c r="H781" s="161"/>
      <c r="I781" s="161"/>
      <c r="J781" s="161"/>
      <c r="K781" s="161"/>
      <c r="L781" s="161"/>
      <c r="M781" s="161"/>
      <c r="N781" s="149"/>
      <c r="O781" s="161"/>
      <c r="P781" s="161"/>
      <c r="S781" s="149"/>
      <c r="T781" s="161"/>
      <c r="V781" s="166"/>
      <c r="W781" s="166"/>
      <c r="X781" s="166"/>
      <c r="Y781" s="166"/>
    </row>
    <row r="782" ht="22.5" customHeight="1">
      <c r="A782" s="161"/>
      <c r="B782" s="162"/>
      <c r="C782" s="161"/>
      <c r="D782" s="168"/>
      <c r="E782" s="168"/>
      <c r="F782" s="162"/>
      <c r="G782" s="149"/>
      <c r="H782" s="161"/>
      <c r="I782" s="161"/>
      <c r="J782" s="161"/>
      <c r="K782" s="161"/>
      <c r="L782" s="161"/>
      <c r="M782" s="161"/>
      <c r="N782" s="149"/>
      <c r="O782" s="161"/>
      <c r="P782" s="161"/>
      <c r="S782" s="149"/>
      <c r="T782" s="161"/>
      <c r="V782" s="166"/>
      <c r="W782" s="166"/>
      <c r="X782" s="166"/>
      <c r="Y782" s="166"/>
    </row>
    <row r="783" ht="22.5" customHeight="1">
      <c r="A783" s="161"/>
      <c r="B783" s="162"/>
      <c r="C783" s="161"/>
      <c r="D783" s="168"/>
      <c r="E783" s="168"/>
      <c r="F783" s="162"/>
      <c r="G783" s="149"/>
      <c r="H783" s="161"/>
      <c r="I783" s="161"/>
      <c r="J783" s="161"/>
      <c r="K783" s="161"/>
      <c r="L783" s="161"/>
      <c r="M783" s="161"/>
      <c r="N783" s="149"/>
      <c r="O783" s="161"/>
      <c r="P783" s="161"/>
      <c r="S783" s="149"/>
      <c r="T783" s="161"/>
      <c r="V783" s="166"/>
      <c r="W783" s="166"/>
      <c r="X783" s="166"/>
      <c r="Y783" s="166"/>
    </row>
    <row r="784" ht="22.5" customHeight="1">
      <c r="A784" s="161"/>
      <c r="B784" s="162"/>
      <c r="C784" s="161"/>
      <c r="D784" s="168"/>
      <c r="E784" s="168"/>
      <c r="F784" s="162"/>
      <c r="G784" s="149"/>
      <c r="H784" s="161"/>
      <c r="I784" s="161"/>
      <c r="J784" s="161"/>
      <c r="K784" s="161"/>
      <c r="L784" s="161"/>
      <c r="M784" s="161"/>
      <c r="N784" s="149"/>
      <c r="O784" s="161"/>
      <c r="P784" s="161"/>
      <c r="S784" s="149"/>
      <c r="T784" s="161"/>
      <c r="V784" s="166"/>
      <c r="W784" s="166"/>
      <c r="X784" s="166"/>
      <c r="Y784" s="166"/>
    </row>
    <row r="785" ht="22.5" customHeight="1">
      <c r="A785" s="161"/>
      <c r="B785" s="162"/>
      <c r="C785" s="161"/>
      <c r="D785" s="168"/>
      <c r="E785" s="168"/>
      <c r="F785" s="162"/>
      <c r="G785" s="149"/>
      <c r="H785" s="161"/>
      <c r="I785" s="161"/>
      <c r="J785" s="161"/>
      <c r="K785" s="161"/>
      <c r="L785" s="161"/>
      <c r="M785" s="161"/>
      <c r="N785" s="149"/>
      <c r="O785" s="161"/>
      <c r="P785" s="161"/>
      <c r="S785" s="149"/>
      <c r="T785" s="161"/>
      <c r="V785" s="166"/>
      <c r="W785" s="166"/>
      <c r="X785" s="166"/>
      <c r="Y785" s="166"/>
    </row>
    <row r="786" ht="22.5" customHeight="1">
      <c r="A786" s="161"/>
      <c r="B786" s="162"/>
      <c r="C786" s="161"/>
      <c r="D786" s="168"/>
      <c r="E786" s="168"/>
      <c r="F786" s="162"/>
      <c r="G786" s="149"/>
      <c r="H786" s="161"/>
      <c r="I786" s="161"/>
      <c r="J786" s="161"/>
      <c r="K786" s="161"/>
      <c r="L786" s="161"/>
      <c r="M786" s="161"/>
      <c r="N786" s="149"/>
      <c r="O786" s="161"/>
      <c r="P786" s="161"/>
      <c r="S786" s="149"/>
      <c r="T786" s="161"/>
      <c r="V786" s="166"/>
      <c r="W786" s="166"/>
      <c r="X786" s="166"/>
      <c r="Y786" s="166"/>
    </row>
    <row r="787" ht="22.5" customHeight="1">
      <c r="A787" s="161"/>
      <c r="B787" s="162"/>
      <c r="C787" s="161"/>
      <c r="D787" s="168"/>
      <c r="E787" s="168"/>
      <c r="F787" s="162"/>
      <c r="G787" s="149"/>
      <c r="H787" s="161"/>
      <c r="I787" s="161"/>
      <c r="J787" s="161"/>
      <c r="K787" s="161"/>
      <c r="L787" s="161"/>
      <c r="M787" s="161"/>
      <c r="N787" s="149"/>
      <c r="O787" s="161"/>
      <c r="P787" s="161"/>
      <c r="S787" s="149"/>
      <c r="T787" s="161"/>
      <c r="V787" s="166"/>
      <c r="W787" s="166"/>
      <c r="X787" s="166"/>
      <c r="Y787" s="166"/>
    </row>
    <row r="788" ht="22.5" customHeight="1">
      <c r="A788" s="161"/>
      <c r="B788" s="162"/>
      <c r="C788" s="161"/>
      <c r="D788" s="168"/>
      <c r="E788" s="168"/>
      <c r="F788" s="162"/>
      <c r="G788" s="149"/>
      <c r="H788" s="161"/>
      <c r="I788" s="161"/>
      <c r="J788" s="161"/>
      <c r="K788" s="161"/>
      <c r="L788" s="161"/>
      <c r="M788" s="161"/>
      <c r="N788" s="149"/>
      <c r="O788" s="161"/>
      <c r="P788" s="161"/>
      <c r="S788" s="149"/>
      <c r="T788" s="161"/>
      <c r="V788" s="166"/>
      <c r="W788" s="166"/>
      <c r="X788" s="166"/>
      <c r="Y788" s="166"/>
    </row>
    <row r="789" ht="22.5" customHeight="1">
      <c r="A789" s="161"/>
      <c r="B789" s="162"/>
      <c r="C789" s="161"/>
      <c r="D789" s="168"/>
      <c r="E789" s="168"/>
      <c r="F789" s="162"/>
      <c r="G789" s="149"/>
      <c r="H789" s="161"/>
      <c r="I789" s="161"/>
      <c r="J789" s="161"/>
      <c r="K789" s="161"/>
      <c r="L789" s="161"/>
      <c r="M789" s="161"/>
      <c r="N789" s="149"/>
      <c r="O789" s="161"/>
      <c r="P789" s="161"/>
      <c r="S789" s="149"/>
      <c r="T789" s="161"/>
      <c r="V789" s="166"/>
      <c r="W789" s="166"/>
      <c r="X789" s="166"/>
      <c r="Y789" s="166"/>
    </row>
    <row r="790" ht="22.5" customHeight="1">
      <c r="A790" s="161"/>
      <c r="B790" s="162"/>
      <c r="C790" s="161"/>
      <c r="D790" s="168"/>
      <c r="E790" s="168"/>
      <c r="F790" s="162"/>
      <c r="G790" s="149"/>
      <c r="H790" s="161"/>
      <c r="I790" s="161"/>
      <c r="J790" s="161"/>
      <c r="K790" s="161"/>
      <c r="L790" s="161"/>
      <c r="M790" s="161"/>
      <c r="N790" s="149"/>
      <c r="O790" s="161"/>
      <c r="P790" s="161"/>
      <c r="S790" s="149"/>
      <c r="T790" s="161"/>
      <c r="V790" s="166"/>
      <c r="W790" s="166"/>
      <c r="X790" s="166"/>
      <c r="Y790" s="166"/>
    </row>
    <row r="791" ht="22.5" customHeight="1">
      <c r="A791" s="161"/>
      <c r="B791" s="162"/>
      <c r="C791" s="161"/>
      <c r="D791" s="168"/>
      <c r="E791" s="168"/>
      <c r="F791" s="162"/>
      <c r="G791" s="149"/>
      <c r="H791" s="161"/>
      <c r="I791" s="161"/>
      <c r="J791" s="161"/>
      <c r="K791" s="161"/>
      <c r="L791" s="161"/>
      <c r="M791" s="161"/>
      <c r="N791" s="149"/>
      <c r="O791" s="161"/>
      <c r="P791" s="161"/>
      <c r="S791" s="149"/>
      <c r="T791" s="161"/>
      <c r="V791" s="166"/>
      <c r="W791" s="166"/>
      <c r="X791" s="166"/>
      <c r="Y791" s="166"/>
    </row>
    <row r="792" ht="22.5" customHeight="1">
      <c r="A792" s="161"/>
      <c r="B792" s="162"/>
      <c r="C792" s="161"/>
      <c r="D792" s="168"/>
      <c r="E792" s="168"/>
      <c r="F792" s="162"/>
      <c r="G792" s="149"/>
      <c r="H792" s="161"/>
      <c r="I792" s="161"/>
      <c r="J792" s="161"/>
      <c r="K792" s="161"/>
      <c r="L792" s="161"/>
      <c r="M792" s="161"/>
      <c r="N792" s="149"/>
      <c r="O792" s="161"/>
      <c r="P792" s="161"/>
      <c r="S792" s="149"/>
      <c r="T792" s="161"/>
      <c r="V792" s="166"/>
      <c r="W792" s="166"/>
      <c r="X792" s="166"/>
      <c r="Y792" s="166"/>
    </row>
    <row r="793" ht="22.5" customHeight="1">
      <c r="A793" s="161"/>
      <c r="B793" s="162"/>
      <c r="C793" s="161"/>
      <c r="D793" s="168"/>
      <c r="E793" s="168"/>
      <c r="F793" s="162"/>
      <c r="G793" s="149"/>
      <c r="H793" s="161"/>
      <c r="I793" s="161"/>
      <c r="J793" s="161"/>
      <c r="K793" s="161"/>
      <c r="L793" s="161"/>
      <c r="M793" s="161"/>
      <c r="N793" s="149"/>
      <c r="O793" s="161"/>
      <c r="P793" s="161"/>
      <c r="S793" s="149"/>
      <c r="T793" s="161"/>
      <c r="V793" s="166"/>
      <c r="W793" s="166"/>
      <c r="X793" s="166"/>
      <c r="Y793" s="166"/>
    </row>
    <row r="794" ht="22.5" customHeight="1">
      <c r="A794" s="161"/>
      <c r="B794" s="162"/>
      <c r="C794" s="161"/>
      <c r="D794" s="168"/>
      <c r="E794" s="168"/>
      <c r="F794" s="162"/>
      <c r="G794" s="149"/>
      <c r="H794" s="161"/>
      <c r="I794" s="161"/>
      <c r="J794" s="161"/>
      <c r="K794" s="161"/>
      <c r="L794" s="161"/>
      <c r="M794" s="161"/>
      <c r="N794" s="149"/>
      <c r="O794" s="161"/>
      <c r="P794" s="161"/>
      <c r="S794" s="149"/>
      <c r="T794" s="161"/>
      <c r="V794" s="166"/>
      <c r="W794" s="166"/>
      <c r="X794" s="166"/>
      <c r="Y794" s="166"/>
    </row>
    <row r="795" ht="22.5" customHeight="1">
      <c r="A795" s="161"/>
      <c r="B795" s="162"/>
      <c r="C795" s="161"/>
      <c r="D795" s="168"/>
      <c r="E795" s="168"/>
      <c r="F795" s="162"/>
      <c r="G795" s="149"/>
      <c r="H795" s="161"/>
      <c r="I795" s="161"/>
      <c r="J795" s="161"/>
      <c r="K795" s="161"/>
      <c r="L795" s="161"/>
      <c r="M795" s="161"/>
      <c r="N795" s="149"/>
      <c r="O795" s="161"/>
      <c r="P795" s="161"/>
      <c r="S795" s="149"/>
      <c r="T795" s="161"/>
      <c r="V795" s="166"/>
      <c r="W795" s="166"/>
      <c r="X795" s="166"/>
      <c r="Y795" s="166"/>
    </row>
    <row r="796" ht="22.5" customHeight="1">
      <c r="A796" s="161"/>
      <c r="B796" s="162"/>
      <c r="C796" s="161"/>
      <c r="D796" s="168"/>
      <c r="E796" s="168"/>
      <c r="F796" s="162"/>
      <c r="G796" s="149"/>
      <c r="H796" s="161"/>
      <c r="I796" s="161"/>
      <c r="J796" s="161"/>
      <c r="K796" s="161"/>
      <c r="L796" s="161"/>
      <c r="M796" s="161"/>
      <c r="N796" s="149"/>
      <c r="O796" s="161"/>
      <c r="P796" s="161"/>
      <c r="S796" s="149"/>
      <c r="T796" s="161"/>
      <c r="V796" s="166"/>
      <c r="W796" s="166"/>
      <c r="X796" s="166"/>
      <c r="Y796" s="166"/>
    </row>
    <row r="797" ht="22.5" customHeight="1">
      <c r="A797" s="161"/>
      <c r="B797" s="162"/>
      <c r="C797" s="161"/>
      <c r="D797" s="168"/>
      <c r="E797" s="168"/>
      <c r="F797" s="162"/>
      <c r="G797" s="149"/>
      <c r="H797" s="161"/>
      <c r="I797" s="161"/>
      <c r="J797" s="161"/>
      <c r="K797" s="161"/>
      <c r="L797" s="161"/>
      <c r="M797" s="161"/>
      <c r="N797" s="149"/>
      <c r="O797" s="161"/>
      <c r="P797" s="161"/>
      <c r="S797" s="149"/>
      <c r="T797" s="161"/>
      <c r="V797" s="166"/>
      <c r="W797" s="166"/>
      <c r="X797" s="166"/>
      <c r="Y797" s="166"/>
    </row>
    <row r="798" ht="22.5" customHeight="1">
      <c r="A798" s="161"/>
      <c r="B798" s="162"/>
      <c r="C798" s="161"/>
      <c r="D798" s="168"/>
      <c r="E798" s="168"/>
      <c r="F798" s="162"/>
      <c r="G798" s="149"/>
      <c r="H798" s="161"/>
      <c r="I798" s="161"/>
      <c r="J798" s="161"/>
      <c r="K798" s="161"/>
      <c r="L798" s="161"/>
      <c r="M798" s="161"/>
      <c r="N798" s="149"/>
      <c r="O798" s="161"/>
      <c r="P798" s="161"/>
      <c r="S798" s="149"/>
      <c r="T798" s="161"/>
      <c r="V798" s="166"/>
      <c r="W798" s="166"/>
      <c r="X798" s="166"/>
      <c r="Y798" s="166"/>
    </row>
    <row r="799" ht="22.5" customHeight="1">
      <c r="A799" s="161"/>
      <c r="B799" s="162"/>
      <c r="C799" s="161"/>
      <c r="D799" s="168"/>
      <c r="E799" s="168"/>
      <c r="F799" s="162"/>
      <c r="G799" s="149"/>
      <c r="H799" s="161"/>
      <c r="I799" s="161"/>
      <c r="J799" s="161"/>
      <c r="K799" s="161"/>
      <c r="L799" s="161"/>
      <c r="M799" s="161"/>
      <c r="N799" s="149"/>
      <c r="O799" s="161"/>
      <c r="P799" s="161"/>
      <c r="S799" s="149"/>
      <c r="T799" s="161"/>
      <c r="V799" s="166"/>
      <c r="W799" s="166"/>
      <c r="X799" s="166"/>
      <c r="Y799" s="166"/>
    </row>
    <row r="800" ht="22.5" customHeight="1">
      <c r="A800" s="161"/>
      <c r="B800" s="162"/>
      <c r="C800" s="161"/>
      <c r="D800" s="168"/>
      <c r="E800" s="168"/>
      <c r="F800" s="162"/>
      <c r="G800" s="149"/>
      <c r="H800" s="161"/>
      <c r="I800" s="161"/>
      <c r="J800" s="161"/>
      <c r="K800" s="161"/>
      <c r="L800" s="161"/>
      <c r="M800" s="161"/>
      <c r="N800" s="149"/>
      <c r="O800" s="161"/>
      <c r="P800" s="161"/>
      <c r="S800" s="149"/>
      <c r="T800" s="161"/>
      <c r="V800" s="166"/>
      <c r="W800" s="166"/>
      <c r="X800" s="166"/>
      <c r="Y800" s="166"/>
    </row>
    <row r="801" ht="22.5" customHeight="1">
      <c r="A801" s="161"/>
      <c r="B801" s="162"/>
      <c r="C801" s="161"/>
      <c r="D801" s="168"/>
      <c r="E801" s="168"/>
      <c r="F801" s="162"/>
      <c r="G801" s="149"/>
      <c r="H801" s="161"/>
      <c r="I801" s="161"/>
      <c r="J801" s="161"/>
      <c r="K801" s="161"/>
      <c r="L801" s="161"/>
      <c r="M801" s="161"/>
      <c r="N801" s="149"/>
      <c r="O801" s="161"/>
      <c r="P801" s="161"/>
      <c r="S801" s="149"/>
      <c r="T801" s="161"/>
      <c r="V801" s="166"/>
      <c r="W801" s="166"/>
      <c r="X801" s="166"/>
      <c r="Y801" s="166"/>
    </row>
    <row r="802" ht="22.5" customHeight="1">
      <c r="A802" s="161"/>
      <c r="B802" s="162"/>
      <c r="C802" s="161"/>
      <c r="D802" s="168"/>
      <c r="E802" s="168"/>
      <c r="F802" s="162"/>
      <c r="G802" s="149"/>
      <c r="H802" s="161"/>
      <c r="I802" s="161"/>
      <c r="J802" s="161"/>
      <c r="K802" s="161"/>
      <c r="L802" s="161"/>
      <c r="M802" s="161"/>
      <c r="N802" s="149"/>
      <c r="O802" s="161"/>
      <c r="P802" s="161"/>
      <c r="S802" s="149"/>
      <c r="T802" s="161"/>
      <c r="V802" s="166"/>
      <c r="W802" s="166"/>
      <c r="X802" s="166"/>
      <c r="Y802" s="166"/>
    </row>
    <row r="803" ht="22.5" customHeight="1">
      <c r="A803" s="161"/>
      <c r="B803" s="162"/>
      <c r="C803" s="161"/>
      <c r="D803" s="168"/>
      <c r="E803" s="168"/>
      <c r="F803" s="162"/>
      <c r="G803" s="149"/>
      <c r="H803" s="161"/>
      <c r="I803" s="161"/>
      <c r="J803" s="161"/>
      <c r="K803" s="161"/>
      <c r="L803" s="161"/>
      <c r="M803" s="161"/>
      <c r="N803" s="149"/>
      <c r="O803" s="161"/>
      <c r="P803" s="161"/>
      <c r="S803" s="149"/>
      <c r="T803" s="161"/>
      <c r="V803" s="166"/>
      <c r="W803" s="166"/>
      <c r="X803" s="166"/>
      <c r="Y803" s="166"/>
    </row>
    <row r="804" ht="22.5" customHeight="1">
      <c r="A804" s="161"/>
      <c r="B804" s="162"/>
      <c r="C804" s="161"/>
      <c r="D804" s="168"/>
      <c r="E804" s="168"/>
      <c r="F804" s="162"/>
      <c r="G804" s="149"/>
      <c r="H804" s="161"/>
      <c r="I804" s="161"/>
      <c r="J804" s="161"/>
      <c r="K804" s="161"/>
      <c r="L804" s="161"/>
      <c r="M804" s="161"/>
      <c r="N804" s="149"/>
      <c r="O804" s="161"/>
      <c r="P804" s="161"/>
      <c r="S804" s="149"/>
      <c r="T804" s="161"/>
      <c r="V804" s="166"/>
      <c r="W804" s="166"/>
      <c r="X804" s="166"/>
      <c r="Y804" s="166"/>
    </row>
    <row r="805" ht="22.5" customHeight="1">
      <c r="A805" s="161"/>
      <c r="B805" s="162"/>
      <c r="C805" s="161"/>
      <c r="D805" s="168"/>
      <c r="E805" s="168"/>
      <c r="F805" s="162"/>
      <c r="G805" s="149"/>
      <c r="H805" s="161"/>
      <c r="I805" s="161"/>
      <c r="J805" s="161"/>
      <c r="K805" s="161"/>
      <c r="L805" s="161"/>
      <c r="M805" s="161"/>
      <c r="N805" s="149"/>
      <c r="O805" s="161"/>
      <c r="P805" s="161"/>
      <c r="S805" s="149"/>
      <c r="T805" s="161"/>
      <c r="V805" s="166"/>
      <c r="W805" s="166"/>
      <c r="X805" s="166"/>
      <c r="Y805" s="166"/>
    </row>
    <row r="806" ht="22.5" customHeight="1">
      <c r="A806" s="161"/>
      <c r="B806" s="162"/>
      <c r="C806" s="161"/>
      <c r="D806" s="168"/>
      <c r="E806" s="168"/>
      <c r="F806" s="162"/>
      <c r="G806" s="149"/>
      <c r="H806" s="161"/>
      <c r="I806" s="161"/>
      <c r="J806" s="161"/>
      <c r="K806" s="161"/>
      <c r="L806" s="161"/>
      <c r="M806" s="161"/>
      <c r="N806" s="149"/>
      <c r="O806" s="161"/>
      <c r="P806" s="161"/>
      <c r="S806" s="149"/>
      <c r="T806" s="161"/>
      <c r="V806" s="166"/>
      <c r="W806" s="166"/>
      <c r="X806" s="166"/>
      <c r="Y806" s="166"/>
    </row>
    <row r="807" ht="22.5" customHeight="1">
      <c r="A807" s="161"/>
      <c r="B807" s="162"/>
      <c r="C807" s="161"/>
      <c r="D807" s="168"/>
      <c r="E807" s="168"/>
      <c r="F807" s="162"/>
      <c r="G807" s="149"/>
      <c r="H807" s="161"/>
      <c r="I807" s="161"/>
      <c r="J807" s="161"/>
      <c r="K807" s="161"/>
      <c r="L807" s="161"/>
      <c r="M807" s="161"/>
      <c r="N807" s="149"/>
      <c r="O807" s="161"/>
      <c r="P807" s="161"/>
      <c r="S807" s="149"/>
      <c r="T807" s="161"/>
      <c r="V807" s="166"/>
      <c r="W807" s="166"/>
      <c r="X807" s="166"/>
      <c r="Y807" s="166"/>
    </row>
    <row r="808" ht="22.5" customHeight="1">
      <c r="A808" s="161"/>
      <c r="B808" s="162"/>
      <c r="C808" s="161"/>
      <c r="D808" s="168"/>
      <c r="E808" s="168"/>
      <c r="F808" s="162"/>
      <c r="G808" s="149"/>
      <c r="H808" s="161"/>
      <c r="I808" s="161"/>
      <c r="J808" s="161"/>
      <c r="K808" s="161"/>
      <c r="L808" s="161"/>
      <c r="M808" s="161"/>
      <c r="N808" s="149"/>
      <c r="O808" s="161"/>
      <c r="P808" s="161"/>
      <c r="S808" s="149"/>
      <c r="T808" s="161"/>
      <c r="V808" s="166"/>
      <c r="W808" s="166"/>
      <c r="X808" s="166"/>
      <c r="Y808" s="166"/>
    </row>
    <row r="809" ht="22.5" customHeight="1">
      <c r="A809" s="161"/>
      <c r="B809" s="162"/>
      <c r="C809" s="161"/>
      <c r="D809" s="168"/>
      <c r="E809" s="168"/>
      <c r="F809" s="162"/>
      <c r="G809" s="149"/>
      <c r="H809" s="161"/>
      <c r="I809" s="161"/>
      <c r="J809" s="161"/>
      <c r="K809" s="161"/>
      <c r="L809" s="161"/>
      <c r="M809" s="161"/>
      <c r="N809" s="149"/>
      <c r="O809" s="161"/>
      <c r="P809" s="161"/>
      <c r="S809" s="149"/>
      <c r="T809" s="161"/>
      <c r="V809" s="166"/>
      <c r="W809" s="166"/>
      <c r="X809" s="166"/>
      <c r="Y809" s="166"/>
    </row>
    <row r="810" ht="22.5" customHeight="1">
      <c r="A810" s="161"/>
      <c r="B810" s="162"/>
      <c r="C810" s="161"/>
      <c r="D810" s="168"/>
      <c r="E810" s="168"/>
      <c r="F810" s="162"/>
      <c r="G810" s="149"/>
      <c r="H810" s="161"/>
      <c r="I810" s="161"/>
      <c r="J810" s="161"/>
      <c r="K810" s="161"/>
      <c r="L810" s="161"/>
      <c r="M810" s="161"/>
      <c r="N810" s="149"/>
      <c r="O810" s="161"/>
      <c r="P810" s="161"/>
      <c r="S810" s="149"/>
      <c r="T810" s="161"/>
      <c r="V810" s="166"/>
      <c r="W810" s="166"/>
      <c r="X810" s="166"/>
      <c r="Y810" s="166"/>
    </row>
    <row r="811" ht="22.5" customHeight="1">
      <c r="A811" s="161"/>
      <c r="B811" s="162"/>
      <c r="C811" s="161"/>
      <c r="D811" s="168"/>
      <c r="E811" s="168"/>
      <c r="F811" s="162"/>
      <c r="G811" s="149"/>
      <c r="H811" s="161"/>
      <c r="I811" s="161"/>
      <c r="J811" s="161"/>
      <c r="K811" s="161"/>
      <c r="L811" s="161"/>
      <c r="M811" s="161"/>
      <c r="N811" s="149"/>
      <c r="O811" s="161"/>
      <c r="P811" s="161"/>
      <c r="S811" s="149"/>
      <c r="T811" s="161"/>
      <c r="V811" s="166"/>
      <c r="W811" s="166"/>
      <c r="X811" s="166"/>
      <c r="Y811" s="166"/>
    </row>
    <row r="812" ht="22.5" customHeight="1">
      <c r="A812" s="161"/>
      <c r="B812" s="162"/>
      <c r="C812" s="161"/>
      <c r="D812" s="168"/>
      <c r="E812" s="168"/>
      <c r="F812" s="162"/>
      <c r="G812" s="149"/>
      <c r="H812" s="161"/>
      <c r="I812" s="161"/>
      <c r="J812" s="161"/>
      <c r="K812" s="161"/>
      <c r="L812" s="161"/>
      <c r="M812" s="161"/>
      <c r="N812" s="149"/>
      <c r="O812" s="161"/>
      <c r="P812" s="161"/>
      <c r="S812" s="149"/>
      <c r="T812" s="161"/>
      <c r="V812" s="166"/>
      <c r="W812" s="166"/>
      <c r="X812" s="166"/>
      <c r="Y812" s="166"/>
    </row>
    <row r="813" ht="22.5" customHeight="1">
      <c r="A813" s="161"/>
      <c r="B813" s="162"/>
      <c r="C813" s="161"/>
      <c r="D813" s="168"/>
      <c r="E813" s="168"/>
      <c r="F813" s="162"/>
      <c r="G813" s="149"/>
      <c r="H813" s="161"/>
      <c r="I813" s="161"/>
      <c r="J813" s="161"/>
      <c r="K813" s="161"/>
      <c r="L813" s="161"/>
      <c r="M813" s="161"/>
      <c r="N813" s="149"/>
      <c r="O813" s="161"/>
      <c r="P813" s="161"/>
      <c r="S813" s="149"/>
      <c r="T813" s="161"/>
      <c r="V813" s="166"/>
      <c r="W813" s="166"/>
      <c r="X813" s="166"/>
      <c r="Y813" s="166"/>
    </row>
    <row r="814" ht="22.5" customHeight="1">
      <c r="A814" s="161"/>
      <c r="B814" s="162"/>
      <c r="C814" s="161"/>
      <c r="D814" s="168"/>
      <c r="E814" s="168"/>
      <c r="F814" s="162"/>
      <c r="G814" s="149"/>
      <c r="H814" s="161"/>
      <c r="I814" s="161"/>
      <c r="J814" s="161"/>
      <c r="K814" s="161"/>
      <c r="L814" s="161"/>
      <c r="M814" s="161"/>
      <c r="N814" s="149"/>
      <c r="O814" s="161"/>
      <c r="P814" s="161"/>
      <c r="S814" s="149"/>
      <c r="T814" s="161"/>
      <c r="V814" s="166"/>
      <c r="W814" s="166"/>
      <c r="X814" s="166"/>
      <c r="Y814" s="166"/>
    </row>
    <row r="815" ht="22.5" customHeight="1">
      <c r="A815" s="161"/>
      <c r="B815" s="162"/>
      <c r="C815" s="161"/>
      <c r="D815" s="168"/>
      <c r="E815" s="168"/>
      <c r="F815" s="162"/>
      <c r="G815" s="149"/>
      <c r="H815" s="161"/>
      <c r="I815" s="161"/>
      <c r="J815" s="161"/>
      <c r="K815" s="161"/>
      <c r="L815" s="161"/>
      <c r="M815" s="161"/>
      <c r="N815" s="149"/>
      <c r="O815" s="161"/>
      <c r="P815" s="161"/>
      <c r="S815" s="149"/>
      <c r="T815" s="161"/>
      <c r="V815" s="166"/>
      <c r="W815" s="166"/>
      <c r="X815" s="166"/>
      <c r="Y815" s="166"/>
    </row>
    <row r="816" ht="22.5" customHeight="1">
      <c r="A816" s="161"/>
      <c r="B816" s="162"/>
      <c r="C816" s="161"/>
      <c r="D816" s="168"/>
      <c r="E816" s="168"/>
      <c r="F816" s="162"/>
      <c r="G816" s="149"/>
      <c r="H816" s="161"/>
      <c r="I816" s="161"/>
      <c r="J816" s="161"/>
      <c r="K816" s="161"/>
      <c r="L816" s="161"/>
      <c r="M816" s="161"/>
      <c r="N816" s="149"/>
      <c r="O816" s="161"/>
      <c r="P816" s="161"/>
      <c r="S816" s="149"/>
      <c r="T816" s="161"/>
      <c r="V816" s="166"/>
      <c r="W816" s="166"/>
      <c r="X816" s="166"/>
      <c r="Y816" s="166"/>
    </row>
    <row r="817" ht="22.5" customHeight="1">
      <c r="A817" s="161"/>
      <c r="B817" s="162"/>
      <c r="C817" s="161"/>
      <c r="D817" s="168"/>
      <c r="E817" s="168"/>
      <c r="F817" s="162"/>
      <c r="G817" s="149"/>
      <c r="H817" s="161"/>
      <c r="I817" s="161"/>
      <c r="J817" s="161"/>
      <c r="K817" s="161"/>
      <c r="L817" s="161"/>
      <c r="M817" s="161"/>
      <c r="N817" s="149"/>
      <c r="O817" s="161"/>
      <c r="P817" s="161"/>
      <c r="S817" s="149"/>
      <c r="T817" s="161"/>
      <c r="V817" s="166"/>
      <c r="W817" s="166"/>
      <c r="X817" s="166"/>
      <c r="Y817" s="166"/>
    </row>
    <row r="818" ht="22.5" customHeight="1">
      <c r="A818" s="161"/>
      <c r="B818" s="162"/>
      <c r="C818" s="161"/>
      <c r="D818" s="168"/>
      <c r="E818" s="168"/>
      <c r="F818" s="162"/>
      <c r="G818" s="149"/>
      <c r="H818" s="161"/>
      <c r="I818" s="161"/>
      <c r="J818" s="161"/>
      <c r="K818" s="161"/>
      <c r="L818" s="161"/>
      <c r="M818" s="161"/>
      <c r="N818" s="149"/>
      <c r="O818" s="161"/>
      <c r="P818" s="161"/>
      <c r="S818" s="149"/>
      <c r="T818" s="161"/>
      <c r="V818" s="166"/>
      <c r="W818" s="166"/>
      <c r="X818" s="166"/>
      <c r="Y818" s="166"/>
    </row>
    <row r="819" ht="22.5" customHeight="1">
      <c r="A819" s="161"/>
      <c r="B819" s="162"/>
      <c r="C819" s="161"/>
      <c r="D819" s="168"/>
      <c r="E819" s="168"/>
      <c r="F819" s="162"/>
      <c r="G819" s="149"/>
      <c r="H819" s="161"/>
      <c r="I819" s="161"/>
      <c r="J819" s="161"/>
      <c r="K819" s="161"/>
      <c r="L819" s="161"/>
      <c r="M819" s="161"/>
      <c r="N819" s="149"/>
      <c r="O819" s="161"/>
      <c r="P819" s="161"/>
      <c r="S819" s="149"/>
      <c r="T819" s="161"/>
      <c r="V819" s="166"/>
      <c r="W819" s="166"/>
      <c r="X819" s="166"/>
      <c r="Y819" s="166"/>
    </row>
    <row r="820" ht="22.5" customHeight="1">
      <c r="A820" s="161"/>
      <c r="B820" s="162"/>
      <c r="C820" s="161"/>
      <c r="D820" s="168"/>
      <c r="E820" s="168"/>
      <c r="F820" s="162"/>
      <c r="G820" s="149"/>
      <c r="H820" s="161"/>
      <c r="I820" s="161"/>
      <c r="J820" s="161"/>
      <c r="K820" s="161"/>
      <c r="L820" s="161"/>
      <c r="M820" s="161"/>
      <c r="N820" s="149"/>
      <c r="O820" s="161"/>
      <c r="P820" s="161"/>
      <c r="S820" s="149"/>
      <c r="T820" s="161"/>
      <c r="V820" s="166"/>
      <c r="W820" s="166"/>
      <c r="X820" s="166"/>
      <c r="Y820" s="166"/>
    </row>
    <row r="821" ht="22.5" customHeight="1">
      <c r="A821" s="161"/>
      <c r="B821" s="162"/>
      <c r="C821" s="161"/>
      <c r="D821" s="168"/>
      <c r="E821" s="168"/>
      <c r="F821" s="162"/>
      <c r="G821" s="149"/>
      <c r="H821" s="161"/>
      <c r="I821" s="161"/>
      <c r="J821" s="161"/>
      <c r="K821" s="161"/>
      <c r="L821" s="161"/>
      <c r="M821" s="161"/>
      <c r="N821" s="149"/>
      <c r="O821" s="161"/>
      <c r="P821" s="161"/>
      <c r="S821" s="149"/>
      <c r="T821" s="161"/>
      <c r="V821" s="166"/>
      <c r="W821" s="166"/>
      <c r="X821" s="166"/>
      <c r="Y821" s="166"/>
    </row>
    <row r="822" ht="22.5" customHeight="1">
      <c r="A822" s="161"/>
      <c r="B822" s="162"/>
      <c r="C822" s="161"/>
      <c r="D822" s="168"/>
      <c r="E822" s="168"/>
      <c r="F822" s="162"/>
      <c r="G822" s="149"/>
      <c r="H822" s="161"/>
      <c r="I822" s="161"/>
      <c r="J822" s="161"/>
      <c r="K822" s="161"/>
      <c r="L822" s="161"/>
      <c r="M822" s="161"/>
      <c r="N822" s="149"/>
      <c r="O822" s="161"/>
      <c r="P822" s="161"/>
      <c r="S822" s="149"/>
      <c r="T822" s="161"/>
      <c r="V822" s="166"/>
      <c r="W822" s="166"/>
      <c r="X822" s="166"/>
      <c r="Y822" s="166"/>
    </row>
    <row r="823" ht="22.5" customHeight="1">
      <c r="A823" s="161"/>
      <c r="B823" s="162"/>
      <c r="C823" s="161"/>
      <c r="D823" s="168"/>
      <c r="E823" s="168"/>
      <c r="F823" s="162"/>
      <c r="G823" s="149"/>
      <c r="H823" s="161"/>
      <c r="I823" s="161"/>
      <c r="J823" s="161"/>
      <c r="K823" s="161"/>
      <c r="L823" s="161"/>
      <c r="M823" s="161"/>
      <c r="N823" s="149"/>
      <c r="O823" s="161"/>
      <c r="P823" s="161"/>
      <c r="S823" s="149"/>
      <c r="T823" s="161"/>
      <c r="V823" s="166"/>
      <c r="W823" s="166"/>
      <c r="X823" s="166"/>
      <c r="Y823" s="166"/>
    </row>
    <row r="824" ht="22.5" customHeight="1">
      <c r="A824" s="161"/>
      <c r="B824" s="162"/>
      <c r="C824" s="161"/>
      <c r="D824" s="168"/>
      <c r="E824" s="168"/>
      <c r="F824" s="162"/>
      <c r="G824" s="149"/>
      <c r="H824" s="161"/>
      <c r="I824" s="161"/>
      <c r="J824" s="161"/>
      <c r="K824" s="161"/>
      <c r="L824" s="161"/>
      <c r="M824" s="161"/>
      <c r="N824" s="149"/>
      <c r="O824" s="161"/>
      <c r="P824" s="161"/>
      <c r="S824" s="149"/>
      <c r="T824" s="161"/>
      <c r="V824" s="166"/>
      <c r="W824" s="166"/>
      <c r="X824" s="166"/>
      <c r="Y824" s="166"/>
    </row>
    <row r="825" ht="22.5" customHeight="1">
      <c r="A825" s="161"/>
      <c r="B825" s="162"/>
      <c r="C825" s="161"/>
      <c r="D825" s="168"/>
      <c r="E825" s="168"/>
      <c r="F825" s="162"/>
      <c r="G825" s="149"/>
      <c r="H825" s="161"/>
      <c r="I825" s="161"/>
      <c r="J825" s="161"/>
      <c r="K825" s="161"/>
      <c r="L825" s="161"/>
      <c r="M825" s="161"/>
      <c r="N825" s="149"/>
      <c r="O825" s="161"/>
      <c r="P825" s="161"/>
      <c r="S825" s="149"/>
      <c r="T825" s="161"/>
      <c r="V825" s="166"/>
      <c r="W825" s="166"/>
      <c r="X825" s="166"/>
      <c r="Y825" s="166"/>
    </row>
    <row r="826" ht="22.5" customHeight="1">
      <c r="A826" s="161"/>
      <c r="B826" s="162"/>
      <c r="C826" s="161"/>
      <c r="D826" s="168"/>
      <c r="E826" s="168"/>
      <c r="F826" s="162"/>
      <c r="G826" s="149"/>
      <c r="H826" s="161"/>
      <c r="I826" s="161"/>
      <c r="J826" s="161"/>
      <c r="K826" s="161"/>
      <c r="L826" s="161"/>
      <c r="M826" s="161"/>
      <c r="N826" s="149"/>
      <c r="O826" s="161"/>
      <c r="P826" s="161"/>
      <c r="S826" s="149"/>
      <c r="T826" s="161"/>
      <c r="V826" s="166"/>
      <c r="W826" s="166"/>
      <c r="X826" s="166"/>
      <c r="Y826" s="166"/>
    </row>
    <row r="827" ht="22.5" customHeight="1">
      <c r="A827" s="161"/>
      <c r="B827" s="162"/>
      <c r="C827" s="161"/>
      <c r="D827" s="168"/>
      <c r="E827" s="168"/>
      <c r="F827" s="162"/>
      <c r="G827" s="149"/>
      <c r="H827" s="161"/>
      <c r="I827" s="161"/>
      <c r="J827" s="161"/>
      <c r="K827" s="161"/>
      <c r="L827" s="161"/>
      <c r="M827" s="161"/>
      <c r="N827" s="149"/>
      <c r="O827" s="161"/>
      <c r="P827" s="161"/>
      <c r="S827" s="149"/>
      <c r="T827" s="161"/>
      <c r="V827" s="166"/>
      <c r="W827" s="166"/>
      <c r="X827" s="166"/>
      <c r="Y827" s="166"/>
    </row>
    <row r="828" ht="22.5" customHeight="1">
      <c r="A828" s="161"/>
      <c r="B828" s="162"/>
      <c r="C828" s="161"/>
      <c r="D828" s="168"/>
      <c r="E828" s="168"/>
      <c r="F828" s="162"/>
      <c r="G828" s="149"/>
      <c r="H828" s="161"/>
      <c r="I828" s="161"/>
      <c r="J828" s="161"/>
      <c r="K828" s="161"/>
      <c r="L828" s="161"/>
      <c r="M828" s="161"/>
      <c r="N828" s="149"/>
      <c r="O828" s="161"/>
      <c r="P828" s="161"/>
      <c r="S828" s="149"/>
      <c r="T828" s="161"/>
      <c r="V828" s="166"/>
      <c r="W828" s="166"/>
      <c r="X828" s="166"/>
      <c r="Y828" s="166"/>
    </row>
    <row r="829" ht="22.5" customHeight="1">
      <c r="A829" s="161"/>
      <c r="B829" s="162"/>
      <c r="C829" s="161"/>
      <c r="D829" s="168"/>
      <c r="E829" s="168"/>
      <c r="F829" s="162"/>
      <c r="G829" s="149"/>
      <c r="H829" s="161"/>
      <c r="I829" s="161"/>
      <c r="J829" s="161"/>
      <c r="K829" s="161"/>
      <c r="L829" s="161"/>
      <c r="M829" s="161"/>
      <c r="N829" s="149"/>
      <c r="O829" s="161"/>
      <c r="P829" s="161"/>
      <c r="S829" s="149"/>
      <c r="T829" s="161"/>
      <c r="V829" s="166"/>
      <c r="W829" s="166"/>
      <c r="X829" s="166"/>
      <c r="Y829" s="166"/>
    </row>
    <row r="830" ht="22.5" customHeight="1">
      <c r="A830" s="161"/>
      <c r="B830" s="162"/>
      <c r="C830" s="161"/>
      <c r="D830" s="168"/>
      <c r="E830" s="168"/>
      <c r="F830" s="162"/>
      <c r="G830" s="149"/>
      <c r="H830" s="161"/>
      <c r="I830" s="161"/>
      <c r="J830" s="161"/>
      <c r="K830" s="161"/>
      <c r="L830" s="161"/>
      <c r="M830" s="161"/>
      <c r="N830" s="149"/>
      <c r="O830" s="161"/>
      <c r="P830" s="161"/>
      <c r="S830" s="149"/>
      <c r="T830" s="161"/>
      <c r="V830" s="166"/>
      <c r="W830" s="166"/>
      <c r="X830" s="166"/>
      <c r="Y830" s="166"/>
    </row>
    <row r="831" ht="22.5" customHeight="1">
      <c r="A831" s="161"/>
      <c r="B831" s="162"/>
      <c r="C831" s="161"/>
      <c r="D831" s="168"/>
      <c r="E831" s="168"/>
      <c r="F831" s="162"/>
      <c r="G831" s="149"/>
      <c r="H831" s="161"/>
      <c r="I831" s="161"/>
      <c r="J831" s="161"/>
      <c r="K831" s="161"/>
      <c r="L831" s="161"/>
      <c r="M831" s="161"/>
      <c r="N831" s="149"/>
      <c r="O831" s="161"/>
      <c r="P831" s="161"/>
      <c r="S831" s="149"/>
      <c r="T831" s="161"/>
      <c r="V831" s="166"/>
      <c r="W831" s="166"/>
      <c r="X831" s="166"/>
      <c r="Y831" s="166"/>
    </row>
    <row r="832" ht="22.5" customHeight="1">
      <c r="A832" s="161"/>
      <c r="B832" s="162"/>
      <c r="C832" s="161"/>
      <c r="D832" s="168"/>
      <c r="E832" s="168"/>
      <c r="F832" s="162"/>
      <c r="G832" s="149"/>
      <c r="H832" s="161"/>
      <c r="I832" s="161"/>
      <c r="J832" s="161"/>
      <c r="K832" s="161"/>
      <c r="L832" s="161"/>
      <c r="M832" s="161"/>
      <c r="N832" s="149"/>
      <c r="O832" s="161"/>
      <c r="P832" s="161"/>
      <c r="S832" s="149"/>
      <c r="T832" s="161"/>
      <c r="V832" s="166"/>
      <c r="W832" s="166"/>
      <c r="X832" s="166"/>
      <c r="Y832" s="166"/>
    </row>
    <row r="833" ht="22.5" customHeight="1">
      <c r="A833" s="161"/>
      <c r="B833" s="162"/>
      <c r="C833" s="161"/>
      <c r="D833" s="168"/>
      <c r="E833" s="168"/>
      <c r="F833" s="162"/>
      <c r="G833" s="149"/>
      <c r="H833" s="161"/>
      <c r="I833" s="161"/>
      <c r="J833" s="161"/>
      <c r="K833" s="161"/>
      <c r="L833" s="161"/>
      <c r="M833" s="161"/>
      <c r="N833" s="149"/>
      <c r="O833" s="161"/>
      <c r="P833" s="161"/>
      <c r="S833" s="149"/>
      <c r="T833" s="161"/>
      <c r="V833" s="166"/>
      <c r="W833" s="166"/>
      <c r="X833" s="166"/>
      <c r="Y833" s="166"/>
    </row>
    <row r="834" ht="22.5" customHeight="1">
      <c r="A834" s="161"/>
      <c r="B834" s="162"/>
      <c r="C834" s="161"/>
      <c r="D834" s="168"/>
      <c r="E834" s="168"/>
      <c r="F834" s="162"/>
      <c r="G834" s="149"/>
      <c r="H834" s="161"/>
      <c r="I834" s="161"/>
      <c r="J834" s="161"/>
      <c r="K834" s="161"/>
      <c r="L834" s="161"/>
      <c r="M834" s="161"/>
      <c r="N834" s="149"/>
      <c r="O834" s="161"/>
      <c r="P834" s="161"/>
      <c r="S834" s="149"/>
      <c r="T834" s="161"/>
      <c r="V834" s="166"/>
      <c r="W834" s="166"/>
      <c r="X834" s="166"/>
      <c r="Y834" s="166"/>
    </row>
    <row r="835" ht="22.5" customHeight="1">
      <c r="A835" s="161"/>
      <c r="B835" s="162"/>
      <c r="C835" s="161"/>
      <c r="D835" s="168"/>
      <c r="E835" s="168"/>
      <c r="F835" s="162"/>
      <c r="G835" s="149"/>
      <c r="H835" s="161"/>
      <c r="I835" s="161"/>
      <c r="J835" s="161"/>
      <c r="K835" s="161"/>
      <c r="L835" s="161"/>
      <c r="M835" s="161"/>
      <c r="N835" s="149"/>
      <c r="O835" s="161"/>
      <c r="P835" s="161"/>
      <c r="S835" s="149"/>
      <c r="T835" s="161"/>
      <c r="V835" s="166"/>
      <c r="W835" s="166"/>
      <c r="X835" s="166"/>
      <c r="Y835" s="166"/>
    </row>
    <row r="836" ht="22.5" customHeight="1">
      <c r="A836" s="161"/>
      <c r="B836" s="162"/>
      <c r="C836" s="161"/>
      <c r="D836" s="168"/>
      <c r="E836" s="168"/>
      <c r="F836" s="162"/>
      <c r="G836" s="149"/>
      <c r="H836" s="161"/>
      <c r="I836" s="161"/>
      <c r="J836" s="161"/>
      <c r="K836" s="161"/>
      <c r="L836" s="161"/>
      <c r="M836" s="161"/>
      <c r="N836" s="149"/>
      <c r="O836" s="161"/>
      <c r="P836" s="161"/>
      <c r="S836" s="149"/>
      <c r="T836" s="161"/>
      <c r="V836" s="166"/>
      <c r="W836" s="166"/>
      <c r="X836" s="166"/>
      <c r="Y836" s="166"/>
    </row>
    <row r="837" ht="22.5" customHeight="1">
      <c r="A837" s="161"/>
      <c r="B837" s="162"/>
      <c r="C837" s="161"/>
      <c r="D837" s="168"/>
      <c r="E837" s="168"/>
      <c r="F837" s="162"/>
      <c r="G837" s="149"/>
      <c r="H837" s="161"/>
      <c r="I837" s="161"/>
      <c r="J837" s="161"/>
      <c r="K837" s="161"/>
      <c r="L837" s="161"/>
      <c r="M837" s="161"/>
      <c r="N837" s="149"/>
      <c r="O837" s="161"/>
      <c r="P837" s="161"/>
      <c r="S837" s="149"/>
      <c r="T837" s="161"/>
      <c r="V837" s="166"/>
      <c r="W837" s="166"/>
      <c r="X837" s="166"/>
      <c r="Y837" s="166"/>
    </row>
    <row r="838" ht="22.5" customHeight="1">
      <c r="A838" s="161"/>
      <c r="B838" s="162"/>
      <c r="C838" s="161"/>
      <c r="D838" s="168"/>
      <c r="E838" s="168"/>
      <c r="F838" s="162"/>
      <c r="G838" s="149"/>
      <c r="H838" s="161"/>
      <c r="I838" s="161"/>
      <c r="J838" s="161"/>
      <c r="K838" s="161"/>
      <c r="L838" s="161"/>
      <c r="M838" s="161"/>
      <c r="N838" s="149"/>
      <c r="O838" s="161"/>
      <c r="P838" s="161"/>
      <c r="S838" s="149"/>
      <c r="T838" s="161"/>
      <c r="V838" s="166"/>
      <c r="W838" s="166"/>
      <c r="X838" s="166"/>
      <c r="Y838" s="166"/>
    </row>
    <row r="839" ht="22.5" customHeight="1">
      <c r="A839" s="161"/>
      <c r="B839" s="162"/>
      <c r="C839" s="161"/>
      <c r="D839" s="168"/>
      <c r="E839" s="168"/>
      <c r="F839" s="162"/>
      <c r="G839" s="149"/>
      <c r="H839" s="161"/>
      <c r="I839" s="161"/>
      <c r="J839" s="161"/>
      <c r="K839" s="161"/>
      <c r="L839" s="161"/>
      <c r="M839" s="161"/>
      <c r="N839" s="149"/>
      <c r="O839" s="161"/>
      <c r="P839" s="161"/>
      <c r="S839" s="149"/>
      <c r="T839" s="161"/>
      <c r="V839" s="166"/>
      <c r="W839" s="166"/>
      <c r="X839" s="166"/>
      <c r="Y839" s="166"/>
    </row>
    <row r="840" ht="22.5" customHeight="1">
      <c r="A840" s="161"/>
      <c r="B840" s="162"/>
      <c r="C840" s="161"/>
      <c r="D840" s="168"/>
      <c r="E840" s="168"/>
      <c r="F840" s="162"/>
      <c r="G840" s="149"/>
      <c r="H840" s="161"/>
      <c r="I840" s="161"/>
      <c r="J840" s="161"/>
      <c r="K840" s="161"/>
      <c r="L840" s="161"/>
      <c r="M840" s="161"/>
      <c r="N840" s="149"/>
      <c r="O840" s="161"/>
      <c r="P840" s="161"/>
      <c r="S840" s="149"/>
      <c r="T840" s="161"/>
      <c r="V840" s="166"/>
      <c r="W840" s="166"/>
      <c r="X840" s="166"/>
      <c r="Y840" s="166"/>
    </row>
    <row r="841" ht="22.5" customHeight="1">
      <c r="A841" s="161"/>
      <c r="B841" s="162"/>
      <c r="C841" s="161"/>
      <c r="D841" s="168"/>
      <c r="E841" s="168"/>
      <c r="F841" s="162"/>
      <c r="G841" s="149"/>
      <c r="H841" s="161"/>
      <c r="I841" s="161"/>
      <c r="J841" s="161"/>
      <c r="K841" s="161"/>
      <c r="L841" s="161"/>
      <c r="M841" s="161"/>
      <c r="N841" s="149"/>
      <c r="O841" s="161"/>
      <c r="P841" s="161"/>
      <c r="S841" s="149"/>
      <c r="T841" s="161"/>
      <c r="V841" s="166"/>
      <c r="W841" s="166"/>
      <c r="X841" s="166"/>
      <c r="Y841" s="166"/>
    </row>
    <row r="842" ht="22.5" customHeight="1">
      <c r="A842" s="161"/>
      <c r="B842" s="162"/>
      <c r="C842" s="161"/>
      <c r="D842" s="168"/>
      <c r="E842" s="168"/>
      <c r="F842" s="162"/>
      <c r="G842" s="149"/>
      <c r="H842" s="161"/>
      <c r="I842" s="161"/>
      <c r="J842" s="161"/>
      <c r="K842" s="161"/>
      <c r="L842" s="161"/>
      <c r="M842" s="161"/>
      <c r="N842" s="149"/>
      <c r="O842" s="161"/>
      <c r="P842" s="161"/>
      <c r="S842" s="149"/>
      <c r="T842" s="161"/>
      <c r="V842" s="166"/>
      <c r="W842" s="166"/>
      <c r="X842" s="166"/>
      <c r="Y842" s="166"/>
    </row>
    <row r="843" ht="22.5" customHeight="1">
      <c r="A843" s="161"/>
      <c r="B843" s="162"/>
      <c r="C843" s="161"/>
      <c r="D843" s="168"/>
      <c r="E843" s="168"/>
      <c r="F843" s="162"/>
      <c r="G843" s="149"/>
      <c r="H843" s="161"/>
      <c r="I843" s="161"/>
      <c r="J843" s="161"/>
      <c r="K843" s="161"/>
      <c r="L843" s="161"/>
      <c r="M843" s="161"/>
      <c r="N843" s="149"/>
      <c r="O843" s="161"/>
      <c r="P843" s="161"/>
      <c r="S843" s="149"/>
      <c r="T843" s="161"/>
      <c r="V843" s="166"/>
      <c r="W843" s="166"/>
      <c r="X843" s="166"/>
      <c r="Y843" s="166"/>
    </row>
    <row r="844" ht="22.5" customHeight="1">
      <c r="A844" s="161"/>
      <c r="B844" s="162"/>
      <c r="C844" s="161"/>
      <c r="D844" s="168"/>
      <c r="E844" s="168"/>
      <c r="F844" s="162"/>
      <c r="G844" s="149"/>
      <c r="H844" s="161"/>
      <c r="I844" s="161"/>
      <c r="J844" s="161"/>
      <c r="K844" s="161"/>
      <c r="L844" s="161"/>
      <c r="M844" s="161"/>
      <c r="N844" s="149"/>
      <c r="O844" s="161"/>
      <c r="P844" s="161"/>
      <c r="S844" s="149"/>
      <c r="T844" s="161"/>
      <c r="V844" s="166"/>
      <c r="W844" s="166"/>
      <c r="X844" s="166"/>
      <c r="Y844" s="166"/>
    </row>
    <row r="845" ht="22.5" customHeight="1">
      <c r="A845" s="161"/>
      <c r="B845" s="162"/>
      <c r="C845" s="161"/>
      <c r="D845" s="168"/>
      <c r="E845" s="168"/>
      <c r="F845" s="162"/>
      <c r="G845" s="149"/>
      <c r="H845" s="161"/>
      <c r="I845" s="161"/>
      <c r="J845" s="161"/>
      <c r="K845" s="161"/>
      <c r="L845" s="161"/>
      <c r="M845" s="161"/>
      <c r="N845" s="149"/>
      <c r="O845" s="161"/>
      <c r="P845" s="161"/>
      <c r="S845" s="149"/>
      <c r="T845" s="161"/>
      <c r="V845" s="166"/>
      <c r="W845" s="166"/>
      <c r="X845" s="166"/>
      <c r="Y845" s="166"/>
    </row>
    <row r="846" ht="22.5" customHeight="1">
      <c r="A846" s="161"/>
      <c r="B846" s="162"/>
      <c r="C846" s="161"/>
      <c r="D846" s="168"/>
      <c r="E846" s="168"/>
      <c r="F846" s="162"/>
      <c r="G846" s="149"/>
      <c r="H846" s="161"/>
      <c r="I846" s="161"/>
      <c r="J846" s="161"/>
      <c r="K846" s="161"/>
      <c r="L846" s="161"/>
      <c r="M846" s="161"/>
      <c r="N846" s="149"/>
      <c r="O846" s="161"/>
      <c r="P846" s="161"/>
      <c r="S846" s="149"/>
      <c r="T846" s="161"/>
      <c r="V846" s="166"/>
      <c r="W846" s="166"/>
      <c r="X846" s="166"/>
      <c r="Y846" s="166"/>
    </row>
    <row r="847" ht="22.5" customHeight="1">
      <c r="A847" s="161"/>
      <c r="B847" s="162"/>
      <c r="C847" s="161"/>
      <c r="D847" s="168"/>
      <c r="E847" s="168"/>
      <c r="F847" s="162"/>
      <c r="G847" s="149"/>
      <c r="H847" s="161"/>
      <c r="I847" s="161"/>
      <c r="J847" s="161"/>
      <c r="K847" s="161"/>
      <c r="L847" s="161"/>
      <c r="M847" s="161"/>
      <c r="N847" s="149"/>
      <c r="O847" s="161"/>
      <c r="P847" s="161"/>
      <c r="S847" s="149"/>
      <c r="T847" s="161"/>
      <c r="V847" s="166"/>
      <c r="W847" s="166"/>
      <c r="X847" s="166"/>
      <c r="Y847" s="166"/>
    </row>
    <row r="848" ht="22.5" customHeight="1">
      <c r="A848" s="161"/>
      <c r="B848" s="162"/>
      <c r="C848" s="161"/>
      <c r="D848" s="168"/>
      <c r="E848" s="168"/>
      <c r="F848" s="162"/>
      <c r="G848" s="149"/>
      <c r="H848" s="161"/>
      <c r="I848" s="161"/>
      <c r="J848" s="161"/>
      <c r="K848" s="161"/>
      <c r="L848" s="161"/>
      <c r="M848" s="161"/>
      <c r="N848" s="149"/>
      <c r="O848" s="161"/>
      <c r="P848" s="161"/>
      <c r="S848" s="149"/>
      <c r="T848" s="161"/>
      <c r="V848" s="166"/>
      <c r="W848" s="166"/>
      <c r="X848" s="166"/>
      <c r="Y848" s="166"/>
    </row>
    <row r="849" ht="22.5" customHeight="1">
      <c r="A849" s="161"/>
      <c r="B849" s="162"/>
      <c r="C849" s="161"/>
      <c r="D849" s="168"/>
      <c r="E849" s="168"/>
      <c r="F849" s="162"/>
      <c r="G849" s="149"/>
      <c r="H849" s="161"/>
      <c r="I849" s="161"/>
      <c r="J849" s="161"/>
      <c r="K849" s="161"/>
      <c r="L849" s="161"/>
      <c r="M849" s="161"/>
      <c r="N849" s="149"/>
      <c r="O849" s="161"/>
      <c r="P849" s="161"/>
      <c r="S849" s="149"/>
      <c r="T849" s="161"/>
      <c r="V849" s="166"/>
      <c r="W849" s="166"/>
      <c r="X849" s="166"/>
      <c r="Y849" s="166"/>
    </row>
    <row r="850" ht="22.5" customHeight="1">
      <c r="A850" s="161"/>
      <c r="B850" s="162"/>
      <c r="C850" s="161"/>
      <c r="D850" s="168"/>
      <c r="E850" s="168"/>
      <c r="F850" s="162"/>
      <c r="G850" s="149"/>
      <c r="H850" s="161"/>
      <c r="I850" s="161"/>
      <c r="J850" s="161"/>
      <c r="K850" s="161"/>
      <c r="L850" s="161"/>
      <c r="M850" s="161"/>
      <c r="N850" s="149"/>
      <c r="O850" s="161"/>
      <c r="P850" s="161"/>
      <c r="S850" s="149"/>
      <c r="T850" s="161"/>
      <c r="V850" s="166"/>
      <c r="W850" s="166"/>
      <c r="X850" s="166"/>
      <c r="Y850" s="166"/>
    </row>
    <row r="851" ht="22.5" customHeight="1">
      <c r="A851" s="161"/>
      <c r="B851" s="162"/>
      <c r="C851" s="161"/>
      <c r="D851" s="168"/>
      <c r="E851" s="168"/>
      <c r="F851" s="162"/>
      <c r="G851" s="149"/>
      <c r="H851" s="161"/>
      <c r="I851" s="161"/>
      <c r="J851" s="161"/>
      <c r="K851" s="161"/>
      <c r="L851" s="161"/>
      <c r="M851" s="161"/>
      <c r="N851" s="149"/>
      <c r="O851" s="161"/>
      <c r="P851" s="161"/>
      <c r="S851" s="149"/>
      <c r="T851" s="161"/>
      <c r="V851" s="166"/>
      <c r="W851" s="166"/>
      <c r="X851" s="166"/>
      <c r="Y851" s="166"/>
    </row>
    <row r="852" ht="22.5" customHeight="1">
      <c r="A852" s="161"/>
      <c r="B852" s="162"/>
      <c r="C852" s="161"/>
      <c r="D852" s="168"/>
      <c r="E852" s="168"/>
      <c r="F852" s="162"/>
      <c r="G852" s="149"/>
      <c r="H852" s="161"/>
      <c r="I852" s="161"/>
      <c r="J852" s="161"/>
      <c r="K852" s="161"/>
      <c r="L852" s="161"/>
      <c r="M852" s="161"/>
      <c r="N852" s="149"/>
      <c r="O852" s="161"/>
      <c r="P852" s="161"/>
      <c r="S852" s="149"/>
      <c r="T852" s="161"/>
      <c r="V852" s="166"/>
      <c r="W852" s="166"/>
      <c r="X852" s="166"/>
      <c r="Y852" s="166"/>
    </row>
    <row r="853" ht="22.5" customHeight="1">
      <c r="A853" s="161"/>
      <c r="B853" s="162"/>
      <c r="C853" s="161"/>
      <c r="D853" s="168"/>
      <c r="E853" s="168"/>
      <c r="F853" s="162"/>
      <c r="G853" s="149"/>
      <c r="H853" s="161"/>
      <c r="I853" s="161"/>
      <c r="J853" s="161"/>
      <c r="K853" s="161"/>
      <c r="L853" s="161"/>
      <c r="M853" s="161"/>
      <c r="N853" s="149"/>
      <c r="O853" s="161"/>
      <c r="P853" s="161"/>
      <c r="S853" s="149"/>
      <c r="T853" s="161"/>
      <c r="V853" s="166"/>
      <c r="W853" s="166"/>
      <c r="X853" s="166"/>
      <c r="Y853" s="166"/>
    </row>
    <row r="854" ht="22.5" customHeight="1">
      <c r="A854" s="161"/>
      <c r="B854" s="162"/>
      <c r="C854" s="161"/>
      <c r="D854" s="168"/>
      <c r="E854" s="168"/>
      <c r="F854" s="162"/>
      <c r="G854" s="149"/>
      <c r="H854" s="161"/>
      <c r="I854" s="161"/>
      <c r="J854" s="161"/>
      <c r="K854" s="161"/>
      <c r="L854" s="161"/>
      <c r="M854" s="161"/>
      <c r="N854" s="149"/>
      <c r="O854" s="161"/>
      <c r="P854" s="161"/>
      <c r="S854" s="149"/>
      <c r="T854" s="161"/>
      <c r="V854" s="166"/>
      <c r="W854" s="166"/>
      <c r="X854" s="166"/>
      <c r="Y854" s="166"/>
    </row>
    <row r="855" ht="22.5" customHeight="1">
      <c r="A855" s="161"/>
      <c r="B855" s="162"/>
      <c r="C855" s="161"/>
      <c r="D855" s="168"/>
      <c r="E855" s="168"/>
      <c r="F855" s="162"/>
      <c r="G855" s="149"/>
      <c r="H855" s="161"/>
      <c r="I855" s="161"/>
      <c r="J855" s="161"/>
      <c r="K855" s="161"/>
      <c r="L855" s="161"/>
      <c r="M855" s="161"/>
      <c r="N855" s="149"/>
      <c r="O855" s="161"/>
      <c r="P855" s="161"/>
      <c r="S855" s="149"/>
      <c r="T855" s="161"/>
      <c r="V855" s="166"/>
      <c r="W855" s="166"/>
      <c r="X855" s="166"/>
      <c r="Y855" s="166"/>
    </row>
    <row r="856" ht="22.5" customHeight="1">
      <c r="A856" s="161"/>
      <c r="B856" s="162"/>
      <c r="C856" s="161"/>
      <c r="D856" s="168"/>
      <c r="E856" s="168"/>
      <c r="F856" s="162"/>
      <c r="G856" s="149"/>
      <c r="H856" s="161"/>
      <c r="I856" s="161"/>
      <c r="J856" s="161"/>
      <c r="K856" s="161"/>
      <c r="L856" s="161"/>
      <c r="M856" s="161"/>
      <c r="N856" s="149"/>
      <c r="O856" s="161"/>
      <c r="P856" s="161"/>
      <c r="S856" s="149"/>
      <c r="T856" s="161"/>
      <c r="V856" s="166"/>
      <c r="W856" s="166"/>
      <c r="X856" s="166"/>
      <c r="Y856" s="166"/>
    </row>
    <row r="857" ht="22.5" customHeight="1">
      <c r="A857" s="161"/>
      <c r="B857" s="162"/>
      <c r="C857" s="161"/>
      <c r="D857" s="168"/>
      <c r="E857" s="168"/>
      <c r="F857" s="162"/>
      <c r="G857" s="149"/>
      <c r="H857" s="161"/>
      <c r="I857" s="161"/>
      <c r="J857" s="161"/>
      <c r="K857" s="161"/>
      <c r="L857" s="161"/>
      <c r="M857" s="161"/>
      <c r="N857" s="149"/>
      <c r="O857" s="161"/>
      <c r="P857" s="161"/>
      <c r="S857" s="149"/>
      <c r="T857" s="161"/>
      <c r="V857" s="166"/>
      <c r="W857" s="166"/>
      <c r="X857" s="166"/>
      <c r="Y857" s="166"/>
    </row>
    <row r="858" ht="22.5" customHeight="1">
      <c r="A858" s="161"/>
      <c r="B858" s="162"/>
      <c r="C858" s="161"/>
      <c r="D858" s="168"/>
      <c r="E858" s="168"/>
      <c r="F858" s="162"/>
      <c r="G858" s="149"/>
      <c r="H858" s="161"/>
      <c r="I858" s="161"/>
      <c r="J858" s="161"/>
      <c r="K858" s="161"/>
      <c r="L858" s="161"/>
      <c r="M858" s="161"/>
      <c r="N858" s="149"/>
      <c r="O858" s="161"/>
      <c r="P858" s="161"/>
      <c r="S858" s="149"/>
      <c r="T858" s="161"/>
      <c r="V858" s="166"/>
      <c r="W858" s="166"/>
      <c r="X858" s="166"/>
      <c r="Y858" s="166"/>
    </row>
    <row r="859" ht="22.5" customHeight="1">
      <c r="A859" s="161"/>
      <c r="B859" s="162"/>
      <c r="C859" s="161"/>
      <c r="D859" s="168"/>
      <c r="E859" s="168"/>
      <c r="F859" s="162"/>
      <c r="G859" s="149"/>
      <c r="H859" s="161"/>
      <c r="I859" s="161"/>
      <c r="J859" s="161"/>
      <c r="K859" s="161"/>
      <c r="L859" s="161"/>
      <c r="M859" s="161"/>
      <c r="N859" s="149"/>
      <c r="O859" s="161"/>
      <c r="P859" s="161"/>
      <c r="S859" s="149"/>
      <c r="T859" s="161"/>
      <c r="V859" s="166"/>
      <c r="W859" s="166"/>
      <c r="X859" s="166"/>
      <c r="Y859" s="166"/>
    </row>
    <row r="860" ht="22.5" customHeight="1">
      <c r="A860" s="161"/>
      <c r="B860" s="162"/>
      <c r="C860" s="161"/>
      <c r="D860" s="168"/>
      <c r="E860" s="168"/>
      <c r="F860" s="162"/>
      <c r="G860" s="149"/>
      <c r="H860" s="161"/>
      <c r="I860" s="161"/>
      <c r="J860" s="161"/>
      <c r="K860" s="161"/>
      <c r="L860" s="161"/>
      <c r="M860" s="161"/>
      <c r="N860" s="149"/>
      <c r="O860" s="161"/>
      <c r="P860" s="161"/>
      <c r="S860" s="149"/>
      <c r="T860" s="161"/>
      <c r="V860" s="166"/>
      <c r="W860" s="166"/>
      <c r="X860" s="166"/>
      <c r="Y860" s="166"/>
    </row>
    <row r="861" ht="22.5" customHeight="1">
      <c r="A861" s="161"/>
      <c r="B861" s="162"/>
      <c r="C861" s="161"/>
      <c r="D861" s="168"/>
      <c r="E861" s="168"/>
      <c r="F861" s="162"/>
      <c r="G861" s="149"/>
      <c r="H861" s="161"/>
      <c r="I861" s="161"/>
      <c r="J861" s="161"/>
      <c r="K861" s="161"/>
      <c r="L861" s="161"/>
      <c r="M861" s="161"/>
      <c r="N861" s="149"/>
      <c r="O861" s="161"/>
      <c r="P861" s="161"/>
      <c r="S861" s="149"/>
      <c r="T861" s="161"/>
      <c r="V861" s="166"/>
      <c r="W861" s="166"/>
      <c r="X861" s="166"/>
      <c r="Y861" s="166"/>
    </row>
    <row r="862" ht="22.5" customHeight="1">
      <c r="A862" s="161"/>
      <c r="B862" s="162"/>
      <c r="C862" s="161"/>
      <c r="D862" s="168"/>
      <c r="E862" s="168"/>
      <c r="F862" s="162"/>
      <c r="G862" s="149"/>
      <c r="H862" s="161"/>
      <c r="I862" s="161"/>
      <c r="J862" s="161"/>
      <c r="K862" s="161"/>
      <c r="L862" s="161"/>
      <c r="M862" s="161"/>
      <c r="N862" s="149"/>
      <c r="O862" s="161"/>
      <c r="P862" s="161"/>
      <c r="S862" s="149"/>
      <c r="T862" s="161"/>
      <c r="V862" s="166"/>
      <c r="W862" s="166"/>
      <c r="X862" s="166"/>
      <c r="Y862" s="166"/>
    </row>
    <row r="863" ht="22.5" customHeight="1">
      <c r="A863" s="161"/>
      <c r="B863" s="162"/>
      <c r="C863" s="161"/>
      <c r="D863" s="168"/>
      <c r="E863" s="168"/>
      <c r="F863" s="162"/>
      <c r="G863" s="149"/>
      <c r="H863" s="161"/>
      <c r="I863" s="161"/>
      <c r="J863" s="161"/>
      <c r="K863" s="161"/>
      <c r="L863" s="161"/>
      <c r="M863" s="161"/>
      <c r="N863" s="149"/>
      <c r="O863" s="161"/>
      <c r="P863" s="161"/>
      <c r="S863" s="149"/>
      <c r="T863" s="161"/>
      <c r="V863" s="166"/>
      <c r="W863" s="166"/>
      <c r="X863" s="166"/>
      <c r="Y863" s="166"/>
    </row>
    <row r="864" ht="22.5" customHeight="1">
      <c r="A864" s="161"/>
      <c r="B864" s="162"/>
      <c r="C864" s="161"/>
      <c r="D864" s="168"/>
      <c r="E864" s="168"/>
      <c r="F864" s="162"/>
      <c r="G864" s="149"/>
      <c r="H864" s="161"/>
      <c r="I864" s="161"/>
      <c r="J864" s="161"/>
      <c r="K864" s="161"/>
      <c r="L864" s="161"/>
      <c r="M864" s="161"/>
      <c r="N864" s="149"/>
      <c r="O864" s="161"/>
      <c r="P864" s="161"/>
      <c r="S864" s="149"/>
      <c r="T864" s="161"/>
      <c r="V864" s="166"/>
      <c r="W864" s="166"/>
      <c r="X864" s="166"/>
      <c r="Y864" s="166"/>
    </row>
    <row r="865" ht="22.5" customHeight="1">
      <c r="A865" s="161"/>
      <c r="B865" s="162"/>
      <c r="C865" s="161"/>
      <c r="D865" s="168"/>
      <c r="E865" s="168"/>
      <c r="F865" s="162"/>
      <c r="G865" s="149"/>
      <c r="H865" s="161"/>
      <c r="I865" s="161"/>
      <c r="J865" s="161"/>
      <c r="K865" s="161"/>
      <c r="L865" s="161"/>
      <c r="M865" s="161"/>
      <c r="N865" s="149"/>
      <c r="O865" s="161"/>
      <c r="P865" s="161"/>
      <c r="S865" s="149"/>
      <c r="T865" s="161"/>
      <c r="V865" s="166"/>
      <c r="W865" s="166"/>
      <c r="X865" s="166"/>
      <c r="Y865" s="166"/>
    </row>
    <row r="866" ht="22.5" customHeight="1">
      <c r="A866" s="161"/>
      <c r="B866" s="162"/>
      <c r="C866" s="161"/>
      <c r="D866" s="168"/>
      <c r="E866" s="168"/>
      <c r="F866" s="162"/>
      <c r="G866" s="149"/>
      <c r="H866" s="161"/>
      <c r="I866" s="161"/>
      <c r="J866" s="161"/>
      <c r="K866" s="161"/>
      <c r="L866" s="161"/>
      <c r="M866" s="161"/>
      <c r="N866" s="149"/>
      <c r="O866" s="161"/>
      <c r="P866" s="161"/>
      <c r="S866" s="149"/>
      <c r="T866" s="161"/>
      <c r="V866" s="166"/>
      <c r="W866" s="166"/>
      <c r="X866" s="166"/>
      <c r="Y866" s="166"/>
    </row>
    <row r="867" ht="22.5" customHeight="1">
      <c r="A867" s="161"/>
      <c r="B867" s="162"/>
      <c r="C867" s="161"/>
      <c r="D867" s="168"/>
      <c r="E867" s="168"/>
      <c r="F867" s="162"/>
      <c r="G867" s="149"/>
      <c r="H867" s="161"/>
      <c r="I867" s="161"/>
      <c r="J867" s="161"/>
      <c r="K867" s="161"/>
      <c r="L867" s="161"/>
      <c r="M867" s="161"/>
      <c r="N867" s="149"/>
      <c r="O867" s="161"/>
      <c r="P867" s="161"/>
      <c r="S867" s="149"/>
      <c r="T867" s="161"/>
      <c r="V867" s="166"/>
      <c r="W867" s="166"/>
      <c r="X867" s="166"/>
      <c r="Y867" s="166"/>
    </row>
    <row r="868" ht="22.5" customHeight="1">
      <c r="A868" s="161"/>
      <c r="B868" s="162"/>
      <c r="C868" s="161"/>
      <c r="D868" s="168"/>
      <c r="E868" s="168"/>
      <c r="F868" s="162"/>
      <c r="G868" s="149"/>
      <c r="H868" s="161"/>
      <c r="I868" s="161"/>
      <c r="J868" s="161"/>
      <c r="K868" s="161"/>
      <c r="L868" s="161"/>
      <c r="M868" s="161"/>
      <c r="N868" s="149"/>
      <c r="O868" s="161"/>
      <c r="P868" s="161"/>
      <c r="S868" s="149"/>
      <c r="T868" s="161"/>
      <c r="V868" s="166"/>
      <c r="W868" s="166"/>
      <c r="X868" s="166"/>
      <c r="Y868" s="166"/>
    </row>
    <row r="869" ht="22.5" customHeight="1">
      <c r="A869" s="161"/>
      <c r="B869" s="162"/>
      <c r="C869" s="161"/>
      <c r="D869" s="168"/>
      <c r="E869" s="168"/>
      <c r="F869" s="162"/>
      <c r="G869" s="149"/>
      <c r="H869" s="161"/>
      <c r="I869" s="161"/>
      <c r="J869" s="161"/>
      <c r="K869" s="161"/>
      <c r="L869" s="161"/>
      <c r="M869" s="161"/>
      <c r="N869" s="149"/>
      <c r="O869" s="161"/>
      <c r="P869" s="161"/>
      <c r="S869" s="149"/>
      <c r="T869" s="161"/>
      <c r="V869" s="166"/>
      <c r="W869" s="166"/>
      <c r="X869" s="166"/>
      <c r="Y869" s="166"/>
    </row>
    <row r="870" ht="22.5" customHeight="1">
      <c r="A870" s="161"/>
      <c r="B870" s="162"/>
      <c r="C870" s="161"/>
      <c r="D870" s="168"/>
      <c r="E870" s="168"/>
      <c r="F870" s="162"/>
      <c r="G870" s="149"/>
      <c r="H870" s="161"/>
      <c r="I870" s="161"/>
      <c r="J870" s="161"/>
      <c r="K870" s="161"/>
      <c r="L870" s="161"/>
      <c r="M870" s="161"/>
      <c r="N870" s="149"/>
      <c r="O870" s="161"/>
      <c r="P870" s="161"/>
      <c r="S870" s="149"/>
      <c r="T870" s="161"/>
      <c r="V870" s="166"/>
      <c r="W870" s="166"/>
      <c r="X870" s="166"/>
      <c r="Y870" s="166"/>
    </row>
    <row r="871" ht="22.5" customHeight="1">
      <c r="A871" s="161"/>
      <c r="B871" s="162"/>
      <c r="C871" s="161"/>
      <c r="D871" s="168"/>
      <c r="E871" s="168"/>
      <c r="F871" s="162"/>
      <c r="G871" s="149"/>
      <c r="H871" s="161"/>
      <c r="I871" s="161"/>
      <c r="J871" s="161"/>
      <c r="K871" s="161"/>
      <c r="L871" s="161"/>
      <c r="M871" s="161"/>
      <c r="N871" s="149"/>
      <c r="O871" s="161"/>
      <c r="P871" s="161"/>
      <c r="S871" s="149"/>
      <c r="T871" s="161"/>
      <c r="V871" s="166"/>
      <c r="W871" s="166"/>
      <c r="X871" s="166"/>
      <c r="Y871" s="166"/>
    </row>
    <row r="872" ht="22.5" customHeight="1">
      <c r="A872" s="161"/>
      <c r="B872" s="162"/>
      <c r="C872" s="161"/>
      <c r="D872" s="168"/>
      <c r="E872" s="168"/>
      <c r="F872" s="162"/>
      <c r="G872" s="149"/>
      <c r="H872" s="161"/>
      <c r="I872" s="161"/>
      <c r="J872" s="161"/>
      <c r="K872" s="161"/>
      <c r="L872" s="161"/>
      <c r="M872" s="161"/>
      <c r="N872" s="149"/>
      <c r="O872" s="161"/>
      <c r="P872" s="161"/>
      <c r="S872" s="149"/>
      <c r="T872" s="161"/>
      <c r="V872" s="166"/>
      <c r="W872" s="166"/>
      <c r="X872" s="166"/>
      <c r="Y872" s="166"/>
    </row>
    <row r="873" ht="22.5" customHeight="1">
      <c r="A873" s="161"/>
      <c r="B873" s="162"/>
      <c r="C873" s="161"/>
      <c r="D873" s="168"/>
      <c r="E873" s="168"/>
      <c r="F873" s="162"/>
      <c r="G873" s="149"/>
      <c r="H873" s="161"/>
      <c r="I873" s="161"/>
      <c r="J873" s="161"/>
      <c r="K873" s="161"/>
      <c r="L873" s="161"/>
      <c r="M873" s="161"/>
      <c r="N873" s="149"/>
      <c r="O873" s="161"/>
      <c r="P873" s="161"/>
      <c r="S873" s="149"/>
      <c r="T873" s="161"/>
      <c r="V873" s="166"/>
      <c r="W873" s="166"/>
      <c r="X873" s="166"/>
      <c r="Y873" s="166"/>
    </row>
    <row r="874" ht="22.5" customHeight="1">
      <c r="A874" s="161"/>
      <c r="B874" s="162"/>
      <c r="C874" s="161"/>
      <c r="D874" s="168"/>
      <c r="E874" s="168"/>
      <c r="F874" s="162"/>
      <c r="G874" s="149"/>
      <c r="H874" s="161"/>
      <c r="I874" s="161"/>
      <c r="J874" s="161"/>
      <c r="K874" s="161"/>
      <c r="L874" s="161"/>
      <c r="M874" s="161"/>
      <c r="N874" s="149"/>
      <c r="O874" s="161"/>
      <c r="P874" s="161"/>
      <c r="S874" s="149"/>
      <c r="T874" s="161"/>
      <c r="V874" s="166"/>
      <c r="W874" s="166"/>
      <c r="X874" s="166"/>
      <c r="Y874" s="166"/>
    </row>
    <row r="875" ht="22.5" customHeight="1">
      <c r="A875" s="161"/>
      <c r="B875" s="162"/>
      <c r="C875" s="161"/>
      <c r="D875" s="168"/>
      <c r="E875" s="168"/>
      <c r="F875" s="162"/>
      <c r="G875" s="149"/>
      <c r="H875" s="161"/>
      <c r="I875" s="161"/>
      <c r="J875" s="161"/>
      <c r="K875" s="161"/>
      <c r="L875" s="161"/>
      <c r="M875" s="161"/>
      <c r="N875" s="149"/>
      <c r="O875" s="161"/>
      <c r="P875" s="161"/>
      <c r="S875" s="149"/>
      <c r="T875" s="161"/>
      <c r="V875" s="166"/>
      <c r="W875" s="166"/>
      <c r="X875" s="166"/>
      <c r="Y875" s="166"/>
    </row>
    <row r="876" ht="22.5" customHeight="1">
      <c r="A876" s="161"/>
      <c r="B876" s="162"/>
      <c r="C876" s="161"/>
      <c r="D876" s="168"/>
      <c r="E876" s="168"/>
      <c r="F876" s="162"/>
      <c r="G876" s="149"/>
      <c r="H876" s="161"/>
      <c r="I876" s="161"/>
      <c r="J876" s="161"/>
      <c r="K876" s="161"/>
      <c r="L876" s="161"/>
      <c r="M876" s="161"/>
      <c r="N876" s="149"/>
      <c r="O876" s="161"/>
      <c r="P876" s="161"/>
      <c r="S876" s="149"/>
      <c r="T876" s="161"/>
      <c r="V876" s="166"/>
      <c r="W876" s="166"/>
      <c r="X876" s="166"/>
      <c r="Y876" s="166"/>
    </row>
    <row r="877" ht="22.5" customHeight="1">
      <c r="A877" s="161"/>
      <c r="B877" s="162"/>
      <c r="C877" s="161"/>
      <c r="D877" s="168"/>
      <c r="E877" s="168"/>
      <c r="F877" s="162"/>
      <c r="G877" s="149"/>
      <c r="H877" s="161"/>
      <c r="I877" s="161"/>
      <c r="J877" s="161"/>
      <c r="K877" s="161"/>
      <c r="L877" s="161"/>
      <c r="M877" s="161"/>
      <c r="N877" s="149"/>
      <c r="O877" s="161"/>
      <c r="P877" s="161"/>
      <c r="S877" s="149"/>
      <c r="T877" s="161"/>
      <c r="V877" s="166"/>
      <c r="W877" s="166"/>
      <c r="X877" s="166"/>
      <c r="Y877" s="166"/>
    </row>
    <row r="878" ht="22.5" customHeight="1">
      <c r="A878" s="161"/>
      <c r="B878" s="162"/>
      <c r="C878" s="161"/>
      <c r="D878" s="168"/>
      <c r="E878" s="168"/>
      <c r="F878" s="162"/>
      <c r="G878" s="149"/>
      <c r="H878" s="161"/>
      <c r="I878" s="161"/>
      <c r="J878" s="161"/>
      <c r="K878" s="161"/>
      <c r="L878" s="161"/>
      <c r="M878" s="161"/>
      <c r="N878" s="149"/>
      <c r="O878" s="161"/>
      <c r="P878" s="161"/>
      <c r="S878" s="149"/>
      <c r="T878" s="161"/>
      <c r="V878" s="166"/>
      <c r="W878" s="166"/>
      <c r="X878" s="166"/>
      <c r="Y878" s="166"/>
    </row>
    <row r="879" ht="22.5" customHeight="1">
      <c r="A879" s="161"/>
      <c r="B879" s="162"/>
      <c r="C879" s="161"/>
      <c r="D879" s="168"/>
      <c r="E879" s="168"/>
      <c r="F879" s="162"/>
      <c r="G879" s="149"/>
      <c r="H879" s="161"/>
      <c r="I879" s="161"/>
      <c r="J879" s="161"/>
      <c r="K879" s="161"/>
      <c r="L879" s="161"/>
      <c r="M879" s="161"/>
      <c r="N879" s="149"/>
      <c r="O879" s="161"/>
      <c r="P879" s="161"/>
      <c r="S879" s="149"/>
      <c r="T879" s="161"/>
      <c r="V879" s="166"/>
      <c r="W879" s="166"/>
      <c r="X879" s="166"/>
      <c r="Y879" s="166"/>
    </row>
    <row r="880" ht="22.5" customHeight="1">
      <c r="A880" s="161"/>
      <c r="B880" s="162"/>
      <c r="C880" s="161"/>
      <c r="D880" s="168"/>
      <c r="E880" s="168"/>
      <c r="F880" s="162"/>
      <c r="G880" s="149"/>
      <c r="H880" s="161"/>
      <c r="I880" s="161"/>
      <c r="J880" s="161"/>
      <c r="K880" s="161"/>
      <c r="L880" s="161"/>
      <c r="M880" s="161"/>
      <c r="N880" s="149"/>
      <c r="O880" s="161"/>
      <c r="P880" s="161"/>
      <c r="S880" s="149"/>
      <c r="T880" s="161"/>
      <c r="V880" s="166"/>
      <c r="W880" s="166"/>
      <c r="X880" s="166"/>
      <c r="Y880" s="166"/>
    </row>
    <row r="881" ht="22.5" customHeight="1">
      <c r="A881" s="161"/>
      <c r="B881" s="162"/>
      <c r="C881" s="161"/>
      <c r="D881" s="168"/>
      <c r="E881" s="168"/>
      <c r="F881" s="162"/>
      <c r="G881" s="149"/>
      <c r="H881" s="161"/>
      <c r="I881" s="161"/>
      <c r="J881" s="161"/>
      <c r="K881" s="161"/>
      <c r="L881" s="161"/>
      <c r="M881" s="161"/>
      <c r="N881" s="149"/>
      <c r="O881" s="161"/>
      <c r="P881" s="161"/>
      <c r="S881" s="149"/>
      <c r="T881" s="161"/>
      <c r="V881" s="166"/>
      <c r="W881" s="166"/>
      <c r="X881" s="166"/>
      <c r="Y881" s="166"/>
    </row>
    <row r="882" ht="22.5" customHeight="1">
      <c r="A882" s="161"/>
      <c r="B882" s="162"/>
      <c r="C882" s="161"/>
      <c r="D882" s="168"/>
      <c r="E882" s="168"/>
      <c r="F882" s="162"/>
      <c r="G882" s="149"/>
      <c r="H882" s="161"/>
      <c r="I882" s="161"/>
      <c r="J882" s="161"/>
      <c r="K882" s="161"/>
      <c r="L882" s="161"/>
      <c r="M882" s="161"/>
      <c r="N882" s="149"/>
      <c r="O882" s="161"/>
      <c r="P882" s="161"/>
      <c r="S882" s="149"/>
      <c r="T882" s="161"/>
      <c r="V882" s="166"/>
      <c r="W882" s="166"/>
      <c r="X882" s="166"/>
      <c r="Y882" s="166"/>
    </row>
    <row r="883" ht="22.5" customHeight="1">
      <c r="A883" s="161"/>
      <c r="B883" s="162"/>
      <c r="C883" s="161"/>
      <c r="D883" s="168"/>
      <c r="E883" s="168"/>
      <c r="F883" s="162"/>
      <c r="G883" s="149"/>
      <c r="H883" s="161"/>
      <c r="I883" s="161"/>
      <c r="J883" s="161"/>
      <c r="K883" s="161"/>
      <c r="L883" s="161"/>
      <c r="M883" s="161"/>
      <c r="N883" s="149"/>
      <c r="O883" s="161"/>
      <c r="P883" s="161"/>
      <c r="S883" s="149"/>
      <c r="T883" s="161"/>
      <c r="V883" s="166"/>
      <c r="W883" s="166"/>
      <c r="X883" s="166"/>
      <c r="Y883" s="166"/>
    </row>
    <row r="884" ht="22.5" customHeight="1">
      <c r="A884" s="161"/>
      <c r="B884" s="162"/>
      <c r="C884" s="161"/>
      <c r="D884" s="168"/>
      <c r="E884" s="168"/>
      <c r="F884" s="162"/>
      <c r="G884" s="149"/>
      <c r="H884" s="161"/>
      <c r="I884" s="161"/>
      <c r="J884" s="161"/>
      <c r="K884" s="161"/>
      <c r="L884" s="161"/>
      <c r="M884" s="161"/>
      <c r="N884" s="149"/>
      <c r="O884" s="161"/>
      <c r="P884" s="161"/>
      <c r="S884" s="149"/>
      <c r="T884" s="161"/>
      <c r="V884" s="166"/>
      <c r="W884" s="166"/>
      <c r="X884" s="166"/>
      <c r="Y884" s="166"/>
    </row>
    <row r="885" ht="22.5" customHeight="1">
      <c r="A885" s="161"/>
      <c r="B885" s="162"/>
      <c r="C885" s="161"/>
      <c r="D885" s="168"/>
      <c r="E885" s="168"/>
      <c r="F885" s="162"/>
      <c r="G885" s="149"/>
      <c r="H885" s="161"/>
      <c r="I885" s="161"/>
      <c r="J885" s="161"/>
      <c r="K885" s="161"/>
      <c r="L885" s="161"/>
      <c r="M885" s="161"/>
      <c r="N885" s="149"/>
      <c r="O885" s="161"/>
      <c r="P885" s="161"/>
      <c r="S885" s="149"/>
      <c r="T885" s="161"/>
      <c r="V885" s="166"/>
      <c r="W885" s="166"/>
      <c r="X885" s="166"/>
      <c r="Y885" s="166"/>
    </row>
    <row r="886" ht="22.5" customHeight="1">
      <c r="A886" s="161"/>
      <c r="B886" s="162"/>
      <c r="C886" s="161"/>
      <c r="D886" s="168"/>
      <c r="E886" s="168"/>
      <c r="F886" s="162"/>
      <c r="G886" s="149"/>
      <c r="H886" s="161"/>
      <c r="I886" s="161"/>
      <c r="J886" s="161"/>
      <c r="K886" s="161"/>
      <c r="L886" s="161"/>
      <c r="M886" s="161"/>
      <c r="N886" s="149"/>
      <c r="O886" s="161"/>
      <c r="P886" s="161"/>
      <c r="S886" s="149"/>
      <c r="T886" s="161"/>
      <c r="V886" s="166"/>
      <c r="W886" s="166"/>
      <c r="X886" s="166"/>
      <c r="Y886" s="166"/>
    </row>
    <row r="887" ht="22.5" customHeight="1">
      <c r="A887" s="161"/>
      <c r="B887" s="162"/>
      <c r="C887" s="161"/>
      <c r="D887" s="168"/>
      <c r="E887" s="168"/>
      <c r="F887" s="162"/>
      <c r="G887" s="149"/>
      <c r="H887" s="161"/>
      <c r="I887" s="161"/>
      <c r="J887" s="161"/>
      <c r="K887" s="161"/>
      <c r="L887" s="161"/>
      <c r="M887" s="161"/>
      <c r="N887" s="149"/>
      <c r="O887" s="161"/>
      <c r="P887" s="161"/>
      <c r="S887" s="149"/>
      <c r="T887" s="161"/>
      <c r="V887" s="166"/>
      <c r="W887" s="166"/>
      <c r="X887" s="166"/>
      <c r="Y887" s="166"/>
    </row>
    <row r="888" ht="22.5" customHeight="1">
      <c r="A888" s="161"/>
      <c r="B888" s="162"/>
      <c r="C888" s="161"/>
      <c r="D888" s="168"/>
      <c r="E888" s="168"/>
      <c r="F888" s="162"/>
      <c r="G888" s="149"/>
      <c r="H888" s="161"/>
      <c r="I888" s="161"/>
      <c r="J888" s="161"/>
      <c r="K888" s="161"/>
      <c r="L888" s="161"/>
      <c r="M888" s="161"/>
      <c r="N888" s="149"/>
      <c r="O888" s="161"/>
      <c r="P888" s="161"/>
      <c r="S888" s="149"/>
      <c r="T888" s="161"/>
      <c r="V888" s="166"/>
      <c r="W888" s="166"/>
      <c r="X888" s="166"/>
      <c r="Y888" s="166"/>
    </row>
    <row r="889" ht="22.5" customHeight="1">
      <c r="A889" s="161"/>
      <c r="B889" s="162"/>
      <c r="C889" s="161"/>
      <c r="D889" s="168"/>
      <c r="E889" s="168"/>
      <c r="F889" s="162"/>
      <c r="G889" s="149"/>
      <c r="H889" s="161"/>
      <c r="I889" s="161"/>
      <c r="J889" s="161"/>
      <c r="K889" s="161"/>
      <c r="L889" s="161"/>
      <c r="M889" s="161"/>
      <c r="N889" s="149"/>
      <c r="O889" s="161"/>
      <c r="P889" s="161"/>
      <c r="S889" s="149"/>
      <c r="T889" s="161"/>
      <c r="V889" s="166"/>
      <c r="W889" s="166"/>
      <c r="X889" s="166"/>
      <c r="Y889" s="166"/>
    </row>
    <row r="890" ht="22.5" customHeight="1">
      <c r="A890" s="161"/>
      <c r="B890" s="162"/>
      <c r="C890" s="161"/>
      <c r="D890" s="168"/>
      <c r="E890" s="168"/>
      <c r="F890" s="162"/>
      <c r="G890" s="149"/>
      <c r="H890" s="161"/>
      <c r="I890" s="161"/>
      <c r="J890" s="161"/>
      <c r="K890" s="161"/>
      <c r="L890" s="161"/>
      <c r="M890" s="161"/>
      <c r="N890" s="149"/>
      <c r="O890" s="161"/>
      <c r="P890" s="161"/>
      <c r="S890" s="149"/>
      <c r="T890" s="161"/>
      <c r="V890" s="166"/>
      <c r="W890" s="166"/>
      <c r="X890" s="166"/>
      <c r="Y890" s="166"/>
    </row>
    <row r="891" ht="22.5" customHeight="1">
      <c r="A891" s="161"/>
      <c r="B891" s="162"/>
      <c r="C891" s="161"/>
      <c r="D891" s="168"/>
      <c r="E891" s="168"/>
      <c r="F891" s="162"/>
      <c r="G891" s="149"/>
      <c r="H891" s="161"/>
      <c r="I891" s="161"/>
      <c r="J891" s="161"/>
      <c r="K891" s="161"/>
      <c r="L891" s="161"/>
      <c r="M891" s="161"/>
      <c r="N891" s="149"/>
      <c r="O891" s="161"/>
      <c r="P891" s="161"/>
      <c r="S891" s="149"/>
      <c r="T891" s="161"/>
      <c r="V891" s="166"/>
      <c r="W891" s="166"/>
      <c r="X891" s="166"/>
      <c r="Y891" s="166"/>
    </row>
    <row r="892" ht="22.5" customHeight="1">
      <c r="A892" s="161"/>
      <c r="B892" s="162"/>
      <c r="C892" s="161"/>
      <c r="D892" s="168"/>
      <c r="E892" s="168"/>
      <c r="F892" s="162"/>
      <c r="G892" s="149"/>
      <c r="H892" s="161"/>
      <c r="I892" s="161"/>
      <c r="J892" s="161"/>
      <c r="K892" s="161"/>
      <c r="L892" s="161"/>
      <c r="M892" s="161"/>
      <c r="N892" s="149"/>
      <c r="O892" s="161"/>
      <c r="P892" s="161"/>
      <c r="S892" s="149"/>
      <c r="T892" s="161"/>
      <c r="V892" s="166"/>
      <c r="W892" s="166"/>
      <c r="X892" s="166"/>
      <c r="Y892" s="166"/>
    </row>
    <row r="893" ht="22.5" customHeight="1">
      <c r="A893" s="161"/>
      <c r="B893" s="162"/>
      <c r="C893" s="161"/>
      <c r="D893" s="168"/>
      <c r="E893" s="168"/>
      <c r="F893" s="162"/>
      <c r="G893" s="149"/>
      <c r="H893" s="161"/>
      <c r="I893" s="161"/>
      <c r="J893" s="161"/>
      <c r="K893" s="161"/>
      <c r="L893" s="161"/>
      <c r="M893" s="161"/>
      <c r="N893" s="149"/>
      <c r="O893" s="161"/>
      <c r="P893" s="161"/>
      <c r="S893" s="149"/>
      <c r="T893" s="161"/>
      <c r="V893" s="166"/>
      <c r="W893" s="166"/>
      <c r="X893" s="166"/>
      <c r="Y893" s="166"/>
    </row>
    <row r="894" ht="22.5" customHeight="1">
      <c r="A894" s="161"/>
      <c r="B894" s="162"/>
      <c r="C894" s="161"/>
      <c r="D894" s="168"/>
      <c r="E894" s="168"/>
      <c r="F894" s="162"/>
      <c r="G894" s="149"/>
      <c r="H894" s="161"/>
      <c r="I894" s="161"/>
      <c r="J894" s="161"/>
      <c r="K894" s="161"/>
      <c r="L894" s="161"/>
      <c r="M894" s="161"/>
      <c r="N894" s="149"/>
      <c r="O894" s="161"/>
      <c r="P894" s="161"/>
      <c r="S894" s="149"/>
      <c r="T894" s="161"/>
      <c r="V894" s="166"/>
      <c r="W894" s="166"/>
      <c r="X894" s="166"/>
      <c r="Y894" s="166"/>
    </row>
    <row r="895" ht="22.5" customHeight="1">
      <c r="A895" s="161"/>
      <c r="B895" s="162"/>
      <c r="C895" s="161"/>
      <c r="D895" s="168"/>
      <c r="E895" s="168"/>
      <c r="F895" s="162"/>
      <c r="G895" s="149"/>
      <c r="H895" s="161"/>
      <c r="I895" s="161"/>
      <c r="J895" s="161"/>
      <c r="K895" s="161"/>
      <c r="L895" s="161"/>
      <c r="M895" s="161"/>
      <c r="N895" s="149"/>
      <c r="O895" s="161"/>
      <c r="P895" s="161"/>
      <c r="S895" s="149"/>
      <c r="T895" s="161"/>
      <c r="V895" s="166"/>
      <c r="W895" s="166"/>
      <c r="X895" s="166"/>
      <c r="Y895" s="166"/>
    </row>
    <row r="896" ht="22.5" customHeight="1">
      <c r="A896" s="161"/>
      <c r="B896" s="162"/>
      <c r="C896" s="161"/>
      <c r="D896" s="168"/>
      <c r="E896" s="168"/>
      <c r="F896" s="162"/>
      <c r="G896" s="149"/>
      <c r="H896" s="161"/>
      <c r="I896" s="161"/>
      <c r="J896" s="161"/>
      <c r="K896" s="161"/>
      <c r="L896" s="161"/>
      <c r="M896" s="161"/>
      <c r="N896" s="149"/>
      <c r="O896" s="161"/>
      <c r="P896" s="161"/>
      <c r="S896" s="149"/>
      <c r="T896" s="161"/>
      <c r="V896" s="166"/>
      <c r="W896" s="166"/>
      <c r="X896" s="166"/>
      <c r="Y896" s="166"/>
    </row>
    <row r="897" ht="22.5" customHeight="1">
      <c r="A897" s="161"/>
      <c r="B897" s="162"/>
      <c r="C897" s="161"/>
      <c r="D897" s="168"/>
      <c r="E897" s="168"/>
      <c r="F897" s="162"/>
      <c r="G897" s="149"/>
      <c r="H897" s="161"/>
      <c r="I897" s="161"/>
      <c r="J897" s="161"/>
      <c r="K897" s="161"/>
      <c r="L897" s="161"/>
      <c r="M897" s="161"/>
      <c r="N897" s="149"/>
      <c r="O897" s="161"/>
      <c r="P897" s="161"/>
      <c r="S897" s="149"/>
      <c r="T897" s="161"/>
      <c r="V897" s="166"/>
      <c r="W897" s="166"/>
      <c r="X897" s="166"/>
      <c r="Y897" s="166"/>
    </row>
    <row r="898" ht="22.5" customHeight="1">
      <c r="A898" s="161"/>
      <c r="B898" s="162"/>
      <c r="C898" s="161"/>
      <c r="D898" s="168"/>
      <c r="E898" s="168"/>
      <c r="F898" s="162"/>
      <c r="G898" s="149"/>
      <c r="H898" s="161"/>
      <c r="I898" s="161"/>
      <c r="J898" s="161"/>
      <c r="K898" s="161"/>
      <c r="L898" s="161"/>
      <c r="M898" s="161"/>
      <c r="N898" s="149"/>
      <c r="O898" s="161"/>
      <c r="P898" s="161"/>
      <c r="S898" s="149"/>
      <c r="T898" s="161"/>
      <c r="V898" s="166"/>
      <c r="W898" s="166"/>
      <c r="X898" s="166"/>
      <c r="Y898" s="166"/>
    </row>
    <row r="899" ht="22.5" customHeight="1">
      <c r="A899" s="161"/>
      <c r="B899" s="162"/>
      <c r="C899" s="161"/>
      <c r="D899" s="168"/>
      <c r="E899" s="168"/>
      <c r="F899" s="162"/>
      <c r="G899" s="149"/>
      <c r="H899" s="161"/>
      <c r="I899" s="161"/>
      <c r="J899" s="161"/>
      <c r="K899" s="161"/>
      <c r="L899" s="161"/>
      <c r="M899" s="161"/>
      <c r="N899" s="149"/>
      <c r="O899" s="161"/>
      <c r="P899" s="161"/>
      <c r="S899" s="149"/>
      <c r="T899" s="161"/>
      <c r="V899" s="166"/>
      <c r="W899" s="166"/>
      <c r="X899" s="166"/>
      <c r="Y899" s="166"/>
    </row>
    <row r="900" ht="22.5" customHeight="1">
      <c r="A900" s="161"/>
      <c r="B900" s="162"/>
      <c r="C900" s="161"/>
      <c r="D900" s="168"/>
      <c r="E900" s="168"/>
      <c r="F900" s="162"/>
      <c r="G900" s="149"/>
      <c r="H900" s="161"/>
      <c r="I900" s="161"/>
      <c r="J900" s="161"/>
      <c r="K900" s="161"/>
      <c r="L900" s="161"/>
      <c r="M900" s="161"/>
      <c r="N900" s="149"/>
      <c r="O900" s="161"/>
      <c r="P900" s="161"/>
      <c r="S900" s="149"/>
      <c r="T900" s="161"/>
      <c r="V900" s="166"/>
      <c r="W900" s="166"/>
      <c r="X900" s="166"/>
      <c r="Y900" s="166"/>
    </row>
    <row r="901" ht="22.5" customHeight="1">
      <c r="A901" s="161"/>
      <c r="B901" s="162"/>
      <c r="C901" s="161"/>
      <c r="D901" s="168"/>
      <c r="E901" s="168"/>
      <c r="F901" s="162"/>
      <c r="G901" s="149"/>
      <c r="H901" s="161"/>
      <c r="I901" s="161"/>
      <c r="J901" s="161"/>
      <c r="K901" s="161"/>
      <c r="L901" s="161"/>
      <c r="M901" s="161"/>
      <c r="N901" s="149"/>
      <c r="O901" s="161"/>
      <c r="P901" s="161"/>
      <c r="S901" s="149"/>
      <c r="T901" s="161"/>
      <c r="V901" s="166"/>
      <c r="W901" s="166"/>
      <c r="X901" s="166"/>
      <c r="Y901" s="166"/>
    </row>
    <row r="902" ht="22.5" customHeight="1">
      <c r="A902" s="161"/>
      <c r="B902" s="162"/>
      <c r="C902" s="161"/>
      <c r="D902" s="168"/>
      <c r="E902" s="168"/>
      <c r="F902" s="162"/>
      <c r="G902" s="149"/>
      <c r="H902" s="161"/>
      <c r="I902" s="161"/>
      <c r="J902" s="161"/>
      <c r="K902" s="161"/>
      <c r="L902" s="161"/>
      <c r="M902" s="161"/>
      <c r="N902" s="149"/>
      <c r="O902" s="161"/>
      <c r="P902" s="161"/>
      <c r="S902" s="149"/>
      <c r="T902" s="161"/>
      <c r="V902" s="166"/>
      <c r="W902" s="166"/>
      <c r="X902" s="166"/>
      <c r="Y902" s="166"/>
    </row>
    <row r="903" ht="22.5" customHeight="1">
      <c r="A903" s="161"/>
      <c r="B903" s="162"/>
      <c r="C903" s="161"/>
      <c r="D903" s="168"/>
      <c r="E903" s="168"/>
      <c r="F903" s="162"/>
      <c r="G903" s="149"/>
      <c r="H903" s="161"/>
      <c r="I903" s="161"/>
      <c r="J903" s="161"/>
      <c r="K903" s="161"/>
      <c r="L903" s="161"/>
      <c r="M903" s="161"/>
      <c r="N903" s="149"/>
      <c r="O903" s="161"/>
      <c r="P903" s="161"/>
      <c r="S903" s="149"/>
      <c r="T903" s="161"/>
      <c r="V903" s="166"/>
      <c r="W903" s="166"/>
      <c r="X903" s="166"/>
      <c r="Y903" s="166"/>
    </row>
    <row r="904" ht="22.5" customHeight="1">
      <c r="A904" s="161"/>
      <c r="B904" s="162"/>
      <c r="C904" s="161"/>
      <c r="D904" s="168"/>
      <c r="E904" s="168"/>
      <c r="F904" s="162"/>
      <c r="G904" s="149"/>
      <c r="H904" s="161"/>
      <c r="I904" s="161"/>
      <c r="J904" s="161"/>
      <c r="K904" s="161"/>
      <c r="L904" s="161"/>
      <c r="M904" s="161"/>
      <c r="N904" s="149"/>
      <c r="O904" s="161"/>
      <c r="P904" s="161"/>
      <c r="S904" s="149"/>
      <c r="T904" s="161"/>
      <c r="V904" s="166"/>
      <c r="W904" s="166"/>
      <c r="X904" s="166"/>
      <c r="Y904" s="166"/>
    </row>
    <row r="905" ht="22.5" customHeight="1">
      <c r="A905" s="161"/>
      <c r="B905" s="162"/>
      <c r="C905" s="161"/>
      <c r="D905" s="168"/>
      <c r="E905" s="168"/>
      <c r="F905" s="162"/>
      <c r="G905" s="149"/>
      <c r="H905" s="161"/>
      <c r="I905" s="161"/>
      <c r="J905" s="161"/>
      <c r="K905" s="161"/>
      <c r="L905" s="161"/>
      <c r="M905" s="161"/>
      <c r="N905" s="149"/>
      <c r="O905" s="161"/>
      <c r="P905" s="161"/>
      <c r="S905" s="149"/>
      <c r="T905" s="161"/>
      <c r="V905" s="166"/>
      <c r="W905" s="166"/>
      <c r="X905" s="166"/>
      <c r="Y905" s="166"/>
    </row>
    <row r="906" ht="22.5" customHeight="1">
      <c r="A906" s="161"/>
      <c r="B906" s="162"/>
      <c r="C906" s="161"/>
      <c r="D906" s="168"/>
      <c r="E906" s="168"/>
      <c r="F906" s="162"/>
      <c r="G906" s="149"/>
      <c r="H906" s="161"/>
      <c r="I906" s="161"/>
      <c r="J906" s="161"/>
      <c r="K906" s="161"/>
      <c r="L906" s="161"/>
      <c r="M906" s="161"/>
      <c r="N906" s="149"/>
      <c r="O906" s="161"/>
      <c r="P906" s="161"/>
      <c r="S906" s="149"/>
      <c r="T906" s="161"/>
      <c r="V906" s="166"/>
      <c r="W906" s="166"/>
      <c r="X906" s="166"/>
      <c r="Y906" s="166"/>
    </row>
    <row r="907" ht="22.5" customHeight="1">
      <c r="A907" s="161"/>
      <c r="B907" s="162"/>
      <c r="C907" s="161"/>
      <c r="D907" s="168"/>
      <c r="E907" s="168"/>
      <c r="F907" s="162"/>
      <c r="G907" s="149"/>
      <c r="H907" s="161"/>
      <c r="I907" s="161"/>
      <c r="J907" s="161"/>
      <c r="K907" s="161"/>
      <c r="L907" s="161"/>
      <c r="M907" s="161"/>
      <c r="N907" s="149"/>
      <c r="O907" s="161"/>
      <c r="P907" s="161"/>
      <c r="S907" s="149"/>
      <c r="T907" s="161"/>
      <c r="V907" s="166"/>
      <c r="W907" s="166"/>
      <c r="X907" s="166"/>
      <c r="Y907" s="166"/>
    </row>
    <row r="908" ht="22.5" customHeight="1">
      <c r="A908" s="161"/>
      <c r="B908" s="162"/>
      <c r="C908" s="161"/>
      <c r="D908" s="168"/>
      <c r="E908" s="168"/>
      <c r="F908" s="162"/>
      <c r="G908" s="149"/>
      <c r="H908" s="161"/>
      <c r="I908" s="161"/>
      <c r="J908" s="161"/>
      <c r="K908" s="161"/>
      <c r="L908" s="161"/>
      <c r="M908" s="161"/>
      <c r="N908" s="149"/>
      <c r="O908" s="161"/>
      <c r="P908" s="161"/>
      <c r="S908" s="149"/>
      <c r="T908" s="161"/>
      <c r="V908" s="166"/>
      <c r="W908" s="166"/>
      <c r="X908" s="166"/>
      <c r="Y908" s="166"/>
    </row>
    <row r="909" ht="22.5" customHeight="1">
      <c r="A909" s="161"/>
      <c r="B909" s="162"/>
      <c r="C909" s="161"/>
      <c r="D909" s="168"/>
      <c r="E909" s="168"/>
      <c r="F909" s="162"/>
      <c r="G909" s="149"/>
      <c r="H909" s="161"/>
      <c r="I909" s="161"/>
      <c r="J909" s="161"/>
      <c r="K909" s="161"/>
      <c r="L909" s="161"/>
      <c r="M909" s="161"/>
      <c r="N909" s="149"/>
      <c r="O909" s="161"/>
      <c r="P909" s="161"/>
      <c r="S909" s="149"/>
      <c r="T909" s="161"/>
      <c r="V909" s="166"/>
      <c r="W909" s="166"/>
      <c r="X909" s="166"/>
      <c r="Y909" s="166"/>
    </row>
    <row r="910" ht="22.5" customHeight="1">
      <c r="A910" s="161"/>
      <c r="B910" s="162"/>
      <c r="C910" s="161"/>
      <c r="D910" s="168"/>
      <c r="E910" s="168"/>
      <c r="F910" s="162"/>
      <c r="G910" s="149"/>
      <c r="H910" s="161"/>
      <c r="I910" s="161"/>
      <c r="J910" s="161"/>
      <c r="K910" s="161"/>
      <c r="L910" s="161"/>
      <c r="M910" s="161"/>
      <c r="N910" s="149"/>
      <c r="O910" s="161"/>
      <c r="P910" s="161"/>
      <c r="S910" s="149"/>
      <c r="T910" s="161"/>
      <c r="V910" s="166"/>
      <c r="W910" s="166"/>
      <c r="X910" s="166"/>
      <c r="Y910" s="166"/>
    </row>
    <row r="911" ht="22.5" customHeight="1">
      <c r="A911" s="161"/>
      <c r="B911" s="162"/>
      <c r="C911" s="161"/>
      <c r="D911" s="168"/>
      <c r="E911" s="168"/>
      <c r="F911" s="162"/>
      <c r="G911" s="149"/>
      <c r="H911" s="161"/>
      <c r="I911" s="161"/>
      <c r="J911" s="161"/>
      <c r="K911" s="161"/>
      <c r="L911" s="161"/>
      <c r="M911" s="161"/>
      <c r="N911" s="149"/>
      <c r="O911" s="161"/>
      <c r="P911" s="161"/>
      <c r="S911" s="149"/>
      <c r="T911" s="161"/>
      <c r="V911" s="166"/>
      <c r="W911" s="166"/>
      <c r="X911" s="166"/>
      <c r="Y911" s="166"/>
    </row>
    <row r="912" ht="22.5" customHeight="1">
      <c r="A912" s="161"/>
      <c r="B912" s="162"/>
      <c r="C912" s="161"/>
      <c r="D912" s="168"/>
      <c r="E912" s="168"/>
      <c r="F912" s="162"/>
      <c r="G912" s="149"/>
      <c r="H912" s="161"/>
      <c r="I912" s="161"/>
      <c r="J912" s="161"/>
      <c r="K912" s="161"/>
      <c r="L912" s="161"/>
      <c r="M912" s="161"/>
      <c r="N912" s="149"/>
      <c r="O912" s="161"/>
      <c r="P912" s="161"/>
      <c r="S912" s="149"/>
      <c r="T912" s="161"/>
      <c r="V912" s="166"/>
      <c r="W912" s="166"/>
      <c r="X912" s="166"/>
      <c r="Y912" s="166"/>
    </row>
    <row r="913" ht="22.5" customHeight="1">
      <c r="A913" s="161"/>
      <c r="B913" s="162"/>
      <c r="C913" s="161"/>
      <c r="D913" s="168"/>
      <c r="E913" s="168"/>
      <c r="F913" s="162"/>
      <c r="G913" s="149"/>
      <c r="H913" s="161"/>
      <c r="I913" s="161"/>
      <c r="J913" s="161"/>
      <c r="K913" s="161"/>
      <c r="L913" s="161"/>
      <c r="M913" s="161"/>
      <c r="N913" s="149"/>
      <c r="O913" s="161"/>
      <c r="P913" s="161"/>
      <c r="S913" s="149"/>
      <c r="T913" s="161"/>
      <c r="V913" s="166"/>
      <c r="W913" s="166"/>
      <c r="X913" s="166"/>
      <c r="Y913" s="166"/>
    </row>
    <row r="914" ht="22.5" customHeight="1">
      <c r="A914" s="161"/>
      <c r="B914" s="162"/>
      <c r="C914" s="161"/>
      <c r="D914" s="168"/>
      <c r="E914" s="168"/>
      <c r="F914" s="162"/>
      <c r="G914" s="149"/>
      <c r="H914" s="161"/>
      <c r="I914" s="161"/>
      <c r="J914" s="161"/>
      <c r="K914" s="161"/>
      <c r="L914" s="161"/>
      <c r="M914" s="161"/>
      <c r="N914" s="149"/>
      <c r="O914" s="161"/>
      <c r="P914" s="161"/>
      <c r="S914" s="149"/>
      <c r="T914" s="161"/>
      <c r="V914" s="166"/>
      <c r="W914" s="166"/>
      <c r="X914" s="166"/>
      <c r="Y914" s="166"/>
    </row>
    <row r="915" ht="22.5" customHeight="1">
      <c r="A915" s="161"/>
      <c r="B915" s="162"/>
      <c r="C915" s="161"/>
      <c r="D915" s="168"/>
      <c r="E915" s="168"/>
      <c r="F915" s="162"/>
      <c r="G915" s="149"/>
      <c r="H915" s="161"/>
      <c r="I915" s="161"/>
      <c r="J915" s="161"/>
      <c r="K915" s="161"/>
      <c r="L915" s="161"/>
      <c r="M915" s="161"/>
      <c r="N915" s="149"/>
      <c r="O915" s="161"/>
      <c r="P915" s="161"/>
      <c r="S915" s="149"/>
      <c r="T915" s="161"/>
      <c r="V915" s="166"/>
      <c r="W915" s="166"/>
      <c r="X915" s="166"/>
      <c r="Y915" s="166"/>
    </row>
    <row r="916" ht="22.5" customHeight="1">
      <c r="A916" s="161"/>
      <c r="B916" s="162"/>
      <c r="C916" s="161"/>
      <c r="D916" s="168"/>
      <c r="E916" s="168"/>
      <c r="F916" s="162"/>
      <c r="G916" s="149"/>
      <c r="H916" s="161"/>
      <c r="I916" s="161"/>
      <c r="J916" s="161"/>
      <c r="K916" s="161"/>
      <c r="L916" s="161"/>
      <c r="M916" s="161"/>
      <c r="N916" s="149"/>
      <c r="O916" s="161"/>
      <c r="P916" s="161"/>
      <c r="S916" s="149"/>
      <c r="T916" s="161"/>
      <c r="V916" s="166"/>
      <c r="W916" s="166"/>
      <c r="X916" s="166"/>
      <c r="Y916" s="166"/>
    </row>
    <row r="917" ht="22.5" customHeight="1">
      <c r="A917" s="161"/>
      <c r="B917" s="162"/>
      <c r="C917" s="161"/>
      <c r="D917" s="168"/>
      <c r="E917" s="168"/>
      <c r="F917" s="162"/>
      <c r="G917" s="149"/>
      <c r="H917" s="161"/>
      <c r="I917" s="161"/>
      <c r="J917" s="161"/>
      <c r="K917" s="161"/>
      <c r="L917" s="161"/>
      <c r="M917" s="161"/>
      <c r="N917" s="149"/>
      <c r="O917" s="161"/>
      <c r="P917" s="161"/>
      <c r="S917" s="149"/>
      <c r="T917" s="161"/>
      <c r="V917" s="166"/>
      <c r="W917" s="166"/>
      <c r="X917" s="166"/>
      <c r="Y917" s="166"/>
    </row>
    <row r="918" ht="22.5" customHeight="1">
      <c r="A918" s="161"/>
      <c r="B918" s="162"/>
      <c r="C918" s="161"/>
      <c r="D918" s="168"/>
      <c r="E918" s="168"/>
      <c r="F918" s="162"/>
      <c r="G918" s="149"/>
      <c r="H918" s="161"/>
      <c r="I918" s="161"/>
      <c r="J918" s="161"/>
      <c r="K918" s="161"/>
      <c r="L918" s="161"/>
      <c r="M918" s="161"/>
      <c r="N918" s="149"/>
      <c r="O918" s="161"/>
      <c r="P918" s="161"/>
      <c r="S918" s="149"/>
      <c r="T918" s="161"/>
      <c r="V918" s="166"/>
      <c r="W918" s="166"/>
      <c r="X918" s="166"/>
      <c r="Y918" s="166"/>
    </row>
    <row r="919" ht="22.5" customHeight="1">
      <c r="A919" s="161"/>
      <c r="B919" s="162"/>
      <c r="C919" s="161"/>
      <c r="D919" s="168"/>
      <c r="E919" s="168"/>
      <c r="F919" s="162"/>
      <c r="G919" s="149"/>
      <c r="H919" s="161"/>
      <c r="I919" s="161"/>
      <c r="J919" s="161"/>
      <c r="K919" s="161"/>
      <c r="L919" s="161"/>
      <c r="M919" s="161"/>
      <c r="N919" s="149"/>
      <c r="O919" s="161"/>
      <c r="P919" s="161"/>
      <c r="S919" s="149"/>
      <c r="T919" s="161"/>
      <c r="V919" s="166"/>
      <c r="W919" s="166"/>
      <c r="X919" s="166"/>
      <c r="Y919" s="166"/>
    </row>
    <row r="920" ht="22.5" customHeight="1">
      <c r="A920" s="161"/>
      <c r="B920" s="162"/>
      <c r="C920" s="161"/>
      <c r="D920" s="168"/>
      <c r="E920" s="168"/>
      <c r="F920" s="162"/>
      <c r="G920" s="149"/>
      <c r="H920" s="161"/>
      <c r="I920" s="161"/>
      <c r="J920" s="161"/>
      <c r="K920" s="161"/>
      <c r="L920" s="161"/>
      <c r="M920" s="161"/>
      <c r="N920" s="149"/>
      <c r="O920" s="161"/>
      <c r="P920" s="161"/>
      <c r="S920" s="149"/>
      <c r="T920" s="161"/>
      <c r="V920" s="166"/>
      <c r="W920" s="166"/>
      <c r="X920" s="166"/>
      <c r="Y920" s="166"/>
    </row>
    <row r="921" ht="22.5" customHeight="1">
      <c r="A921" s="161"/>
      <c r="B921" s="162"/>
      <c r="C921" s="161"/>
      <c r="D921" s="168"/>
      <c r="E921" s="168"/>
      <c r="F921" s="162"/>
      <c r="G921" s="149"/>
      <c r="H921" s="161"/>
      <c r="I921" s="161"/>
      <c r="J921" s="161"/>
      <c r="K921" s="161"/>
      <c r="L921" s="161"/>
      <c r="M921" s="161"/>
      <c r="N921" s="149"/>
      <c r="O921" s="161"/>
      <c r="P921" s="161"/>
      <c r="S921" s="149"/>
      <c r="T921" s="161"/>
      <c r="V921" s="166"/>
      <c r="W921" s="166"/>
      <c r="X921" s="166"/>
      <c r="Y921" s="166"/>
    </row>
    <row r="922" ht="22.5" customHeight="1">
      <c r="A922" s="161"/>
      <c r="B922" s="162"/>
      <c r="C922" s="161"/>
      <c r="D922" s="168"/>
      <c r="E922" s="168"/>
      <c r="F922" s="162"/>
      <c r="G922" s="149"/>
      <c r="H922" s="161"/>
      <c r="I922" s="161"/>
      <c r="J922" s="161"/>
      <c r="K922" s="161"/>
      <c r="L922" s="161"/>
      <c r="M922" s="161"/>
      <c r="N922" s="149"/>
      <c r="O922" s="161"/>
      <c r="P922" s="161"/>
      <c r="S922" s="149"/>
      <c r="T922" s="161"/>
      <c r="V922" s="166"/>
      <c r="W922" s="166"/>
      <c r="X922" s="166"/>
      <c r="Y922" s="166"/>
    </row>
    <row r="923" ht="22.5" customHeight="1">
      <c r="A923" s="161"/>
      <c r="B923" s="162"/>
      <c r="C923" s="161"/>
      <c r="D923" s="168"/>
      <c r="E923" s="168"/>
      <c r="F923" s="162"/>
      <c r="G923" s="149"/>
      <c r="H923" s="161"/>
      <c r="I923" s="161"/>
      <c r="J923" s="161"/>
      <c r="K923" s="161"/>
      <c r="L923" s="161"/>
      <c r="M923" s="161"/>
      <c r="N923" s="149"/>
      <c r="O923" s="161"/>
      <c r="P923" s="161"/>
      <c r="S923" s="149"/>
      <c r="T923" s="161"/>
      <c r="V923" s="166"/>
      <c r="W923" s="166"/>
      <c r="X923" s="166"/>
      <c r="Y923" s="166"/>
    </row>
    <row r="924" ht="22.5" customHeight="1">
      <c r="A924" s="161"/>
      <c r="B924" s="162"/>
      <c r="C924" s="161"/>
      <c r="D924" s="168"/>
      <c r="E924" s="168"/>
      <c r="F924" s="162"/>
      <c r="G924" s="149"/>
      <c r="H924" s="161"/>
      <c r="I924" s="161"/>
      <c r="J924" s="161"/>
      <c r="K924" s="161"/>
      <c r="L924" s="161"/>
      <c r="M924" s="161"/>
      <c r="N924" s="149"/>
      <c r="O924" s="161"/>
      <c r="P924" s="161"/>
      <c r="S924" s="149"/>
      <c r="T924" s="161"/>
      <c r="V924" s="166"/>
      <c r="W924" s="166"/>
      <c r="X924" s="166"/>
      <c r="Y924" s="166"/>
    </row>
    <row r="925" ht="22.5" customHeight="1">
      <c r="A925" s="161"/>
      <c r="B925" s="162"/>
      <c r="C925" s="161"/>
      <c r="D925" s="168"/>
      <c r="E925" s="168"/>
      <c r="F925" s="162"/>
      <c r="G925" s="149"/>
      <c r="H925" s="161"/>
      <c r="I925" s="161"/>
      <c r="J925" s="161"/>
      <c r="K925" s="161"/>
      <c r="L925" s="161"/>
      <c r="M925" s="161"/>
      <c r="N925" s="149"/>
      <c r="O925" s="161"/>
      <c r="P925" s="161"/>
      <c r="S925" s="149"/>
      <c r="T925" s="161"/>
      <c r="V925" s="166"/>
      <c r="W925" s="166"/>
      <c r="X925" s="166"/>
      <c r="Y925" s="166"/>
    </row>
    <row r="926" ht="22.5" customHeight="1">
      <c r="A926" s="161"/>
      <c r="B926" s="162"/>
      <c r="C926" s="161"/>
      <c r="D926" s="168"/>
      <c r="E926" s="168"/>
      <c r="F926" s="162"/>
      <c r="G926" s="149"/>
      <c r="H926" s="161"/>
      <c r="I926" s="161"/>
      <c r="J926" s="161"/>
      <c r="K926" s="161"/>
      <c r="L926" s="161"/>
      <c r="M926" s="161"/>
      <c r="N926" s="149"/>
      <c r="O926" s="161"/>
      <c r="P926" s="161"/>
      <c r="S926" s="149"/>
      <c r="T926" s="161"/>
      <c r="V926" s="166"/>
      <c r="W926" s="166"/>
      <c r="X926" s="166"/>
      <c r="Y926" s="166"/>
    </row>
    <row r="927" ht="22.5" customHeight="1">
      <c r="A927" s="161"/>
      <c r="B927" s="162"/>
      <c r="C927" s="161"/>
      <c r="D927" s="168"/>
      <c r="E927" s="168"/>
      <c r="F927" s="162"/>
      <c r="G927" s="149"/>
      <c r="H927" s="161"/>
      <c r="I927" s="161"/>
      <c r="J927" s="161"/>
      <c r="K927" s="161"/>
      <c r="L927" s="161"/>
      <c r="M927" s="161"/>
      <c r="N927" s="149"/>
      <c r="O927" s="161"/>
      <c r="P927" s="161"/>
      <c r="S927" s="149"/>
      <c r="T927" s="161"/>
      <c r="V927" s="166"/>
      <c r="W927" s="166"/>
      <c r="X927" s="166"/>
      <c r="Y927" s="166"/>
    </row>
    <row r="928" ht="22.5" customHeight="1">
      <c r="A928" s="161"/>
      <c r="B928" s="162"/>
      <c r="C928" s="161"/>
      <c r="D928" s="168"/>
      <c r="E928" s="168"/>
      <c r="F928" s="162"/>
      <c r="G928" s="149"/>
      <c r="H928" s="161"/>
      <c r="I928" s="161"/>
      <c r="J928" s="161"/>
      <c r="K928" s="161"/>
      <c r="L928" s="161"/>
      <c r="M928" s="161"/>
      <c r="N928" s="149"/>
      <c r="O928" s="161"/>
      <c r="P928" s="161"/>
      <c r="S928" s="149"/>
      <c r="T928" s="161"/>
      <c r="V928" s="166"/>
      <c r="W928" s="166"/>
      <c r="X928" s="166"/>
      <c r="Y928" s="166"/>
    </row>
    <row r="929" ht="22.5" customHeight="1">
      <c r="A929" s="161"/>
      <c r="B929" s="162"/>
      <c r="C929" s="161"/>
      <c r="D929" s="168"/>
      <c r="E929" s="168"/>
      <c r="F929" s="162"/>
      <c r="G929" s="149"/>
      <c r="H929" s="161"/>
      <c r="I929" s="161"/>
      <c r="J929" s="161"/>
      <c r="K929" s="161"/>
      <c r="L929" s="161"/>
      <c r="M929" s="161"/>
      <c r="N929" s="149"/>
      <c r="O929" s="161"/>
      <c r="P929" s="161"/>
      <c r="S929" s="149"/>
      <c r="T929" s="161"/>
      <c r="V929" s="166"/>
      <c r="W929" s="166"/>
      <c r="X929" s="166"/>
      <c r="Y929" s="166"/>
    </row>
    <row r="930" ht="22.5" customHeight="1">
      <c r="A930" s="161"/>
      <c r="B930" s="162"/>
      <c r="C930" s="161"/>
      <c r="D930" s="168"/>
      <c r="E930" s="168"/>
      <c r="F930" s="162"/>
      <c r="G930" s="149"/>
      <c r="H930" s="161"/>
      <c r="I930" s="161"/>
      <c r="J930" s="161"/>
      <c r="K930" s="161"/>
      <c r="L930" s="161"/>
      <c r="M930" s="161"/>
      <c r="N930" s="149"/>
      <c r="O930" s="161"/>
      <c r="P930" s="161"/>
      <c r="S930" s="149"/>
      <c r="T930" s="161"/>
      <c r="V930" s="166"/>
      <c r="W930" s="166"/>
      <c r="X930" s="166"/>
      <c r="Y930" s="166"/>
    </row>
    <row r="931" ht="22.5" customHeight="1">
      <c r="A931" s="161"/>
      <c r="B931" s="162"/>
      <c r="C931" s="161"/>
      <c r="D931" s="168"/>
      <c r="E931" s="168"/>
      <c r="F931" s="162"/>
      <c r="G931" s="149"/>
      <c r="H931" s="161"/>
      <c r="I931" s="161"/>
      <c r="J931" s="161"/>
      <c r="K931" s="161"/>
      <c r="L931" s="161"/>
      <c r="M931" s="161"/>
      <c r="N931" s="149"/>
      <c r="O931" s="161"/>
      <c r="P931" s="161"/>
      <c r="S931" s="149"/>
      <c r="T931" s="161"/>
      <c r="V931" s="166"/>
      <c r="W931" s="166"/>
      <c r="X931" s="166"/>
      <c r="Y931" s="166"/>
    </row>
    <row r="932" ht="22.5" customHeight="1">
      <c r="A932" s="161"/>
      <c r="B932" s="162"/>
      <c r="C932" s="161"/>
      <c r="D932" s="168"/>
      <c r="E932" s="168"/>
      <c r="F932" s="162"/>
      <c r="G932" s="149"/>
      <c r="H932" s="161"/>
      <c r="I932" s="161"/>
      <c r="J932" s="161"/>
      <c r="K932" s="161"/>
      <c r="L932" s="161"/>
      <c r="M932" s="161"/>
      <c r="N932" s="149"/>
      <c r="O932" s="161"/>
      <c r="P932" s="161"/>
      <c r="S932" s="149"/>
      <c r="T932" s="161"/>
      <c r="V932" s="166"/>
      <c r="W932" s="166"/>
      <c r="X932" s="166"/>
      <c r="Y932" s="166"/>
    </row>
    <row r="933" ht="22.5" customHeight="1">
      <c r="A933" s="161"/>
      <c r="B933" s="162"/>
      <c r="C933" s="161"/>
      <c r="D933" s="168"/>
      <c r="E933" s="168"/>
      <c r="F933" s="162"/>
      <c r="G933" s="149"/>
      <c r="H933" s="161"/>
      <c r="I933" s="161"/>
      <c r="J933" s="161"/>
      <c r="K933" s="161"/>
      <c r="L933" s="161"/>
      <c r="M933" s="161"/>
      <c r="N933" s="149"/>
      <c r="O933" s="161"/>
      <c r="P933" s="161"/>
      <c r="S933" s="149"/>
      <c r="T933" s="161"/>
      <c r="V933" s="166"/>
      <c r="W933" s="166"/>
      <c r="X933" s="166"/>
      <c r="Y933" s="166"/>
    </row>
    <row r="934" ht="22.5" customHeight="1">
      <c r="A934" s="161"/>
      <c r="B934" s="162"/>
      <c r="C934" s="161"/>
      <c r="D934" s="168"/>
      <c r="E934" s="168"/>
      <c r="F934" s="162"/>
      <c r="G934" s="149"/>
      <c r="H934" s="161"/>
      <c r="I934" s="161"/>
      <c r="J934" s="161"/>
      <c r="K934" s="161"/>
      <c r="L934" s="161"/>
      <c r="M934" s="161"/>
      <c r="N934" s="149"/>
      <c r="O934" s="161"/>
      <c r="P934" s="161"/>
      <c r="S934" s="149"/>
      <c r="T934" s="161"/>
      <c r="V934" s="166"/>
      <c r="W934" s="166"/>
      <c r="X934" s="166"/>
      <c r="Y934" s="166"/>
    </row>
    <row r="935" ht="22.5" customHeight="1">
      <c r="A935" s="161"/>
      <c r="B935" s="162"/>
      <c r="C935" s="161"/>
      <c r="D935" s="168"/>
      <c r="E935" s="168"/>
      <c r="F935" s="162"/>
      <c r="G935" s="149"/>
      <c r="H935" s="161"/>
      <c r="I935" s="161"/>
      <c r="J935" s="161"/>
      <c r="K935" s="161"/>
      <c r="L935" s="161"/>
      <c r="M935" s="161"/>
      <c r="N935" s="149"/>
      <c r="O935" s="161"/>
      <c r="P935" s="161"/>
      <c r="S935" s="149"/>
      <c r="T935" s="161"/>
      <c r="V935" s="166"/>
      <c r="W935" s="166"/>
      <c r="X935" s="166"/>
      <c r="Y935" s="166"/>
    </row>
    <row r="936" ht="22.5" customHeight="1">
      <c r="A936" s="161"/>
      <c r="B936" s="162"/>
      <c r="C936" s="161"/>
      <c r="D936" s="168"/>
      <c r="E936" s="168"/>
      <c r="F936" s="162"/>
      <c r="G936" s="149"/>
      <c r="H936" s="161"/>
      <c r="I936" s="161"/>
      <c r="J936" s="161"/>
      <c r="K936" s="161"/>
      <c r="L936" s="161"/>
      <c r="M936" s="161"/>
      <c r="N936" s="149"/>
      <c r="O936" s="161"/>
      <c r="P936" s="161"/>
      <c r="S936" s="149"/>
      <c r="T936" s="161"/>
      <c r="V936" s="166"/>
      <c r="W936" s="166"/>
      <c r="X936" s="166"/>
      <c r="Y936" s="166"/>
    </row>
    <row r="937" ht="22.5" customHeight="1">
      <c r="A937" s="161"/>
      <c r="B937" s="162"/>
      <c r="C937" s="161"/>
      <c r="D937" s="168"/>
      <c r="E937" s="168"/>
      <c r="F937" s="162"/>
      <c r="G937" s="149"/>
      <c r="H937" s="161"/>
      <c r="I937" s="161"/>
      <c r="J937" s="161"/>
      <c r="K937" s="161"/>
      <c r="L937" s="161"/>
      <c r="M937" s="161"/>
      <c r="N937" s="149"/>
      <c r="O937" s="161"/>
      <c r="P937" s="161"/>
      <c r="S937" s="149"/>
      <c r="T937" s="161"/>
      <c r="V937" s="166"/>
      <c r="W937" s="166"/>
      <c r="X937" s="166"/>
      <c r="Y937" s="166"/>
    </row>
    <row r="938" ht="22.5" customHeight="1">
      <c r="A938" s="161"/>
      <c r="B938" s="162"/>
      <c r="C938" s="161"/>
      <c r="D938" s="168"/>
      <c r="E938" s="168"/>
      <c r="F938" s="162"/>
      <c r="G938" s="149"/>
      <c r="H938" s="161"/>
      <c r="I938" s="161"/>
      <c r="J938" s="161"/>
      <c r="K938" s="161"/>
      <c r="L938" s="161"/>
      <c r="M938" s="161"/>
      <c r="N938" s="149"/>
      <c r="O938" s="161"/>
      <c r="P938" s="161"/>
      <c r="S938" s="149"/>
      <c r="T938" s="161"/>
      <c r="V938" s="166"/>
      <c r="W938" s="166"/>
      <c r="X938" s="166"/>
      <c r="Y938" s="166"/>
    </row>
    <row r="939" ht="22.5" customHeight="1">
      <c r="A939" s="161"/>
      <c r="B939" s="162"/>
      <c r="C939" s="161"/>
      <c r="D939" s="168"/>
      <c r="E939" s="168"/>
      <c r="F939" s="162"/>
      <c r="G939" s="149"/>
      <c r="H939" s="161"/>
      <c r="I939" s="161"/>
      <c r="J939" s="161"/>
      <c r="K939" s="161"/>
      <c r="L939" s="161"/>
      <c r="M939" s="161"/>
      <c r="N939" s="149"/>
      <c r="O939" s="161"/>
      <c r="P939" s="161"/>
      <c r="S939" s="149"/>
      <c r="T939" s="161"/>
      <c r="V939" s="166"/>
      <c r="W939" s="166"/>
      <c r="X939" s="166"/>
      <c r="Y939" s="166"/>
    </row>
    <row r="940" ht="22.5" customHeight="1">
      <c r="A940" s="161"/>
      <c r="B940" s="162"/>
      <c r="C940" s="161"/>
      <c r="D940" s="168"/>
      <c r="E940" s="168"/>
      <c r="F940" s="162"/>
      <c r="G940" s="149"/>
      <c r="H940" s="161"/>
      <c r="I940" s="161"/>
      <c r="J940" s="161"/>
      <c r="K940" s="161"/>
      <c r="L940" s="161"/>
      <c r="M940" s="161"/>
      <c r="N940" s="149"/>
      <c r="O940" s="161"/>
      <c r="P940" s="161"/>
      <c r="S940" s="149"/>
      <c r="T940" s="161"/>
      <c r="V940" s="166"/>
      <c r="W940" s="166"/>
      <c r="X940" s="166"/>
      <c r="Y940" s="166"/>
    </row>
    <row r="941" ht="22.5" customHeight="1">
      <c r="A941" s="161"/>
      <c r="B941" s="162"/>
      <c r="C941" s="161"/>
      <c r="D941" s="168"/>
      <c r="E941" s="168"/>
      <c r="F941" s="162"/>
      <c r="G941" s="149"/>
      <c r="H941" s="161"/>
      <c r="I941" s="161"/>
      <c r="J941" s="161"/>
      <c r="K941" s="161"/>
      <c r="L941" s="161"/>
      <c r="M941" s="161"/>
      <c r="N941" s="149"/>
      <c r="O941" s="161"/>
      <c r="P941" s="161"/>
      <c r="S941" s="149"/>
      <c r="T941" s="161"/>
      <c r="V941" s="166"/>
      <c r="W941" s="166"/>
      <c r="X941" s="166"/>
      <c r="Y941" s="166"/>
    </row>
    <row r="942" ht="22.5" customHeight="1">
      <c r="A942" s="161"/>
      <c r="B942" s="162"/>
      <c r="C942" s="161"/>
      <c r="D942" s="168"/>
      <c r="E942" s="168"/>
      <c r="F942" s="162"/>
      <c r="G942" s="149"/>
      <c r="H942" s="161"/>
      <c r="I942" s="161"/>
      <c r="J942" s="161"/>
      <c r="K942" s="161"/>
      <c r="L942" s="161"/>
      <c r="M942" s="161"/>
      <c r="N942" s="149"/>
      <c r="O942" s="161"/>
      <c r="P942" s="161"/>
      <c r="S942" s="149"/>
      <c r="T942" s="161"/>
      <c r="V942" s="166"/>
      <c r="W942" s="166"/>
      <c r="X942" s="166"/>
      <c r="Y942" s="166"/>
    </row>
    <row r="943" ht="22.5" customHeight="1">
      <c r="A943" s="161"/>
      <c r="B943" s="162"/>
      <c r="C943" s="161"/>
      <c r="D943" s="168"/>
      <c r="E943" s="168"/>
      <c r="F943" s="162"/>
      <c r="G943" s="149"/>
      <c r="H943" s="161"/>
      <c r="I943" s="161"/>
      <c r="J943" s="161"/>
      <c r="K943" s="161"/>
      <c r="L943" s="161"/>
      <c r="M943" s="161"/>
      <c r="N943" s="149"/>
      <c r="O943" s="161"/>
      <c r="P943" s="161"/>
      <c r="S943" s="149"/>
      <c r="T943" s="161"/>
      <c r="V943" s="166"/>
      <c r="W943" s="166"/>
      <c r="X943" s="166"/>
      <c r="Y943" s="166"/>
    </row>
    <row r="944" ht="22.5" customHeight="1">
      <c r="A944" s="161"/>
      <c r="B944" s="162"/>
      <c r="C944" s="161"/>
      <c r="D944" s="168"/>
      <c r="E944" s="168"/>
      <c r="F944" s="162"/>
      <c r="G944" s="149"/>
      <c r="H944" s="161"/>
      <c r="I944" s="161"/>
      <c r="J944" s="161"/>
      <c r="K944" s="161"/>
      <c r="L944" s="161"/>
      <c r="M944" s="161"/>
      <c r="N944" s="149"/>
      <c r="O944" s="161"/>
      <c r="P944" s="161"/>
      <c r="S944" s="149"/>
      <c r="T944" s="161"/>
      <c r="V944" s="166"/>
      <c r="W944" s="166"/>
      <c r="X944" s="166"/>
      <c r="Y944" s="166"/>
    </row>
    <row r="945" ht="22.5" customHeight="1">
      <c r="A945" s="161"/>
      <c r="B945" s="162"/>
      <c r="C945" s="161"/>
      <c r="D945" s="168"/>
      <c r="E945" s="168"/>
      <c r="F945" s="162"/>
      <c r="G945" s="149"/>
      <c r="H945" s="161"/>
      <c r="I945" s="161"/>
      <c r="J945" s="161"/>
      <c r="K945" s="161"/>
      <c r="L945" s="161"/>
      <c r="M945" s="161"/>
      <c r="N945" s="149"/>
      <c r="O945" s="161"/>
      <c r="P945" s="161"/>
      <c r="S945" s="149"/>
      <c r="T945" s="161"/>
      <c r="V945" s="166"/>
      <c r="W945" s="166"/>
      <c r="X945" s="166"/>
      <c r="Y945" s="166"/>
    </row>
    <row r="946" ht="22.5" customHeight="1">
      <c r="A946" s="161"/>
      <c r="B946" s="162"/>
      <c r="C946" s="161"/>
      <c r="D946" s="168"/>
      <c r="E946" s="168"/>
      <c r="F946" s="162"/>
      <c r="G946" s="149"/>
      <c r="H946" s="161"/>
      <c r="I946" s="161"/>
      <c r="J946" s="161"/>
      <c r="K946" s="161"/>
      <c r="L946" s="161"/>
      <c r="M946" s="161"/>
      <c r="N946" s="149"/>
      <c r="O946" s="161"/>
      <c r="P946" s="161"/>
      <c r="S946" s="149"/>
      <c r="T946" s="161"/>
      <c r="V946" s="166"/>
      <c r="W946" s="166"/>
      <c r="X946" s="166"/>
      <c r="Y946" s="166"/>
    </row>
    <row r="947" ht="22.5" customHeight="1">
      <c r="A947" s="161"/>
      <c r="B947" s="162"/>
      <c r="C947" s="161"/>
      <c r="D947" s="168"/>
      <c r="E947" s="168"/>
      <c r="F947" s="162"/>
      <c r="G947" s="149"/>
      <c r="H947" s="161"/>
      <c r="I947" s="161"/>
      <c r="J947" s="161"/>
      <c r="K947" s="161"/>
      <c r="L947" s="161"/>
      <c r="M947" s="161"/>
      <c r="N947" s="149"/>
      <c r="O947" s="161"/>
      <c r="P947" s="161"/>
      <c r="S947" s="149"/>
      <c r="T947" s="161"/>
      <c r="V947" s="166"/>
      <c r="W947" s="166"/>
      <c r="X947" s="166"/>
      <c r="Y947" s="166"/>
    </row>
    <row r="948" ht="22.5" customHeight="1">
      <c r="A948" s="161"/>
      <c r="B948" s="162"/>
      <c r="C948" s="161"/>
      <c r="D948" s="168"/>
      <c r="E948" s="168"/>
      <c r="F948" s="162"/>
      <c r="G948" s="149"/>
      <c r="H948" s="161"/>
      <c r="I948" s="161"/>
      <c r="J948" s="161"/>
      <c r="K948" s="161"/>
      <c r="L948" s="161"/>
      <c r="M948" s="161"/>
      <c r="N948" s="149"/>
      <c r="O948" s="161"/>
      <c r="P948" s="161"/>
      <c r="S948" s="149"/>
      <c r="T948" s="161"/>
      <c r="V948" s="166"/>
      <c r="W948" s="166"/>
      <c r="X948" s="166"/>
      <c r="Y948" s="166"/>
    </row>
    <row r="949" ht="22.5" customHeight="1">
      <c r="A949" s="161"/>
      <c r="B949" s="162"/>
      <c r="C949" s="161"/>
      <c r="D949" s="168"/>
      <c r="E949" s="168"/>
      <c r="F949" s="162"/>
      <c r="G949" s="149"/>
      <c r="H949" s="161"/>
      <c r="I949" s="161"/>
      <c r="J949" s="161"/>
      <c r="K949" s="161"/>
      <c r="L949" s="161"/>
      <c r="M949" s="161"/>
      <c r="N949" s="149"/>
      <c r="O949" s="161"/>
      <c r="P949" s="161"/>
      <c r="S949" s="149"/>
      <c r="T949" s="161"/>
      <c r="V949" s="166"/>
      <c r="W949" s="166"/>
      <c r="X949" s="166"/>
      <c r="Y949" s="166"/>
    </row>
    <row r="950" ht="22.5" customHeight="1">
      <c r="A950" s="161"/>
      <c r="B950" s="162"/>
      <c r="C950" s="161"/>
      <c r="D950" s="168"/>
      <c r="E950" s="168"/>
      <c r="F950" s="162"/>
      <c r="G950" s="149"/>
      <c r="H950" s="161"/>
      <c r="I950" s="161"/>
      <c r="J950" s="161"/>
      <c r="K950" s="161"/>
      <c r="L950" s="161"/>
      <c r="M950" s="161"/>
      <c r="N950" s="149"/>
      <c r="O950" s="161"/>
      <c r="P950" s="161"/>
      <c r="S950" s="149"/>
      <c r="T950" s="161"/>
      <c r="V950" s="166"/>
      <c r="W950" s="166"/>
      <c r="X950" s="166"/>
      <c r="Y950" s="166"/>
    </row>
    <row r="951" ht="22.5" customHeight="1">
      <c r="A951" s="161"/>
      <c r="B951" s="162"/>
      <c r="C951" s="161"/>
      <c r="D951" s="168"/>
      <c r="E951" s="168"/>
      <c r="F951" s="162"/>
      <c r="G951" s="149"/>
      <c r="H951" s="161"/>
      <c r="I951" s="161"/>
      <c r="J951" s="161"/>
      <c r="K951" s="161"/>
      <c r="L951" s="161"/>
      <c r="M951" s="161"/>
      <c r="N951" s="149"/>
      <c r="O951" s="161"/>
      <c r="P951" s="161"/>
      <c r="S951" s="149"/>
      <c r="T951" s="161"/>
      <c r="V951" s="166"/>
      <c r="W951" s="166"/>
      <c r="X951" s="166"/>
      <c r="Y951" s="166"/>
    </row>
    <row r="952" ht="22.5" customHeight="1">
      <c r="A952" s="161"/>
      <c r="B952" s="162"/>
      <c r="C952" s="161"/>
      <c r="D952" s="168"/>
      <c r="E952" s="168"/>
      <c r="F952" s="162"/>
      <c r="G952" s="149"/>
      <c r="H952" s="161"/>
      <c r="I952" s="161"/>
      <c r="J952" s="161"/>
      <c r="K952" s="161"/>
      <c r="L952" s="161"/>
      <c r="M952" s="161"/>
      <c r="N952" s="149"/>
      <c r="O952" s="161"/>
      <c r="P952" s="161"/>
      <c r="S952" s="149"/>
      <c r="T952" s="161"/>
      <c r="V952" s="166"/>
      <c r="W952" s="166"/>
      <c r="X952" s="166"/>
      <c r="Y952" s="166"/>
    </row>
    <row r="953" ht="22.5" customHeight="1">
      <c r="A953" s="161"/>
      <c r="B953" s="162"/>
      <c r="C953" s="161"/>
      <c r="D953" s="168"/>
      <c r="E953" s="168"/>
      <c r="F953" s="162"/>
      <c r="G953" s="149"/>
      <c r="H953" s="161"/>
      <c r="I953" s="161"/>
      <c r="J953" s="161"/>
      <c r="K953" s="161"/>
      <c r="L953" s="161"/>
      <c r="M953" s="161"/>
      <c r="N953" s="149"/>
      <c r="O953" s="161"/>
      <c r="P953" s="161"/>
      <c r="S953" s="149"/>
      <c r="T953" s="161"/>
      <c r="V953" s="166"/>
      <c r="W953" s="166"/>
      <c r="X953" s="166"/>
      <c r="Y953" s="166"/>
    </row>
    <row r="954" ht="22.5" customHeight="1">
      <c r="A954" s="161"/>
      <c r="B954" s="162"/>
      <c r="C954" s="161"/>
      <c r="D954" s="168"/>
      <c r="E954" s="168"/>
      <c r="F954" s="162"/>
      <c r="G954" s="149"/>
      <c r="H954" s="161"/>
      <c r="I954" s="161"/>
      <c r="J954" s="161"/>
      <c r="K954" s="161"/>
      <c r="L954" s="161"/>
      <c r="M954" s="161"/>
      <c r="N954" s="149"/>
      <c r="O954" s="161"/>
      <c r="P954" s="161"/>
      <c r="S954" s="149"/>
      <c r="T954" s="161"/>
      <c r="V954" s="166"/>
      <c r="W954" s="166"/>
      <c r="X954" s="166"/>
      <c r="Y954" s="166"/>
    </row>
    <row r="955" ht="22.5" customHeight="1">
      <c r="A955" s="161"/>
      <c r="B955" s="162"/>
      <c r="C955" s="161"/>
      <c r="D955" s="168"/>
      <c r="E955" s="168"/>
      <c r="F955" s="162"/>
      <c r="G955" s="149"/>
      <c r="H955" s="161"/>
      <c r="I955" s="161"/>
      <c r="J955" s="161"/>
      <c r="K955" s="161"/>
      <c r="L955" s="161"/>
      <c r="M955" s="161"/>
      <c r="N955" s="149"/>
      <c r="O955" s="161"/>
      <c r="P955" s="161"/>
      <c r="S955" s="149"/>
      <c r="T955" s="161"/>
      <c r="V955" s="166"/>
      <c r="W955" s="166"/>
      <c r="X955" s="166"/>
      <c r="Y955" s="166"/>
    </row>
    <row r="956" ht="22.5" customHeight="1">
      <c r="A956" s="161"/>
      <c r="B956" s="162"/>
      <c r="C956" s="161"/>
      <c r="D956" s="168"/>
      <c r="E956" s="168"/>
      <c r="F956" s="162"/>
      <c r="G956" s="149"/>
      <c r="H956" s="161"/>
      <c r="I956" s="161"/>
      <c r="J956" s="161"/>
      <c r="K956" s="161"/>
      <c r="L956" s="161"/>
      <c r="M956" s="161"/>
      <c r="N956" s="149"/>
      <c r="O956" s="161"/>
      <c r="P956" s="161"/>
      <c r="S956" s="149"/>
      <c r="T956" s="161"/>
      <c r="V956" s="166"/>
      <c r="W956" s="166"/>
      <c r="X956" s="166"/>
      <c r="Y956" s="166"/>
    </row>
    <row r="957" ht="22.5" customHeight="1">
      <c r="A957" s="161"/>
      <c r="B957" s="162"/>
      <c r="C957" s="161"/>
      <c r="D957" s="168"/>
      <c r="E957" s="168"/>
      <c r="F957" s="162"/>
      <c r="G957" s="149"/>
      <c r="H957" s="161"/>
      <c r="I957" s="161"/>
      <c r="J957" s="161"/>
      <c r="K957" s="161"/>
      <c r="L957" s="161"/>
      <c r="M957" s="161"/>
      <c r="N957" s="149"/>
      <c r="O957" s="161"/>
      <c r="P957" s="161"/>
      <c r="S957" s="149"/>
      <c r="T957" s="161"/>
      <c r="V957" s="166"/>
      <c r="W957" s="166"/>
      <c r="X957" s="166"/>
      <c r="Y957" s="166"/>
    </row>
    <row r="958" ht="22.5" customHeight="1">
      <c r="A958" s="161"/>
      <c r="B958" s="162"/>
      <c r="C958" s="161"/>
      <c r="D958" s="168"/>
      <c r="E958" s="168"/>
      <c r="F958" s="162"/>
      <c r="G958" s="149"/>
      <c r="H958" s="161"/>
      <c r="I958" s="161"/>
      <c r="J958" s="161"/>
      <c r="K958" s="161"/>
      <c r="L958" s="161"/>
      <c r="M958" s="161"/>
      <c r="N958" s="149"/>
      <c r="O958" s="161"/>
      <c r="P958" s="161"/>
      <c r="S958" s="149"/>
      <c r="T958" s="161"/>
      <c r="V958" s="166"/>
      <c r="W958" s="166"/>
      <c r="X958" s="166"/>
      <c r="Y958" s="166"/>
    </row>
    <row r="959" ht="22.5" customHeight="1">
      <c r="A959" s="161"/>
      <c r="B959" s="162"/>
      <c r="C959" s="161"/>
      <c r="D959" s="168"/>
      <c r="E959" s="168"/>
      <c r="F959" s="162"/>
      <c r="G959" s="149"/>
      <c r="H959" s="161"/>
      <c r="I959" s="161"/>
      <c r="J959" s="161"/>
      <c r="K959" s="161"/>
      <c r="L959" s="161"/>
      <c r="M959" s="161"/>
      <c r="N959" s="149"/>
      <c r="O959" s="161"/>
      <c r="P959" s="161"/>
      <c r="S959" s="149"/>
      <c r="T959" s="161"/>
      <c r="V959" s="166"/>
      <c r="W959" s="166"/>
      <c r="X959" s="166"/>
      <c r="Y959" s="166"/>
    </row>
    <row r="960" ht="22.5" customHeight="1">
      <c r="A960" s="161"/>
      <c r="B960" s="162"/>
      <c r="C960" s="161"/>
      <c r="D960" s="168"/>
      <c r="E960" s="168"/>
      <c r="F960" s="162"/>
      <c r="G960" s="149"/>
      <c r="H960" s="161"/>
      <c r="I960" s="161"/>
      <c r="J960" s="161"/>
      <c r="K960" s="161"/>
      <c r="L960" s="161"/>
      <c r="M960" s="161"/>
      <c r="N960" s="149"/>
      <c r="O960" s="161"/>
      <c r="P960" s="161"/>
      <c r="S960" s="149"/>
      <c r="T960" s="161"/>
      <c r="V960" s="166"/>
      <c r="W960" s="166"/>
      <c r="X960" s="166"/>
      <c r="Y960" s="166"/>
    </row>
    <row r="961" ht="22.5" customHeight="1">
      <c r="A961" s="161"/>
      <c r="B961" s="162"/>
      <c r="C961" s="161"/>
      <c r="D961" s="168"/>
      <c r="E961" s="168"/>
      <c r="F961" s="162"/>
      <c r="G961" s="149"/>
      <c r="H961" s="161"/>
      <c r="I961" s="161"/>
      <c r="J961" s="161"/>
      <c r="K961" s="161"/>
      <c r="L961" s="161"/>
      <c r="M961" s="161"/>
      <c r="N961" s="149"/>
      <c r="O961" s="161"/>
      <c r="P961" s="161"/>
      <c r="S961" s="149"/>
      <c r="T961" s="161"/>
      <c r="V961" s="166"/>
      <c r="W961" s="166"/>
      <c r="X961" s="166"/>
      <c r="Y961" s="166"/>
    </row>
    <row r="962" ht="22.5" customHeight="1">
      <c r="A962" s="161"/>
      <c r="B962" s="162"/>
      <c r="C962" s="161"/>
      <c r="D962" s="168"/>
      <c r="E962" s="168"/>
      <c r="F962" s="162"/>
      <c r="G962" s="149"/>
      <c r="H962" s="161"/>
      <c r="I962" s="161"/>
      <c r="J962" s="161"/>
      <c r="K962" s="161"/>
      <c r="L962" s="161"/>
      <c r="M962" s="161"/>
      <c r="N962" s="149"/>
      <c r="O962" s="161"/>
      <c r="P962" s="161"/>
      <c r="S962" s="149"/>
      <c r="T962" s="161"/>
      <c r="V962" s="166"/>
      <c r="W962" s="166"/>
      <c r="X962" s="166"/>
      <c r="Y962" s="166"/>
    </row>
    <row r="963" ht="22.5" customHeight="1">
      <c r="A963" s="161"/>
      <c r="B963" s="162"/>
      <c r="C963" s="161"/>
      <c r="D963" s="168"/>
      <c r="E963" s="168"/>
      <c r="F963" s="162"/>
      <c r="G963" s="149"/>
      <c r="H963" s="161"/>
      <c r="I963" s="161"/>
      <c r="J963" s="161"/>
      <c r="K963" s="161"/>
      <c r="L963" s="161"/>
      <c r="M963" s="161"/>
      <c r="N963" s="149"/>
      <c r="O963" s="161"/>
      <c r="P963" s="161"/>
      <c r="S963" s="149"/>
      <c r="T963" s="161"/>
      <c r="V963" s="166"/>
      <c r="W963" s="166"/>
      <c r="X963" s="166"/>
      <c r="Y963" s="166"/>
    </row>
    <row r="964" ht="22.5" customHeight="1">
      <c r="A964" s="161"/>
      <c r="B964" s="162"/>
      <c r="C964" s="161"/>
      <c r="D964" s="168"/>
      <c r="E964" s="168"/>
      <c r="F964" s="162"/>
      <c r="G964" s="149"/>
      <c r="H964" s="161"/>
      <c r="I964" s="161"/>
      <c r="J964" s="161"/>
      <c r="K964" s="161"/>
      <c r="L964" s="161"/>
      <c r="M964" s="161"/>
      <c r="N964" s="149"/>
      <c r="O964" s="161"/>
      <c r="P964" s="161"/>
      <c r="S964" s="149"/>
      <c r="T964" s="161"/>
      <c r="V964" s="166"/>
      <c r="W964" s="166"/>
      <c r="X964" s="166"/>
      <c r="Y964" s="166"/>
    </row>
    <row r="965" ht="22.5" customHeight="1">
      <c r="A965" s="161"/>
      <c r="B965" s="162"/>
      <c r="C965" s="161"/>
      <c r="D965" s="168"/>
      <c r="E965" s="168"/>
      <c r="F965" s="162"/>
      <c r="G965" s="149"/>
      <c r="H965" s="161"/>
      <c r="I965" s="161"/>
      <c r="J965" s="161"/>
      <c r="K965" s="161"/>
      <c r="L965" s="161"/>
      <c r="M965" s="161"/>
      <c r="N965" s="149"/>
      <c r="O965" s="161"/>
      <c r="P965" s="161"/>
      <c r="S965" s="149"/>
      <c r="T965" s="161"/>
      <c r="V965" s="166"/>
      <c r="W965" s="166"/>
      <c r="X965" s="166"/>
      <c r="Y965" s="166"/>
    </row>
    <row r="966" ht="22.5" customHeight="1">
      <c r="A966" s="161"/>
      <c r="B966" s="162"/>
      <c r="C966" s="161"/>
      <c r="D966" s="168"/>
      <c r="E966" s="168"/>
      <c r="F966" s="162"/>
      <c r="G966" s="149"/>
      <c r="H966" s="161"/>
      <c r="I966" s="161"/>
      <c r="J966" s="161"/>
      <c r="K966" s="161"/>
      <c r="L966" s="161"/>
      <c r="M966" s="161"/>
      <c r="N966" s="149"/>
      <c r="O966" s="161"/>
      <c r="P966" s="161"/>
      <c r="S966" s="149"/>
      <c r="T966" s="161"/>
      <c r="V966" s="166"/>
      <c r="W966" s="166"/>
      <c r="X966" s="166"/>
      <c r="Y966" s="166"/>
    </row>
    <row r="967" ht="22.5" customHeight="1">
      <c r="A967" s="161"/>
      <c r="B967" s="162"/>
      <c r="C967" s="161"/>
      <c r="D967" s="168"/>
      <c r="E967" s="168"/>
      <c r="F967" s="162"/>
      <c r="G967" s="149"/>
      <c r="H967" s="161"/>
      <c r="I967" s="161"/>
      <c r="J967" s="161"/>
      <c r="K967" s="161"/>
      <c r="L967" s="161"/>
      <c r="M967" s="161"/>
      <c r="N967" s="149"/>
      <c r="O967" s="161"/>
      <c r="P967" s="161"/>
      <c r="S967" s="149"/>
      <c r="T967" s="161"/>
      <c r="V967" s="166"/>
      <c r="W967" s="166"/>
      <c r="X967" s="166"/>
      <c r="Y967" s="166"/>
    </row>
    <row r="968" ht="22.5" customHeight="1">
      <c r="A968" s="161"/>
      <c r="B968" s="162"/>
      <c r="C968" s="161"/>
      <c r="D968" s="168"/>
      <c r="E968" s="168"/>
      <c r="F968" s="162"/>
      <c r="G968" s="149"/>
      <c r="H968" s="161"/>
      <c r="I968" s="161"/>
      <c r="J968" s="161"/>
      <c r="K968" s="161"/>
      <c r="L968" s="161"/>
      <c r="M968" s="161"/>
      <c r="N968" s="149"/>
      <c r="O968" s="161"/>
      <c r="P968" s="161"/>
      <c r="S968" s="149"/>
      <c r="T968" s="161"/>
      <c r="V968" s="166"/>
      <c r="W968" s="166"/>
      <c r="X968" s="166"/>
      <c r="Y968" s="166"/>
    </row>
    <row r="969" ht="22.5" customHeight="1">
      <c r="A969" s="161"/>
      <c r="B969" s="162"/>
      <c r="C969" s="161"/>
      <c r="D969" s="168"/>
      <c r="E969" s="168"/>
      <c r="F969" s="162"/>
      <c r="G969" s="149"/>
      <c r="H969" s="161"/>
      <c r="I969" s="161"/>
      <c r="J969" s="161"/>
      <c r="K969" s="161"/>
      <c r="L969" s="161"/>
      <c r="M969" s="161"/>
      <c r="N969" s="149"/>
      <c r="O969" s="161"/>
      <c r="P969" s="161"/>
      <c r="S969" s="149"/>
      <c r="T969" s="161"/>
      <c r="V969" s="166"/>
      <c r="W969" s="166"/>
      <c r="X969" s="166"/>
      <c r="Y969" s="166"/>
    </row>
    <row r="970" ht="22.5" customHeight="1">
      <c r="A970" s="161"/>
      <c r="B970" s="162"/>
      <c r="C970" s="161"/>
      <c r="D970" s="168"/>
      <c r="E970" s="168"/>
      <c r="F970" s="162"/>
      <c r="G970" s="149"/>
      <c r="H970" s="161"/>
      <c r="I970" s="161"/>
      <c r="J970" s="161"/>
      <c r="K970" s="161"/>
      <c r="L970" s="161"/>
      <c r="M970" s="161"/>
      <c r="N970" s="149"/>
      <c r="O970" s="161"/>
      <c r="P970" s="161"/>
      <c r="S970" s="149"/>
      <c r="T970" s="161"/>
      <c r="V970" s="166"/>
      <c r="W970" s="166"/>
      <c r="X970" s="166"/>
      <c r="Y970" s="166"/>
    </row>
    <row r="971" ht="22.5" customHeight="1">
      <c r="A971" s="161"/>
      <c r="B971" s="162"/>
      <c r="C971" s="161"/>
      <c r="D971" s="168"/>
      <c r="E971" s="168"/>
      <c r="F971" s="162"/>
      <c r="G971" s="149"/>
      <c r="H971" s="161"/>
      <c r="I971" s="161"/>
      <c r="J971" s="161"/>
      <c r="K971" s="161"/>
      <c r="L971" s="161"/>
      <c r="M971" s="161"/>
      <c r="N971" s="149"/>
      <c r="O971" s="161"/>
      <c r="P971" s="161"/>
      <c r="S971" s="149"/>
      <c r="T971" s="161"/>
      <c r="V971" s="166"/>
      <c r="W971" s="166"/>
      <c r="X971" s="166"/>
      <c r="Y971" s="166"/>
    </row>
    <row r="972" ht="22.5" customHeight="1">
      <c r="A972" s="161"/>
      <c r="B972" s="162"/>
      <c r="C972" s="161"/>
      <c r="D972" s="168"/>
      <c r="E972" s="168"/>
      <c r="F972" s="162"/>
      <c r="G972" s="149"/>
      <c r="H972" s="161"/>
      <c r="I972" s="161"/>
      <c r="J972" s="161"/>
      <c r="K972" s="161"/>
      <c r="L972" s="161"/>
      <c r="M972" s="161"/>
      <c r="N972" s="149"/>
      <c r="O972" s="161"/>
      <c r="P972" s="161"/>
      <c r="S972" s="149"/>
      <c r="T972" s="161"/>
      <c r="V972" s="166"/>
      <c r="W972" s="166"/>
      <c r="X972" s="166"/>
      <c r="Y972" s="166"/>
    </row>
    <row r="973" ht="22.5" customHeight="1">
      <c r="A973" s="161"/>
      <c r="B973" s="162"/>
      <c r="C973" s="161"/>
      <c r="D973" s="168"/>
      <c r="E973" s="168"/>
      <c r="F973" s="162"/>
      <c r="G973" s="149"/>
      <c r="H973" s="161"/>
      <c r="I973" s="161"/>
      <c r="J973" s="161"/>
      <c r="K973" s="161"/>
      <c r="L973" s="161"/>
      <c r="M973" s="161"/>
      <c r="N973" s="149"/>
      <c r="O973" s="161"/>
      <c r="P973" s="161"/>
      <c r="S973" s="149"/>
      <c r="T973" s="161"/>
      <c r="V973" s="166"/>
      <c r="W973" s="166"/>
      <c r="X973" s="166"/>
      <c r="Y973" s="166"/>
    </row>
    <row r="974" ht="22.5" customHeight="1">
      <c r="A974" s="161"/>
      <c r="B974" s="162"/>
      <c r="C974" s="161"/>
      <c r="D974" s="168"/>
      <c r="E974" s="168"/>
      <c r="F974" s="162"/>
      <c r="G974" s="149"/>
      <c r="H974" s="161"/>
      <c r="I974" s="161"/>
      <c r="J974" s="161"/>
      <c r="K974" s="161"/>
      <c r="L974" s="161"/>
      <c r="M974" s="161"/>
      <c r="N974" s="149"/>
      <c r="O974" s="161"/>
      <c r="P974" s="161"/>
      <c r="S974" s="149"/>
      <c r="T974" s="161"/>
      <c r="V974" s="166"/>
      <c r="W974" s="166"/>
      <c r="X974" s="166"/>
      <c r="Y974" s="166"/>
    </row>
    <row r="975" ht="22.5" customHeight="1">
      <c r="A975" s="161"/>
      <c r="B975" s="162"/>
      <c r="C975" s="161"/>
      <c r="D975" s="168"/>
      <c r="E975" s="168"/>
      <c r="F975" s="162"/>
      <c r="G975" s="149"/>
      <c r="H975" s="161"/>
      <c r="I975" s="161"/>
      <c r="J975" s="161"/>
      <c r="K975" s="161"/>
      <c r="L975" s="161"/>
      <c r="M975" s="161"/>
      <c r="N975" s="149"/>
      <c r="O975" s="161"/>
      <c r="P975" s="161"/>
      <c r="S975" s="149"/>
      <c r="T975" s="161"/>
      <c r="V975" s="166"/>
      <c r="W975" s="166"/>
      <c r="X975" s="166"/>
      <c r="Y975" s="166"/>
    </row>
    <row r="976" ht="22.5" customHeight="1">
      <c r="A976" s="161"/>
      <c r="B976" s="162"/>
      <c r="C976" s="161"/>
      <c r="D976" s="168"/>
      <c r="E976" s="168"/>
      <c r="F976" s="162"/>
      <c r="G976" s="149"/>
      <c r="H976" s="161"/>
      <c r="I976" s="161"/>
      <c r="J976" s="161"/>
      <c r="K976" s="161"/>
      <c r="L976" s="161"/>
      <c r="M976" s="161"/>
      <c r="N976" s="149"/>
      <c r="O976" s="161"/>
      <c r="P976" s="161"/>
      <c r="S976" s="149"/>
      <c r="T976" s="161"/>
      <c r="V976" s="166"/>
      <c r="W976" s="166"/>
      <c r="X976" s="166"/>
      <c r="Y976" s="166"/>
    </row>
    <row r="977" ht="22.5" customHeight="1">
      <c r="A977" s="161"/>
      <c r="B977" s="162"/>
      <c r="C977" s="161"/>
      <c r="D977" s="168"/>
      <c r="E977" s="168"/>
      <c r="F977" s="162"/>
      <c r="G977" s="149"/>
      <c r="H977" s="161"/>
      <c r="I977" s="161"/>
      <c r="J977" s="161"/>
      <c r="K977" s="161"/>
      <c r="L977" s="161"/>
      <c r="M977" s="161"/>
      <c r="N977" s="149"/>
      <c r="O977" s="161"/>
      <c r="P977" s="161"/>
      <c r="S977" s="149"/>
      <c r="T977" s="161"/>
      <c r="V977" s="166"/>
      <c r="W977" s="166"/>
      <c r="X977" s="166"/>
      <c r="Y977" s="166"/>
    </row>
    <row r="978" ht="22.5" customHeight="1">
      <c r="A978" s="161"/>
      <c r="B978" s="162"/>
      <c r="C978" s="161"/>
      <c r="D978" s="168"/>
      <c r="E978" s="168"/>
      <c r="F978" s="162"/>
      <c r="G978" s="149"/>
      <c r="H978" s="161"/>
      <c r="I978" s="161"/>
      <c r="J978" s="161"/>
      <c r="K978" s="161"/>
      <c r="L978" s="161"/>
      <c r="M978" s="161"/>
      <c r="N978" s="149"/>
      <c r="O978" s="161"/>
      <c r="P978" s="161"/>
      <c r="S978" s="149"/>
      <c r="T978" s="161"/>
      <c r="V978" s="166"/>
      <c r="W978" s="166"/>
      <c r="X978" s="166"/>
      <c r="Y978" s="166"/>
    </row>
    <row r="979" ht="22.5" customHeight="1">
      <c r="A979" s="161"/>
      <c r="B979" s="162"/>
      <c r="C979" s="161"/>
      <c r="D979" s="168"/>
      <c r="E979" s="168"/>
      <c r="F979" s="162"/>
      <c r="G979" s="149"/>
      <c r="H979" s="161"/>
      <c r="I979" s="161"/>
      <c r="J979" s="161"/>
      <c r="K979" s="161"/>
      <c r="L979" s="161"/>
      <c r="M979" s="161"/>
      <c r="N979" s="149"/>
      <c r="O979" s="161"/>
      <c r="P979" s="161"/>
      <c r="S979" s="149"/>
      <c r="T979" s="161"/>
      <c r="V979" s="166"/>
      <c r="W979" s="166"/>
      <c r="X979" s="166"/>
      <c r="Y979" s="166"/>
    </row>
    <row r="980" ht="22.5" customHeight="1">
      <c r="A980" s="161"/>
      <c r="B980" s="162"/>
      <c r="C980" s="161"/>
      <c r="D980" s="168"/>
      <c r="E980" s="168"/>
      <c r="F980" s="162"/>
      <c r="G980" s="149"/>
      <c r="H980" s="161"/>
      <c r="I980" s="161"/>
      <c r="J980" s="161"/>
      <c r="K980" s="161"/>
      <c r="L980" s="161"/>
      <c r="M980" s="161"/>
      <c r="N980" s="149"/>
      <c r="O980" s="161"/>
      <c r="P980" s="161"/>
      <c r="S980" s="149"/>
      <c r="T980" s="161"/>
      <c r="V980" s="166"/>
      <c r="W980" s="166"/>
      <c r="X980" s="166"/>
      <c r="Y980" s="166"/>
    </row>
    <row r="981" ht="22.5" customHeight="1">
      <c r="A981" s="161"/>
      <c r="B981" s="162"/>
      <c r="C981" s="161"/>
      <c r="D981" s="168"/>
      <c r="E981" s="168"/>
      <c r="F981" s="162"/>
      <c r="G981" s="149"/>
      <c r="H981" s="161"/>
      <c r="I981" s="161"/>
      <c r="J981" s="161"/>
      <c r="K981" s="161"/>
      <c r="L981" s="161"/>
      <c r="M981" s="161"/>
      <c r="N981" s="149"/>
      <c r="O981" s="161"/>
      <c r="P981" s="161"/>
      <c r="S981" s="149"/>
      <c r="T981" s="161"/>
      <c r="V981" s="166"/>
      <c r="W981" s="166"/>
      <c r="X981" s="166"/>
      <c r="Y981" s="166"/>
    </row>
    <row r="982" ht="22.5" customHeight="1">
      <c r="A982" s="161"/>
      <c r="B982" s="162"/>
      <c r="C982" s="161"/>
      <c r="D982" s="168"/>
      <c r="E982" s="168"/>
      <c r="F982" s="162"/>
      <c r="G982" s="149"/>
      <c r="H982" s="161"/>
      <c r="I982" s="161"/>
      <c r="J982" s="161"/>
      <c r="K982" s="161"/>
      <c r="L982" s="161"/>
      <c r="M982" s="161"/>
      <c r="N982" s="149"/>
      <c r="O982" s="161"/>
      <c r="P982" s="161"/>
      <c r="S982" s="149"/>
      <c r="T982" s="161"/>
      <c r="V982" s="166"/>
      <c r="W982" s="166"/>
      <c r="X982" s="166"/>
      <c r="Y982" s="166"/>
    </row>
    <row r="983" ht="22.5" customHeight="1">
      <c r="A983" s="161"/>
      <c r="B983" s="162"/>
      <c r="C983" s="161"/>
      <c r="D983" s="168"/>
      <c r="E983" s="168"/>
      <c r="F983" s="162"/>
      <c r="G983" s="149"/>
      <c r="H983" s="161"/>
      <c r="I983" s="161"/>
      <c r="J983" s="161"/>
      <c r="K983" s="161"/>
      <c r="L983" s="161"/>
      <c r="M983" s="161"/>
      <c r="N983" s="149"/>
      <c r="O983" s="161"/>
      <c r="P983" s="161"/>
      <c r="S983" s="149"/>
      <c r="T983" s="161"/>
      <c r="V983" s="166"/>
      <c r="W983" s="166"/>
      <c r="X983" s="166"/>
      <c r="Y983" s="166"/>
    </row>
    <row r="984" ht="22.5" customHeight="1">
      <c r="A984" s="161"/>
      <c r="B984" s="162"/>
      <c r="C984" s="161"/>
      <c r="D984" s="168"/>
      <c r="E984" s="168"/>
      <c r="F984" s="162"/>
      <c r="G984" s="149"/>
      <c r="H984" s="161"/>
      <c r="I984" s="161"/>
      <c r="J984" s="161"/>
      <c r="K984" s="161"/>
      <c r="L984" s="161"/>
      <c r="M984" s="161"/>
      <c r="N984" s="149"/>
      <c r="O984" s="161"/>
      <c r="P984" s="161"/>
      <c r="S984" s="149"/>
      <c r="T984" s="161"/>
      <c r="V984" s="166"/>
      <c r="W984" s="166"/>
      <c r="X984" s="166"/>
      <c r="Y984" s="166"/>
    </row>
    <row r="985" ht="22.5" customHeight="1">
      <c r="A985" s="161"/>
      <c r="B985" s="162"/>
      <c r="C985" s="161"/>
      <c r="D985" s="168"/>
      <c r="E985" s="168"/>
      <c r="F985" s="162"/>
      <c r="G985" s="149"/>
      <c r="H985" s="161"/>
      <c r="I985" s="161"/>
      <c r="J985" s="161"/>
      <c r="K985" s="161"/>
      <c r="L985" s="161"/>
      <c r="M985" s="161"/>
      <c r="N985" s="149"/>
      <c r="O985" s="161"/>
      <c r="P985" s="161"/>
      <c r="S985" s="149"/>
      <c r="T985" s="161"/>
      <c r="V985" s="166"/>
      <c r="W985" s="166"/>
      <c r="X985" s="166"/>
      <c r="Y985" s="166"/>
    </row>
    <row r="986" ht="22.5" customHeight="1">
      <c r="A986" s="161"/>
      <c r="B986" s="162"/>
      <c r="C986" s="161"/>
      <c r="D986" s="168"/>
      <c r="E986" s="168"/>
      <c r="F986" s="162"/>
      <c r="G986" s="149"/>
      <c r="H986" s="161"/>
      <c r="I986" s="161"/>
      <c r="J986" s="161"/>
      <c r="K986" s="161"/>
      <c r="L986" s="161"/>
      <c r="M986" s="161"/>
      <c r="N986" s="149"/>
      <c r="O986" s="161"/>
      <c r="P986" s="161"/>
      <c r="S986" s="149"/>
      <c r="T986" s="161"/>
      <c r="V986" s="166"/>
      <c r="W986" s="166"/>
      <c r="X986" s="166"/>
      <c r="Y986" s="166"/>
    </row>
    <row r="987" ht="22.5" customHeight="1">
      <c r="A987" s="161"/>
      <c r="B987" s="162"/>
      <c r="C987" s="161"/>
      <c r="D987" s="168"/>
      <c r="E987" s="168"/>
      <c r="F987" s="162"/>
      <c r="G987" s="149"/>
      <c r="H987" s="161"/>
      <c r="I987" s="161"/>
      <c r="J987" s="161"/>
      <c r="K987" s="161"/>
      <c r="L987" s="161"/>
      <c r="M987" s="161"/>
      <c r="N987" s="149"/>
      <c r="O987" s="161"/>
      <c r="P987" s="161"/>
      <c r="S987" s="149"/>
      <c r="T987" s="161"/>
      <c r="V987" s="166"/>
      <c r="W987" s="166"/>
      <c r="X987" s="166"/>
      <c r="Y987" s="166"/>
    </row>
    <row r="988" ht="22.5" customHeight="1">
      <c r="A988" s="161"/>
      <c r="B988" s="162"/>
      <c r="C988" s="161"/>
      <c r="D988" s="168"/>
      <c r="E988" s="168"/>
      <c r="F988" s="162"/>
      <c r="G988" s="149"/>
      <c r="H988" s="161"/>
      <c r="I988" s="161"/>
      <c r="J988" s="161"/>
      <c r="K988" s="161"/>
      <c r="L988" s="161"/>
      <c r="M988" s="161"/>
      <c r="N988" s="149"/>
      <c r="O988" s="161"/>
      <c r="P988" s="161"/>
      <c r="S988" s="149"/>
      <c r="T988" s="161"/>
      <c r="V988" s="166"/>
      <c r="W988" s="166"/>
      <c r="X988" s="166"/>
      <c r="Y988" s="166"/>
    </row>
    <row r="989" ht="22.5" customHeight="1">
      <c r="A989" s="161"/>
      <c r="B989" s="162"/>
      <c r="C989" s="161"/>
      <c r="D989" s="168"/>
      <c r="E989" s="168"/>
      <c r="F989" s="162"/>
      <c r="G989" s="149"/>
      <c r="H989" s="161"/>
      <c r="I989" s="161"/>
      <c r="J989" s="161"/>
      <c r="K989" s="161"/>
      <c r="L989" s="161"/>
      <c r="M989" s="161"/>
      <c r="N989" s="149"/>
      <c r="O989" s="161"/>
      <c r="P989" s="161"/>
      <c r="S989" s="149"/>
      <c r="T989" s="161"/>
      <c r="V989" s="166"/>
      <c r="W989" s="166"/>
      <c r="X989" s="166"/>
      <c r="Y989" s="166"/>
    </row>
    <row r="990" ht="22.5" customHeight="1">
      <c r="A990" s="161"/>
      <c r="B990" s="162"/>
      <c r="C990" s="161"/>
      <c r="D990" s="168"/>
      <c r="E990" s="168"/>
      <c r="F990" s="162"/>
      <c r="G990" s="149"/>
      <c r="H990" s="161"/>
      <c r="I990" s="161"/>
      <c r="J990" s="161"/>
      <c r="K990" s="161"/>
      <c r="L990" s="161"/>
      <c r="M990" s="161"/>
      <c r="N990" s="149"/>
      <c r="O990" s="161"/>
      <c r="P990" s="161"/>
      <c r="S990" s="149"/>
      <c r="T990" s="161"/>
      <c r="V990" s="166"/>
      <c r="W990" s="166"/>
      <c r="X990" s="166"/>
      <c r="Y990" s="166"/>
    </row>
    <row r="991" ht="22.5" customHeight="1">
      <c r="A991" s="161"/>
      <c r="B991" s="162"/>
      <c r="C991" s="161"/>
      <c r="D991" s="168"/>
      <c r="E991" s="168"/>
      <c r="F991" s="162"/>
      <c r="G991" s="149"/>
      <c r="H991" s="161"/>
      <c r="I991" s="161"/>
      <c r="J991" s="161"/>
      <c r="K991" s="161"/>
      <c r="L991" s="161"/>
      <c r="M991" s="161"/>
      <c r="N991" s="149"/>
      <c r="O991" s="161"/>
      <c r="P991" s="161"/>
      <c r="S991" s="149"/>
      <c r="T991" s="161"/>
      <c r="V991" s="166"/>
      <c r="W991" s="166"/>
      <c r="X991" s="166"/>
      <c r="Y991" s="166"/>
    </row>
    <row r="992" ht="22.5" customHeight="1">
      <c r="A992" s="161"/>
      <c r="B992" s="162"/>
      <c r="C992" s="161"/>
      <c r="D992" s="168"/>
      <c r="E992" s="168"/>
      <c r="F992" s="162"/>
      <c r="G992" s="149"/>
      <c r="H992" s="161"/>
      <c r="I992" s="161"/>
      <c r="J992" s="161"/>
      <c r="K992" s="161"/>
      <c r="L992" s="161"/>
      <c r="M992" s="161"/>
      <c r="N992" s="149"/>
      <c r="O992" s="161"/>
      <c r="P992" s="161"/>
      <c r="S992" s="149"/>
      <c r="T992" s="161"/>
      <c r="V992" s="166"/>
      <c r="W992" s="166"/>
      <c r="X992" s="166"/>
      <c r="Y992" s="166"/>
    </row>
    <row r="993" ht="22.5" customHeight="1">
      <c r="A993" s="161"/>
      <c r="B993" s="162"/>
      <c r="C993" s="161"/>
      <c r="D993" s="168"/>
      <c r="E993" s="168"/>
      <c r="F993" s="162"/>
      <c r="G993" s="149"/>
      <c r="H993" s="161"/>
      <c r="I993" s="161"/>
      <c r="J993" s="161"/>
      <c r="K993" s="161"/>
      <c r="L993" s="161"/>
      <c r="M993" s="161"/>
      <c r="N993" s="149"/>
      <c r="O993" s="161"/>
      <c r="P993" s="161"/>
      <c r="S993" s="149"/>
      <c r="T993" s="161"/>
      <c r="V993" s="166"/>
      <c r="W993" s="166"/>
      <c r="X993" s="166"/>
      <c r="Y993" s="166"/>
    </row>
    <row r="994" ht="22.5" customHeight="1">
      <c r="A994" s="161"/>
      <c r="B994" s="162"/>
      <c r="C994" s="161"/>
      <c r="D994" s="168"/>
      <c r="E994" s="168"/>
      <c r="F994" s="162"/>
      <c r="G994" s="149"/>
      <c r="H994" s="161"/>
      <c r="I994" s="161"/>
      <c r="J994" s="161"/>
      <c r="K994" s="161"/>
      <c r="L994" s="161"/>
      <c r="M994" s="161"/>
      <c r="N994" s="149"/>
      <c r="O994" s="161"/>
      <c r="P994" s="161"/>
      <c r="S994" s="149"/>
      <c r="T994" s="161"/>
      <c r="V994" s="166"/>
      <c r="W994" s="166"/>
      <c r="X994" s="166"/>
      <c r="Y994" s="166"/>
    </row>
    <row r="995" ht="22.5" customHeight="1">
      <c r="A995" s="161"/>
      <c r="B995" s="162"/>
      <c r="C995" s="161"/>
      <c r="D995" s="168"/>
      <c r="E995" s="168"/>
      <c r="F995" s="162"/>
      <c r="G995" s="149"/>
      <c r="H995" s="161"/>
      <c r="I995" s="161"/>
      <c r="J995" s="161"/>
      <c r="K995" s="161"/>
      <c r="L995" s="161"/>
      <c r="M995" s="161"/>
      <c r="N995" s="149"/>
      <c r="O995" s="161"/>
      <c r="P995" s="161"/>
      <c r="S995" s="149"/>
      <c r="T995" s="161"/>
      <c r="V995" s="166"/>
      <c r="W995" s="166"/>
      <c r="X995" s="166"/>
      <c r="Y995" s="166"/>
    </row>
    <row r="996" ht="22.5" customHeight="1">
      <c r="A996" s="161"/>
      <c r="B996" s="162"/>
      <c r="C996" s="161"/>
      <c r="D996" s="168"/>
      <c r="E996" s="168"/>
      <c r="F996" s="162"/>
      <c r="G996" s="149"/>
      <c r="H996" s="161"/>
      <c r="I996" s="161"/>
      <c r="J996" s="161"/>
      <c r="K996" s="161"/>
      <c r="L996" s="161"/>
      <c r="M996" s="161"/>
      <c r="N996" s="149"/>
      <c r="O996" s="161"/>
      <c r="P996" s="161"/>
      <c r="S996" s="149"/>
      <c r="T996" s="161"/>
      <c r="V996" s="166"/>
      <c r="W996" s="166"/>
      <c r="X996" s="166"/>
      <c r="Y996" s="166"/>
    </row>
    <row r="997" ht="22.5" customHeight="1">
      <c r="A997" s="161"/>
      <c r="B997" s="162"/>
      <c r="C997" s="161"/>
      <c r="D997" s="168"/>
      <c r="E997" s="168"/>
      <c r="F997" s="162"/>
      <c r="G997" s="149"/>
      <c r="H997" s="161"/>
      <c r="I997" s="161"/>
      <c r="J997" s="161"/>
      <c r="K997" s="161"/>
      <c r="L997" s="161"/>
      <c r="M997" s="161"/>
      <c r="N997" s="149"/>
      <c r="O997" s="161"/>
      <c r="P997" s="161"/>
      <c r="S997" s="149"/>
      <c r="T997" s="161"/>
      <c r="V997" s="166"/>
      <c r="W997" s="166"/>
      <c r="X997" s="166"/>
      <c r="Y997" s="166"/>
    </row>
    <row r="998" ht="22.5" customHeight="1">
      <c r="A998" s="161"/>
      <c r="B998" s="162"/>
      <c r="C998" s="161"/>
      <c r="D998" s="168"/>
      <c r="E998" s="168"/>
      <c r="F998" s="162"/>
      <c r="G998" s="149"/>
      <c r="H998" s="161"/>
      <c r="I998" s="161"/>
      <c r="J998" s="161"/>
      <c r="K998" s="161"/>
      <c r="L998" s="161"/>
      <c r="M998" s="161"/>
      <c r="N998" s="149"/>
      <c r="O998" s="161"/>
      <c r="P998" s="161"/>
      <c r="S998" s="149"/>
      <c r="T998" s="161"/>
      <c r="V998" s="166"/>
      <c r="W998" s="166"/>
      <c r="X998" s="166"/>
      <c r="Y998" s="166"/>
    </row>
    <row r="999" ht="22.5" customHeight="1">
      <c r="A999" s="161"/>
      <c r="B999" s="162"/>
      <c r="C999" s="161"/>
      <c r="D999" s="168"/>
      <c r="E999" s="168"/>
      <c r="F999" s="162"/>
      <c r="G999" s="149"/>
      <c r="H999" s="161"/>
      <c r="I999" s="161"/>
      <c r="J999" s="161"/>
      <c r="K999" s="161"/>
      <c r="L999" s="161"/>
      <c r="M999" s="161"/>
      <c r="N999" s="149"/>
      <c r="O999" s="161"/>
      <c r="P999" s="161"/>
      <c r="S999" s="149"/>
      <c r="T999" s="161"/>
      <c r="V999" s="166"/>
      <c r="W999" s="166"/>
      <c r="X999" s="166"/>
      <c r="Y999" s="166"/>
    </row>
    <row r="1000" ht="22.5" customHeight="1">
      <c r="A1000" s="161"/>
      <c r="B1000" s="162"/>
      <c r="C1000" s="161"/>
      <c r="D1000" s="168"/>
      <c r="E1000" s="168"/>
      <c r="F1000" s="162"/>
      <c r="G1000" s="149"/>
      <c r="H1000" s="161"/>
      <c r="I1000" s="161"/>
      <c r="J1000" s="161"/>
      <c r="K1000" s="161"/>
      <c r="L1000" s="161"/>
      <c r="M1000" s="161"/>
      <c r="N1000" s="149"/>
      <c r="O1000" s="161"/>
      <c r="P1000" s="161"/>
      <c r="S1000" s="149"/>
      <c r="T1000" s="161"/>
      <c r="V1000" s="166"/>
      <c r="W1000" s="166"/>
      <c r="X1000" s="166"/>
      <c r="Y1000" s="166"/>
    </row>
    <row r="1001" ht="22.5" customHeight="1">
      <c r="A1001" s="161"/>
      <c r="B1001" s="162"/>
      <c r="C1001" s="161"/>
      <c r="D1001" s="168"/>
      <c r="E1001" s="168"/>
      <c r="F1001" s="162"/>
      <c r="G1001" s="149"/>
      <c r="H1001" s="161"/>
      <c r="I1001" s="161"/>
      <c r="J1001" s="161"/>
      <c r="K1001" s="161"/>
      <c r="L1001" s="161"/>
      <c r="M1001" s="161"/>
      <c r="N1001" s="149"/>
      <c r="O1001" s="161"/>
      <c r="P1001" s="161"/>
      <c r="S1001" s="149"/>
      <c r="T1001" s="161"/>
      <c r="V1001" s="166"/>
      <c r="W1001" s="166"/>
      <c r="X1001" s="166"/>
      <c r="Y1001" s="166"/>
    </row>
    <row r="1002" ht="22.5" customHeight="1">
      <c r="A1002" s="161"/>
      <c r="B1002" s="162"/>
      <c r="C1002" s="161"/>
      <c r="D1002" s="168"/>
      <c r="E1002" s="168"/>
      <c r="F1002" s="162"/>
      <c r="G1002" s="149"/>
      <c r="H1002" s="161"/>
      <c r="I1002" s="161"/>
      <c r="J1002" s="161"/>
      <c r="K1002" s="161"/>
      <c r="L1002" s="161"/>
      <c r="M1002" s="161"/>
      <c r="N1002" s="149"/>
      <c r="O1002" s="161"/>
      <c r="P1002" s="161"/>
      <c r="S1002" s="149"/>
      <c r="T1002" s="161"/>
      <c r="V1002" s="166"/>
      <c r="W1002" s="166"/>
      <c r="X1002" s="166"/>
      <c r="Y1002" s="166"/>
    </row>
    <row r="1003" ht="22.5" customHeight="1">
      <c r="A1003" s="161"/>
      <c r="B1003" s="162"/>
      <c r="C1003" s="161"/>
      <c r="D1003" s="168"/>
      <c r="E1003" s="168"/>
      <c r="F1003" s="162"/>
      <c r="G1003" s="149"/>
      <c r="H1003" s="161"/>
      <c r="I1003" s="161"/>
      <c r="J1003" s="161"/>
      <c r="K1003" s="161"/>
      <c r="L1003" s="161"/>
      <c r="M1003" s="161"/>
      <c r="N1003" s="149"/>
      <c r="O1003" s="161"/>
      <c r="P1003" s="161"/>
      <c r="S1003" s="149"/>
      <c r="T1003" s="161"/>
      <c r="V1003" s="166"/>
      <c r="W1003" s="166"/>
      <c r="X1003" s="166"/>
      <c r="Y1003" s="166"/>
    </row>
    <row r="1004" ht="22.5" customHeight="1">
      <c r="A1004" s="161"/>
      <c r="B1004" s="162"/>
      <c r="C1004" s="161"/>
      <c r="D1004" s="168"/>
      <c r="E1004" s="168"/>
      <c r="F1004" s="162"/>
      <c r="G1004" s="149"/>
      <c r="H1004" s="161"/>
      <c r="I1004" s="161"/>
      <c r="J1004" s="161"/>
      <c r="K1004" s="161"/>
      <c r="L1004" s="161"/>
      <c r="M1004" s="161"/>
      <c r="N1004" s="149"/>
      <c r="O1004" s="161"/>
      <c r="P1004" s="161"/>
      <c r="S1004" s="149"/>
      <c r="T1004" s="161"/>
      <c r="V1004" s="166"/>
      <c r="W1004" s="166"/>
      <c r="X1004" s="166"/>
      <c r="Y1004" s="166"/>
    </row>
    <row r="1005" ht="22.5" customHeight="1">
      <c r="A1005" s="161"/>
      <c r="B1005" s="162"/>
      <c r="C1005" s="161"/>
      <c r="D1005" s="168"/>
      <c r="E1005" s="168"/>
      <c r="F1005" s="162"/>
      <c r="G1005" s="149"/>
      <c r="H1005" s="161"/>
      <c r="I1005" s="161"/>
      <c r="J1005" s="161"/>
      <c r="K1005" s="161"/>
      <c r="L1005" s="161"/>
      <c r="M1005" s="161"/>
      <c r="N1005" s="149"/>
      <c r="O1005" s="161"/>
      <c r="P1005" s="161"/>
      <c r="S1005" s="149"/>
      <c r="T1005" s="161"/>
      <c r="V1005" s="166"/>
      <c r="W1005" s="166"/>
      <c r="X1005" s="166"/>
      <c r="Y1005" s="166"/>
    </row>
    <row r="1006" ht="22.5" customHeight="1">
      <c r="A1006" s="161"/>
      <c r="B1006" s="162"/>
      <c r="C1006" s="161"/>
      <c r="D1006" s="168"/>
      <c r="E1006" s="168"/>
      <c r="F1006" s="162"/>
      <c r="G1006" s="149"/>
      <c r="H1006" s="161"/>
      <c r="I1006" s="161"/>
      <c r="J1006" s="161"/>
      <c r="K1006" s="161"/>
      <c r="L1006" s="161"/>
      <c r="M1006" s="161"/>
      <c r="N1006" s="149"/>
      <c r="O1006" s="161"/>
      <c r="P1006" s="161"/>
      <c r="S1006" s="149"/>
      <c r="T1006" s="161"/>
      <c r="V1006" s="166"/>
      <c r="W1006" s="166"/>
      <c r="X1006" s="166"/>
      <c r="Y1006" s="166"/>
    </row>
    <row r="1007" ht="22.5" customHeight="1">
      <c r="A1007" s="161"/>
      <c r="B1007" s="162"/>
      <c r="C1007" s="161"/>
      <c r="D1007" s="168"/>
      <c r="E1007" s="168"/>
      <c r="F1007" s="162"/>
      <c r="G1007" s="149"/>
      <c r="H1007" s="161"/>
      <c r="I1007" s="161"/>
      <c r="J1007" s="161"/>
      <c r="K1007" s="161"/>
      <c r="L1007" s="161"/>
      <c r="M1007" s="161"/>
      <c r="N1007" s="149"/>
      <c r="O1007" s="161"/>
      <c r="P1007" s="161"/>
      <c r="S1007" s="149"/>
      <c r="T1007" s="161"/>
      <c r="V1007" s="166"/>
      <c r="W1007" s="166"/>
      <c r="X1007" s="166"/>
      <c r="Y1007" s="166"/>
    </row>
    <row r="1008" ht="22.5" customHeight="1">
      <c r="A1008" s="161"/>
      <c r="B1008" s="162"/>
      <c r="C1008" s="161"/>
      <c r="D1008" s="168"/>
      <c r="E1008" s="168"/>
      <c r="F1008" s="162"/>
      <c r="G1008" s="149"/>
      <c r="H1008" s="161"/>
      <c r="I1008" s="161"/>
      <c r="J1008" s="161"/>
      <c r="K1008" s="161"/>
      <c r="L1008" s="161"/>
      <c r="M1008" s="161"/>
      <c r="N1008" s="149"/>
      <c r="O1008" s="161"/>
      <c r="P1008" s="161"/>
      <c r="S1008" s="149"/>
      <c r="T1008" s="161"/>
      <c r="V1008" s="166"/>
      <c r="W1008" s="166"/>
      <c r="X1008" s="166"/>
      <c r="Y1008" s="166"/>
    </row>
    <row r="1009" ht="22.5" customHeight="1">
      <c r="A1009" s="161"/>
      <c r="B1009" s="162"/>
      <c r="C1009" s="161"/>
      <c r="D1009" s="168"/>
      <c r="E1009" s="168"/>
      <c r="F1009" s="162"/>
      <c r="G1009" s="149"/>
      <c r="H1009" s="161"/>
      <c r="I1009" s="161"/>
      <c r="J1009" s="161"/>
      <c r="K1009" s="161"/>
      <c r="L1009" s="161"/>
      <c r="M1009" s="161"/>
      <c r="N1009" s="149"/>
      <c r="O1009" s="161"/>
      <c r="P1009" s="161"/>
      <c r="S1009" s="149"/>
      <c r="T1009" s="161"/>
      <c r="V1009" s="166"/>
      <c r="W1009" s="166"/>
      <c r="X1009" s="166"/>
      <c r="Y1009" s="166"/>
    </row>
    <row r="1010" ht="22.5" customHeight="1">
      <c r="A1010" s="161"/>
      <c r="B1010" s="162"/>
      <c r="C1010" s="161"/>
      <c r="D1010" s="168"/>
      <c r="E1010" s="168"/>
      <c r="F1010" s="162"/>
      <c r="G1010" s="149"/>
      <c r="H1010" s="161"/>
      <c r="I1010" s="161"/>
      <c r="J1010" s="161"/>
      <c r="K1010" s="161"/>
      <c r="L1010" s="161"/>
      <c r="M1010" s="161"/>
      <c r="N1010" s="149"/>
      <c r="O1010" s="161"/>
      <c r="P1010" s="161"/>
      <c r="S1010" s="149"/>
      <c r="T1010" s="161"/>
      <c r="V1010" s="166"/>
      <c r="W1010" s="166"/>
      <c r="X1010" s="166"/>
      <c r="Y1010" s="166"/>
    </row>
    <row r="1011" ht="22.5" customHeight="1">
      <c r="A1011" s="161"/>
      <c r="B1011" s="162"/>
      <c r="C1011" s="161"/>
      <c r="D1011" s="168"/>
      <c r="E1011" s="168"/>
      <c r="F1011" s="162"/>
      <c r="G1011" s="149"/>
      <c r="H1011" s="161"/>
      <c r="I1011" s="161"/>
      <c r="J1011" s="161"/>
      <c r="K1011" s="161"/>
      <c r="L1011" s="161"/>
      <c r="M1011" s="161"/>
      <c r="N1011" s="149"/>
      <c r="O1011" s="161"/>
      <c r="P1011" s="161"/>
      <c r="S1011" s="149"/>
      <c r="T1011" s="161"/>
      <c r="V1011" s="166"/>
      <c r="W1011" s="166"/>
      <c r="X1011" s="166"/>
      <c r="Y1011" s="166"/>
    </row>
    <row r="1012" ht="22.5" customHeight="1">
      <c r="A1012" s="161"/>
      <c r="B1012" s="162"/>
      <c r="C1012" s="161"/>
      <c r="D1012" s="168"/>
      <c r="E1012" s="168"/>
      <c r="F1012" s="162"/>
      <c r="G1012" s="149"/>
      <c r="H1012" s="161"/>
      <c r="I1012" s="161"/>
      <c r="J1012" s="161"/>
      <c r="K1012" s="161"/>
      <c r="L1012" s="161"/>
      <c r="M1012" s="161"/>
      <c r="N1012" s="149"/>
      <c r="O1012" s="161"/>
      <c r="P1012" s="161"/>
      <c r="S1012" s="149"/>
      <c r="T1012" s="161"/>
      <c r="V1012" s="166"/>
      <c r="W1012" s="166"/>
      <c r="X1012" s="166"/>
      <c r="Y1012" s="166"/>
    </row>
    <row r="1013" ht="22.5" customHeight="1">
      <c r="A1013" s="161"/>
      <c r="B1013" s="162"/>
      <c r="C1013" s="161"/>
      <c r="D1013" s="168"/>
      <c r="E1013" s="168"/>
      <c r="F1013" s="162"/>
      <c r="G1013" s="149"/>
      <c r="H1013" s="161"/>
      <c r="I1013" s="161"/>
      <c r="J1013" s="161"/>
      <c r="K1013" s="161"/>
      <c r="L1013" s="161"/>
      <c r="M1013" s="161"/>
      <c r="N1013" s="149"/>
      <c r="O1013" s="161"/>
      <c r="P1013" s="161"/>
      <c r="S1013" s="149"/>
      <c r="T1013" s="161"/>
      <c r="V1013" s="166"/>
      <c r="W1013" s="166"/>
      <c r="X1013" s="166"/>
      <c r="Y1013" s="166"/>
    </row>
    <row r="1014" ht="22.5" customHeight="1">
      <c r="A1014" s="161"/>
      <c r="B1014" s="162"/>
      <c r="C1014" s="161"/>
      <c r="D1014" s="168"/>
      <c r="E1014" s="168"/>
      <c r="F1014" s="162"/>
      <c r="G1014" s="149"/>
      <c r="H1014" s="161"/>
      <c r="I1014" s="161"/>
      <c r="J1014" s="161"/>
      <c r="K1014" s="161"/>
      <c r="L1014" s="161"/>
      <c r="M1014" s="161"/>
      <c r="N1014" s="149"/>
      <c r="O1014" s="161"/>
      <c r="P1014" s="161"/>
      <c r="S1014" s="149"/>
      <c r="T1014" s="161"/>
      <c r="V1014" s="166"/>
      <c r="W1014" s="166"/>
      <c r="X1014" s="166"/>
      <c r="Y1014" s="166"/>
    </row>
    <row r="1015" ht="22.5" customHeight="1">
      <c r="A1015" s="161"/>
      <c r="B1015" s="162"/>
      <c r="C1015" s="161"/>
      <c r="D1015" s="168"/>
      <c r="E1015" s="168"/>
      <c r="F1015" s="162"/>
      <c r="G1015" s="149"/>
      <c r="H1015" s="161"/>
      <c r="I1015" s="161"/>
      <c r="J1015" s="161"/>
      <c r="K1015" s="161"/>
      <c r="L1015" s="161"/>
      <c r="M1015" s="161"/>
      <c r="N1015" s="149"/>
      <c r="O1015" s="161"/>
      <c r="P1015" s="161"/>
      <c r="S1015" s="149"/>
      <c r="T1015" s="161"/>
      <c r="V1015" s="166"/>
      <c r="W1015" s="166"/>
      <c r="X1015" s="166"/>
      <c r="Y1015" s="166"/>
    </row>
    <row r="1016" ht="22.5" customHeight="1">
      <c r="A1016" s="161"/>
      <c r="B1016" s="162"/>
      <c r="C1016" s="161"/>
      <c r="D1016" s="168"/>
      <c r="E1016" s="168"/>
      <c r="F1016" s="162"/>
      <c r="G1016" s="149"/>
      <c r="H1016" s="161"/>
      <c r="I1016" s="161"/>
      <c r="J1016" s="161"/>
      <c r="K1016" s="161"/>
      <c r="L1016" s="161"/>
      <c r="M1016" s="161"/>
      <c r="N1016" s="149"/>
      <c r="O1016" s="161"/>
      <c r="P1016" s="161"/>
      <c r="S1016" s="149"/>
      <c r="T1016" s="161"/>
      <c r="V1016" s="166"/>
      <c r="W1016" s="166"/>
      <c r="X1016" s="166"/>
      <c r="Y1016" s="166"/>
    </row>
    <row r="1017" ht="22.5" customHeight="1">
      <c r="A1017" s="161"/>
      <c r="B1017" s="162"/>
      <c r="C1017" s="161"/>
      <c r="D1017" s="168"/>
      <c r="E1017" s="168"/>
      <c r="F1017" s="162"/>
      <c r="G1017" s="149"/>
      <c r="H1017" s="161"/>
      <c r="I1017" s="161"/>
      <c r="J1017" s="161"/>
      <c r="K1017" s="161"/>
      <c r="L1017" s="161"/>
      <c r="M1017" s="161"/>
      <c r="N1017" s="149"/>
      <c r="O1017" s="161"/>
      <c r="P1017" s="161"/>
      <c r="S1017" s="149"/>
      <c r="T1017" s="161"/>
      <c r="V1017" s="166"/>
      <c r="W1017" s="166"/>
      <c r="X1017" s="166"/>
      <c r="Y1017" s="166"/>
    </row>
    <row r="1018" ht="22.5" customHeight="1">
      <c r="A1018" s="161"/>
      <c r="B1018" s="162"/>
      <c r="C1018" s="161"/>
      <c r="D1018" s="168"/>
      <c r="E1018" s="168"/>
      <c r="F1018" s="162"/>
      <c r="G1018" s="149"/>
      <c r="H1018" s="161"/>
      <c r="I1018" s="161"/>
      <c r="J1018" s="161"/>
      <c r="K1018" s="161"/>
      <c r="L1018" s="161"/>
      <c r="M1018" s="161"/>
      <c r="N1018" s="149"/>
      <c r="O1018" s="161"/>
      <c r="P1018" s="161"/>
      <c r="S1018" s="149"/>
      <c r="T1018" s="161"/>
      <c r="V1018" s="166"/>
      <c r="W1018" s="166"/>
      <c r="X1018" s="166"/>
      <c r="Y1018" s="166"/>
    </row>
    <row r="1019" ht="22.5" customHeight="1">
      <c r="A1019" s="161"/>
      <c r="B1019" s="162"/>
      <c r="C1019" s="161"/>
      <c r="D1019" s="168"/>
      <c r="E1019" s="168"/>
      <c r="F1019" s="162"/>
      <c r="G1019" s="149"/>
      <c r="H1019" s="161"/>
      <c r="I1019" s="161"/>
      <c r="J1019" s="161"/>
      <c r="K1019" s="161"/>
      <c r="L1019" s="161"/>
      <c r="M1019" s="161"/>
      <c r="N1019" s="149"/>
      <c r="O1019" s="161"/>
      <c r="P1019" s="161"/>
      <c r="S1019" s="149"/>
      <c r="T1019" s="161"/>
      <c r="V1019" s="166"/>
      <c r="W1019" s="166"/>
      <c r="X1019" s="166"/>
      <c r="Y1019" s="166"/>
    </row>
    <row r="1020" ht="22.5" customHeight="1">
      <c r="A1020" s="161"/>
      <c r="B1020" s="162"/>
      <c r="C1020" s="161"/>
      <c r="D1020" s="168"/>
      <c r="E1020" s="168"/>
      <c r="F1020" s="162"/>
      <c r="G1020" s="149"/>
      <c r="H1020" s="161"/>
      <c r="I1020" s="161"/>
      <c r="J1020" s="161"/>
      <c r="K1020" s="161"/>
      <c r="L1020" s="161"/>
      <c r="M1020" s="161"/>
      <c r="N1020" s="149"/>
      <c r="O1020" s="161"/>
      <c r="P1020" s="161"/>
      <c r="S1020" s="149"/>
      <c r="T1020" s="161"/>
      <c r="V1020" s="166"/>
      <c r="W1020" s="166"/>
      <c r="X1020" s="166"/>
      <c r="Y1020" s="166"/>
    </row>
    <row r="1021" ht="22.5" customHeight="1">
      <c r="A1021" s="161"/>
      <c r="B1021" s="162"/>
      <c r="C1021" s="161"/>
      <c r="D1021" s="168"/>
      <c r="E1021" s="168"/>
      <c r="F1021" s="162"/>
      <c r="G1021" s="149"/>
      <c r="H1021" s="161"/>
      <c r="I1021" s="161"/>
      <c r="J1021" s="161"/>
      <c r="K1021" s="161"/>
      <c r="L1021" s="161"/>
      <c r="M1021" s="161"/>
      <c r="N1021" s="149"/>
      <c r="O1021" s="161"/>
      <c r="P1021" s="161"/>
      <c r="S1021" s="149"/>
      <c r="T1021" s="161"/>
      <c r="V1021" s="166"/>
      <c r="W1021" s="166"/>
      <c r="X1021" s="166"/>
      <c r="Y1021" s="166"/>
    </row>
    <row r="1022" ht="22.5" customHeight="1">
      <c r="A1022" s="161"/>
      <c r="B1022" s="162"/>
      <c r="C1022" s="161"/>
      <c r="D1022" s="168"/>
      <c r="E1022" s="168"/>
      <c r="F1022" s="162"/>
      <c r="G1022" s="149"/>
      <c r="H1022" s="161"/>
      <c r="I1022" s="161"/>
      <c r="J1022" s="161"/>
      <c r="K1022" s="161"/>
      <c r="L1022" s="161"/>
      <c r="M1022" s="161"/>
      <c r="N1022" s="149"/>
      <c r="O1022" s="161"/>
      <c r="P1022" s="161"/>
      <c r="S1022" s="149"/>
      <c r="T1022" s="161"/>
      <c r="V1022" s="166"/>
      <c r="W1022" s="166"/>
      <c r="X1022" s="166"/>
      <c r="Y1022" s="166"/>
    </row>
    <row r="1023" ht="22.5" customHeight="1">
      <c r="A1023" s="161"/>
      <c r="B1023" s="162"/>
      <c r="C1023" s="161"/>
      <c r="D1023" s="168"/>
      <c r="E1023" s="168"/>
      <c r="F1023" s="162"/>
      <c r="G1023" s="149"/>
      <c r="H1023" s="161"/>
      <c r="I1023" s="161"/>
      <c r="J1023" s="161"/>
      <c r="K1023" s="161"/>
      <c r="L1023" s="161"/>
      <c r="M1023" s="161"/>
      <c r="N1023" s="149"/>
      <c r="O1023" s="161"/>
      <c r="P1023" s="161"/>
      <c r="S1023" s="149"/>
      <c r="T1023" s="161"/>
      <c r="V1023" s="166"/>
      <c r="W1023" s="166"/>
      <c r="X1023" s="166"/>
      <c r="Y1023" s="166"/>
    </row>
    <row r="1024" ht="22.5" customHeight="1">
      <c r="A1024" s="161"/>
      <c r="B1024" s="162"/>
      <c r="C1024" s="161"/>
      <c r="D1024" s="168"/>
      <c r="E1024" s="168"/>
      <c r="F1024" s="162"/>
      <c r="G1024" s="149"/>
      <c r="H1024" s="161"/>
      <c r="I1024" s="161"/>
      <c r="J1024" s="161"/>
      <c r="K1024" s="161"/>
      <c r="L1024" s="161"/>
      <c r="M1024" s="161"/>
      <c r="N1024" s="149"/>
      <c r="O1024" s="161"/>
      <c r="P1024" s="161"/>
      <c r="S1024" s="149"/>
      <c r="T1024" s="161"/>
      <c r="V1024" s="166"/>
      <c r="W1024" s="166"/>
      <c r="X1024" s="166"/>
      <c r="Y1024" s="166"/>
    </row>
    <row r="1025" ht="22.5" customHeight="1">
      <c r="A1025" s="161"/>
      <c r="B1025" s="162"/>
      <c r="C1025" s="161"/>
      <c r="D1025" s="168"/>
      <c r="E1025" s="168"/>
      <c r="F1025" s="162"/>
      <c r="G1025" s="149"/>
      <c r="H1025" s="161"/>
      <c r="I1025" s="161"/>
      <c r="J1025" s="161"/>
      <c r="K1025" s="161"/>
      <c r="L1025" s="161"/>
      <c r="M1025" s="161"/>
      <c r="N1025" s="149"/>
      <c r="O1025" s="161"/>
      <c r="P1025" s="161"/>
      <c r="S1025" s="149"/>
      <c r="T1025" s="161"/>
      <c r="V1025" s="166"/>
      <c r="W1025" s="166"/>
      <c r="X1025" s="166"/>
      <c r="Y1025" s="166"/>
    </row>
    <row r="1026" ht="22.5" customHeight="1">
      <c r="A1026" s="161"/>
      <c r="B1026" s="162"/>
      <c r="C1026" s="161"/>
      <c r="D1026" s="168"/>
      <c r="E1026" s="168"/>
      <c r="F1026" s="162"/>
      <c r="G1026" s="149"/>
      <c r="H1026" s="161"/>
      <c r="I1026" s="161"/>
      <c r="J1026" s="161"/>
      <c r="K1026" s="161"/>
      <c r="L1026" s="161"/>
      <c r="M1026" s="161"/>
      <c r="N1026" s="149"/>
      <c r="O1026" s="161"/>
      <c r="P1026" s="161"/>
      <c r="S1026" s="149"/>
      <c r="T1026" s="161"/>
      <c r="V1026" s="166"/>
      <c r="W1026" s="166"/>
      <c r="X1026" s="166"/>
      <c r="Y1026" s="166"/>
    </row>
    <row r="1027" ht="22.5" customHeight="1">
      <c r="A1027" s="161"/>
      <c r="B1027" s="162"/>
      <c r="C1027" s="161"/>
      <c r="D1027" s="168"/>
      <c r="E1027" s="168"/>
      <c r="F1027" s="162"/>
      <c r="G1027" s="149"/>
      <c r="H1027" s="161"/>
      <c r="I1027" s="161"/>
      <c r="J1027" s="161"/>
      <c r="K1027" s="161"/>
      <c r="L1027" s="161"/>
      <c r="M1027" s="161"/>
      <c r="N1027" s="149"/>
      <c r="O1027" s="161"/>
      <c r="P1027" s="161"/>
      <c r="S1027" s="149"/>
      <c r="T1027" s="161"/>
      <c r="V1027" s="166"/>
      <c r="W1027" s="166"/>
      <c r="X1027" s="166"/>
      <c r="Y1027" s="166"/>
    </row>
    <row r="1028" ht="22.5" customHeight="1">
      <c r="A1028" s="161"/>
      <c r="B1028" s="162"/>
      <c r="C1028" s="161"/>
      <c r="D1028" s="168"/>
      <c r="E1028" s="168"/>
      <c r="F1028" s="162"/>
      <c r="G1028" s="149"/>
      <c r="H1028" s="161"/>
      <c r="I1028" s="161"/>
      <c r="J1028" s="161"/>
      <c r="K1028" s="161"/>
      <c r="L1028" s="161"/>
      <c r="M1028" s="161"/>
      <c r="N1028" s="149"/>
      <c r="O1028" s="161"/>
      <c r="P1028" s="161"/>
      <c r="S1028" s="149"/>
      <c r="T1028" s="161"/>
      <c r="V1028" s="166"/>
      <c r="W1028" s="166"/>
      <c r="X1028" s="166"/>
      <c r="Y1028" s="166"/>
    </row>
    <row r="1029" ht="22.5" customHeight="1">
      <c r="A1029" s="161"/>
      <c r="B1029" s="162"/>
      <c r="C1029" s="161"/>
      <c r="D1029" s="168"/>
      <c r="E1029" s="168"/>
      <c r="F1029" s="162"/>
      <c r="G1029" s="149"/>
      <c r="H1029" s="161"/>
      <c r="I1029" s="161"/>
      <c r="J1029" s="161"/>
      <c r="K1029" s="161"/>
      <c r="L1029" s="161"/>
      <c r="M1029" s="161"/>
      <c r="N1029" s="149"/>
      <c r="O1029" s="161"/>
      <c r="P1029" s="161"/>
      <c r="S1029" s="149"/>
      <c r="T1029" s="161"/>
      <c r="V1029" s="166"/>
      <c r="W1029" s="166"/>
      <c r="X1029" s="166"/>
      <c r="Y1029" s="166"/>
    </row>
    <row r="1030" ht="22.5" customHeight="1">
      <c r="A1030" s="161"/>
      <c r="B1030" s="162"/>
      <c r="C1030" s="161"/>
      <c r="D1030" s="168"/>
      <c r="E1030" s="168"/>
      <c r="F1030" s="162"/>
      <c r="G1030" s="149"/>
      <c r="H1030" s="161"/>
      <c r="I1030" s="161"/>
      <c r="J1030" s="161"/>
      <c r="K1030" s="161"/>
      <c r="L1030" s="161"/>
      <c r="M1030" s="161"/>
      <c r="N1030" s="149"/>
      <c r="O1030" s="161"/>
      <c r="P1030" s="161"/>
      <c r="S1030" s="149"/>
      <c r="T1030" s="161"/>
      <c r="V1030" s="166"/>
      <c r="W1030" s="166"/>
      <c r="X1030" s="166"/>
      <c r="Y1030" s="166"/>
    </row>
    <row r="1031" ht="22.5" customHeight="1">
      <c r="A1031" s="161"/>
      <c r="B1031" s="162"/>
      <c r="C1031" s="161"/>
      <c r="D1031" s="168"/>
      <c r="E1031" s="168"/>
      <c r="F1031" s="162"/>
      <c r="G1031" s="149"/>
      <c r="H1031" s="161"/>
      <c r="I1031" s="161"/>
      <c r="J1031" s="161"/>
      <c r="K1031" s="161"/>
      <c r="L1031" s="161"/>
      <c r="M1031" s="161"/>
      <c r="N1031" s="149"/>
      <c r="O1031" s="161"/>
      <c r="P1031" s="161"/>
      <c r="S1031" s="149"/>
      <c r="T1031" s="161"/>
      <c r="V1031" s="166"/>
      <c r="W1031" s="166"/>
      <c r="X1031" s="166"/>
      <c r="Y1031" s="166"/>
    </row>
    <row r="1032" ht="22.5" customHeight="1">
      <c r="A1032" s="161"/>
      <c r="B1032" s="162"/>
      <c r="C1032" s="161"/>
      <c r="D1032" s="168"/>
      <c r="E1032" s="168"/>
      <c r="F1032" s="162"/>
      <c r="G1032" s="149"/>
      <c r="H1032" s="161"/>
      <c r="I1032" s="161"/>
      <c r="J1032" s="161"/>
      <c r="K1032" s="161"/>
      <c r="L1032" s="161"/>
      <c r="M1032" s="161"/>
      <c r="N1032" s="149"/>
      <c r="O1032" s="161"/>
      <c r="P1032" s="161"/>
      <c r="S1032" s="149"/>
      <c r="T1032" s="161"/>
      <c r="V1032" s="166"/>
      <c r="W1032" s="166"/>
      <c r="X1032" s="166"/>
      <c r="Y1032" s="166"/>
    </row>
    <row r="1033" ht="22.5" customHeight="1">
      <c r="A1033" s="161"/>
      <c r="B1033" s="162"/>
      <c r="C1033" s="161"/>
      <c r="D1033" s="168"/>
      <c r="E1033" s="168"/>
      <c r="F1033" s="162"/>
      <c r="G1033" s="149"/>
      <c r="H1033" s="161"/>
      <c r="I1033" s="161"/>
      <c r="J1033" s="161"/>
      <c r="K1033" s="161"/>
      <c r="L1033" s="161"/>
      <c r="M1033" s="161"/>
      <c r="N1033" s="149"/>
      <c r="O1033" s="161"/>
      <c r="P1033" s="161"/>
      <c r="S1033" s="149"/>
      <c r="T1033" s="161"/>
      <c r="V1033" s="166"/>
      <c r="W1033" s="166"/>
      <c r="X1033" s="166"/>
      <c r="Y1033" s="166"/>
    </row>
    <row r="1034" ht="22.5" customHeight="1">
      <c r="A1034" s="161"/>
      <c r="B1034" s="162"/>
      <c r="C1034" s="161"/>
      <c r="D1034" s="168"/>
      <c r="E1034" s="168"/>
      <c r="F1034" s="162"/>
      <c r="G1034" s="149"/>
      <c r="H1034" s="161"/>
      <c r="I1034" s="161"/>
      <c r="J1034" s="161"/>
      <c r="K1034" s="161"/>
      <c r="L1034" s="161"/>
      <c r="M1034" s="161"/>
      <c r="N1034" s="149"/>
      <c r="O1034" s="161"/>
      <c r="P1034" s="161"/>
      <c r="S1034" s="149"/>
      <c r="T1034" s="161"/>
      <c r="V1034" s="166"/>
      <c r="W1034" s="166"/>
      <c r="X1034" s="166"/>
      <c r="Y1034" s="166"/>
    </row>
    <row r="1035" ht="22.5" customHeight="1">
      <c r="A1035" s="161"/>
      <c r="B1035" s="162"/>
      <c r="C1035" s="161"/>
      <c r="D1035" s="168"/>
      <c r="E1035" s="168"/>
      <c r="F1035" s="162"/>
      <c r="G1035" s="149"/>
      <c r="H1035" s="161"/>
      <c r="I1035" s="161"/>
      <c r="J1035" s="161"/>
      <c r="K1035" s="161"/>
      <c r="L1035" s="161"/>
      <c r="M1035" s="161"/>
      <c r="N1035" s="149"/>
      <c r="O1035" s="161"/>
      <c r="P1035" s="161"/>
      <c r="S1035" s="149"/>
      <c r="T1035" s="161"/>
      <c r="V1035" s="166"/>
      <c r="W1035" s="166"/>
      <c r="X1035" s="166"/>
      <c r="Y1035" s="166"/>
    </row>
    <row r="1036" ht="22.5" customHeight="1">
      <c r="A1036" s="161"/>
      <c r="B1036" s="162"/>
      <c r="C1036" s="161"/>
      <c r="D1036" s="168"/>
      <c r="E1036" s="168"/>
      <c r="F1036" s="162"/>
      <c r="G1036" s="149"/>
      <c r="H1036" s="161"/>
      <c r="I1036" s="161"/>
      <c r="J1036" s="161"/>
      <c r="K1036" s="161"/>
      <c r="L1036" s="161"/>
      <c r="M1036" s="161"/>
      <c r="N1036" s="149"/>
      <c r="O1036" s="161"/>
      <c r="P1036" s="161"/>
      <c r="S1036" s="149"/>
      <c r="T1036" s="161"/>
      <c r="V1036" s="166"/>
      <c r="W1036" s="166"/>
      <c r="X1036" s="166"/>
      <c r="Y1036" s="166"/>
    </row>
    <row r="1037" ht="22.5" customHeight="1">
      <c r="A1037" s="161"/>
      <c r="B1037" s="162"/>
      <c r="C1037" s="161"/>
      <c r="D1037" s="168"/>
      <c r="E1037" s="168"/>
      <c r="F1037" s="162"/>
      <c r="G1037" s="149"/>
      <c r="H1037" s="161"/>
      <c r="I1037" s="161"/>
      <c r="J1037" s="161"/>
      <c r="K1037" s="161"/>
      <c r="L1037" s="161"/>
      <c r="M1037" s="161"/>
      <c r="N1037" s="149"/>
      <c r="O1037" s="161"/>
      <c r="P1037" s="161"/>
      <c r="S1037" s="149"/>
      <c r="T1037" s="161"/>
      <c r="V1037" s="166"/>
      <c r="W1037" s="166"/>
      <c r="X1037" s="166"/>
      <c r="Y1037" s="166"/>
    </row>
    <row r="1038" ht="22.5" customHeight="1">
      <c r="A1038" s="161"/>
      <c r="B1038" s="162"/>
      <c r="C1038" s="161"/>
      <c r="D1038" s="168"/>
      <c r="E1038" s="168"/>
      <c r="F1038" s="162"/>
      <c r="G1038" s="149"/>
      <c r="H1038" s="161"/>
      <c r="I1038" s="161"/>
      <c r="J1038" s="161"/>
      <c r="K1038" s="161"/>
      <c r="L1038" s="161"/>
      <c r="M1038" s="161"/>
      <c r="N1038" s="149"/>
      <c r="O1038" s="161"/>
      <c r="P1038" s="161"/>
      <c r="S1038" s="149"/>
      <c r="T1038" s="161"/>
      <c r="V1038" s="166"/>
      <c r="W1038" s="166"/>
      <c r="X1038" s="166"/>
      <c r="Y1038" s="166"/>
    </row>
    <row r="1039" ht="22.5" customHeight="1">
      <c r="A1039" s="161"/>
      <c r="B1039" s="162"/>
      <c r="C1039" s="161"/>
      <c r="D1039" s="168"/>
      <c r="E1039" s="168"/>
      <c r="F1039" s="162"/>
      <c r="G1039" s="149"/>
      <c r="H1039" s="161"/>
      <c r="I1039" s="161"/>
      <c r="J1039" s="161"/>
      <c r="K1039" s="161"/>
      <c r="L1039" s="161"/>
      <c r="M1039" s="161"/>
      <c r="N1039" s="149"/>
      <c r="O1039" s="161"/>
      <c r="P1039" s="161"/>
      <c r="S1039" s="149"/>
      <c r="T1039" s="161"/>
      <c r="V1039" s="166"/>
      <c r="W1039" s="166"/>
      <c r="X1039" s="166"/>
      <c r="Y1039" s="166"/>
    </row>
    <row r="1040" ht="22.5" customHeight="1">
      <c r="A1040" s="161"/>
      <c r="B1040" s="162"/>
      <c r="C1040" s="161"/>
      <c r="D1040" s="168"/>
      <c r="E1040" s="168"/>
      <c r="F1040" s="162"/>
      <c r="G1040" s="149"/>
      <c r="H1040" s="161"/>
      <c r="I1040" s="161"/>
      <c r="J1040" s="161"/>
      <c r="K1040" s="161"/>
      <c r="L1040" s="161"/>
      <c r="M1040" s="161"/>
      <c r="N1040" s="149"/>
      <c r="O1040" s="161"/>
      <c r="P1040" s="161"/>
      <c r="S1040" s="149"/>
      <c r="T1040" s="161"/>
      <c r="V1040" s="166"/>
      <c r="W1040" s="166"/>
      <c r="X1040" s="166"/>
      <c r="Y1040" s="166"/>
    </row>
    <row r="1041" ht="22.5" customHeight="1">
      <c r="A1041" s="161"/>
      <c r="B1041" s="162"/>
      <c r="C1041" s="161"/>
      <c r="D1041" s="168"/>
      <c r="E1041" s="168"/>
      <c r="F1041" s="162"/>
      <c r="G1041" s="149"/>
      <c r="H1041" s="161"/>
      <c r="I1041" s="161"/>
      <c r="J1041" s="161"/>
      <c r="K1041" s="161"/>
      <c r="L1041" s="161"/>
      <c r="M1041" s="161"/>
      <c r="N1041" s="149"/>
      <c r="O1041" s="161"/>
      <c r="P1041" s="161"/>
      <c r="S1041" s="149"/>
      <c r="T1041" s="161"/>
      <c r="V1041" s="166"/>
      <c r="W1041" s="166"/>
      <c r="X1041" s="166"/>
      <c r="Y1041" s="166"/>
    </row>
    <row r="1042" ht="22.5" customHeight="1">
      <c r="A1042" s="161"/>
      <c r="B1042" s="162"/>
      <c r="C1042" s="161"/>
      <c r="D1042" s="168"/>
      <c r="E1042" s="168"/>
      <c r="F1042" s="162"/>
      <c r="G1042" s="149"/>
      <c r="H1042" s="161"/>
      <c r="I1042" s="161"/>
      <c r="J1042" s="161"/>
      <c r="K1042" s="161"/>
      <c r="L1042" s="161"/>
      <c r="M1042" s="161"/>
      <c r="N1042" s="149"/>
      <c r="O1042" s="161"/>
      <c r="P1042" s="161"/>
      <c r="S1042" s="149"/>
      <c r="T1042" s="161"/>
      <c r="V1042" s="166"/>
      <c r="W1042" s="166"/>
      <c r="X1042" s="166"/>
      <c r="Y1042" s="166"/>
    </row>
    <row r="1043" ht="22.5" customHeight="1">
      <c r="A1043" s="161"/>
      <c r="B1043" s="162"/>
      <c r="C1043" s="161"/>
      <c r="D1043" s="168"/>
      <c r="E1043" s="168"/>
      <c r="F1043" s="162"/>
      <c r="G1043" s="149"/>
      <c r="H1043" s="161"/>
      <c r="I1043" s="161"/>
      <c r="J1043" s="161"/>
      <c r="K1043" s="161"/>
      <c r="L1043" s="161"/>
      <c r="M1043" s="161"/>
      <c r="N1043" s="149"/>
      <c r="O1043" s="161"/>
      <c r="P1043" s="161"/>
      <c r="S1043" s="149"/>
      <c r="T1043" s="161"/>
      <c r="V1043" s="166"/>
      <c r="W1043" s="166"/>
      <c r="X1043" s="166"/>
      <c r="Y1043" s="166"/>
    </row>
  </sheetData>
  <dataValidations>
    <dataValidation type="custom" allowBlank="1" showDropDown="1" sqref="S2:S1043">
      <formula1>AND(ISNUMBER(S2),(NOT(OR(NOT(ISERROR(DATEVALUE(S2))), AND(ISNUMBER(S2), LEFT(CELL("format", S2))="D")))))</formula1>
    </dataValidation>
    <dataValidation allowBlank="1" showDropDown="1" sqref="B2:B1043 F2:F1043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40.14"/>
    <col customWidth="1" min="3" max="3" width="20.29"/>
    <col hidden="1" min="8" max="11" width="14.43"/>
    <col hidden="1" min="15" max="15" width="14.4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60" t="s">
        <v>1445</v>
      </c>
      <c r="T1" s="160" t="s">
        <v>1446</v>
      </c>
      <c r="U1" s="160" t="s">
        <v>1447</v>
      </c>
      <c r="V1" s="160" t="s">
        <v>1448</v>
      </c>
      <c r="W1" s="160" t="s">
        <v>1449</v>
      </c>
      <c r="X1" s="160" t="s">
        <v>1450</v>
      </c>
      <c r="Y1" s="160" t="s">
        <v>1451</v>
      </c>
    </row>
    <row r="2" ht="22.5" customHeight="1">
      <c r="A2" s="161" t="s">
        <v>508</v>
      </c>
      <c r="B2" s="162" t="s">
        <v>1311</v>
      </c>
      <c r="C2" s="4" t="s">
        <v>20</v>
      </c>
      <c r="D2" s="4" t="s">
        <v>21</v>
      </c>
      <c r="E2" s="193"/>
      <c r="F2" s="162"/>
      <c r="G2" s="142">
        <v>2771.61</v>
      </c>
      <c r="H2" s="161"/>
      <c r="I2" s="161"/>
      <c r="J2" s="161"/>
      <c r="K2" s="161"/>
      <c r="L2" s="161" t="s">
        <v>1544</v>
      </c>
      <c r="M2" s="161" t="s">
        <v>354</v>
      </c>
      <c r="N2" s="142">
        <v>241.0</v>
      </c>
      <c r="O2" s="161" t="s">
        <v>475</v>
      </c>
      <c r="P2" s="161"/>
      <c r="S2" s="142"/>
      <c r="T2" s="142"/>
      <c r="V2" s="166"/>
      <c r="W2" s="166"/>
      <c r="X2" s="166"/>
      <c r="Y2" s="166"/>
    </row>
    <row r="3" ht="22.5" customHeight="1">
      <c r="A3" s="161" t="s">
        <v>483</v>
      </c>
      <c r="B3" s="162" t="s">
        <v>1239</v>
      </c>
      <c r="C3" s="16" t="s">
        <v>31</v>
      </c>
      <c r="D3" s="9" t="s">
        <v>47</v>
      </c>
      <c r="E3" s="193"/>
      <c r="F3" s="162"/>
      <c r="G3" s="142">
        <v>7343.97</v>
      </c>
      <c r="H3" s="161"/>
      <c r="I3" s="161"/>
      <c r="J3" s="161"/>
      <c r="K3" s="161"/>
      <c r="L3" s="161" t="s">
        <v>1544</v>
      </c>
      <c r="M3" s="161" t="s">
        <v>354</v>
      </c>
      <c r="N3" s="142">
        <v>228.0</v>
      </c>
      <c r="O3" s="161" t="s">
        <v>367</v>
      </c>
      <c r="P3" s="161"/>
      <c r="S3" s="142"/>
      <c r="T3" s="142"/>
      <c r="V3" s="166"/>
      <c r="W3" s="166"/>
      <c r="X3" s="166"/>
      <c r="Y3" s="166"/>
    </row>
    <row r="4" ht="22.5" customHeight="1">
      <c r="A4" s="161" t="s">
        <v>391</v>
      </c>
      <c r="B4" s="162" t="s">
        <v>1409</v>
      </c>
      <c r="C4" s="16" t="s">
        <v>31</v>
      </c>
      <c r="D4" s="9" t="s">
        <v>47</v>
      </c>
      <c r="E4" s="194"/>
      <c r="F4" s="162"/>
      <c r="G4" s="142">
        <v>1000.0</v>
      </c>
      <c r="H4" s="161"/>
      <c r="I4" s="161"/>
      <c r="J4" s="161"/>
      <c r="K4" s="161"/>
      <c r="L4" s="161" t="s">
        <v>1545</v>
      </c>
      <c r="M4" s="161" t="s">
        <v>408</v>
      </c>
      <c r="N4" s="142">
        <v>61.0</v>
      </c>
      <c r="O4" s="161" t="s">
        <v>459</v>
      </c>
      <c r="P4" s="165"/>
      <c r="S4" s="142"/>
      <c r="T4" s="142"/>
      <c r="V4" s="166"/>
      <c r="W4" s="166"/>
      <c r="X4" s="166"/>
      <c r="Y4" s="166"/>
    </row>
    <row r="5" ht="22.5" customHeight="1">
      <c r="A5" s="161" t="s">
        <v>391</v>
      </c>
      <c r="B5" s="162" t="s">
        <v>1409</v>
      </c>
      <c r="C5" s="16" t="s">
        <v>31</v>
      </c>
      <c r="D5" s="9" t="s">
        <v>47</v>
      </c>
      <c r="E5" s="193"/>
      <c r="F5" s="162"/>
      <c r="G5" s="142">
        <v>352.0</v>
      </c>
      <c r="H5" s="161"/>
      <c r="I5" s="161"/>
      <c r="J5" s="161"/>
      <c r="K5" s="161"/>
      <c r="L5" s="161" t="s">
        <v>1545</v>
      </c>
      <c r="M5" s="161" t="s">
        <v>408</v>
      </c>
      <c r="N5" s="142">
        <v>62.0</v>
      </c>
      <c r="O5" s="161" t="s">
        <v>459</v>
      </c>
      <c r="P5" s="165"/>
      <c r="S5" s="142"/>
      <c r="T5" s="142"/>
      <c r="V5" s="166"/>
      <c r="W5" s="166"/>
      <c r="X5" s="166"/>
      <c r="Y5" s="166"/>
    </row>
    <row r="6" ht="22.5" customHeight="1">
      <c r="A6" s="161" t="s">
        <v>391</v>
      </c>
      <c r="B6" s="162" t="s">
        <v>1409</v>
      </c>
      <c r="C6" s="16" t="s">
        <v>31</v>
      </c>
      <c r="D6" s="9" t="s">
        <v>47</v>
      </c>
      <c r="E6" s="194"/>
      <c r="F6" s="162"/>
      <c r="G6" s="142">
        <v>344.82</v>
      </c>
      <c r="H6" s="161"/>
      <c r="I6" s="161"/>
      <c r="J6" s="161"/>
      <c r="K6" s="161"/>
      <c r="L6" s="161" t="s">
        <v>1544</v>
      </c>
      <c r="M6" s="161" t="s">
        <v>354</v>
      </c>
      <c r="N6" s="142">
        <v>229.0</v>
      </c>
      <c r="O6" s="161" t="s">
        <v>391</v>
      </c>
      <c r="P6" s="161"/>
      <c r="S6" s="142"/>
      <c r="T6" s="142"/>
      <c r="V6" s="166"/>
      <c r="W6" s="166"/>
      <c r="X6" s="166"/>
      <c r="Y6" s="166"/>
    </row>
    <row r="7" ht="22.5" customHeight="1">
      <c r="A7" s="161" t="s">
        <v>391</v>
      </c>
      <c r="B7" s="162" t="s">
        <v>1409</v>
      </c>
      <c r="C7" s="16" t="s">
        <v>31</v>
      </c>
      <c r="D7" s="9" t="s">
        <v>47</v>
      </c>
      <c r="E7" s="193"/>
      <c r="F7" s="162"/>
      <c r="G7" s="142">
        <v>10000.0</v>
      </c>
      <c r="H7" s="161"/>
      <c r="I7" s="161"/>
      <c r="J7" s="161"/>
      <c r="K7" s="161"/>
      <c r="L7" s="161" t="s">
        <v>1544</v>
      </c>
      <c r="M7" s="161" t="s">
        <v>354</v>
      </c>
      <c r="N7" s="142">
        <v>229.0</v>
      </c>
      <c r="O7" s="161" t="s">
        <v>391</v>
      </c>
      <c r="P7" s="161"/>
      <c r="S7" s="142"/>
      <c r="T7" s="142"/>
      <c r="V7" s="166"/>
      <c r="W7" s="166"/>
      <c r="X7" s="166"/>
      <c r="Y7" s="166"/>
    </row>
    <row r="8" ht="22.5" customHeight="1">
      <c r="A8" s="161" t="s">
        <v>391</v>
      </c>
      <c r="B8" s="162" t="s">
        <v>1409</v>
      </c>
      <c r="C8" s="16" t="s">
        <v>31</v>
      </c>
      <c r="D8" s="9" t="s">
        <v>47</v>
      </c>
      <c r="E8" s="194"/>
      <c r="F8" s="162"/>
      <c r="G8" s="142">
        <v>21893.46</v>
      </c>
      <c r="H8" s="161"/>
      <c r="I8" s="161"/>
      <c r="J8" s="161"/>
      <c r="K8" s="161"/>
      <c r="L8" s="161" t="s">
        <v>1544</v>
      </c>
      <c r="M8" s="161" t="s">
        <v>354</v>
      </c>
      <c r="N8" s="142">
        <v>229.0</v>
      </c>
      <c r="O8" s="161" t="s">
        <v>391</v>
      </c>
      <c r="P8" s="161"/>
      <c r="S8" s="142"/>
      <c r="T8" s="142"/>
      <c r="V8" s="166"/>
      <c r="W8" s="166"/>
      <c r="X8" s="166"/>
      <c r="Y8" s="166"/>
    </row>
    <row r="9" ht="22.5" customHeight="1">
      <c r="A9" s="161" t="s">
        <v>467</v>
      </c>
      <c r="B9" s="162" t="s">
        <v>1349</v>
      </c>
      <c r="C9" s="4" t="s">
        <v>31</v>
      </c>
      <c r="D9" s="4" t="s">
        <v>371</v>
      </c>
      <c r="E9" s="194"/>
      <c r="F9" s="162"/>
      <c r="G9" s="142">
        <v>4150.0</v>
      </c>
      <c r="H9" s="161"/>
      <c r="I9" s="161"/>
      <c r="J9" s="161"/>
      <c r="K9" s="161"/>
      <c r="L9" s="161" t="s">
        <v>1544</v>
      </c>
      <c r="M9" s="161" t="s">
        <v>354</v>
      </c>
      <c r="N9" s="142">
        <v>241.0</v>
      </c>
      <c r="O9" s="161" t="s">
        <v>475</v>
      </c>
      <c r="P9" s="161"/>
      <c r="S9" s="142"/>
      <c r="T9" s="142"/>
      <c r="V9" s="166"/>
      <c r="W9" s="166"/>
      <c r="X9" s="166"/>
      <c r="Y9" s="166"/>
    </row>
    <row r="10" ht="22.5" customHeight="1">
      <c r="A10" s="161" t="s">
        <v>360</v>
      </c>
      <c r="B10" s="162" t="s">
        <v>1425</v>
      </c>
      <c r="C10" s="4" t="s">
        <v>31</v>
      </c>
      <c r="D10" s="170" t="s">
        <v>187</v>
      </c>
      <c r="E10" s="193"/>
      <c r="F10" s="162"/>
      <c r="G10" s="186">
        <v>51889.725</v>
      </c>
      <c r="H10" s="161"/>
      <c r="I10" s="161"/>
      <c r="J10" s="161"/>
      <c r="K10" s="161"/>
      <c r="L10" s="161" t="s">
        <v>1544</v>
      </c>
      <c r="M10" s="161" t="s">
        <v>354</v>
      </c>
      <c r="N10" s="142">
        <v>401.0</v>
      </c>
      <c r="O10" s="161" t="s">
        <v>1426</v>
      </c>
      <c r="P10" s="161"/>
      <c r="S10" s="142"/>
      <c r="T10" s="142"/>
      <c r="V10" s="166"/>
      <c r="W10" s="166"/>
      <c r="X10" s="166"/>
      <c r="Y10" s="166"/>
    </row>
    <row r="11" ht="22.5" customHeight="1">
      <c r="A11" s="161" t="s">
        <v>360</v>
      </c>
      <c r="B11" s="162" t="s">
        <v>1425</v>
      </c>
      <c r="C11" s="4" t="s">
        <v>20</v>
      </c>
      <c r="D11" s="170" t="s">
        <v>21</v>
      </c>
      <c r="E11" s="193"/>
      <c r="F11" s="162"/>
      <c r="G11" s="186">
        <v>51889.725</v>
      </c>
      <c r="H11" s="161"/>
      <c r="I11" s="161"/>
      <c r="J11" s="161"/>
      <c r="K11" s="161"/>
      <c r="L11" s="161" t="s">
        <v>1544</v>
      </c>
      <c r="M11" s="161" t="s">
        <v>354</v>
      </c>
      <c r="N11" s="142">
        <v>401.0</v>
      </c>
      <c r="O11" s="161"/>
      <c r="P11" s="161"/>
      <c r="S11" s="142"/>
      <c r="T11" s="142"/>
      <c r="V11" s="166"/>
      <c r="W11" s="166"/>
      <c r="X11" s="166"/>
      <c r="Y11" s="166"/>
    </row>
    <row r="12" ht="22.5" customHeight="1">
      <c r="A12" s="27" t="s">
        <v>474</v>
      </c>
      <c r="B12" s="27" t="s">
        <v>1546</v>
      </c>
      <c r="C12" s="161"/>
      <c r="D12" s="193"/>
      <c r="E12" s="193"/>
      <c r="F12" s="162"/>
      <c r="G12" s="142">
        <v>1468.0</v>
      </c>
      <c r="H12" s="161"/>
      <c r="I12" s="161"/>
      <c r="J12" s="161"/>
      <c r="K12" s="161"/>
      <c r="L12" s="161" t="s">
        <v>1544</v>
      </c>
      <c r="M12" s="161" t="s">
        <v>354</v>
      </c>
      <c r="N12" s="142">
        <v>241.0</v>
      </c>
      <c r="O12" s="161" t="s">
        <v>475</v>
      </c>
      <c r="P12" s="161"/>
      <c r="S12" s="142"/>
      <c r="T12" s="142"/>
      <c r="V12" s="166"/>
      <c r="W12" s="166"/>
      <c r="X12" s="166"/>
      <c r="Y12" s="166"/>
    </row>
    <row r="13" ht="22.5" customHeight="1">
      <c r="A13" s="161" t="s">
        <v>364</v>
      </c>
      <c r="B13" s="162" t="s">
        <v>1455</v>
      </c>
      <c r="C13" s="4" t="s">
        <v>370</v>
      </c>
      <c r="D13" s="4" t="s">
        <v>371</v>
      </c>
      <c r="E13" s="193"/>
      <c r="F13" s="162"/>
      <c r="G13" s="142">
        <v>3092.07</v>
      </c>
      <c r="H13" s="161"/>
      <c r="I13" s="161"/>
      <c r="J13" s="161"/>
      <c r="K13" s="161"/>
      <c r="L13" s="161" t="s">
        <v>1544</v>
      </c>
      <c r="M13" s="161" t="s">
        <v>354</v>
      </c>
      <c r="N13" s="142">
        <v>228.0</v>
      </c>
      <c r="O13" s="161" t="s">
        <v>366</v>
      </c>
      <c r="P13" s="161"/>
      <c r="S13" s="142"/>
      <c r="T13" s="142"/>
      <c r="V13" s="166"/>
      <c r="W13" s="166"/>
      <c r="X13" s="166"/>
      <c r="Y13" s="166"/>
    </row>
    <row r="14" ht="22.5" customHeight="1">
      <c r="A14" s="161" t="s">
        <v>364</v>
      </c>
      <c r="B14" s="162" t="s">
        <v>1455</v>
      </c>
      <c r="C14" s="4" t="s">
        <v>370</v>
      </c>
      <c r="D14" s="4" t="s">
        <v>371</v>
      </c>
      <c r="E14" s="194"/>
      <c r="F14" s="162"/>
      <c r="G14" s="142">
        <v>49042.22</v>
      </c>
      <c r="H14" s="161"/>
      <c r="I14" s="161"/>
      <c r="J14" s="161"/>
      <c r="K14" s="161"/>
      <c r="L14" s="161" t="s">
        <v>1544</v>
      </c>
      <c r="M14" s="161" t="s">
        <v>354</v>
      </c>
      <c r="N14" s="142">
        <v>228.0</v>
      </c>
      <c r="O14" s="161" t="s">
        <v>366</v>
      </c>
      <c r="P14" s="161"/>
      <c r="S14" s="142"/>
      <c r="T14" s="142"/>
      <c r="V14" s="166"/>
      <c r="W14" s="166"/>
      <c r="X14" s="166"/>
      <c r="Y14" s="166"/>
    </row>
    <row r="15" ht="22.5" customHeight="1">
      <c r="A15" s="161" t="s">
        <v>364</v>
      </c>
      <c r="B15" s="162" t="s">
        <v>1455</v>
      </c>
      <c r="C15" s="4" t="s">
        <v>370</v>
      </c>
      <c r="D15" s="4" t="s">
        <v>371</v>
      </c>
      <c r="E15" s="194"/>
      <c r="F15" s="162"/>
      <c r="G15" s="142">
        <v>3756.68</v>
      </c>
      <c r="H15" s="161"/>
      <c r="I15" s="161"/>
      <c r="J15" s="161"/>
      <c r="K15" s="161"/>
      <c r="L15" s="161" t="s">
        <v>1544</v>
      </c>
      <c r="M15" s="161" t="s">
        <v>354</v>
      </c>
      <c r="N15" s="142">
        <v>228.0</v>
      </c>
      <c r="O15" s="161" t="s">
        <v>367</v>
      </c>
      <c r="P15" s="161"/>
      <c r="S15" s="142"/>
      <c r="T15" s="142"/>
      <c r="V15" s="166"/>
      <c r="W15" s="166"/>
      <c r="X15" s="166"/>
      <c r="Y15" s="166"/>
    </row>
    <row r="16" ht="22.5" customHeight="1">
      <c r="A16" s="161" t="s">
        <v>364</v>
      </c>
      <c r="B16" s="162" t="s">
        <v>1455</v>
      </c>
      <c r="C16" s="4" t="s">
        <v>370</v>
      </c>
      <c r="D16" s="4" t="s">
        <v>371</v>
      </c>
      <c r="E16" s="193"/>
      <c r="F16" s="162"/>
      <c r="G16" s="142">
        <v>57369.14</v>
      </c>
      <c r="H16" s="161"/>
      <c r="I16" s="161"/>
      <c r="J16" s="161"/>
      <c r="K16" s="161"/>
      <c r="L16" s="161" t="s">
        <v>1544</v>
      </c>
      <c r="M16" s="161" t="s">
        <v>354</v>
      </c>
      <c r="N16" s="142">
        <v>228.0</v>
      </c>
      <c r="O16" s="161" t="s">
        <v>367</v>
      </c>
      <c r="P16" s="161"/>
      <c r="S16" s="142"/>
      <c r="T16" s="142"/>
      <c r="V16" s="166"/>
      <c r="W16" s="166"/>
      <c r="X16" s="166"/>
      <c r="Y16" s="166"/>
    </row>
    <row r="17" ht="22.5" customHeight="1">
      <c r="A17" s="27" t="s">
        <v>474</v>
      </c>
      <c r="B17" s="162" t="s">
        <v>1547</v>
      </c>
      <c r="C17" s="161"/>
      <c r="D17" s="194"/>
      <c r="E17" s="194"/>
      <c r="F17" s="162"/>
      <c r="G17" s="142">
        <v>1500.0</v>
      </c>
      <c r="H17" s="161"/>
      <c r="I17" s="161"/>
      <c r="J17" s="161"/>
      <c r="K17" s="161"/>
      <c r="L17" s="161" t="s">
        <v>1544</v>
      </c>
      <c r="M17" s="161" t="s">
        <v>354</v>
      </c>
      <c r="N17" s="142">
        <v>243.0</v>
      </c>
      <c r="O17" s="161" t="s">
        <v>397</v>
      </c>
      <c r="P17" s="161"/>
      <c r="S17" s="142"/>
      <c r="T17" s="142"/>
      <c r="V17" s="166"/>
      <c r="W17" s="166"/>
      <c r="X17" s="166"/>
      <c r="Y17" s="166"/>
    </row>
    <row r="18" ht="22.5" customHeight="1">
      <c r="A18" s="161" t="s">
        <v>483</v>
      </c>
      <c r="B18" s="162" t="s">
        <v>1243</v>
      </c>
      <c r="C18" s="2" t="s">
        <v>31</v>
      </c>
      <c r="D18" s="4" t="s">
        <v>371</v>
      </c>
      <c r="E18" s="194"/>
      <c r="F18" s="162"/>
      <c r="G18" s="142">
        <v>8900.0</v>
      </c>
      <c r="H18" s="161"/>
      <c r="I18" s="161"/>
      <c r="J18" s="161"/>
      <c r="K18" s="161"/>
      <c r="L18" s="161" t="s">
        <v>1544</v>
      </c>
      <c r="M18" s="161" t="s">
        <v>354</v>
      </c>
      <c r="N18" s="142">
        <v>228.0</v>
      </c>
      <c r="O18" s="161" t="s">
        <v>367</v>
      </c>
      <c r="P18" s="161"/>
      <c r="S18" s="142"/>
      <c r="T18" s="142"/>
      <c r="V18" s="166"/>
      <c r="W18" s="166"/>
      <c r="X18" s="166"/>
      <c r="Y18" s="166"/>
    </row>
    <row r="19" ht="22.5" customHeight="1">
      <c r="A19" s="161" t="s">
        <v>474</v>
      </c>
      <c r="B19" s="162" t="s">
        <v>1548</v>
      </c>
      <c r="C19" s="161"/>
      <c r="D19" s="193"/>
      <c r="E19" s="193"/>
      <c r="F19" s="162"/>
      <c r="G19" s="142">
        <v>1807.76</v>
      </c>
      <c r="H19" s="161"/>
      <c r="I19" s="161"/>
      <c r="J19" s="161"/>
      <c r="K19" s="161"/>
      <c r="L19" s="161" t="s">
        <v>1544</v>
      </c>
      <c r="M19" s="161" t="s">
        <v>354</v>
      </c>
      <c r="N19" s="142">
        <v>213.0</v>
      </c>
      <c r="O19" s="161" t="s">
        <v>393</v>
      </c>
      <c r="P19" s="161"/>
      <c r="S19" s="142"/>
      <c r="T19" s="142"/>
      <c r="V19" s="166"/>
      <c r="W19" s="166"/>
      <c r="X19" s="166"/>
      <c r="Y19" s="166"/>
    </row>
    <row r="20" ht="22.5" customHeight="1">
      <c r="A20" s="161" t="s">
        <v>474</v>
      </c>
      <c r="B20" s="162" t="s">
        <v>1457</v>
      </c>
      <c r="C20" s="161"/>
      <c r="D20" s="193"/>
      <c r="E20" s="193"/>
      <c r="F20" s="162"/>
      <c r="G20" s="142">
        <v>56473.56</v>
      </c>
      <c r="H20" s="161"/>
      <c r="I20" s="161"/>
      <c r="J20" s="161"/>
      <c r="K20" s="161"/>
      <c r="L20" s="161" t="s">
        <v>1544</v>
      </c>
      <c r="M20" s="161" t="s">
        <v>354</v>
      </c>
      <c r="N20" s="142">
        <v>230.0</v>
      </c>
      <c r="O20" s="161" t="s">
        <v>395</v>
      </c>
      <c r="P20" s="161"/>
      <c r="S20" s="142"/>
      <c r="T20" s="142"/>
      <c r="V20" s="166"/>
      <c r="W20" s="166"/>
      <c r="X20" s="166"/>
      <c r="Y20" s="166"/>
    </row>
    <row r="21" ht="22.5" customHeight="1">
      <c r="A21" s="161" t="s">
        <v>474</v>
      </c>
      <c r="B21" s="162" t="s">
        <v>1549</v>
      </c>
      <c r="C21" s="161"/>
      <c r="D21" s="193"/>
      <c r="E21" s="193"/>
      <c r="F21" s="162"/>
      <c r="G21" s="142">
        <v>28630.8</v>
      </c>
      <c r="H21" s="161"/>
      <c r="I21" s="161"/>
      <c r="J21" s="161"/>
      <c r="K21" s="161"/>
      <c r="L21" s="161" t="s">
        <v>1544</v>
      </c>
      <c r="M21" s="161" t="s">
        <v>354</v>
      </c>
      <c r="N21" s="142">
        <v>239.0</v>
      </c>
      <c r="O21" s="161" t="s">
        <v>393</v>
      </c>
      <c r="P21" s="161"/>
      <c r="S21" s="142"/>
      <c r="T21" s="142"/>
      <c r="V21" s="166"/>
      <c r="W21" s="166"/>
      <c r="X21" s="166"/>
      <c r="Y21" s="166"/>
    </row>
    <row r="22" ht="22.5" customHeight="1">
      <c r="A22" s="161" t="s">
        <v>483</v>
      </c>
      <c r="B22" s="162" t="s">
        <v>1550</v>
      </c>
      <c r="C22" s="161" t="s">
        <v>31</v>
      </c>
      <c r="D22" s="170" t="s">
        <v>371</v>
      </c>
      <c r="E22" s="193"/>
      <c r="F22" s="162"/>
      <c r="G22" s="142">
        <v>114992.67</v>
      </c>
      <c r="H22" s="161"/>
      <c r="I22" s="161"/>
      <c r="J22" s="161"/>
      <c r="K22" s="161"/>
      <c r="L22" s="161" t="s">
        <v>1544</v>
      </c>
      <c r="M22" s="161" t="s">
        <v>354</v>
      </c>
      <c r="N22" s="142">
        <v>228.0</v>
      </c>
      <c r="O22" s="161" t="s">
        <v>367</v>
      </c>
      <c r="P22" s="161"/>
      <c r="S22" s="142"/>
      <c r="T22" s="142"/>
      <c r="V22" s="166"/>
      <c r="W22" s="166"/>
      <c r="X22" s="166"/>
      <c r="Y22" s="166"/>
    </row>
    <row r="23" ht="22.5" customHeight="1">
      <c r="A23" s="161" t="s">
        <v>349</v>
      </c>
      <c r="B23" s="162" t="s">
        <v>1280</v>
      </c>
      <c r="C23" s="161" t="s">
        <v>20</v>
      </c>
      <c r="D23" s="193"/>
      <c r="E23" s="193"/>
      <c r="F23" s="162"/>
      <c r="G23" s="142">
        <v>246928.64</v>
      </c>
      <c r="H23" s="161"/>
      <c r="I23" s="161"/>
      <c r="J23" s="161"/>
      <c r="K23" s="161"/>
      <c r="L23" s="161" t="s">
        <v>1544</v>
      </c>
      <c r="M23" s="161" t="s">
        <v>354</v>
      </c>
      <c r="N23" s="142">
        <v>214.0</v>
      </c>
      <c r="O23" s="161" t="s">
        <v>1281</v>
      </c>
      <c r="P23" s="161"/>
      <c r="S23" s="142"/>
      <c r="T23" s="142"/>
      <c r="V23" s="166"/>
      <c r="W23" s="166"/>
      <c r="X23" s="166"/>
      <c r="Y23" s="166"/>
    </row>
    <row r="24" ht="22.5" customHeight="1">
      <c r="A24" s="161" t="s">
        <v>455</v>
      </c>
      <c r="B24" s="162" t="s">
        <v>1464</v>
      </c>
      <c r="C24" s="161" t="s">
        <v>457</v>
      </c>
      <c r="D24" s="194"/>
      <c r="E24" s="194"/>
      <c r="F24" s="162"/>
      <c r="G24" s="142">
        <v>8500.0</v>
      </c>
      <c r="H24" s="161"/>
      <c r="I24" s="161"/>
      <c r="J24" s="161"/>
      <c r="K24" s="161"/>
      <c r="L24" s="161" t="s">
        <v>1544</v>
      </c>
      <c r="M24" s="161" t="s">
        <v>354</v>
      </c>
      <c r="N24" s="142">
        <v>234.0</v>
      </c>
      <c r="O24" s="161" t="s">
        <v>437</v>
      </c>
      <c r="P24" s="161"/>
      <c r="S24" s="142"/>
      <c r="T24" s="142"/>
      <c r="V24" s="166"/>
      <c r="W24" s="166"/>
      <c r="X24" s="166"/>
      <c r="Y24" s="166"/>
    </row>
    <row r="25" ht="22.5" customHeight="1">
      <c r="A25" s="161" t="s">
        <v>18</v>
      </c>
      <c r="B25" s="162" t="s">
        <v>1193</v>
      </c>
      <c r="C25" s="161"/>
      <c r="D25" s="193"/>
      <c r="E25" s="193"/>
      <c r="F25" s="162"/>
      <c r="G25" s="142">
        <v>4596.31</v>
      </c>
      <c r="H25" s="161"/>
      <c r="I25" s="161"/>
      <c r="J25" s="161"/>
      <c r="K25" s="161"/>
      <c r="L25" s="161" t="s">
        <v>1544</v>
      </c>
      <c r="M25" s="161" t="s">
        <v>354</v>
      </c>
      <c r="N25" s="142">
        <v>243.0</v>
      </c>
      <c r="O25" s="161" t="s">
        <v>397</v>
      </c>
      <c r="P25" s="161"/>
      <c r="S25" s="142"/>
      <c r="T25" s="142"/>
      <c r="V25" s="166"/>
      <c r="W25" s="166"/>
      <c r="X25" s="166"/>
      <c r="Y25" s="166"/>
    </row>
    <row r="26" ht="22.5" customHeight="1">
      <c r="A26" s="161" t="s">
        <v>18</v>
      </c>
      <c r="B26" s="162" t="s">
        <v>1193</v>
      </c>
      <c r="C26" s="161"/>
      <c r="D26" s="194"/>
      <c r="E26" s="194"/>
      <c r="F26" s="162"/>
      <c r="G26" s="142">
        <v>4598.08</v>
      </c>
      <c r="H26" s="161"/>
      <c r="I26" s="161"/>
      <c r="J26" s="161"/>
      <c r="K26" s="161"/>
      <c r="L26" s="161" t="s">
        <v>1544</v>
      </c>
      <c r="M26" s="161" t="s">
        <v>354</v>
      </c>
      <c r="N26" s="142">
        <v>243.0</v>
      </c>
      <c r="O26" s="161" t="s">
        <v>397</v>
      </c>
      <c r="P26" s="161"/>
      <c r="S26" s="142"/>
      <c r="T26" s="142"/>
      <c r="V26" s="166"/>
      <c r="W26" s="166"/>
      <c r="X26" s="166"/>
      <c r="Y26" s="166"/>
    </row>
    <row r="27" ht="22.5" customHeight="1">
      <c r="A27" s="161" t="s">
        <v>18</v>
      </c>
      <c r="B27" s="162" t="s">
        <v>1193</v>
      </c>
      <c r="C27" s="161"/>
      <c r="D27" s="193"/>
      <c r="E27" s="193"/>
      <c r="F27" s="162"/>
      <c r="G27" s="142">
        <v>4852.41</v>
      </c>
      <c r="H27" s="161"/>
      <c r="I27" s="161"/>
      <c r="J27" s="161"/>
      <c r="K27" s="161"/>
      <c r="L27" s="161" t="s">
        <v>1544</v>
      </c>
      <c r="M27" s="161" t="s">
        <v>354</v>
      </c>
      <c r="N27" s="142">
        <v>243.0</v>
      </c>
      <c r="O27" s="161" t="s">
        <v>397</v>
      </c>
      <c r="P27" s="161"/>
      <c r="S27" s="142"/>
      <c r="T27" s="142"/>
      <c r="V27" s="166"/>
      <c r="W27" s="166"/>
      <c r="X27" s="166"/>
      <c r="Y27" s="166"/>
    </row>
    <row r="28" ht="22.5" customHeight="1">
      <c r="A28" s="161" t="s">
        <v>18</v>
      </c>
      <c r="B28" s="162" t="s">
        <v>1193</v>
      </c>
      <c r="C28" s="161"/>
      <c r="D28" s="194"/>
      <c r="E28" s="194"/>
      <c r="F28" s="162"/>
      <c r="G28" s="142">
        <v>4852.41</v>
      </c>
      <c r="H28" s="161"/>
      <c r="I28" s="161"/>
      <c r="J28" s="161"/>
      <c r="K28" s="161"/>
      <c r="L28" s="161" t="s">
        <v>1544</v>
      </c>
      <c r="M28" s="161" t="s">
        <v>354</v>
      </c>
      <c r="N28" s="142">
        <v>243.0</v>
      </c>
      <c r="O28" s="161" t="s">
        <v>397</v>
      </c>
      <c r="P28" s="161"/>
      <c r="S28" s="142"/>
      <c r="T28" s="142"/>
      <c r="V28" s="166"/>
      <c r="W28" s="166"/>
      <c r="X28" s="166"/>
      <c r="Y28" s="166"/>
    </row>
    <row r="29" ht="22.5" customHeight="1">
      <c r="A29" s="161" t="s">
        <v>18</v>
      </c>
      <c r="B29" s="162" t="s">
        <v>1193</v>
      </c>
      <c r="C29" s="161"/>
      <c r="D29" s="193"/>
      <c r="E29" s="193"/>
      <c r="F29" s="162"/>
      <c r="G29" s="142">
        <v>6378.41</v>
      </c>
      <c r="H29" s="161"/>
      <c r="I29" s="161"/>
      <c r="J29" s="161"/>
      <c r="K29" s="161"/>
      <c r="L29" s="161" t="s">
        <v>1544</v>
      </c>
      <c r="M29" s="161" t="s">
        <v>354</v>
      </c>
      <c r="N29" s="142">
        <v>243.0</v>
      </c>
      <c r="O29" s="161" t="s">
        <v>397</v>
      </c>
      <c r="P29" s="161"/>
      <c r="S29" s="142"/>
      <c r="T29" s="142"/>
      <c r="V29" s="166"/>
      <c r="W29" s="166"/>
      <c r="X29" s="166"/>
      <c r="Y29" s="166"/>
    </row>
    <row r="30" ht="22.5" customHeight="1">
      <c r="A30" s="161" t="s">
        <v>18</v>
      </c>
      <c r="B30" s="162" t="s">
        <v>1193</v>
      </c>
      <c r="C30" s="161"/>
      <c r="D30" s="194"/>
      <c r="E30" s="194"/>
      <c r="F30" s="162"/>
      <c r="G30" s="142">
        <v>80776.28</v>
      </c>
      <c r="H30" s="161"/>
      <c r="I30" s="161"/>
      <c r="J30" s="161"/>
      <c r="K30" s="161"/>
      <c r="L30" s="161" t="s">
        <v>1544</v>
      </c>
      <c r="M30" s="161" t="s">
        <v>354</v>
      </c>
      <c r="N30" s="142">
        <v>243.0</v>
      </c>
      <c r="O30" s="161" t="s">
        <v>397</v>
      </c>
      <c r="P30" s="161"/>
      <c r="S30" s="142"/>
      <c r="T30" s="142"/>
      <c r="V30" s="166"/>
      <c r="W30" s="166"/>
      <c r="X30" s="166"/>
      <c r="Y30" s="166"/>
    </row>
    <row r="31" ht="22.5" customHeight="1">
      <c r="A31" s="161" t="s">
        <v>18</v>
      </c>
      <c r="B31" s="162" t="s">
        <v>1193</v>
      </c>
      <c r="C31" s="161"/>
      <c r="D31" s="193"/>
      <c r="E31" s="193"/>
      <c r="F31" s="162"/>
      <c r="G31" s="142">
        <v>81281.09</v>
      </c>
      <c r="H31" s="161"/>
      <c r="I31" s="161"/>
      <c r="J31" s="161"/>
      <c r="K31" s="161"/>
      <c r="L31" s="161" t="s">
        <v>1544</v>
      </c>
      <c r="M31" s="161" t="s">
        <v>354</v>
      </c>
      <c r="N31" s="142">
        <v>243.0</v>
      </c>
      <c r="O31" s="161" t="s">
        <v>397</v>
      </c>
      <c r="P31" s="161"/>
      <c r="S31" s="142"/>
      <c r="T31" s="142"/>
      <c r="V31" s="166"/>
      <c r="W31" s="166"/>
      <c r="X31" s="166"/>
      <c r="Y31" s="166"/>
    </row>
    <row r="32" ht="22.5" customHeight="1">
      <c r="A32" s="161" t="s">
        <v>426</v>
      </c>
      <c r="B32" s="162" t="s">
        <v>1200</v>
      </c>
      <c r="C32" s="4" t="s">
        <v>31</v>
      </c>
      <c r="D32" s="4" t="s">
        <v>187</v>
      </c>
      <c r="E32" s="194"/>
      <c r="F32" s="162"/>
      <c r="G32" s="142">
        <v>11200.0</v>
      </c>
      <c r="H32" s="161"/>
      <c r="I32" s="161"/>
      <c r="J32" s="161"/>
      <c r="K32" s="161"/>
      <c r="L32" s="161" t="s">
        <v>1544</v>
      </c>
      <c r="M32" s="161" t="s">
        <v>354</v>
      </c>
      <c r="N32" s="142">
        <v>243.0</v>
      </c>
      <c r="O32" s="161" t="s">
        <v>397</v>
      </c>
      <c r="P32" s="161"/>
      <c r="S32" s="142"/>
      <c r="T32" s="142"/>
      <c r="V32" s="166"/>
      <c r="W32" s="166"/>
      <c r="X32" s="166"/>
      <c r="Y32" s="166"/>
    </row>
    <row r="33" ht="22.5" customHeight="1">
      <c r="A33" s="161" t="s">
        <v>426</v>
      </c>
      <c r="B33" s="162" t="s">
        <v>1200</v>
      </c>
      <c r="C33" s="4" t="s">
        <v>31</v>
      </c>
      <c r="D33" s="4" t="s">
        <v>187</v>
      </c>
      <c r="E33" s="193"/>
      <c r="F33" s="162"/>
      <c r="G33" s="142">
        <v>21340.52</v>
      </c>
      <c r="H33" s="161"/>
      <c r="I33" s="161"/>
      <c r="J33" s="161"/>
      <c r="K33" s="161"/>
      <c r="L33" s="161" t="s">
        <v>1544</v>
      </c>
      <c r="M33" s="161" t="s">
        <v>354</v>
      </c>
      <c r="N33" s="142">
        <v>243.0</v>
      </c>
      <c r="O33" s="161" t="s">
        <v>397</v>
      </c>
      <c r="P33" s="161"/>
      <c r="S33" s="142"/>
      <c r="T33" s="142"/>
      <c r="V33" s="166"/>
      <c r="W33" s="166"/>
      <c r="X33" s="166"/>
      <c r="Y33" s="166"/>
    </row>
    <row r="34" ht="22.5" customHeight="1">
      <c r="A34" s="161" t="s">
        <v>474</v>
      </c>
      <c r="B34" s="162" t="s">
        <v>1551</v>
      </c>
      <c r="C34" s="161"/>
      <c r="D34" s="194"/>
      <c r="E34" s="194"/>
      <c r="F34" s="162"/>
      <c r="G34" s="142">
        <v>9852.0</v>
      </c>
      <c r="H34" s="161"/>
      <c r="I34" s="161"/>
      <c r="J34" s="161"/>
      <c r="K34" s="161"/>
      <c r="L34" s="161" t="s">
        <v>1544</v>
      </c>
      <c r="M34" s="161" t="s">
        <v>354</v>
      </c>
      <c r="N34" s="142">
        <v>215.0</v>
      </c>
      <c r="O34" s="161" t="s">
        <v>395</v>
      </c>
      <c r="P34" s="161"/>
      <c r="S34" s="142"/>
      <c r="T34" s="142"/>
      <c r="V34" s="166"/>
      <c r="W34" s="166"/>
      <c r="X34" s="166"/>
      <c r="Y34" s="166"/>
    </row>
    <row r="35" ht="22.5" customHeight="1">
      <c r="A35" s="161" t="s">
        <v>474</v>
      </c>
      <c r="B35" s="162" t="s">
        <v>1552</v>
      </c>
      <c r="C35" s="161"/>
      <c r="D35" s="193"/>
      <c r="E35" s="193"/>
      <c r="F35" s="162"/>
      <c r="G35" s="142">
        <v>6000.0</v>
      </c>
      <c r="H35" s="161"/>
      <c r="I35" s="161"/>
      <c r="J35" s="161"/>
      <c r="K35" s="161"/>
      <c r="L35" s="161" t="s">
        <v>1544</v>
      </c>
      <c r="M35" s="161" t="s">
        <v>354</v>
      </c>
      <c r="N35" s="142">
        <v>234.0</v>
      </c>
      <c r="O35" s="161" t="s">
        <v>437</v>
      </c>
      <c r="P35" s="161"/>
      <c r="S35" s="142"/>
      <c r="T35" s="142"/>
      <c r="V35" s="166"/>
      <c r="W35" s="166"/>
      <c r="X35" s="166"/>
      <c r="Y35" s="166"/>
    </row>
    <row r="36" ht="22.5" customHeight="1">
      <c r="A36" s="161" t="s">
        <v>474</v>
      </c>
      <c r="B36" s="162" t="s">
        <v>1553</v>
      </c>
      <c r="C36" s="161"/>
      <c r="D36" s="194"/>
      <c r="E36" s="194"/>
      <c r="F36" s="162"/>
      <c r="G36" s="142">
        <v>7700.0</v>
      </c>
      <c r="H36" s="161"/>
      <c r="I36" s="161"/>
      <c r="J36" s="161"/>
      <c r="K36" s="161"/>
      <c r="L36" s="161" t="s">
        <v>1544</v>
      </c>
      <c r="M36" s="161" t="s">
        <v>354</v>
      </c>
      <c r="N36" s="142">
        <v>234.0</v>
      </c>
      <c r="O36" s="161" t="s">
        <v>437</v>
      </c>
      <c r="P36" s="161"/>
      <c r="S36" s="142"/>
      <c r="T36" s="142"/>
      <c r="V36" s="166"/>
      <c r="W36" s="166"/>
      <c r="X36" s="166"/>
      <c r="Y36" s="166"/>
    </row>
    <row r="37" ht="22.5" customHeight="1">
      <c r="A37" s="161" t="s">
        <v>349</v>
      </c>
      <c r="B37" s="162" t="s">
        <v>1274</v>
      </c>
      <c r="C37" s="161" t="s">
        <v>20</v>
      </c>
      <c r="D37" s="193"/>
      <c r="E37" s="193"/>
      <c r="F37" s="162"/>
      <c r="G37" s="142">
        <v>66273.68</v>
      </c>
      <c r="H37" s="161"/>
      <c r="I37" s="161"/>
      <c r="J37" s="161"/>
      <c r="K37" s="161"/>
      <c r="L37" s="161" t="s">
        <v>1544</v>
      </c>
      <c r="M37" s="161" t="s">
        <v>354</v>
      </c>
      <c r="N37" s="142">
        <v>216.0</v>
      </c>
      <c r="O37" s="161" t="s">
        <v>375</v>
      </c>
      <c r="P37" s="161"/>
      <c r="S37" s="142"/>
      <c r="T37" s="142"/>
      <c r="V37" s="166"/>
      <c r="W37" s="166"/>
      <c r="X37" s="166"/>
      <c r="Y37" s="166"/>
    </row>
    <row r="38" ht="22.5" customHeight="1">
      <c r="A38" s="161" t="s">
        <v>474</v>
      </c>
      <c r="B38" s="162" t="s">
        <v>1554</v>
      </c>
      <c r="C38" s="161"/>
      <c r="D38" s="193"/>
      <c r="E38" s="193"/>
      <c r="F38" s="162"/>
      <c r="G38" s="142">
        <v>13600.0</v>
      </c>
      <c r="H38" s="161"/>
      <c r="I38" s="161"/>
      <c r="J38" s="161"/>
      <c r="K38" s="161"/>
      <c r="L38" s="161" t="s">
        <v>1544</v>
      </c>
      <c r="M38" s="161" t="s">
        <v>354</v>
      </c>
      <c r="N38" s="142">
        <v>234.0</v>
      </c>
      <c r="O38" s="161" t="s">
        <v>437</v>
      </c>
      <c r="P38" s="161"/>
      <c r="S38" s="142"/>
      <c r="T38" s="142"/>
      <c r="V38" s="166"/>
      <c r="W38" s="166"/>
      <c r="X38" s="166"/>
      <c r="Y38" s="166"/>
    </row>
    <row r="39" ht="22.5" customHeight="1">
      <c r="A39" s="161" t="s">
        <v>401</v>
      </c>
      <c r="B39" s="162" t="s">
        <v>1555</v>
      </c>
      <c r="C39" s="161" t="s">
        <v>20</v>
      </c>
      <c r="D39" s="195" t="s">
        <v>54</v>
      </c>
      <c r="E39" s="194"/>
      <c r="F39" s="162"/>
      <c r="G39" s="142">
        <f t="shared" ref="G39:G40" si="1">54349.86/2</f>
        <v>27174.93</v>
      </c>
      <c r="H39" s="161"/>
      <c r="I39" s="161"/>
      <c r="J39" s="161"/>
      <c r="K39" s="161"/>
      <c r="L39" s="161" t="s">
        <v>1544</v>
      </c>
      <c r="M39" s="161" t="s">
        <v>354</v>
      </c>
      <c r="N39" s="142">
        <v>217.0</v>
      </c>
      <c r="O39" s="161" t="s">
        <v>401</v>
      </c>
      <c r="P39" s="161"/>
      <c r="S39" s="142"/>
      <c r="T39" s="142"/>
      <c r="V39" s="166"/>
      <c r="W39" s="166"/>
      <c r="X39" s="166"/>
      <c r="Y39" s="166"/>
    </row>
    <row r="40" ht="22.5" customHeight="1">
      <c r="A40" s="161" t="s">
        <v>401</v>
      </c>
      <c r="B40" s="162" t="s">
        <v>1555</v>
      </c>
      <c r="C40" s="161" t="s">
        <v>20</v>
      </c>
      <c r="D40" s="195" t="s">
        <v>21</v>
      </c>
      <c r="E40" s="194"/>
      <c r="F40" s="162"/>
      <c r="G40" s="142">
        <f t="shared" si="1"/>
        <v>27174.93</v>
      </c>
      <c r="H40" s="161"/>
      <c r="I40" s="161"/>
      <c r="J40" s="161"/>
      <c r="K40" s="161"/>
      <c r="L40" s="161" t="s">
        <v>1544</v>
      </c>
      <c r="M40" s="161" t="s">
        <v>354</v>
      </c>
      <c r="N40" s="142">
        <v>217.0</v>
      </c>
      <c r="O40" s="161" t="s">
        <v>401</v>
      </c>
      <c r="P40" s="161"/>
      <c r="S40" s="142"/>
      <c r="T40" s="142"/>
      <c r="V40" s="166"/>
      <c r="W40" s="166"/>
      <c r="X40" s="166"/>
      <c r="Y40" s="166"/>
    </row>
    <row r="41" ht="22.5" customHeight="1">
      <c r="A41" s="161" t="s">
        <v>474</v>
      </c>
      <c r="B41" s="162" t="s">
        <v>1556</v>
      </c>
      <c r="C41" s="161"/>
      <c r="D41" s="194"/>
      <c r="E41" s="194"/>
      <c r="F41" s="162"/>
      <c r="G41" s="142">
        <v>64053.37</v>
      </c>
      <c r="H41" s="161"/>
      <c r="I41" s="161"/>
      <c r="J41" s="161"/>
      <c r="K41" s="161"/>
      <c r="L41" s="161" t="s">
        <v>1557</v>
      </c>
      <c r="M41" s="161" t="s">
        <v>408</v>
      </c>
      <c r="N41" s="142">
        <v>57.0</v>
      </c>
      <c r="O41" s="161" t="s">
        <v>487</v>
      </c>
      <c r="P41" s="161"/>
      <c r="S41" s="142"/>
      <c r="T41" s="142"/>
      <c r="V41" s="166"/>
      <c r="W41" s="166"/>
      <c r="X41" s="166"/>
      <c r="Y41" s="166"/>
    </row>
    <row r="42" ht="22.5" customHeight="1">
      <c r="A42" s="161" t="s">
        <v>474</v>
      </c>
      <c r="B42" s="162" t="s">
        <v>1556</v>
      </c>
      <c r="C42" s="161"/>
      <c r="D42" s="193"/>
      <c r="E42" s="193"/>
      <c r="F42" s="162"/>
      <c r="G42" s="142">
        <v>805.0</v>
      </c>
      <c r="H42" s="161"/>
      <c r="I42" s="161"/>
      <c r="J42" s="161"/>
      <c r="K42" s="161"/>
      <c r="L42" s="161" t="s">
        <v>1557</v>
      </c>
      <c r="M42" s="161" t="s">
        <v>408</v>
      </c>
      <c r="N42" s="142">
        <v>57.0</v>
      </c>
      <c r="O42" s="161" t="s">
        <v>409</v>
      </c>
      <c r="P42" s="161"/>
      <c r="S42" s="142"/>
      <c r="T42" s="142"/>
      <c r="V42" s="166"/>
      <c r="W42" s="166"/>
      <c r="X42" s="166"/>
      <c r="Y42" s="166"/>
    </row>
    <row r="43" ht="22.5" customHeight="1">
      <c r="A43" s="161" t="s">
        <v>403</v>
      </c>
      <c r="B43" s="162" t="s">
        <v>1468</v>
      </c>
      <c r="C43" s="27" t="s">
        <v>31</v>
      </c>
      <c r="D43" s="195" t="s">
        <v>187</v>
      </c>
      <c r="E43" s="194"/>
      <c r="F43" s="162"/>
      <c r="G43" s="142">
        <v>2899.6</v>
      </c>
      <c r="H43" s="161"/>
      <c r="I43" s="161"/>
      <c r="J43" s="161"/>
      <c r="K43" s="161"/>
      <c r="L43" s="161" t="s">
        <v>1557</v>
      </c>
      <c r="M43" s="161" t="s">
        <v>408</v>
      </c>
      <c r="N43" s="142">
        <v>226.0</v>
      </c>
      <c r="O43" s="161" t="s">
        <v>409</v>
      </c>
      <c r="P43" s="161"/>
      <c r="S43" s="142"/>
      <c r="T43" s="142"/>
      <c r="V43" s="166"/>
      <c r="W43" s="166"/>
      <c r="X43" s="166"/>
      <c r="Y43" s="166"/>
    </row>
    <row r="44" ht="22.5" customHeight="1">
      <c r="A44" s="161" t="s">
        <v>18</v>
      </c>
      <c r="B44" s="162" t="s">
        <v>1472</v>
      </c>
      <c r="C44" s="161"/>
      <c r="D44" s="194"/>
      <c r="E44" s="194"/>
      <c r="F44" s="162"/>
      <c r="G44" s="142">
        <v>3412.5</v>
      </c>
      <c r="H44" s="161"/>
      <c r="I44" s="161"/>
      <c r="J44" s="161"/>
      <c r="K44" s="161"/>
      <c r="L44" s="161" t="s">
        <v>1544</v>
      </c>
      <c r="M44" s="161" t="s">
        <v>354</v>
      </c>
      <c r="N44" s="142">
        <v>243.0</v>
      </c>
      <c r="O44" s="161" t="s">
        <v>397</v>
      </c>
      <c r="P44" s="161"/>
      <c r="S44" s="142"/>
      <c r="T44" s="142"/>
      <c r="V44" s="166"/>
      <c r="W44" s="166"/>
      <c r="X44" s="166"/>
      <c r="Y44" s="166"/>
    </row>
    <row r="45" ht="22.5" customHeight="1">
      <c r="A45" s="161" t="s">
        <v>18</v>
      </c>
      <c r="B45" s="162" t="s">
        <v>1472</v>
      </c>
      <c r="C45" s="161"/>
      <c r="D45" s="193"/>
      <c r="E45" s="193"/>
      <c r="F45" s="162"/>
      <c r="G45" s="142">
        <v>7312.39</v>
      </c>
      <c r="H45" s="161"/>
      <c r="I45" s="161"/>
      <c r="J45" s="161"/>
      <c r="K45" s="161"/>
      <c r="L45" s="161" t="s">
        <v>1544</v>
      </c>
      <c r="M45" s="161" t="s">
        <v>354</v>
      </c>
      <c r="N45" s="142">
        <v>243.0</v>
      </c>
      <c r="O45" s="161" t="s">
        <v>397</v>
      </c>
      <c r="P45" s="161"/>
      <c r="S45" s="142"/>
      <c r="T45" s="142"/>
      <c r="V45" s="166"/>
      <c r="W45" s="166"/>
      <c r="X45" s="166"/>
      <c r="Y45" s="166"/>
    </row>
    <row r="46" ht="22.5" customHeight="1">
      <c r="A46" s="161" t="s">
        <v>18</v>
      </c>
      <c r="B46" s="162" t="s">
        <v>1472</v>
      </c>
      <c r="C46" s="161"/>
      <c r="D46" s="194"/>
      <c r="E46" s="194"/>
      <c r="F46" s="162"/>
      <c r="G46" s="142">
        <v>33932.83</v>
      </c>
      <c r="H46" s="161"/>
      <c r="I46" s="161"/>
      <c r="J46" s="161"/>
      <c r="K46" s="161"/>
      <c r="L46" s="161" t="s">
        <v>1544</v>
      </c>
      <c r="M46" s="161" t="s">
        <v>354</v>
      </c>
      <c r="N46" s="142">
        <v>243.0</v>
      </c>
      <c r="O46" s="161" t="s">
        <v>397</v>
      </c>
      <c r="P46" s="161"/>
      <c r="S46" s="142"/>
      <c r="T46" s="142"/>
      <c r="V46" s="166"/>
      <c r="W46" s="166"/>
      <c r="X46" s="166"/>
      <c r="Y46" s="166"/>
    </row>
    <row r="47" ht="22.5" customHeight="1">
      <c r="A47" s="161" t="s">
        <v>18</v>
      </c>
      <c r="B47" s="162" t="s">
        <v>1472</v>
      </c>
      <c r="C47" s="161"/>
      <c r="D47" s="193"/>
      <c r="E47" s="193"/>
      <c r="F47" s="162"/>
      <c r="G47" s="142">
        <v>34075.3</v>
      </c>
      <c r="H47" s="161"/>
      <c r="I47" s="161"/>
      <c r="J47" s="161"/>
      <c r="K47" s="161"/>
      <c r="L47" s="161" t="s">
        <v>1544</v>
      </c>
      <c r="M47" s="161" t="s">
        <v>354</v>
      </c>
      <c r="N47" s="142">
        <v>243.0</v>
      </c>
      <c r="O47" s="161" t="s">
        <v>397</v>
      </c>
      <c r="P47" s="161"/>
      <c r="S47" s="142"/>
      <c r="T47" s="142"/>
      <c r="V47" s="166"/>
      <c r="W47" s="166"/>
      <c r="X47" s="166"/>
      <c r="Y47" s="166"/>
    </row>
    <row r="48" ht="22.5" customHeight="1">
      <c r="A48" s="161" t="s">
        <v>18</v>
      </c>
      <c r="B48" s="162" t="s">
        <v>1472</v>
      </c>
      <c r="C48" s="161"/>
      <c r="D48" s="194"/>
      <c r="E48" s="194"/>
      <c r="F48" s="162"/>
      <c r="G48" s="142">
        <v>35837.16</v>
      </c>
      <c r="H48" s="161"/>
      <c r="I48" s="161"/>
      <c r="J48" s="161"/>
      <c r="K48" s="161"/>
      <c r="L48" s="161" t="s">
        <v>1544</v>
      </c>
      <c r="M48" s="161" t="s">
        <v>354</v>
      </c>
      <c r="N48" s="142">
        <v>243.0</v>
      </c>
      <c r="O48" s="161" t="s">
        <v>397</v>
      </c>
      <c r="P48" s="161"/>
      <c r="S48" s="142"/>
      <c r="T48" s="142"/>
      <c r="V48" s="166"/>
      <c r="W48" s="166"/>
      <c r="X48" s="166"/>
      <c r="Y48" s="166"/>
    </row>
    <row r="49" ht="22.5" customHeight="1">
      <c r="A49" s="161" t="s">
        <v>18</v>
      </c>
      <c r="B49" s="162" t="s">
        <v>1472</v>
      </c>
      <c r="C49" s="161"/>
      <c r="D49" s="193"/>
      <c r="E49" s="193"/>
      <c r="F49" s="162"/>
      <c r="G49" s="142">
        <v>37800.0</v>
      </c>
      <c r="H49" s="161"/>
      <c r="I49" s="161"/>
      <c r="J49" s="161"/>
      <c r="K49" s="161"/>
      <c r="L49" s="161" t="s">
        <v>1544</v>
      </c>
      <c r="M49" s="161" t="s">
        <v>354</v>
      </c>
      <c r="N49" s="142">
        <v>243.0</v>
      </c>
      <c r="O49" s="161" t="s">
        <v>397</v>
      </c>
      <c r="P49" s="161"/>
      <c r="S49" s="142"/>
      <c r="T49" s="142"/>
      <c r="V49" s="166"/>
      <c r="W49" s="166"/>
      <c r="X49" s="166"/>
      <c r="Y49" s="166"/>
    </row>
    <row r="50" ht="22.5" customHeight="1">
      <c r="A50" s="161" t="s">
        <v>18</v>
      </c>
      <c r="B50" s="162" t="s">
        <v>1472</v>
      </c>
      <c r="C50" s="161"/>
      <c r="D50" s="194"/>
      <c r="E50" s="194"/>
      <c r="F50" s="162"/>
      <c r="G50" s="142">
        <v>40110.0</v>
      </c>
      <c r="H50" s="161"/>
      <c r="I50" s="161"/>
      <c r="J50" s="161"/>
      <c r="K50" s="161"/>
      <c r="L50" s="161" t="s">
        <v>1544</v>
      </c>
      <c r="M50" s="161" t="s">
        <v>354</v>
      </c>
      <c r="N50" s="142">
        <v>243.0</v>
      </c>
      <c r="O50" s="161" t="s">
        <v>397</v>
      </c>
      <c r="P50" s="161"/>
      <c r="S50" s="142"/>
      <c r="T50" s="142"/>
      <c r="V50" s="166"/>
      <c r="W50" s="166"/>
      <c r="X50" s="166"/>
      <c r="Y50" s="166"/>
    </row>
    <row r="51" ht="22.5" customHeight="1">
      <c r="A51" s="161" t="s">
        <v>18</v>
      </c>
      <c r="B51" s="162" t="s">
        <v>1472</v>
      </c>
      <c r="C51" s="161"/>
      <c r="D51" s="193"/>
      <c r="E51" s="193"/>
      <c r="F51" s="162"/>
      <c r="G51" s="142">
        <v>91891.59</v>
      </c>
      <c r="H51" s="161"/>
      <c r="I51" s="161"/>
      <c r="J51" s="161"/>
      <c r="K51" s="161"/>
      <c r="L51" s="161" t="s">
        <v>1544</v>
      </c>
      <c r="M51" s="161" t="s">
        <v>354</v>
      </c>
      <c r="N51" s="142">
        <v>243.0</v>
      </c>
      <c r="O51" s="161" t="s">
        <v>397</v>
      </c>
      <c r="P51" s="161"/>
      <c r="S51" s="142"/>
      <c r="T51" s="142"/>
      <c r="V51" s="166"/>
      <c r="W51" s="166"/>
      <c r="X51" s="166"/>
      <c r="Y51" s="166"/>
    </row>
    <row r="52" ht="22.5" customHeight="1">
      <c r="A52" s="161" t="s">
        <v>18</v>
      </c>
      <c r="B52" s="162" t="s">
        <v>1472</v>
      </c>
      <c r="C52" s="161"/>
      <c r="D52" s="194"/>
      <c r="E52" s="194"/>
      <c r="F52" s="162"/>
      <c r="G52" s="142">
        <v>109076.84</v>
      </c>
      <c r="H52" s="161"/>
      <c r="I52" s="161"/>
      <c r="J52" s="161"/>
      <c r="K52" s="161"/>
      <c r="L52" s="161" t="s">
        <v>1544</v>
      </c>
      <c r="M52" s="161" t="s">
        <v>354</v>
      </c>
      <c r="N52" s="142">
        <v>243.0</v>
      </c>
      <c r="O52" s="161" t="s">
        <v>397</v>
      </c>
      <c r="P52" s="161"/>
      <c r="S52" s="142"/>
      <c r="T52" s="142"/>
      <c r="V52" s="166"/>
      <c r="W52" s="166"/>
      <c r="X52" s="166"/>
      <c r="Y52" s="166"/>
    </row>
    <row r="53" ht="22.5" customHeight="1">
      <c r="A53" s="161" t="s">
        <v>18</v>
      </c>
      <c r="B53" s="162" t="s">
        <v>1472</v>
      </c>
      <c r="C53" s="161"/>
      <c r="D53" s="193"/>
      <c r="E53" s="193"/>
      <c r="F53" s="162"/>
      <c r="G53" s="142">
        <v>279292.67</v>
      </c>
      <c r="H53" s="161"/>
      <c r="I53" s="161"/>
      <c r="J53" s="161"/>
      <c r="K53" s="161"/>
      <c r="L53" s="161" t="s">
        <v>1544</v>
      </c>
      <c r="M53" s="161" t="s">
        <v>354</v>
      </c>
      <c r="N53" s="142">
        <v>243.0</v>
      </c>
      <c r="O53" s="161" t="s">
        <v>397</v>
      </c>
      <c r="P53" s="161"/>
      <c r="S53" s="142"/>
      <c r="T53" s="142"/>
      <c r="V53" s="166"/>
      <c r="W53" s="166"/>
      <c r="X53" s="166"/>
      <c r="Y53" s="166"/>
    </row>
    <row r="54" ht="22.5" customHeight="1">
      <c r="A54" s="161" t="s">
        <v>18</v>
      </c>
      <c r="B54" s="162" t="s">
        <v>1472</v>
      </c>
      <c r="C54" s="161"/>
      <c r="D54" s="194"/>
      <c r="E54" s="194"/>
      <c r="F54" s="162"/>
      <c r="G54" s="142">
        <v>294407.25</v>
      </c>
      <c r="H54" s="161"/>
      <c r="I54" s="161"/>
      <c r="J54" s="161"/>
      <c r="K54" s="161"/>
      <c r="L54" s="161" t="s">
        <v>1544</v>
      </c>
      <c r="M54" s="161" t="s">
        <v>354</v>
      </c>
      <c r="N54" s="142">
        <v>243.0</v>
      </c>
      <c r="O54" s="161" t="s">
        <v>397</v>
      </c>
      <c r="P54" s="161"/>
      <c r="S54" s="142"/>
      <c r="T54" s="142"/>
      <c r="V54" s="166"/>
      <c r="W54" s="166"/>
      <c r="X54" s="166"/>
      <c r="Y54" s="166"/>
    </row>
    <row r="55" ht="22.5" customHeight="1">
      <c r="A55" s="161" t="s">
        <v>18</v>
      </c>
      <c r="B55" s="162" t="s">
        <v>1472</v>
      </c>
      <c r="C55" s="161"/>
      <c r="D55" s="193"/>
      <c r="E55" s="193"/>
      <c r="F55" s="162"/>
      <c r="G55" s="142">
        <v>380493.75</v>
      </c>
      <c r="H55" s="161"/>
      <c r="I55" s="161"/>
      <c r="J55" s="161"/>
      <c r="K55" s="161"/>
      <c r="L55" s="161" t="s">
        <v>1544</v>
      </c>
      <c r="M55" s="161" t="s">
        <v>354</v>
      </c>
      <c r="N55" s="142">
        <v>243.0</v>
      </c>
      <c r="O55" s="161" t="s">
        <v>397</v>
      </c>
      <c r="P55" s="161"/>
      <c r="S55" s="142"/>
      <c r="T55" s="142"/>
      <c r="V55" s="166"/>
      <c r="W55" s="166"/>
      <c r="X55" s="166"/>
      <c r="Y55" s="166"/>
    </row>
    <row r="56" ht="22.5" customHeight="1">
      <c r="A56" s="161" t="s">
        <v>474</v>
      </c>
      <c r="B56" s="162" t="s">
        <v>1558</v>
      </c>
      <c r="C56" s="161"/>
      <c r="D56" s="194"/>
      <c r="E56" s="194"/>
      <c r="F56" s="162"/>
      <c r="G56" s="142">
        <v>13000.0</v>
      </c>
      <c r="H56" s="161"/>
      <c r="I56" s="161"/>
      <c r="J56" s="161"/>
      <c r="K56" s="161"/>
      <c r="L56" s="161" t="s">
        <v>1544</v>
      </c>
      <c r="M56" s="161" t="s">
        <v>354</v>
      </c>
      <c r="N56" s="142">
        <v>234.0</v>
      </c>
      <c r="O56" s="161" t="s">
        <v>437</v>
      </c>
      <c r="P56" s="161"/>
      <c r="S56" s="142"/>
      <c r="T56" s="142"/>
      <c r="V56" s="166"/>
      <c r="W56" s="166"/>
      <c r="X56" s="166"/>
      <c r="Y56" s="166"/>
    </row>
    <row r="57" ht="22.5" customHeight="1">
      <c r="A57" s="161" t="s">
        <v>349</v>
      </c>
      <c r="B57" s="162" t="s">
        <v>1272</v>
      </c>
      <c r="C57" s="161" t="s">
        <v>20</v>
      </c>
      <c r="D57" s="193"/>
      <c r="E57" s="193"/>
      <c r="F57" s="162"/>
      <c r="G57" s="142">
        <v>398608.39</v>
      </c>
      <c r="H57" s="161"/>
      <c r="I57" s="161"/>
      <c r="J57" s="161"/>
      <c r="K57" s="161"/>
      <c r="L57" s="161" t="s">
        <v>1544</v>
      </c>
      <c r="M57" s="161" t="s">
        <v>354</v>
      </c>
      <c r="N57" s="142">
        <v>218.0</v>
      </c>
      <c r="O57" s="161" t="s">
        <v>1273</v>
      </c>
      <c r="P57" s="161"/>
      <c r="S57" s="142"/>
      <c r="T57" s="142"/>
      <c r="V57" s="166"/>
      <c r="W57" s="166"/>
      <c r="X57" s="166"/>
      <c r="Y57" s="166"/>
    </row>
    <row r="58" ht="22.5" customHeight="1">
      <c r="A58" s="161" t="s">
        <v>349</v>
      </c>
      <c r="B58" s="162" t="s">
        <v>1272</v>
      </c>
      <c r="C58" s="161" t="s">
        <v>20</v>
      </c>
      <c r="D58" s="194"/>
      <c r="E58" s="194"/>
      <c r="F58" s="162"/>
      <c r="G58" s="142">
        <v>65520.29</v>
      </c>
      <c r="H58" s="161"/>
      <c r="I58" s="161"/>
      <c r="J58" s="161"/>
      <c r="K58" s="161"/>
      <c r="L58" s="161" t="s">
        <v>1544</v>
      </c>
      <c r="M58" s="161" t="s">
        <v>354</v>
      </c>
      <c r="N58" s="142">
        <v>248.0</v>
      </c>
      <c r="O58" s="161" t="s">
        <v>1273</v>
      </c>
      <c r="P58" s="161"/>
      <c r="S58" s="142"/>
      <c r="T58" s="142"/>
      <c r="V58" s="166"/>
      <c r="W58" s="166"/>
      <c r="X58" s="166"/>
      <c r="Y58" s="166"/>
    </row>
    <row r="59" ht="22.5" customHeight="1">
      <c r="A59" s="161" t="s">
        <v>474</v>
      </c>
      <c r="B59" s="162" t="s">
        <v>1559</v>
      </c>
      <c r="C59" s="161"/>
      <c r="D59" s="193"/>
      <c r="E59" s="193"/>
      <c r="F59" s="162"/>
      <c r="G59" s="142">
        <v>2173.6</v>
      </c>
      <c r="H59" s="161"/>
      <c r="I59" s="161"/>
      <c r="J59" s="161"/>
      <c r="K59" s="161"/>
      <c r="L59" s="161" t="s">
        <v>1544</v>
      </c>
      <c r="M59" s="161" t="s">
        <v>354</v>
      </c>
      <c r="N59" s="142">
        <v>241.0</v>
      </c>
      <c r="O59" s="161" t="s">
        <v>475</v>
      </c>
      <c r="P59" s="161"/>
      <c r="S59" s="142"/>
      <c r="T59" s="142"/>
      <c r="V59" s="166"/>
      <c r="W59" s="166"/>
      <c r="X59" s="166"/>
      <c r="Y59" s="166"/>
    </row>
    <row r="60" ht="22.5" customHeight="1">
      <c r="A60" s="161" t="s">
        <v>516</v>
      </c>
      <c r="B60" s="162" t="s">
        <v>1215</v>
      </c>
      <c r="C60" s="4" t="s">
        <v>31</v>
      </c>
      <c r="D60" s="4" t="s">
        <v>38</v>
      </c>
      <c r="E60" s="194"/>
      <c r="F60" s="162"/>
      <c r="G60" s="142">
        <v>29000.0</v>
      </c>
      <c r="H60" s="161"/>
      <c r="I60" s="161"/>
      <c r="J60" s="161"/>
      <c r="K60" s="161"/>
      <c r="L60" s="161" t="s">
        <v>1544</v>
      </c>
      <c r="M60" s="161" t="s">
        <v>354</v>
      </c>
      <c r="N60" s="142">
        <v>243.0</v>
      </c>
      <c r="O60" s="161" t="s">
        <v>397</v>
      </c>
      <c r="P60" s="161"/>
      <c r="S60" s="142"/>
      <c r="T60" s="142"/>
      <c r="V60" s="166"/>
      <c r="W60" s="166"/>
      <c r="X60" s="166"/>
      <c r="Y60" s="166"/>
    </row>
    <row r="61" ht="22.5" customHeight="1">
      <c r="A61" s="161" t="s">
        <v>385</v>
      </c>
      <c r="B61" s="162" t="s">
        <v>1325</v>
      </c>
      <c r="C61" s="4" t="s">
        <v>31</v>
      </c>
      <c r="D61" s="4" t="s">
        <v>371</v>
      </c>
      <c r="E61" s="194"/>
      <c r="F61" s="162"/>
      <c r="G61" s="142">
        <v>9633.08</v>
      </c>
      <c r="H61" s="161"/>
      <c r="I61" s="161"/>
      <c r="J61" s="161"/>
      <c r="K61" s="161"/>
      <c r="L61" s="161" t="s">
        <v>1544</v>
      </c>
      <c r="M61" s="161" t="s">
        <v>354</v>
      </c>
      <c r="N61" s="142">
        <v>219.0</v>
      </c>
      <c r="O61" s="161" t="s">
        <v>385</v>
      </c>
      <c r="P61" s="161"/>
      <c r="S61" s="142"/>
      <c r="T61" s="142"/>
      <c r="V61" s="166"/>
      <c r="W61" s="166"/>
      <c r="X61" s="166"/>
      <c r="Y61" s="166"/>
    </row>
    <row r="62" ht="22.5" customHeight="1">
      <c r="A62" s="161" t="s">
        <v>474</v>
      </c>
      <c r="B62" s="162" t="s">
        <v>1560</v>
      </c>
      <c r="C62" s="161"/>
      <c r="D62" s="194"/>
      <c r="E62" s="194"/>
      <c r="F62" s="162"/>
      <c r="G62" s="142">
        <v>29174.0</v>
      </c>
      <c r="H62" s="161"/>
      <c r="I62" s="161"/>
      <c r="J62" s="161"/>
      <c r="K62" s="161"/>
      <c r="L62" s="161" t="s">
        <v>1561</v>
      </c>
      <c r="M62" s="161" t="s">
        <v>408</v>
      </c>
      <c r="N62" s="142">
        <v>112.0</v>
      </c>
      <c r="O62" s="161" t="s">
        <v>459</v>
      </c>
      <c r="P62" s="161"/>
      <c r="S62" s="142"/>
      <c r="T62" s="142"/>
      <c r="V62" s="166"/>
      <c r="W62" s="166"/>
      <c r="X62" s="166"/>
      <c r="Y62" s="166"/>
    </row>
    <row r="63" ht="22.5" customHeight="1">
      <c r="A63" s="161" t="s">
        <v>474</v>
      </c>
      <c r="B63" s="162" t="s">
        <v>1560</v>
      </c>
      <c r="C63" s="161"/>
      <c r="D63" s="193"/>
      <c r="E63" s="193"/>
      <c r="F63" s="162"/>
      <c r="G63" s="142">
        <v>72550.0</v>
      </c>
      <c r="H63" s="161"/>
      <c r="I63" s="161"/>
      <c r="J63" s="161"/>
      <c r="K63" s="161"/>
      <c r="L63" s="161" t="s">
        <v>1544</v>
      </c>
      <c r="M63" s="161" t="s">
        <v>354</v>
      </c>
      <c r="N63" s="142">
        <v>230.0</v>
      </c>
      <c r="O63" s="161" t="s">
        <v>437</v>
      </c>
      <c r="P63" s="161"/>
      <c r="S63" s="142"/>
      <c r="T63" s="142"/>
      <c r="V63" s="166"/>
      <c r="W63" s="166"/>
      <c r="X63" s="166"/>
      <c r="Y63" s="166"/>
    </row>
    <row r="64" ht="22.5" customHeight="1">
      <c r="A64" s="161" t="s">
        <v>474</v>
      </c>
      <c r="B64" s="162" t="s">
        <v>1560</v>
      </c>
      <c r="C64" s="161"/>
      <c r="D64" s="194"/>
      <c r="E64" s="194"/>
      <c r="F64" s="162"/>
      <c r="G64" s="142">
        <v>72550.0</v>
      </c>
      <c r="H64" s="161"/>
      <c r="I64" s="161"/>
      <c r="J64" s="161"/>
      <c r="K64" s="161"/>
      <c r="L64" s="161" t="s">
        <v>1544</v>
      </c>
      <c r="M64" s="161" t="s">
        <v>354</v>
      </c>
      <c r="N64" s="142">
        <v>230.0</v>
      </c>
      <c r="O64" s="161" t="s">
        <v>395</v>
      </c>
      <c r="P64" s="161"/>
      <c r="S64" s="142"/>
      <c r="T64" s="142"/>
      <c r="V64" s="166"/>
      <c r="W64" s="166"/>
      <c r="X64" s="166"/>
      <c r="Y64" s="166"/>
    </row>
    <row r="65" ht="22.5" customHeight="1">
      <c r="A65" s="161" t="s">
        <v>474</v>
      </c>
      <c r="B65" s="162" t="s">
        <v>1560</v>
      </c>
      <c r="C65" s="161"/>
      <c r="D65" s="193"/>
      <c r="E65" s="193"/>
      <c r="F65" s="162"/>
      <c r="G65" s="142">
        <v>72550.0</v>
      </c>
      <c r="H65" s="161"/>
      <c r="I65" s="161"/>
      <c r="J65" s="161"/>
      <c r="K65" s="161"/>
      <c r="L65" s="161" t="s">
        <v>1544</v>
      </c>
      <c r="M65" s="161" t="s">
        <v>354</v>
      </c>
      <c r="N65" s="142">
        <v>230.0</v>
      </c>
      <c r="O65" s="161" t="s">
        <v>395</v>
      </c>
      <c r="P65" s="161"/>
      <c r="S65" s="142"/>
      <c r="T65" s="142"/>
      <c r="V65" s="166"/>
      <c r="W65" s="166"/>
      <c r="X65" s="166"/>
      <c r="Y65" s="166"/>
    </row>
    <row r="66" ht="22.5" customHeight="1">
      <c r="A66" s="161" t="s">
        <v>474</v>
      </c>
      <c r="B66" s="162" t="s">
        <v>1560</v>
      </c>
      <c r="C66" s="161"/>
      <c r="D66" s="194"/>
      <c r="E66" s="194"/>
      <c r="F66" s="162"/>
      <c r="G66" s="142">
        <v>72550.0</v>
      </c>
      <c r="H66" s="161"/>
      <c r="I66" s="161"/>
      <c r="J66" s="161"/>
      <c r="K66" s="161"/>
      <c r="L66" s="161" t="s">
        <v>1544</v>
      </c>
      <c r="M66" s="161" t="s">
        <v>354</v>
      </c>
      <c r="N66" s="142">
        <v>230.0</v>
      </c>
      <c r="O66" s="161" t="s">
        <v>395</v>
      </c>
      <c r="P66" s="161"/>
      <c r="S66" s="142"/>
      <c r="T66" s="142"/>
      <c r="V66" s="166"/>
      <c r="W66" s="166"/>
      <c r="X66" s="166"/>
      <c r="Y66" s="166"/>
    </row>
    <row r="67" ht="22.5" customHeight="1">
      <c r="A67" s="161" t="s">
        <v>474</v>
      </c>
      <c r="B67" s="162" t="s">
        <v>1560</v>
      </c>
      <c r="C67" s="161"/>
      <c r="D67" s="193"/>
      <c r="E67" s="193"/>
      <c r="F67" s="162"/>
      <c r="G67" s="142">
        <v>265050.0</v>
      </c>
      <c r="H67" s="161"/>
      <c r="I67" s="161"/>
      <c r="J67" s="161"/>
      <c r="K67" s="161"/>
      <c r="L67" s="161" t="s">
        <v>1544</v>
      </c>
      <c r="M67" s="161" t="s">
        <v>354</v>
      </c>
      <c r="N67" s="142">
        <v>230.0</v>
      </c>
      <c r="O67" s="161" t="s">
        <v>395</v>
      </c>
      <c r="P67" s="161"/>
      <c r="S67" s="142"/>
      <c r="T67" s="142"/>
      <c r="V67" s="166"/>
      <c r="W67" s="166"/>
      <c r="X67" s="166"/>
      <c r="Y67" s="166"/>
    </row>
    <row r="68" ht="22.5" customHeight="1">
      <c r="A68" s="161" t="s">
        <v>474</v>
      </c>
      <c r="B68" s="162" t="s">
        <v>1562</v>
      </c>
      <c r="C68" s="161"/>
      <c r="D68" s="193"/>
      <c r="E68" s="193"/>
      <c r="F68" s="162"/>
      <c r="G68" s="142">
        <v>517.24</v>
      </c>
      <c r="H68" s="161"/>
      <c r="I68" s="161"/>
      <c r="J68" s="161"/>
      <c r="K68" s="161"/>
      <c r="L68" s="161" t="s">
        <v>1544</v>
      </c>
      <c r="M68" s="161" t="s">
        <v>354</v>
      </c>
      <c r="N68" s="142">
        <v>245.0</v>
      </c>
      <c r="O68" s="161" t="s">
        <v>467</v>
      </c>
      <c r="P68" s="161"/>
      <c r="S68" s="142"/>
      <c r="T68" s="142"/>
      <c r="V68" s="166"/>
      <c r="W68" s="166"/>
      <c r="X68" s="166"/>
      <c r="Y68" s="166"/>
    </row>
    <row r="69" ht="22.5" customHeight="1">
      <c r="A69" s="161" t="s">
        <v>469</v>
      </c>
      <c r="B69" s="162" t="s">
        <v>1301</v>
      </c>
      <c r="C69" s="4" t="s">
        <v>31</v>
      </c>
      <c r="D69" s="4" t="s">
        <v>371</v>
      </c>
      <c r="E69" s="194"/>
      <c r="F69" s="162"/>
      <c r="G69" s="142">
        <v>11643.08</v>
      </c>
      <c r="H69" s="161"/>
      <c r="I69" s="161"/>
      <c r="J69" s="161"/>
      <c r="K69" s="161"/>
      <c r="L69" s="161" t="s">
        <v>1544</v>
      </c>
      <c r="M69" s="161" t="s">
        <v>354</v>
      </c>
      <c r="N69" s="142">
        <v>238.0</v>
      </c>
      <c r="O69" s="161" t="s">
        <v>469</v>
      </c>
      <c r="P69" s="161"/>
      <c r="S69" s="142"/>
      <c r="T69" s="142"/>
      <c r="V69" s="166"/>
      <c r="W69" s="166"/>
      <c r="X69" s="166"/>
      <c r="Y69" s="166"/>
    </row>
    <row r="70" ht="22.5" customHeight="1">
      <c r="A70" s="161" t="s">
        <v>474</v>
      </c>
      <c r="B70" s="162" t="s">
        <v>1475</v>
      </c>
      <c r="C70" s="161"/>
      <c r="D70" s="194"/>
      <c r="E70" s="194"/>
      <c r="F70" s="162"/>
      <c r="G70" s="142">
        <v>3713.0</v>
      </c>
      <c r="H70" s="161"/>
      <c r="I70" s="161"/>
      <c r="J70" s="161"/>
      <c r="K70" s="161"/>
      <c r="L70" s="161" t="s">
        <v>1544</v>
      </c>
      <c r="M70" s="161" t="s">
        <v>354</v>
      </c>
      <c r="N70" s="142">
        <v>233.0</v>
      </c>
      <c r="O70" s="161" t="s">
        <v>790</v>
      </c>
      <c r="P70" s="161"/>
      <c r="S70" s="142"/>
      <c r="T70" s="142"/>
      <c r="V70" s="166"/>
      <c r="W70" s="166"/>
      <c r="X70" s="166"/>
      <c r="Y70" s="166"/>
    </row>
    <row r="71" ht="22.5" customHeight="1">
      <c r="A71" s="161" t="s">
        <v>367</v>
      </c>
      <c r="B71" s="162" t="s">
        <v>1563</v>
      </c>
      <c r="C71" s="12" t="s">
        <v>54</v>
      </c>
      <c r="D71" s="195" t="s">
        <v>31</v>
      </c>
      <c r="E71" s="194"/>
      <c r="F71" s="162"/>
      <c r="G71" s="144">
        <v>16469.91733</v>
      </c>
      <c r="H71" s="161"/>
      <c r="I71" s="161"/>
      <c r="J71" s="161"/>
      <c r="K71" s="161"/>
      <c r="L71" s="161" t="s">
        <v>1544</v>
      </c>
      <c r="M71" s="161" t="s">
        <v>354</v>
      </c>
      <c r="N71" s="142">
        <v>228.0</v>
      </c>
      <c r="O71" s="161" t="s">
        <v>367</v>
      </c>
      <c r="P71" s="161"/>
      <c r="S71" s="142"/>
      <c r="T71" s="142"/>
      <c r="V71" s="166"/>
      <c r="W71" s="166"/>
      <c r="X71" s="166"/>
      <c r="Y71" s="166"/>
    </row>
    <row r="72" ht="22.5" customHeight="1">
      <c r="A72" s="161" t="s">
        <v>367</v>
      </c>
      <c r="B72" s="162" t="s">
        <v>1563</v>
      </c>
      <c r="C72" s="12" t="s">
        <v>98</v>
      </c>
      <c r="D72" s="195" t="s">
        <v>31</v>
      </c>
      <c r="E72" s="193"/>
      <c r="F72" s="162"/>
      <c r="G72" s="144">
        <v>1176.422667</v>
      </c>
      <c r="H72" s="161"/>
      <c r="I72" s="161"/>
      <c r="J72" s="161"/>
      <c r="K72" s="161"/>
      <c r="L72" s="161" t="s">
        <v>1544</v>
      </c>
      <c r="M72" s="161" t="s">
        <v>354</v>
      </c>
      <c r="N72" s="142">
        <v>228.0</v>
      </c>
      <c r="O72" s="161" t="s">
        <v>367</v>
      </c>
      <c r="P72" s="161"/>
      <c r="S72" s="142"/>
      <c r="T72" s="142"/>
      <c r="V72" s="166"/>
      <c r="W72" s="166"/>
      <c r="X72" s="166"/>
      <c r="Y72" s="166"/>
    </row>
    <row r="73" ht="22.5" customHeight="1">
      <c r="A73" s="161" t="s">
        <v>367</v>
      </c>
      <c r="B73" s="162" t="s">
        <v>1563</v>
      </c>
      <c r="C73" s="12" t="s">
        <v>21</v>
      </c>
      <c r="D73" s="195" t="s">
        <v>20</v>
      </c>
      <c r="E73" s="194"/>
      <c r="F73" s="162"/>
      <c r="G73" s="144">
        <v>22352.03067</v>
      </c>
      <c r="H73" s="161"/>
      <c r="I73" s="161"/>
      <c r="J73" s="161"/>
      <c r="K73" s="161"/>
      <c r="L73" s="161" t="s">
        <v>1544</v>
      </c>
      <c r="M73" s="161" t="s">
        <v>354</v>
      </c>
      <c r="N73" s="142">
        <v>228.0</v>
      </c>
      <c r="O73" s="161" t="s">
        <v>367</v>
      </c>
      <c r="P73" s="161"/>
      <c r="S73" s="142"/>
      <c r="T73" s="142"/>
      <c r="V73" s="166"/>
      <c r="W73" s="166"/>
      <c r="X73" s="166"/>
      <c r="Y73" s="166"/>
    </row>
    <row r="74" ht="22.5" customHeight="1">
      <c r="A74" s="161" t="s">
        <v>367</v>
      </c>
      <c r="B74" s="162" t="s">
        <v>1563</v>
      </c>
      <c r="C74" s="12" t="s">
        <v>187</v>
      </c>
      <c r="D74" s="195" t="s">
        <v>31</v>
      </c>
      <c r="E74" s="193"/>
      <c r="F74" s="162"/>
      <c r="G74" s="144">
        <v>3137.127111</v>
      </c>
      <c r="H74" s="161"/>
      <c r="I74" s="161"/>
      <c r="J74" s="161"/>
      <c r="K74" s="161"/>
      <c r="L74" s="161" t="s">
        <v>1544</v>
      </c>
      <c r="M74" s="161" t="s">
        <v>354</v>
      </c>
      <c r="N74" s="142">
        <v>228.0</v>
      </c>
      <c r="O74" s="161" t="s">
        <v>367</v>
      </c>
      <c r="P74" s="161"/>
      <c r="S74" s="142"/>
      <c r="T74" s="142"/>
      <c r="V74" s="166"/>
      <c r="W74" s="166"/>
      <c r="X74" s="166"/>
      <c r="Y74" s="166"/>
    </row>
    <row r="75" ht="22.5" customHeight="1">
      <c r="A75" s="161" t="s">
        <v>367</v>
      </c>
      <c r="B75" s="162" t="s">
        <v>1563</v>
      </c>
      <c r="C75" s="12" t="s">
        <v>38</v>
      </c>
      <c r="D75" s="195" t="s">
        <v>31</v>
      </c>
      <c r="E75" s="194"/>
      <c r="F75" s="162"/>
      <c r="G75" s="144">
        <v>1764.634</v>
      </c>
      <c r="H75" s="161"/>
      <c r="I75" s="161"/>
      <c r="J75" s="161"/>
      <c r="K75" s="161"/>
      <c r="L75" s="161" t="s">
        <v>1544</v>
      </c>
      <c r="M75" s="161" t="s">
        <v>354</v>
      </c>
      <c r="N75" s="142">
        <v>228.0</v>
      </c>
      <c r="O75" s="161" t="s">
        <v>367</v>
      </c>
      <c r="P75" s="161"/>
      <c r="S75" s="142"/>
      <c r="T75" s="142"/>
      <c r="V75" s="166"/>
      <c r="W75" s="166"/>
      <c r="X75" s="166"/>
      <c r="Y75" s="166"/>
    </row>
    <row r="76" ht="22.5" customHeight="1">
      <c r="A76" s="161" t="s">
        <v>367</v>
      </c>
      <c r="B76" s="162" t="s">
        <v>1563</v>
      </c>
      <c r="C76" s="12" t="s">
        <v>47</v>
      </c>
      <c r="D76" s="195" t="s">
        <v>31</v>
      </c>
      <c r="E76" s="193"/>
      <c r="F76" s="162"/>
      <c r="G76" s="144">
        <v>6274.254222</v>
      </c>
      <c r="H76" s="161"/>
      <c r="I76" s="161"/>
      <c r="J76" s="161"/>
      <c r="K76" s="161"/>
      <c r="L76" s="161" t="s">
        <v>1544</v>
      </c>
      <c r="M76" s="161" t="s">
        <v>354</v>
      </c>
      <c r="N76" s="142">
        <v>228.0</v>
      </c>
      <c r="O76" s="161" t="s">
        <v>367</v>
      </c>
      <c r="P76" s="161"/>
      <c r="S76" s="142"/>
      <c r="T76" s="142"/>
      <c r="V76" s="166"/>
      <c r="W76" s="166"/>
      <c r="X76" s="166"/>
      <c r="Y76" s="166"/>
    </row>
    <row r="77" ht="22.5" customHeight="1">
      <c r="A77" s="161" t="s">
        <v>367</v>
      </c>
      <c r="B77" s="162" t="s">
        <v>1563</v>
      </c>
      <c r="C77" s="12" t="s">
        <v>113</v>
      </c>
      <c r="D77" s="195" t="s">
        <v>31</v>
      </c>
      <c r="E77" s="194"/>
      <c r="F77" s="162"/>
      <c r="G77" s="144">
        <v>1764.634</v>
      </c>
      <c r="H77" s="161"/>
      <c r="I77" s="161"/>
      <c r="J77" s="161"/>
      <c r="K77" s="161"/>
      <c r="L77" s="161" t="s">
        <v>1544</v>
      </c>
      <c r="M77" s="161" t="s">
        <v>354</v>
      </c>
      <c r="N77" s="142">
        <v>228.0</v>
      </c>
      <c r="O77" s="161" t="s">
        <v>367</v>
      </c>
      <c r="P77" s="161"/>
      <c r="S77" s="142"/>
      <c r="T77" s="142"/>
      <c r="V77" s="166"/>
      <c r="W77" s="166"/>
      <c r="X77" s="166"/>
      <c r="Y77" s="166"/>
    </row>
    <row r="78" ht="22.5" customHeight="1">
      <c r="A78" s="188" t="s">
        <v>1476</v>
      </c>
      <c r="B78" s="162" t="s">
        <v>1424</v>
      </c>
      <c r="C78" s="173" t="s">
        <v>31</v>
      </c>
      <c r="D78" s="173" t="s">
        <v>371</v>
      </c>
      <c r="E78" s="193"/>
      <c r="F78" s="162"/>
      <c r="G78" s="144">
        <v>6213.65</v>
      </c>
      <c r="H78" s="161"/>
      <c r="I78" s="161"/>
      <c r="J78" s="161"/>
      <c r="K78" s="161"/>
      <c r="L78" s="161" t="s">
        <v>1544</v>
      </c>
      <c r="M78" s="161" t="s">
        <v>354</v>
      </c>
      <c r="N78" s="142">
        <v>401.0</v>
      </c>
      <c r="O78" s="161" t="s">
        <v>482</v>
      </c>
      <c r="P78" s="161"/>
      <c r="S78" s="142"/>
      <c r="T78" s="142"/>
      <c r="V78" s="166"/>
      <c r="W78" s="166"/>
      <c r="X78" s="166"/>
      <c r="Y78" s="166"/>
    </row>
    <row r="79" ht="22.5" customHeight="1">
      <c r="A79" s="187" t="s">
        <v>428</v>
      </c>
      <c r="B79" s="162" t="s">
        <v>1424</v>
      </c>
      <c r="C79" s="169" t="s">
        <v>20</v>
      </c>
      <c r="D79" s="169" t="s">
        <v>21</v>
      </c>
      <c r="E79" s="194"/>
      <c r="F79" s="162"/>
      <c r="G79" s="144">
        <v>791.67</v>
      </c>
      <c r="H79" s="161"/>
      <c r="I79" s="161"/>
      <c r="J79" s="161"/>
      <c r="K79" s="161"/>
      <c r="L79" s="161" t="s">
        <v>1544</v>
      </c>
      <c r="M79" s="161" t="s">
        <v>354</v>
      </c>
      <c r="N79" s="142">
        <v>401.0</v>
      </c>
      <c r="O79" s="161" t="s">
        <v>428</v>
      </c>
      <c r="P79" s="161"/>
      <c r="S79" s="142"/>
      <c r="T79" s="142"/>
      <c r="V79" s="166"/>
      <c r="W79" s="166"/>
      <c r="X79" s="166"/>
      <c r="Y79" s="166"/>
    </row>
    <row r="80" ht="22.5" customHeight="1">
      <c r="A80" s="188" t="s">
        <v>432</v>
      </c>
      <c r="B80" s="162" t="s">
        <v>1424</v>
      </c>
      <c r="C80" s="173" t="s">
        <v>31</v>
      </c>
      <c r="D80" s="174" t="s">
        <v>38</v>
      </c>
      <c r="E80" s="194"/>
      <c r="F80" s="162"/>
      <c r="G80" s="144">
        <v>381.3443066</v>
      </c>
      <c r="H80" s="161"/>
      <c r="I80" s="161"/>
      <c r="J80" s="161"/>
      <c r="K80" s="161"/>
      <c r="L80" s="161"/>
      <c r="M80" s="161"/>
      <c r="N80" s="142"/>
      <c r="O80" s="161"/>
      <c r="P80" s="161"/>
      <c r="S80" s="142"/>
      <c r="T80" s="142"/>
      <c r="V80" s="166"/>
      <c r="W80" s="166"/>
      <c r="X80" s="166"/>
      <c r="Y80" s="166"/>
    </row>
    <row r="81" ht="22.5" customHeight="1">
      <c r="A81" s="187" t="s">
        <v>432</v>
      </c>
      <c r="B81" s="162" t="s">
        <v>1424</v>
      </c>
      <c r="C81" s="169" t="s">
        <v>31</v>
      </c>
      <c r="D81" s="174" t="s">
        <v>47</v>
      </c>
      <c r="E81" s="194"/>
      <c r="F81" s="162"/>
      <c r="G81" s="144">
        <v>814.6901095</v>
      </c>
      <c r="H81" s="161"/>
      <c r="I81" s="161"/>
      <c r="J81" s="161"/>
      <c r="K81" s="161"/>
      <c r="L81" s="161"/>
      <c r="M81" s="161"/>
      <c r="N81" s="142"/>
      <c r="O81" s="161"/>
      <c r="P81" s="161"/>
      <c r="S81" s="142"/>
      <c r="T81" s="142"/>
      <c r="V81" s="166"/>
      <c r="W81" s="166"/>
      <c r="X81" s="166"/>
      <c r="Y81" s="166"/>
    </row>
    <row r="82" ht="22.5" customHeight="1">
      <c r="A82" s="188" t="s">
        <v>432</v>
      </c>
      <c r="B82" s="162" t="s">
        <v>1424</v>
      </c>
      <c r="C82" s="173" t="s">
        <v>31</v>
      </c>
      <c r="D82" s="174" t="s">
        <v>113</v>
      </c>
      <c r="E82" s="194"/>
      <c r="F82" s="162"/>
      <c r="G82" s="144">
        <v>277.3413139</v>
      </c>
      <c r="H82" s="161"/>
      <c r="I82" s="161"/>
      <c r="J82" s="161"/>
      <c r="K82" s="161"/>
      <c r="L82" s="161"/>
      <c r="M82" s="161"/>
      <c r="N82" s="142"/>
      <c r="O82" s="161"/>
      <c r="P82" s="161"/>
      <c r="S82" s="142"/>
      <c r="T82" s="142"/>
      <c r="V82" s="166"/>
      <c r="W82" s="166"/>
      <c r="X82" s="166"/>
      <c r="Y82" s="166"/>
    </row>
    <row r="83" ht="22.5" customHeight="1">
      <c r="A83" s="187" t="s">
        <v>432</v>
      </c>
      <c r="B83" s="162" t="s">
        <v>1424</v>
      </c>
      <c r="C83" s="169" t="s">
        <v>31</v>
      </c>
      <c r="D83" s="174" t="s">
        <v>187</v>
      </c>
      <c r="E83" s="194"/>
      <c r="F83" s="162"/>
      <c r="G83" s="144">
        <v>364.0104745</v>
      </c>
      <c r="H83" s="161"/>
      <c r="I83" s="161"/>
      <c r="J83" s="161"/>
      <c r="K83" s="161"/>
      <c r="L83" s="161"/>
      <c r="M83" s="161"/>
      <c r="N83" s="142"/>
      <c r="O83" s="161"/>
      <c r="P83" s="161"/>
      <c r="S83" s="142"/>
      <c r="T83" s="142"/>
      <c r="V83" s="166"/>
      <c r="W83" s="166"/>
      <c r="X83" s="166"/>
      <c r="Y83" s="166"/>
    </row>
    <row r="84" ht="22.5" customHeight="1">
      <c r="A84" s="188" t="s">
        <v>432</v>
      </c>
      <c r="B84" s="162" t="s">
        <v>1424</v>
      </c>
      <c r="C84" s="173" t="s">
        <v>20</v>
      </c>
      <c r="D84" s="174" t="s">
        <v>21</v>
      </c>
      <c r="E84" s="194"/>
      <c r="F84" s="162"/>
      <c r="G84" s="144">
        <v>5390.821788</v>
      </c>
      <c r="H84" s="161"/>
      <c r="I84" s="161"/>
      <c r="J84" s="161"/>
      <c r="K84" s="161"/>
      <c r="L84" s="161"/>
      <c r="M84" s="161"/>
      <c r="N84" s="142"/>
      <c r="O84" s="161"/>
      <c r="P84" s="161"/>
      <c r="S84" s="142"/>
      <c r="T84" s="142"/>
      <c r="V84" s="166"/>
      <c r="W84" s="166"/>
      <c r="X84" s="166"/>
      <c r="Y84" s="166"/>
    </row>
    <row r="85" ht="22.5" customHeight="1">
      <c r="A85" s="187" t="s">
        <v>432</v>
      </c>
      <c r="B85" s="162" t="s">
        <v>1424</v>
      </c>
      <c r="C85" s="169" t="s">
        <v>31</v>
      </c>
      <c r="D85" s="174" t="s">
        <v>98</v>
      </c>
      <c r="E85" s="194"/>
      <c r="F85" s="162"/>
      <c r="G85" s="144">
        <v>277.3413139</v>
      </c>
      <c r="H85" s="161"/>
      <c r="I85" s="161"/>
      <c r="J85" s="161"/>
      <c r="K85" s="161"/>
      <c r="L85" s="161"/>
      <c r="M85" s="161"/>
      <c r="N85" s="142"/>
      <c r="O85" s="161"/>
      <c r="P85" s="161"/>
      <c r="S85" s="142"/>
      <c r="T85" s="142"/>
      <c r="V85" s="166"/>
      <c r="W85" s="166"/>
      <c r="X85" s="166"/>
      <c r="Y85" s="166"/>
    </row>
    <row r="86" ht="22.5" customHeight="1">
      <c r="A86" s="188" t="s">
        <v>432</v>
      </c>
      <c r="B86" s="162" t="s">
        <v>1424</v>
      </c>
      <c r="C86" s="173" t="s">
        <v>31</v>
      </c>
      <c r="D86" s="174" t="s">
        <v>54</v>
      </c>
      <c r="E86" s="194"/>
      <c r="F86" s="162"/>
      <c r="G86" s="144">
        <v>1993.390693</v>
      </c>
      <c r="H86" s="161"/>
      <c r="I86" s="161"/>
      <c r="J86" s="161"/>
      <c r="K86" s="161"/>
      <c r="L86" s="161"/>
      <c r="M86" s="161"/>
      <c r="N86" s="142"/>
      <c r="O86" s="161"/>
      <c r="P86" s="161"/>
      <c r="S86" s="142"/>
      <c r="T86" s="142"/>
      <c r="V86" s="166"/>
      <c r="W86" s="166"/>
      <c r="X86" s="166"/>
      <c r="Y86" s="166"/>
    </row>
    <row r="87" ht="22.5" customHeight="1">
      <c r="A87" s="187" t="s">
        <v>430</v>
      </c>
      <c r="B87" s="162" t="s">
        <v>1424</v>
      </c>
      <c r="C87" s="169" t="s">
        <v>31</v>
      </c>
      <c r="D87" s="174" t="s">
        <v>38</v>
      </c>
      <c r="E87" s="194"/>
      <c r="F87" s="162"/>
      <c r="G87" s="144">
        <v>1312.298796</v>
      </c>
      <c r="H87" s="161"/>
      <c r="I87" s="161"/>
      <c r="J87" s="161"/>
      <c r="K87" s="161"/>
      <c r="L87" s="161"/>
      <c r="M87" s="161"/>
      <c r="N87" s="142"/>
      <c r="O87" s="161"/>
      <c r="P87" s="161"/>
      <c r="S87" s="142"/>
      <c r="T87" s="142"/>
      <c r="V87" s="166"/>
      <c r="W87" s="166"/>
      <c r="X87" s="166"/>
      <c r="Y87" s="166"/>
    </row>
    <row r="88" ht="22.5" customHeight="1">
      <c r="A88" s="188" t="s">
        <v>430</v>
      </c>
      <c r="B88" s="162" t="s">
        <v>1424</v>
      </c>
      <c r="C88" s="173" t="s">
        <v>31</v>
      </c>
      <c r="D88" s="174" t="s">
        <v>47</v>
      </c>
      <c r="E88" s="194"/>
      <c r="F88" s="162"/>
      <c r="G88" s="144">
        <v>2803.547427</v>
      </c>
      <c r="H88" s="161"/>
      <c r="I88" s="161"/>
      <c r="J88" s="161"/>
      <c r="K88" s="161"/>
      <c r="L88" s="161"/>
      <c r="M88" s="161"/>
      <c r="N88" s="142"/>
      <c r="O88" s="161"/>
      <c r="P88" s="161"/>
      <c r="S88" s="142"/>
      <c r="T88" s="142"/>
      <c r="V88" s="166"/>
      <c r="W88" s="166"/>
      <c r="X88" s="166"/>
      <c r="Y88" s="166"/>
    </row>
    <row r="89" ht="22.5" customHeight="1">
      <c r="A89" s="187" t="s">
        <v>430</v>
      </c>
      <c r="B89" s="162" t="s">
        <v>1424</v>
      </c>
      <c r="C89" s="169" t="s">
        <v>31</v>
      </c>
      <c r="D89" s="174" t="s">
        <v>113</v>
      </c>
      <c r="E89" s="194"/>
      <c r="F89" s="162"/>
      <c r="G89" s="144">
        <v>954.3991241</v>
      </c>
      <c r="H89" s="161"/>
      <c r="I89" s="161"/>
      <c r="J89" s="161"/>
      <c r="K89" s="161"/>
      <c r="L89" s="161"/>
      <c r="M89" s="161"/>
      <c r="N89" s="142"/>
      <c r="O89" s="161"/>
      <c r="P89" s="161"/>
      <c r="S89" s="142"/>
      <c r="T89" s="142"/>
      <c r="V89" s="166"/>
      <c r="W89" s="166"/>
      <c r="X89" s="166"/>
      <c r="Y89" s="166"/>
    </row>
    <row r="90" ht="22.5" customHeight="1">
      <c r="A90" s="188" t="s">
        <v>430</v>
      </c>
      <c r="B90" s="162" t="s">
        <v>1424</v>
      </c>
      <c r="C90" s="173" t="s">
        <v>31</v>
      </c>
      <c r="D90" s="174" t="s">
        <v>187</v>
      </c>
      <c r="E90" s="194"/>
      <c r="F90" s="162"/>
      <c r="G90" s="144">
        <v>1252.64885</v>
      </c>
      <c r="H90" s="161"/>
      <c r="I90" s="161"/>
      <c r="J90" s="161"/>
      <c r="K90" s="161"/>
      <c r="L90" s="161"/>
      <c r="M90" s="161"/>
      <c r="N90" s="142"/>
      <c r="O90" s="161"/>
      <c r="P90" s="161"/>
      <c r="S90" s="142"/>
      <c r="T90" s="142"/>
      <c r="V90" s="166"/>
      <c r="W90" s="166"/>
      <c r="X90" s="166"/>
      <c r="Y90" s="166"/>
    </row>
    <row r="91" ht="22.5" customHeight="1">
      <c r="A91" s="187" t="s">
        <v>430</v>
      </c>
      <c r="B91" s="162" t="s">
        <v>1424</v>
      </c>
      <c r="C91" s="169" t="s">
        <v>20</v>
      </c>
      <c r="D91" s="174" t="s">
        <v>21</v>
      </c>
      <c r="E91" s="194"/>
      <c r="F91" s="162"/>
      <c r="G91" s="144">
        <v>18551.13297</v>
      </c>
      <c r="H91" s="161"/>
      <c r="I91" s="161"/>
      <c r="J91" s="161"/>
      <c r="K91" s="161"/>
      <c r="L91" s="161"/>
      <c r="M91" s="161"/>
      <c r="N91" s="142"/>
      <c r="O91" s="161"/>
      <c r="P91" s="161"/>
      <c r="S91" s="142"/>
      <c r="T91" s="142"/>
      <c r="V91" s="166"/>
      <c r="W91" s="166"/>
      <c r="X91" s="166"/>
      <c r="Y91" s="166"/>
    </row>
    <row r="92" ht="22.5" customHeight="1">
      <c r="A92" s="188" t="s">
        <v>430</v>
      </c>
      <c r="B92" s="162" t="s">
        <v>1424</v>
      </c>
      <c r="C92" s="173" t="s">
        <v>31</v>
      </c>
      <c r="D92" s="174" t="s">
        <v>98</v>
      </c>
      <c r="E92" s="193"/>
      <c r="F92" s="162"/>
      <c r="G92" s="144">
        <v>954.3991241</v>
      </c>
      <c r="H92" s="161"/>
      <c r="I92" s="161"/>
      <c r="J92" s="161"/>
      <c r="K92" s="161"/>
      <c r="L92" s="161" t="s">
        <v>1544</v>
      </c>
      <c r="M92" s="161" t="s">
        <v>354</v>
      </c>
      <c r="N92" s="142">
        <v>401.0</v>
      </c>
      <c r="O92" s="161" t="s">
        <v>433</v>
      </c>
      <c r="P92" s="161"/>
      <c r="S92" s="142"/>
      <c r="T92" s="142"/>
      <c r="V92" s="166"/>
      <c r="W92" s="166"/>
      <c r="X92" s="166"/>
      <c r="Y92" s="166"/>
    </row>
    <row r="93" ht="22.5" customHeight="1">
      <c r="A93" s="187" t="s">
        <v>430</v>
      </c>
      <c r="B93" s="162" t="s">
        <v>1424</v>
      </c>
      <c r="C93" s="169" t="s">
        <v>31</v>
      </c>
      <c r="D93" s="174" t="s">
        <v>54</v>
      </c>
      <c r="E93" s="194"/>
      <c r="F93" s="162"/>
      <c r="G93" s="144">
        <v>6859.743704</v>
      </c>
      <c r="H93" s="161"/>
      <c r="I93" s="161"/>
      <c r="J93" s="161"/>
      <c r="K93" s="161"/>
      <c r="L93" s="161" t="s">
        <v>1544</v>
      </c>
      <c r="M93" s="161" t="s">
        <v>354</v>
      </c>
      <c r="N93" s="142">
        <v>401.0</v>
      </c>
      <c r="O93" s="161" t="s">
        <v>431</v>
      </c>
      <c r="P93" s="161"/>
      <c r="S93" s="142"/>
      <c r="T93" s="142"/>
      <c r="V93" s="166"/>
      <c r="W93" s="166"/>
      <c r="X93" s="166"/>
      <c r="Y93" s="166"/>
    </row>
    <row r="94" ht="22.5" customHeight="1">
      <c r="A94" s="188" t="s">
        <v>434</v>
      </c>
      <c r="B94" s="162" t="s">
        <v>1424</v>
      </c>
      <c r="C94" s="173" t="s">
        <v>31</v>
      </c>
      <c r="D94" s="173" t="s">
        <v>371</v>
      </c>
      <c r="E94" s="193"/>
      <c r="F94" s="162"/>
      <c r="G94" s="144">
        <v>5539.44</v>
      </c>
      <c r="H94" s="161"/>
      <c r="I94" s="161"/>
      <c r="J94" s="161"/>
      <c r="K94" s="161"/>
      <c r="L94" s="161" t="s">
        <v>1544</v>
      </c>
      <c r="M94" s="161" t="s">
        <v>354</v>
      </c>
      <c r="N94" s="142">
        <v>401.0</v>
      </c>
      <c r="O94" s="161" t="s">
        <v>435</v>
      </c>
      <c r="P94" s="161"/>
      <c r="S94" s="142"/>
      <c r="T94" s="142"/>
      <c r="V94" s="166"/>
      <c r="W94" s="166"/>
      <c r="X94" s="166"/>
      <c r="Y94" s="166"/>
    </row>
    <row r="95" ht="22.5" customHeight="1">
      <c r="A95" s="187" t="s">
        <v>434</v>
      </c>
      <c r="B95" s="162" t="s">
        <v>1424</v>
      </c>
      <c r="C95" s="169" t="s">
        <v>31</v>
      </c>
      <c r="D95" s="169" t="s">
        <v>371</v>
      </c>
      <c r="E95" s="194"/>
      <c r="F95" s="162"/>
      <c r="G95" s="144">
        <v>5828.89</v>
      </c>
      <c r="H95" s="161"/>
      <c r="I95" s="161"/>
      <c r="J95" s="161"/>
      <c r="K95" s="161"/>
      <c r="L95" s="161" t="s">
        <v>1544</v>
      </c>
      <c r="M95" s="161" t="s">
        <v>354</v>
      </c>
      <c r="N95" s="142">
        <v>401.0</v>
      </c>
      <c r="O95" s="161" t="s">
        <v>436</v>
      </c>
      <c r="P95" s="161"/>
      <c r="S95" s="142"/>
      <c r="T95" s="142"/>
      <c r="V95" s="166"/>
      <c r="W95" s="166"/>
      <c r="X95" s="166"/>
      <c r="Y95" s="166"/>
    </row>
    <row r="96" ht="22.5" customHeight="1">
      <c r="A96" s="161" t="s">
        <v>479</v>
      </c>
      <c r="B96" s="162" t="s">
        <v>1564</v>
      </c>
      <c r="C96" s="27" t="s">
        <v>20</v>
      </c>
      <c r="D96" s="195" t="s">
        <v>21</v>
      </c>
      <c r="E96" s="194"/>
      <c r="F96" s="162"/>
      <c r="G96" s="142">
        <v>13588.66</v>
      </c>
      <c r="H96" s="161"/>
      <c r="I96" s="161"/>
      <c r="J96" s="161"/>
      <c r="K96" s="161"/>
      <c r="L96" s="161" t="s">
        <v>1544</v>
      </c>
      <c r="M96" s="161" t="s">
        <v>354</v>
      </c>
      <c r="N96" s="142">
        <v>240.0</v>
      </c>
      <c r="O96" s="161" t="s">
        <v>479</v>
      </c>
      <c r="P96" s="161"/>
      <c r="S96" s="142"/>
      <c r="T96" s="142"/>
      <c r="V96" s="166"/>
      <c r="W96" s="166"/>
      <c r="X96" s="166"/>
      <c r="Y96" s="166"/>
    </row>
    <row r="97" ht="22.5" customHeight="1">
      <c r="A97" s="161" t="s">
        <v>479</v>
      </c>
      <c r="B97" s="162" t="s">
        <v>1564</v>
      </c>
      <c r="C97" s="27" t="s">
        <v>20</v>
      </c>
      <c r="D97" s="195" t="s">
        <v>21</v>
      </c>
      <c r="E97" s="193"/>
      <c r="F97" s="162"/>
      <c r="G97" s="142">
        <v>15742.65</v>
      </c>
      <c r="H97" s="161"/>
      <c r="I97" s="161"/>
      <c r="J97" s="161"/>
      <c r="K97" s="161"/>
      <c r="L97" s="161" t="s">
        <v>1544</v>
      </c>
      <c r="M97" s="161" t="s">
        <v>354</v>
      </c>
      <c r="N97" s="142">
        <v>240.0</v>
      </c>
      <c r="O97" s="161" t="s">
        <v>479</v>
      </c>
      <c r="P97" s="161"/>
      <c r="S97" s="142"/>
      <c r="T97" s="142"/>
      <c r="V97" s="166"/>
      <c r="W97" s="166"/>
      <c r="X97" s="166"/>
      <c r="Y97" s="166"/>
    </row>
    <row r="98" ht="22.5" customHeight="1">
      <c r="A98" s="161" t="s">
        <v>479</v>
      </c>
      <c r="B98" s="162" t="s">
        <v>1564</v>
      </c>
      <c r="C98" s="27" t="s">
        <v>20</v>
      </c>
      <c r="D98" s="195" t="s">
        <v>21</v>
      </c>
      <c r="E98" s="194"/>
      <c r="F98" s="162"/>
      <c r="G98" s="142">
        <v>17105.11</v>
      </c>
      <c r="H98" s="161"/>
      <c r="I98" s="161"/>
      <c r="J98" s="161"/>
      <c r="K98" s="161"/>
      <c r="L98" s="161" t="s">
        <v>1544</v>
      </c>
      <c r="M98" s="161" t="s">
        <v>354</v>
      </c>
      <c r="N98" s="142">
        <v>240.0</v>
      </c>
      <c r="O98" s="161" t="s">
        <v>479</v>
      </c>
      <c r="P98" s="161"/>
      <c r="S98" s="142"/>
      <c r="T98" s="142"/>
      <c r="V98" s="166"/>
      <c r="W98" s="166"/>
      <c r="X98" s="166"/>
      <c r="Y98" s="166"/>
    </row>
    <row r="99" ht="22.5" customHeight="1">
      <c r="A99" s="161" t="s">
        <v>479</v>
      </c>
      <c r="B99" s="162" t="s">
        <v>1564</v>
      </c>
      <c r="C99" s="27" t="s">
        <v>20</v>
      </c>
      <c r="D99" s="195" t="s">
        <v>21</v>
      </c>
      <c r="E99" s="193"/>
      <c r="F99" s="162"/>
      <c r="G99" s="142">
        <v>17874.99</v>
      </c>
      <c r="H99" s="161"/>
      <c r="I99" s="161"/>
      <c r="J99" s="161"/>
      <c r="K99" s="161"/>
      <c r="L99" s="161" t="s">
        <v>1544</v>
      </c>
      <c r="M99" s="161" t="s">
        <v>354</v>
      </c>
      <c r="N99" s="142">
        <v>240.0</v>
      </c>
      <c r="O99" s="161" t="s">
        <v>479</v>
      </c>
      <c r="P99" s="161"/>
      <c r="S99" s="142"/>
      <c r="T99" s="142"/>
      <c r="V99" s="166"/>
      <c r="W99" s="166"/>
      <c r="X99" s="166"/>
      <c r="Y99" s="166"/>
    </row>
    <row r="100" ht="22.5" customHeight="1">
      <c r="A100" s="161" t="s">
        <v>479</v>
      </c>
      <c r="B100" s="162" t="s">
        <v>1564</v>
      </c>
      <c r="C100" s="27" t="s">
        <v>20</v>
      </c>
      <c r="D100" s="195" t="s">
        <v>21</v>
      </c>
      <c r="E100" s="194"/>
      <c r="F100" s="162"/>
      <c r="G100" s="142">
        <v>32343.11</v>
      </c>
      <c r="H100" s="161"/>
      <c r="I100" s="161"/>
      <c r="J100" s="161"/>
      <c r="K100" s="161"/>
      <c r="L100" s="161" t="s">
        <v>1544</v>
      </c>
      <c r="M100" s="161" t="s">
        <v>354</v>
      </c>
      <c r="N100" s="142">
        <v>240.0</v>
      </c>
      <c r="O100" s="161" t="s">
        <v>479</v>
      </c>
      <c r="P100" s="161"/>
      <c r="S100" s="142"/>
      <c r="T100" s="142"/>
      <c r="V100" s="166"/>
      <c r="W100" s="166"/>
      <c r="X100" s="166"/>
      <c r="Y100" s="166"/>
    </row>
    <row r="101" ht="22.5" customHeight="1">
      <c r="A101" s="161" t="s">
        <v>474</v>
      </c>
      <c r="B101" s="162" t="s">
        <v>1481</v>
      </c>
      <c r="C101" s="161"/>
      <c r="D101" s="193"/>
      <c r="E101" s="193"/>
      <c r="F101" s="162"/>
      <c r="G101" s="142">
        <v>7000.0</v>
      </c>
      <c r="H101" s="161"/>
      <c r="I101" s="161"/>
      <c r="J101" s="161"/>
      <c r="K101" s="161"/>
      <c r="L101" s="161" t="s">
        <v>1544</v>
      </c>
      <c r="M101" s="161" t="s">
        <v>354</v>
      </c>
      <c r="N101" s="142">
        <v>234.0</v>
      </c>
      <c r="O101" s="161" t="s">
        <v>437</v>
      </c>
      <c r="P101" s="161"/>
      <c r="S101" s="142"/>
      <c r="T101" s="142"/>
      <c r="V101" s="166"/>
      <c r="W101" s="166"/>
      <c r="X101" s="166"/>
      <c r="Y101" s="166"/>
    </row>
    <row r="102" ht="22.5" customHeight="1">
      <c r="A102" s="161" t="s">
        <v>437</v>
      </c>
      <c r="B102" s="162" t="s">
        <v>438</v>
      </c>
      <c r="C102" s="2" t="s">
        <v>20</v>
      </c>
      <c r="D102" s="4" t="s">
        <v>21</v>
      </c>
      <c r="E102" s="194"/>
      <c r="F102" s="162"/>
      <c r="G102" s="142">
        <v>8000.0</v>
      </c>
      <c r="H102" s="161"/>
      <c r="I102" s="161"/>
      <c r="J102" s="161"/>
      <c r="K102" s="161"/>
      <c r="L102" s="161" t="s">
        <v>1544</v>
      </c>
      <c r="M102" s="161" t="s">
        <v>354</v>
      </c>
      <c r="N102" s="142">
        <v>234.0</v>
      </c>
      <c r="O102" s="161" t="s">
        <v>437</v>
      </c>
      <c r="P102" s="161"/>
      <c r="S102" s="142"/>
      <c r="T102" s="142"/>
      <c r="V102" s="166"/>
      <c r="W102" s="166"/>
      <c r="X102" s="166"/>
      <c r="Y102" s="166"/>
    </row>
    <row r="103" ht="22.5" customHeight="1">
      <c r="A103" s="161" t="s">
        <v>437</v>
      </c>
      <c r="B103" s="162" t="s">
        <v>438</v>
      </c>
      <c r="C103" s="161" t="s">
        <v>20</v>
      </c>
      <c r="D103" s="4" t="s">
        <v>21</v>
      </c>
      <c r="E103" s="193"/>
      <c r="F103" s="162"/>
      <c r="G103" s="142">
        <v>9000.0</v>
      </c>
      <c r="H103" s="161"/>
      <c r="I103" s="161"/>
      <c r="J103" s="161"/>
      <c r="K103" s="161"/>
      <c r="L103" s="161" t="s">
        <v>1544</v>
      </c>
      <c r="M103" s="161" t="s">
        <v>354</v>
      </c>
      <c r="N103" s="142">
        <v>234.0</v>
      </c>
      <c r="O103" s="161" t="s">
        <v>437</v>
      </c>
      <c r="P103" s="161"/>
      <c r="S103" s="142"/>
      <c r="T103" s="142"/>
      <c r="V103" s="166"/>
      <c r="W103" s="166"/>
      <c r="X103" s="166"/>
      <c r="Y103" s="166"/>
    </row>
    <row r="104" ht="22.5" customHeight="1">
      <c r="A104" s="161" t="s">
        <v>437</v>
      </c>
      <c r="B104" s="162" t="s">
        <v>438</v>
      </c>
      <c r="C104" s="161" t="s">
        <v>20</v>
      </c>
      <c r="D104" s="4" t="s">
        <v>21</v>
      </c>
      <c r="E104" s="194"/>
      <c r="F104" s="162"/>
      <c r="G104" s="142">
        <v>10000.0</v>
      </c>
      <c r="H104" s="161"/>
      <c r="I104" s="161"/>
      <c r="J104" s="161"/>
      <c r="K104" s="161"/>
      <c r="L104" s="161" t="s">
        <v>1544</v>
      </c>
      <c r="M104" s="161" t="s">
        <v>354</v>
      </c>
      <c r="N104" s="142">
        <v>234.0</v>
      </c>
      <c r="O104" s="161" t="s">
        <v>437</v>
      </c>
      <c r="P104" s="161"/>
      <c r="S104" s="142"/>
      <c r="T104" s="142"/>
      <c r="V104" s="166"/>
      <c r="W104" s="166"/>
      <c r="X104" s="166"/>
      <c r="Y104" s="166"/>
    </row>
    <row r="105" ht="22.5" customHeight="1">
      <c r="A105" s="161" t="s">
        <v>474</v>
      </c>
      <c r="B105" s="162" t="s">
        <v>1482</v>
      </c>
      <c r="C105" s="161"/>
      <c r="D105" s="194"/>
      <c r="E105" s="194"/>
      <c r="F105" s="162"/>
      <c r="G105" s="142">
        <v>2500.0</v>
      </c>
      <c r="H105" s="161"/>
      <c r="I105" s="161"/>
      <c r="J105" s="161"/>
      <c r="K105" s="161"/>
      <c r="L105" s="161" t="s">
        <v>1544</v>
      </c>
      <c r="M105" s="161" t="s">
        <v>354</v>
      </c>
      <c r="N105" s="142">
        <v>241.0</v>
      </c>
      <c r="O105" s="161" t="s">
        <v>475</v>
      </c>
      <c r="P105" s="161"/>
      <c r="S105" s="142"/>
      <c r="T105" s="142"/>
      <c r="V105" s="166"/>
      <c r="W105" s="166"/>
      <c r="X105" s="166"/>
      <c r="Y105" s="166"/>
    </row>
    <row r="106" ht="22.5" customHeight="1">
      <c r="A106" s="161" t="s">
        <v>528</v>
      </c>
      <c r="B106" s="162" t="s">
        <v>1412</v>
      </c>
      <c r="C106" s="4" t="s">
        <v>31</v>
      </c>
      <c r="D106" s="4" t="s">
        <v>371</v>
      </c>
      <c r="E106" s="193"/>
      <c r="F106" s="162"/>
      <c r="G106" s="142">
        <v>10657.24</v>
      </c>
      <c r="H106" s="161"/>
      <c r="I106" s="161"/>
      <c r="J106" s="161"/>
      <c r="K106" s="161"/>
      <c r="L106" s="161" t="s">
        <v>1544</v>
      </c>
      <c r="M106" s="161" t="s">
        <v>354</v>
      </c>
      <c r="N106" s="142">
        <v>232.0</v>
      </c>
      <c r="O106" s="161" t="s">
        <v>385</v>
      </c>
      <c r="P106" s="161"/>
      <c r="S106" s="142"/>
      <c r="T106" s="142"/>
      <c r="V106" s="166"/>
      <c r="W106" s="166"/>
      <c r="X106" s="166"/>
      <c r="Y106" s="166"/>
    </row>
    <row r="107" ht="22.5" customHeight="1">
      <c r="A107" s="161" t="s">
        <v>528</v>
      </c>
      <c r="B107" s="162" t="s">
        <v>1412</v>
      </c>
      <c r="C107" s="4" t="s">
        <v>31</v>
      </c>
      <c r="D107" s="4" t="s">
        <v>371</v>
      </c>
      <c r="E107" s="193"/>
      <c r="F107" s="162"/>
      <c r="G107" s="142">
        <v>84627.4</v>
      </c>
      <c r="H107" s="161"/>
      <c r="I107" s="161"/>
      <c r="J107" s="161"/>
      <c r="K107" s="161"/>
      <c r="L107" s="161" t="s">
        <v>1544</v>
      </c>
      <c r="M107" s="161" t="s">
        <v>354</v>
      </c>
      <c r="N107" s="142">
        <v>235.0</v>
      </c>
      <c r="O107" s="161" t="s">
        <v>355</v>
      </c>
      <c r="P107" s="161"/>
      <c r="S107" s="142"/>
      <c r="T107" s="142"/>
      <c r="V107" s="166"/>
      <c r="W107" s="166"/>
      <c r="X107" s="166"/>
      <c r="Y107" s="166"/>
    </row>
    <row r="108" ht="22.5" customHeight="1">
      <c r="A108" s="161" t="s">
        <v>528</v>
      </c>
      <c r="B108" s="162" t="s">
        <v>1412</v>
      </c>
      <c r="C108" s="4" t="s">
        <v>31</v>
      </c>
      <c r="D108" s="4" t="s">
        <v>371</v>
      </c>
      <c r="E108" s="194"/>
      <c r="F108" s="162"/>
      <c r="G108" s="142">
        <v>2100.0</v>
      </c>
      <c r="H108" s="161"/>
      <c r="I108" s="161"/>
      <c r="J108" s="161"/>
      <c r="K108" s="161"/>
      <c r="L108" s="161" t="s">
        <v>1544</v>
      </c>
      <c r="M108" s="161" t="s">
        <v>354</v>
      </c>
      <c r="N108" s="142">
        <v>235.0</v>
      </c>
      <c r="O108" s="161" t="s">
        <v>355</v>
      </c>
      <c r="P108" s="161"/>
      <c r="S108" s="142"/>
      <c r="T108" s="142"/>
      <c r="V108" s="166"/>
      <c r="W108" s="166"/>
      <c r="X108" s="166"/>
      <c r="Y108" s="166"/>
    </row>
    <row r="109" ht="22.5" customHeight="1">
      <c r="A109" s="161" t="s">
        <v>528</v>
      </c>
      <c r="B109" s="162" t="s">
        <v>1412</v>
      </c>
      <c r="C109" s="4" t="s">
        <v>31</v>
      </c>
      <c r="D109" s="4" t="s">
        <v>371</v>
      </c>
      <c r="E109" s="193"/>
      <c r="F109" s="162"/>
      <c r="G109" s="142">
        <v>4792.98</v>
      </c>
      <c r="H109" s="161"/>
      <c r="I109" s="161"/>
      <c r="J109" s="161"/>
      <c r="K109" s="161"/>
      <c r="L109" s="161" t="s">
        <v>1544</v>
      </c>
      <c r="M109" s="161" t="s">
        <v>354</v>
      </c>
      <c r="N109" s="142">
        <v>235.0</v>
      </c>
      <c r="O109" s="161" t="s">
        <v>355</v>
      </c>
      <c r="P109" s="161"/>
      <c r="S109" s="142"/>
      <c r="T109" s="142"/>
      <c r="V109" s="166"/>
      <c r="W109" s="166"/>
      <c r="X109" s="166"/>
      <c r="Y109" s="166"/>
    </row>
    <row r="110" ht="22.5" customHeight="1">
      <c r="A110" s="161" t="s">
        <v>1565</v>
      </c>
      <c r="B110" s="162" t="s">
        <v>1326</v>
      </c>
      <c r="C110" s="161"/>
      <c r="D110" s="194"/>
      <c r="E110" s="194"/>
      <c r="F110" s="162"/>
      <c r="G110" s="142">
        <v>420.0</v>
      </c>
      <c r="H110" s="161"/>
      <c r="I110" s="161"/>
      <c r="J110" s="161"/>
      <c r="K110" s="161"/>
      <c r="L110" s="161" t="s">
        <v>1544</v>
      </c>
      <c r="M110" s="161" t="s">
        <v>354</v>
      </c>
      <c r="N110" s="142">
        <v>232.0</v>
      </c>
      <c r="O110" s="161" t="s">
        <v>385</v>
      </c>
      <c r="P110" s="161"/>
      <c r="S110" s="142"/>
      <c r="T110" s="142"/>
      <c r="V110" s="166"/>
      <c r="W110" s="166"/>
      <c r="X110" s="166"/>
      <c r="Y110" s="166"/>
    </row>
    <row r="111" ht="22.5" customHeight="1">
      <c r="A111" s="161" t="s">
        <v>1565</v>
      </c>
      <c r="B111" s="162" t="s">
        <v>1326</v>
      </c>
      <c r="C111" s="161"/>
      <c r="D111" s="193"/>
      <c r="E111" s="193"/>
      <c r="F111" s="162"/>
      <c r="G111" s="142">
        <v>1459.22</v>
      </c>
      <c r="H111" s="161"/>
      <c r="I111" s="161"/>
      <c r="J111" s="161"/>
      <c r="K111" s="161"/>
      <c r="L111" s="161" t="s">
        <v>1544</v>
      </c>
      <c r="M111" s="161" t="s">
        <v>354</v>
      </c>
      <c r="N111" s="142">
        <v>232.0</v>
      </c>
      <c r="O111" s="161" t="s">
        <v>385</v>
      </c>
      <c r="P111" s="161"/>
      <c r="S111" s="142"/>
      <c r="T111" s="142"/>
      <c r="V111" s="166"/>
      <c r="W111" s="166"/>
      <c r="X111" s="166"/>
      <c r="Y111" s="166"/>
    </row>
    <row r="112" ht="22.5" customHeight="1">
      <c r="A112" s="161" t="s">
        <v>1565</v>
      </c>
      <c r="B112" s="162" t="s">
        <v>1326</v>
      </c>
      <c r="C112" s="161"/>
      <c r="D112" s="194"/>
      <c r="E112" s="194"/>
      <c r="F112" s="162"/>
      <c r="G112" s="142">
        <v>4275.0</v>
      </c>
      <c r="H112" s="161"/>
      <c r="I112" s="161"/>
      <c r="J112" s="161"/>
      <c r="K112" s="161"/>
      <c r="L112" s="161" t="s">
        <v>1544</v>
      </c>
      <c r="M112" s="161" t="s">
        <v>354</v>
      </c>
      <c r="N112" s="142">
        <v>232.0</v>
      </c>
      <c r="O112" s="161" t="s">
        <v>385</v>
      </c>
      <c r="P112" s="161"/>
      <c r="S112" s="142"/>
      <c r="T112" s="142"/>
      <c r="V112" s="166"/>
      <c r="W112" s="166"/>
      <c r="X112" s="166"/>
      <c r="Y112" s="166"/>
    </row>
    <row r="113" ht="22.5" customHeight="1">
      <c r="A113" s="161" t="s">
        <v>1565</v>
      </c>
      <c r="B113" s="162" t="s">
        <v>1326</v>
      </c>
      <c r="C113" s="161"/>
      <c r="D113" s="193"/>
      <c r="E113" s="193"/>
      <c r="F113" s="162"/>
      <c r="G113" s="142">
        <v>6920.0</v>
      </c>
      <c r="H113" s="161"/>
      <c r="I113" s="161"/>
      <c r="J113" s="161"/>
      <c r="K113" s="161"/>
      <c r="L113" s="161" t="s">
        <v>1544</v>
      </c>
      <c r="M113" s="161" t="s">
        <v>354</v>
      </c>
      <c r="N113" s="142">
        <v>232.0</v>
      </c>
      <c r="O113" s="161" t="s">
        <v>385</v>
      </c>
      <c r="P113" s="161"/>
      <c r="S113" s="142"/>
      <c r="T113" s="142"/>
      <c r="V113" s="166"/>
      <c r="W113" s="166"/>
      <c r="X113" s="166"/>
      <c r="Y113" s="166"/>
    </row>
    <row r="114" ht="22.5" customHeight="1">
      <c r="A114" s="161" t="s">
        <v>1565</v>
      </c>
      <c r="B114" s="162" t="s">
        <v>1326</v>
      </c>
      <c r="C114" s="161"/>
      <c r="D114" s="194"/>
      <c r="E114" s="194"/>
      <c r="F114" s="162"/>
      <c r="G114" s="142">
        <v>8000.4</v>
      </c>
      <c r="H114" s="161"/>
      <c r="I114" s="161"/>
      <c r="J114" s="161"/>
      <c r="K114" s="161"/>
      <c r="L114" s="161" t="s">
        <v>1544</v>
      </c>
      <c r="M114" s="161" t="s">
        <v>354</v>
      </c>
      <c r="N114" s="142">
        <v>232.0</v>
      </c>
      <c r="O114" s="161" t="s">
        <v>385</v>
      </c>
      <c r="P114" s="161"/>
      <c r="S114" s="142"/>
      <c r="T114" s="142"/>
      <c r="V114" s="166"/>
      <c r="W114" s="166"/>
      <c r="X114" s="166"/>
      <c r="Y114" s="166"/>
    </row>
    <row r="115" ht="22.5" customHeight="1">
      <c r="A115" s="161" t="s">
        <v>1565</v>
      </c>
      <c r="B115" s="162" t="s">
        <v>1326</v>
      </c>
      <c r="C115" s="161"/>
      <c r="D115" s="193"/>
      <c r="E115" s="193"/>
      <c r="F115" s="162"/>
      <c r="G115" s="142">
        <v>18254.6</v>
      </c>
      <c r="H115" s="161"/>
      <c r="I115" s="161"/>
      <c r="J115" s="161"/>
      <c r="K115" s="161"/>
      <c r="L115" s="161" t="s">
        <v>1544</v>
      </c>
      <c r="M115" s="161" t="s">
        <v>354</v>
      </c>
      <c r="N115" s="142">
        <v>232.0</v>
      </c>
      <c r="O115" s="161" t="s">
        <v>385</v>
      </c>
      <c r="P115" s="161"/>
      <c r="S115" s="142"/>
      <c r="T115" s="142"/>
      <c r="V115" s="166"/>
      <c r="W115" s="166"/>
      <c r="X115" s="166"/>
      <c r="Y115" s="166"/>
    </row>
    <row r="116" ht="22.5" customHeight="1">
      <c r="A116" s="161" t="s">
        <v>401</v>
      </c>
      <c r="B116" s="162" t="s">
        <v>1566</v>
      </c>
      <c r="C116" s="161" t="s">
        <v>20</v>
      </c>
      <c r="D116" s="195" t="s">
        <v>21</v>
      </c>
      <c r="E116" s="194"/>
      <c r="F116" s="162"/>
      <c r="G116" s="144">
        <v>2261.375</v>
      </c>
      <c r="H116" s="161"/>
      <c r="I116" s="161"/>
      <c r="J116" s="161"/>
      <c r="K116" s="161"/>
      <c r="L116" s="161" t="s">
        <v>1567</v>
      </c>
      <c r="M116" s="161" t="s">
        <v>354</v>
      </c>
      <c r="N116" s="142">
        <v>251.0</v>
      </c>
      <c r="O116" s="161" t="s">
        <v>405</v>
      </c>
      <c r="P116" s="161"/>
      <c r="S116" s="142"/>
      <c r="T116" s="142"/>
      <c r="V116" s="166"/>
      <c r="W116" s="166"/>
      <c r="X116" s="166"/>
      <c r="Y116" s="166"/>
    </row>
    <row r="117" ht="22.5" customHeight="1">
      <c r="A117" s="161" t="s">
        <v>401</v>
      </c>
      <c r="B117" s="162" t="s">
        <v>1566</v>
      </c>
      <c r="C117" s="161" t="s">
        <v>20</v>
      </c>
      <c r="D117" s="170" t="s">
        <v>54</v>
      </c>
      <c r="E117" s="193"/>
      <c r="F117" s="162"/>
      <c r="G117" s="144">
        <v>2261.375</v>
      </c>
      <c r="H117" s="161"/>
      <c r="I117" s="161"/>
      <c r="J117" s="161"/>
      <c r="K117" s="161"/>
      <c r="L117" s="161" t="s">
        <v>1567</v>
      </c>
      <c r="M117" s="161" t="s">
        <v>354</v>
      </c>
      <c r="N117" s="142">
        <v>251.0</v>
      </c>
      <c r="O117" s="161" t="s">
        <v>405</v>
      </c>
      <c r="P117" s="161"/>
      <c r="S117" s="142"/>
      <c r="T117" s="142"/>
      <c r="V117" s="166"/>
      <c r="W117" s="166"/>
      <c r="X117" s="166"/>
      <c r="Y117" s="166"/>
    </row>
    <row r="118" ht="22.5" customHeight="1">
      <c r="A118" s="161" t="s">
        <v>474</v>
      </c>
      <c r="B118" s="162" t="s">
        <v>1484</v>
      </c>
      <c r="C118" s="161"/>
      <c r="D118" s="194"/>
      <c r="E118" s="194"/>
      <c r="F118" s="162"/>
      <c r="G118" s="142">
        <v>5500.0</v>
      </c>
      <c r="H118" s="161"/>
      <c r="I118" s="161"/>
      <c r="J118" s="161"/>
      <c r="K118" s="161"/>
      <c r="L118" s="161" t="s">
        <v>1544</v>
      </c>
      <c r="M118" s="161" t="s">
        <v>354</v>
      </c>
      <c r="N118" s="142">
        <v>230.0</v>
      </c>
      <c r="O118" s="161" t="s">
        <v>395</v>
      </c>
      <c r="P118" s="161"/>
      <c r="S118" s="142"/>
      <c r="T118" s="142"/>
      <c r="V118" s="166"/>
      <c r="W118" s="166"/>
      <c r="X118" s="166"/>
      <c r="Y118" s="166"/>
    </row>
    <row r="119" ht="22.5" customHeight="1">
      <c r="A119" s="161" t="s">
        <v>367</v>
      </c>
      <c r="B119" s="162" t="s">
        <v>1487</v>
      </c>
      <c r="C119" s="4" t="s">
        <v>370</v>
      </c>
      <c r="D119" s="4" t="s">
        <v>371</v>
      </c>
      <c r="E119" s="193"/>
      <c r="F119" s="162"/>
      <c r="G119" s="142">
        <v>11900.0</v>
      </c>
      <c r="H119" s="161"/>
      <c r="I119" s="161"/>
      <c r="J119" s="161"/>
      <c r="K119" s="161"/>
      <c r="L119" s="161" t="s">
        <v>1544</v>
      </c>
      <c r="M119" s="161" t="s">
        <v>354</v>
      </c>
      <c r="N119" s="142">
        <v>228.0</v>
      </c>
      <c r="O119" s="161" t="s">
        <v>367</v>
      </c>
      <c r="P119" s="161"/>
      <c r="S119" s="142"/>
      <c r="T119" s="142"/>
      <c r="V119" s="166"/>
      <c r="W119" s="166"/>
      <c r="X119" s="166"/>
      <c r="Y119" s="166"/>
    </row>
    <row r="120" ht="22.5" customHeight="1">
      <c r="A120" s="161" t="s">
        <v>18</v>
      </c>
      <c r="B120" s="162" t="s">
        <v>1217</v>
      </c>
      <c r="C120" s="161"/>
      <c r="D120" s="193"/>
      <c r="E120" s="193"/>
      <c r="F120" s="162"/>
      <c r="G120" s="142">
        <v>2100.0</v>
      </c>
      <c r="H120" s="161"/>
      <c r="I120" s="161"/>
      <c r="J120" s="161"/>
      <c r="K120" s="161"/>
      <c r="L120" s="161" t="s">
        <v>1544</v>
      </c>
      <c r="M120" s="161" t="s">
        <v>354</v>
      </c>
      <c r="N120" s="142">
        <v>243.0</v>
      </c>
      <c r="O120" s="161" t="s">
        <v>397</v>
      </c>
      <c r="P120" s="161"/>
      <c r="S120" s="142"/>
      <c r="T120" s="142"/>
      <c r="V120" s="166"/>
      <c r="W120" s="166"/>
      <c r="X120" s="166"/>
      <c r="Y120" s="166"/>
    </row>
    <row r="121" ht="22.5" customHeight="1">
      <c r="A121" s="161" t="s">
        <v>18</v>
      </c>
      <c r="B121" s="162" t="s">
        <v>1217</v>
      </c>
      <c r="C121" s="161"/>
      <c r="D121" s="194"/>
      <c r="E121" s="194"/>
      <c r="F121" s="162"/>
      <c r="G121" s="142">
        <v>4872.65</v>
      </c>
      <c r="H121" s="161"/>
      <c r="I121" s="161"/>
      <c r="J121" s="161"/>
      <c r="K121" s="161"/>
      <c r="L121" s="161" t="s">
        <v>1544</v>
      </c>
      <c r="M121" s="161" t="s">
        <v>354</v>
      </c>
      <c r="N121" s="142">
        <v>243.0</v>
      </c>
      <c r="O121" s="161" t="s">
        <v>397</v>
      </c>
      <c r="P121" s="161"/>
      <c r="S121" s="142"/>
      <c r="T121" s="142"/>
      <c r="V121" s="166"/>
      <c r="W121" s="166"/>
      <c r="X121" s="166"/>
      <c r="Y121" s="166"/>
    </row>
    <row r="122" ht="22.5" customHeight="1">
      <c r="A122" s="161" t="s">
        <v>18</v>
      </c>
      <c r="B122" s="162" t="s">
        <v>1217</v>
      </c>
      <c r="C122" s="161"/>
      <c r="D122" s="193"/>
      <c r="E122" s="193"/>
      <c r="F122" s="162"/>
      <c r="G122" s="142">
        <v>129082.03</v>
      </c>
      <c r="H122" s="161"/>
      <c r="I122" s="161"/>
      <c r="J122" s="161"/>
      <c r="K122" s="161"/>
      <c r="L122" s="161" t="s">
        <v>1544</v>
      </c>
      <c r="M122" s="161" t="s">
        <v>354</v>
      </c>
      <c r="N122" s="142">
        <v>243.0</v>
      </c>
      <c r="O122" s="161" t="s">
        <v>397</v>
      </c>
      <c r="P122" s="161"/>
      <c r="S122" s="142"/>
      <c r="T122" s="142"/>
      <c r="V122" s="166"/>
      <c r="W122" s="166"/>
      <c r="X122" s="166"/>
      <c r="Y122" s="166"/>
    </row>
    <row r="123" ht="22.5" customHeight="1">
      <c r="A123" s="161" t="s">
        <v>18</v>
      </c>
      <c r="B123" s="162" t="s">
        <v>1217</v>
      </c>
      <c r="C123" s="161"/>
      <c r="D123" s="194"/>
      <c r="E123" s="194"/>
      <c r="F123" s="162"/>
      <c r="G123" s="142">
        <v>140118.17</v>
      </c>
      <c r="H123" s="161"/>
      <c r="I123" s="161"/>
      <c r="J123" s="161"/>
      <c r="K123" s="161"/>
      <c r="L123" s="161" t="s">
        <v>1544</v>
      </c>
      <c r="M123" s="161" t="s">
        <v>354</v>
      </c>
      <c r="N123" s="142">
        <v>243.0</v>
      </c>
      <c r="O123" s="161" t="s">
        <v>397</v>
      </c>
      <c r="P123" s="161"/>
      <c r="S123" s="142"/>
      <c r="T123" s="142"/>
      <c r="V123" s="166"/>
      <c r="W123" s="166"/>
      <c r="X123" s="166"/>
      <c r="Y123" s="166"/>
    </row>
    <row r="124" ht="22.5" customHeight="1">
      <c r="A124" s="161" t="s">
        <v>349</v>
      </c>
      <c r="B124" s="162" t="s">
        <v>1283</v>
      </c>
      <c r="C124" s="161" t="s">
        <v>20</v>
      </c>
      <c r="D124" s="193"/>
      <c r="E124" s="193"/>
      <c r="F124" s="162"/>
      <c r="G124" s="142">
        <v>1288.76</v>
      </c>
      <c r="H124" s="161"/>
      <c r="I124" s="161"/>
      <c r="J124" s="161"/>
      <c r="K124" s="161"/>
      <c r="L124" s="161" t="s">
        <v>1544</v>
      </c>
      <c r="M124" s="161" t="s">
        <v>354</v>
      </c>
      <c r="N124" s="142">
        <v>244.0</v>
      </c>
      <c r="O124" s="161" t="s">
        <v>377</v>
      </c>
      <c r="P124" s="161"/>
      <c r="S124" s="142"/>
      <c r="T124" s="142"/>
      <c r="V124" s="166"/>
      <c r="W124" s="166"/>
      <c r="X124" s="166"/>
      <c r="Y124" s="166"/>
    </row>
    <row r="125" ht="22.5" customHeight="1">
      <c r="A125" s="161" t="s">
        <v>349</v>
      </c>
      <c r="B125" s="162" t="s">
        <v>1283</v>
      </c>
      <c r="C125" s="161" t="s">
        <v>20</v>
      </c>
      <c r="D125" s="194"/>
      <c r="E125" s="194"/>
      <c r="F125" s="162"/>
      <c r="G125" s="142">
        <v>107285.44</v>
      </c>
      <c r="H125" s="161"/>
      <c r="I125" s="161"/>
      <c r="J125" s="161"/>
      <c r="K125" s="161"/>
      <c r="L125" s="161" t="s">
        <v>1544</v>
      </c>
      <c r="M125" s="161" t="s">
        <v>354</v>
      </c>
      <c r="N125" s="142">
        <v>244.0</v>
      </c>
      <c r="O125" s="161" t="s">
        <v>377</v>
      </c>
      <c r="P125" s="161"/>
      <c r="S125" s="142"/>
      <c r="T125" s="142"/>
      <c r="V125" s="166"/>
      <c r="W125" s="166"/>
      <c r="X125" s="166"/>
      <c r="Y125" s="166"/>
    </row>
    <row r="126" ht="22.5" customHeight="1">
      <c r="A126" s="161" t="s">
        <v>378</v>
      </c>
      <c r="B126" s="162" t="s">
        <v>1568</v>
      </c>
      <c r="C126" s="4" t="s">
        <v>370</v>
      </c>
      <c r="D126" s="4" t="s">
        <v>371</v>
      </c>
      <c r="E126" s="193"/>
      <c r="F126" s="162"/>
      <c r="G126" s="142">
        <v>19503.8</v>
      </c>
      <c r="H126" s="161"/>
      <c r="I126" s="161"/>
      <c r="J126" s="161"/>
      <c r="K126" s="161"/>
      <c r="L126" s="161" t="s">
        <v>1544</v>
      </c>
      <c r="M126" s="161" t="s">
        <v>354</v>
      </c>
      <c r="N126" s="142">
        <v>228.0</v>
      </c>
      <c r="O126" s="161" t="s">
        <v>366</v>
      </c>
      <c r="P126" s="161"/>
      <c r="S126" s="142"/>
      <c r="T126" s="142"/>
      <c r="V126" s="166"/>
      <c r="W126" s="166"/>
      <c r="X126" s="166"/>
      <c r="Y126" s="166"/>
    </row>
    <row r="127" ht="22.5" customHeight="1">
      <c r="A127" s="161" t="s">
        <v>474</v>
      </c>
      <c r="B127" s="162" t="s">
        <v>1569</v>
      </c>
      <c r="C127" s="161"/>
      <c r="D127" s="193"/>
      <c r="E127" s="193"/>
      <c r="F127" s="162"/>
      <c r="G127" s="142">
        <v>10900.0</v>
      </c>
      <c r="H127" s="161"/>
      <c r="I127" s="161"/>
      <c r="J127" s="161"/>
      <c r="K127" s="161"/>
      <c r="L127" s="161" t="s">
        <v>1544</v>
      </c>
      <c r="M127" s="161" t="s">
        <v>354</v>
      </c>
      <c r="N127" s="142">
        <v>230.0</v>
      </c>
      <c r="O127" s="161" t="s">
        <v>395</v>
      </c>
      <c r="P127" s="161"/>
      <c r="S127" s="142"/>
      <c r="T127" s="142"/>
      <c r="V127" s="166"/>
      <c r="W127" s="166"/>
      <c r="X127" s="166"/>
      <c r="Y127" s="166"/>
    </row>
    <row r="128" ht="22.5" customHeight="1">
      <c r="A128" s="161" t="s">
        <v>385</v>
      </c>
      <c r="B128" s="162" t="s">
        <v>1335</v>
      </c>
      <c r="C128" s="27" t="s">
        <v>31</v>
      </c>
      <c r="D128" s="12" t="s">
        <v>54</v>
      </c>
      <c r="E128" s="194"/>
      <c r="F128" s="162"/>
      <c r="G128" s="144">
        <v>2681.995556</v>
      </c>
      <c r="H128" s="161"/>
      <c r="I128" s="161"/>
      <c r="J128" s="161"/>
      <c r="K128" s="161"/>
      <c r="L128" s="161" t="s">
        <v>1544</v>
      </c>
      <c r="M128" s="161" t="s">
        <v>354</v>
      </c>
      <c r="N128" s="142">
        <v>236.0</v>
      </c>
      <c r="O128" s="161" t="s">
        <v>385</v>
      </c>
      <c r="P128" s="161"/>
      <c r="S128" s="142"/>
      <c r="T128" s="142"/>
      <c r="V128" s="166"/>
      <c r="W128" s="166"/>
      <c r="X128" s="166"/>
      <c r="Y128" s="166"/>
    </row>
    <row r="129" ht="22.5" customHeight="1">
      <c r="A129" s="161" t="s">
        <v>385</v>
      </c>
      <c r="B129" s="162" t="s">
        <v>1335</v>
      </c>
      <c r="C129" s="27" t="s">
        <v>31</v>
      </c>
      <c r="D129" s="12" t="s">
        <v>98</v>
      </c>
      <c r="E129" s="193"/>
      <c r="F129" s="162"/>
      <c r="G129" s="144">
        <v>191.5711111</v>
      </c>
      <c r="H129" s="161"/>
      <c r="I129" s="161"/>
      <c r="J129" s="161"/>
      <c r="K129" s="161"/>
      <c r="L129" s="161" t="s">
        <v>1544</v>
      </c>
      <c r="M129" s="161" t="s">
        <v>354</v>
      </c>
      <c r="N129" s="142">
        <v>236.0</v>
      </c>
      <c r="O129" s="161" t="s">
        <v>385</v>
      </c>
      <c r="P129" s="161"/>
      <c r="S129" s="142"/>
      <c r="T129" s="142"/>
      <c r="V129" s="166"/>
      <c r="W129" s="166"/>
      <c r="X129" s="166"/>
      <c r="Y129" s="166"/>
    </row>
    <row r="130" ht="22.5" customHeight="1">
      <c r="A130" s="161" t="s">
        <v>385</v>
      </c>
      <c r="B130" s="162" t="s">
        <v>1335</v>
      </c>
      <c r="C130" s="27" t="s">
        <v>20</v>
      </c>
      <c r="D130" s="12" t="s">
        <v>21</v>
      </c>
      <c r="E130" s="194"/>
      <c r="F130" s="162"/>
      <c r="G130" s="144">
        <v>3639.851111</v>
      </c>
      <c r="H130" s="161"/>
      <c r="I130" s="161"/>
      <c r="J130" s="161"/>
      <c r="K130" s="161"/>
      <c r="L130" s="161" t="s">
        <v>1544</v>
      </c>
      <c r="M130" s="161" t="s">
        <v>354</v>
      </c>
      <c r="N130" s="142">
        <v>236.0</v>
      </c>
      <c r="O130" s="161" t="s">
        <v>385</v>
      </c>
      <c r="P130" s="161"/>
      <c r="S130" s="142"/>
      <c r="T130" s="142"/>
      <c r="V130" s="166"/>
      <c r="W130" s="166"/>
      <c r="X130" s="166"/>
      <c r="Y130" s="166"/>
    </row>
    <row r="131" ht="22.5" customHeight="1">
      <c r="A131" s="161" t="s">
        <v>385</v>
      </c>
      <c r="B131" s="162" t="s">
        <v>1335</v>
      </c>
      <c r="C131" s="27" t="s">
        <v>31</v>
      </c>
      <c r="D131" s="12" t="s">
        <v>187</v>
      </c>
      <c r="E131" s="193"/>
      <c r="F131" s="162"/>
      <c r="G131" s="144">
        <v>510.8562963</v>
      </c>
      <c r="H131" s="161"/>
      <c r="I131" s="161"/>
      <c r="J131" s="161"/>
      <c r="K131" s="161"/>
      <c r="L131" s="161" t="s">
        <v>1544</v>
      </c>
      <c r="M131" s="161" t="s">
        <v>354</v>
      </c>
      <c r="N131" s="142">
        <v>236.0</v>
      </c>
      <c r="O131" s="161" t="s">
        <v>385</v>
      </c>
      <c r="P131" s="161"/>
      <c r="S131" s="142"/>
      <c r="T131" s="142"/>
      <c r="V131" s="166"/>
      <c r="W131" s="166"/>
      <c r="X131" s="166"/>
      <c r="Y131" s="166"/>
    </row>
    <row r="132" ht="22.5" customHeight="1">
      <c r="A132" s="161" t="s">
        <v>385</v>
      </c>
      <c r="B132" s="162" t="s">
        <v>1335</v>
      </c>
      <c r="C132" s="27" t="s">
        <v>31</v>
      </c>
      <c r="D132" s="12" t="s">
        <v>38</v>
      </c>
      <c r="E132" s="194"/>
      <c r="F132" s="162"/>
      <c r="G132" s="144">
        <v>287.3566667</v>
      </c>
      <c r="H132" s="161"/>
      <c r="I132" s="161"/>
      <c r="J132" s="161"/>
      <c r="K132" s="161"/>
      <c r="L132" s="161" t="s">
        <v>1544</v>
      </c>
      <c r="M132" s="161" t="s">
        <v>354</v>
      </c>
      <c r="N132" s="142">
        <v>236.0</v>
      </c>
      <c r="O132" s="161" t="s">
        <v>385</v>
      </c>
      <c r="P132" s="161"/>
      <c r="S132" s="142"/>
      <c r="T132" s="142"/>
      <c r="V132" s="166"/>
      <c r="W132" s="166"/>
      <c r="X132" s="166"/>
      <c r="Y132" s="166"/>
    </row>
    <row r="133" ht="22.5" customHeight="1">
      <c r="A133" s="161" t="s">
        <v>385</v>
      </c>
      <c r="B133" s="162" t="s">
        <v>1335</v>
      </c>
      <c r="C133" s="27" t="s">
        <v>31</v>
      </c>
      <c r="D133" s="12" t="s">
        <v>47</v>
      </c>
      <c r="E133" s="194"/>
      <c r="F133" s="162"/>
      <c r="G133" s="144">
        <v>1021.712593</v>
      </c>
      <c r="H133" s="161"/>
      <c r="I133" s="161"/>
      <c r="J133" s="161"/>
      <c r="K133" s="161"/>
      <c r="L133" s="161" t="s">
        <v>1544</v>
      </c>
      <c r="M133" s="161" t="s">
        <v>354</v>
      </c>
      <c r="N133" s="142">
        <v>236.0</v>
      </c>
      <c r="O133" s="161"/>
      <c r="P133" s="161"/>
      <c r="S133" s="142"/>
      <c r="T133" s="142"/>
      <c r="V133" s="166"/>
      <c r="W133" s="166"/>
      <c r="X133" s="166"/>
      <c r="Y133" s="166"/>
    </row>
    <row r="134" ht="22.5" customHeight="1">
      <c r="A134" s="161" t="s">
        <v>385</v>
      </c>
      <c r="B134" s="162" t="s">
        <v>1335</v>
      </c>
      <c r="C134" s="27" t="s">
        <v>31</v>
      </c>
      <c r="D134" s="12" t="s">
        <v>113</v>
      </c>
      <c r="E134" s="194"/>
      <c r="F134" s="162"/>
      <c r="G134" s="144">
        <v>287.3566667</v>
      </c>
      <c r="H134" s="161"/>
      <c r="I134" s="161"/>
      <c r="J134" s="161"/>
      <c r="K134" s="161"/>
      <c r="L134" s="161" t="s">
        <v>1544</v>
      </c>
      <c r="M134" s="161" t="s">
        <v>354</v>
      </c>
      <c r="N134" s="142">
        <v>236.0</v>
      </c>
      <c r="O134" s="161"/>
      <c r="P134" s="161"/>
      <c r="S134" s="142"/>
      <c r="T134" s="142"/>
      <c r="V134" s="166"/>
      <c r="W134" s="166"/>
      <c r="X134" s="166"/>
      <c r="Y134" s="166"/>
    </row>
    <row r="135" ht="22.5" customHeight="1">
      <c r="A135" s="161" t="s">
        <v>18</v>
      </c>
      <c r="B135" s="162" t="s">
        <v>1415</v>
      </c>
      <c r="C135" s="161"/>
      <c r="D135" s="194"/>
      <c r="E135" s="194"/>
      <c r="F135" s="162"/>
      <c r="G135" s="142">
        <v>9793.7</v>
      </c>
      <c r="H135" s="161"/>
      <c r="I135" s="161"/>
      <c r="J135" s="161"/>
      <c r="K135" s="161"/>
      <c r="L135" s="161" t="s">
        <v>1544</v>
      </c>
      <c r="M135" s="161" t="s">
        <v>354</v>
      </c>
      <c r="N135" s="142">
        <v>235.0</v>
      </c>
      <c r="O135" s="161" t="s">
        <v>355</v>
      </c>
      <c r="P135" s="161"/>
      <c r="S135" s="142"/>
      <c r="T135" s="142"/>
      <c r="V135" s="166"/>
      <c r="W135" s="166"/>
      <c r="X135" s="166"/>
      <c r="Y135" s="166"/>
    </row>
    <row r="136" ht="22.5" customHeight="1">
      <c r="A136" s="161" t="s">
        <v>18</v>
      </c>
      <c r="B136" s="162" t="s">
        <v>1415</v>
      </c>
      <c r="C136" s="161"/>
      <c r="D136" s="193"/>
      <c r="E136" s="193"/>
      <c r="F136" s="162"/>
      <c r="G136" s="142">
        <v>20185.6</v>
      </c>
      <c r="H136" s="161"/>
      <c r="I136" s="161"/>
      <c r="J136" s="161"/>
      <c r="K136" s="161"/>
      <c r="L136" s="161" t="s">
        <v>1544</v>
      </c>
      <c r="M136" s="161" t="s">
        <v>354</v>
      </c>
      <c r="N136" s="142">
        <v>235.0</v>
      </c>
      <c r="O136" s="161" t="s">
        <v>355</v>
      </c>
      <c r="P136" s="161"/>
      <c r="S136" s="142"/>
      <c r="T136" s="142"/>
      <c r="V136" s="166"/>
      <c r="W136" s="166"/>
      <c r="X136" s="166"/>
      <c r="Y136" s="166"/>
    </row>
    <row r="137" ht="22.5" customHeight="1">
      <c r="A137" s="161" t="s">
        <v>18</v>
      </c>
      <c r="B137" s="162" t="s">
        <v>1415</v>
      </c>
      <c r="C137" s="161"/>
      <c r="D137" s="194"/>
      <c r="E137" s="194"/>
      <c r="F137" s="162"/>
      <c r="G137" s="142">
        <v>45773.45</v>
      </c>
      <c r="H137" s="161"/>
      <c r="I137" s="161"/>
      <c r="J137" s="161"/>
      <c r="K137" s="161"/>
      <c r="L137" s="161" t="s">
        <v>1544</v>
      </c>
      <c r="M137" s="161" t="s">
        <v>354</v>
      </c>
      <c r="N137" s="142">
        <v>235.0</v>
      </c>
      <c r="O137" s="161" t="s">
        <v>355</v>
      </c>
      <c r="P137" s="161"/>
      <c r="S137" s="142"/>
      <c r="T137" s="142"/>
      <c r="V137" s="166"/>
      <c r="W137" s="166"/>
      <c r="X137" s="166"/>
      <c r="Y137" s="166"/>
    </row>
    <row r="138" ht="22.5" customHeight="1">
      <c r="A138" s="161" t="s">
        <v>18</v>
      </c>
      <c r="B138" s="162" t="s">
        <v>1415</v>
      </c>
      <c r="C138" s="161"/>
      <c r="D138" s="193"/>
      <c r="E138" s="193"/>
      <c r="F138" s="162"/>
      <c r="G138" s="142">
        <v>46596.32</v>
      </c>
      <c r="H138" s="161"/>
      <c r="I138" s="161"/>
      <c r="J138" s="161"/>
      <c r="K138" s="161"/>
      <c r="L138" s="161" t="s">
        <v>1544</v>
      </c>
      <c r="M138" s="161" t="s">
        <v>354</v>
      </c>
      <c r="N138" s="142">
        <v>235.0</v>
      </c>
      <c r="O138" s="161" t="s">
        <v>355</v>
      </c>
      <c r="P138" s="161"/>
      <c r="S138" s="142"/>
      <c r="T138" s="142"/>
      <c r="V138" s="166"/>
      <c r="W138" s="166"/>
      <c r="X138" s="166"/>
      <c r="Y138" s="166"/>
    </row>
    <row r="139" ht="22.5" customHeight="1">
      <c r="A139" s="161" t="s">
        <v>18</v>
      </c>
      <c r="B139" s="162" t="s">
        <v>1415</v>
      </c>
      <c r="C139" s="161"/>
      <c r="D139" s="194"/>
      <c r="E139" s="194"/>
      <c r="F139" s="162"/>
      <c r="G139" s="142">
        <v>262500.0</v>
      </c>
      <c r="H139" s="161"/>
      <c r="I139" s="161"/>
      <c r="J139" s="161"/>
      <c r="K139" s="161"/>
      <c r="L139" s="161" t="s">
        <v>1544</v>
      </c>
      <c r="M139" s="161" t="s">
        <v>354</v>
      </c>
      <c r="N139" s="142">
        <v>235.0</v>
      </c>
      <c r="O139" s="161" t="s">
        <v>355</v>
      </c>
      <c r="P139" s="161"/>
      <c r="S139" s="142"/>
      <c r="T139" s="142"/>
      <c r="V139" s="166"/>
      <c r="W139" s="166"/>
      <c r="X139" s="166"/>
      <c r="Y139" s="166"/>
    </row>
    <row r="140" ht="22.5" customHeight="1">
      <c r="A140" s="161" t="s">
        <v>18</v>
      </c>
      <c r="B140" s="162" t="s">
        <v>1415</v>
      </c>
      <c r="C140" s="161"/>
      <c r="D140" s="193"/>
      <c r="E140" s="193"/>
      <c r="F140" s="162"/>
      <c r="G140" s="142">
        <v>262500.0</v>
      </c>
      <c r="H140" s="161"/>
      <c r="I140" s="161"/>
      <c r="J140" s="161"/>
      <c r="K140" s="161"/>
      <c r="L140" s="161" t="s">
        <v>1544</v>
      </c>
      <c r="M140" s="161" t="s">
        <v>354</v>
      </c>
      <c r="N140" s="142">
        <v>235.0</v>
      </c>
      <c r="O140" s="161" t="s">
        <v>355</v>
      </c>
      <c r="P140" s="161"/>
      <c r="S140" s="142"/>
      <c r="T140" s="142"/>
      <c r="V140" s="166"/>
      <c r="W140" s="166"/>
      <c r="X140" s="166"/>
      <c r="Y140" s="166"/>
    </row>
    <row r="141" ht="22.5" customHeight="1">
      <c r="A141" s="161" t="s">
        <v>474</v>
      </c>
      <c r="B141" s="162" t="s">
        <v>1494</v>
      </c>
      <c r="C141" s="161"/>
      <c r="D141" s="194"/>
      <c r="E141" s="194"/>
      <c r="F141" s="162"/>
      <c r="G141" s="142">
        <v>8500.0</v>
      </c>
      <c r="H141" s="161"/>
      <c r="I141" s="161"/>
      <c r="J141" s="161"/>
      <c r="K141" s="161"/>
      <c r="L141" s="161" t="s">
        <v>1544</v>
      </c>
      <c r="M141" s="161" t="s">
        <v>354</v>
      </c>
      <c r="N141" s="142">
        <v>230.0</v>
      </c>
      <c r="O141" s="161" t="s">
        <v>395</v>
      </c>
      <c r="P141" s="161"/>
      <c r="S141" s="142"/>
      <c r="T141" s="142"/>
      <c r="V141" s="166"/>
      <c r="W141" s="166"/>
      <c r="X141" s="166"/>
      <c r="Y141" s="166"/>
    </row>
    <row r="142" ht="22.5" customHeight="1">
      <c r="A142" s="161" t="s">
        <v>474</v>
      </c>
      <c r="B142" s="162" t="s">
        <v>1494</v>
      </c>
      <c r="C142" s="161"/>
      <c r="D142" s="193"/>
      <c r="E142" s="193"/>
      <c r="F142" s="162"/>
      <c r="G142" s="142">
        <v>9500.0</v>
      </c>
      <c r="H142" s="161"/>
      <c r="I142" s="161"/>
      <c r="J142" s="161"/>
      <c r="K142" s="161"/>
      <c r="L142" s="161" t="s">
        <v>1544</v>
      </c>
      <c r="M142" s="161" t="s">
        <v>354</v>
      </c>
      <c r="N142" s="142">
        <v>230.0</v>
      </c>
      <c r="O142" s="161" t="s">
        <v>395</v>
      </c>
      <c r="P142" s="161"/>
      <c r="S142" s="142"/>
      <c r="T142" s="142"/>
      <c r="V142" s="166"/>
      <c r="W142" s="166"/>
      <c r="X142" s="166"/>
      <c r="Y142" s="166"/>
    </row>
    <row r="143" ht="22.5" customHeight="1">
      <c r="A143" s="161" t="s">
        <v>474</v>
      </c>
      <c r="B143" s="162" t="s">
        <v>1494</v>
      </c>
      <c r="C143" s="161"/>
      <c r="D143" s="194"/>
      <c r="E143" s="194"/>
      <c r="F143" s="162"/>
      <c r="G143" s="142">
        <v>9500.0</v>
      </c>
      <c r="H143" s="161"/>
      <c r="I143" s="161"/>
      <c r="J143" s="161"/>
      <c r="K143" s="161"/>
      <c r="L143" s="161" t="s">
        <v>1544</v>
      </c>
      <c r="M143" s="161" t="s">
        <v>354</v>
      </c>
      <c r="N143" s="142">
        <v>230.0</v>
      </c>
      <c r="O143" s="161" t="s">
        <v>395</v>
      </c>
      <c r="P143" s="161"/>
      <c r="S143" s="142"/>
      <c r="T143" s="142"/>
      <c r="V143" s="166"/>
      <c r="W143" s="166"/>
      <c r="X143" s="166"/>
      <c r="Y143" s="166"/>
    </row>
    <row r="144" ht="22.5" customHeight="1">
      <c r="A144" s="161" t="s">
        <v>378</v>
      </c>
      <c r="B144" s="162" t="s">
        <v>1495</v>
      </c>
      <c r="C144" s="4" t="s">
        <v>20</v>
      </c>
      <c r="D144" s="4" t="s">
        <v>371</v>
      </c>
      <c r="E144" s="194"/>
      <c r="F144" s="162"/>
      <c r="G144" s="142">
        <v>17306.48</v>
      </c>
      <c r="H144" s="161"/>
      <c r="I144" s="161"/>
      <c r="J144" s="161"/>
      <c r="K144" s="161"/>
      <c r="L144" s="161" t="s">
        <v>1544</v>
      </c>
      <c r="M144" s="161" t="s">
        <v>354</v>
      </c>
      <c r="N144" s="142">
        <v>242.0</v>
      </c>
      <c r="O144" s="161" t="s">
        <v>366</v>
      </c>
      <c r="P144" s="161"/>
      <c r="S144" s="142"/>
      <c r="T144" s="142"/>
      <c r="V144" s="166"/>
      <c r="W144" s="166"/>
      <c r="X144" s="166"/>
      <c r="Y144" s="166"/>
    </row>
    <row r="145" ht="22.5" customHeight="1">
      <c r="A145" s="161" t="s">
        <v>451</v>
      </c>
      <c r="B145" s="162" t="s">
        <v>1372</v>
      </c>
      <c r="C145" s="4" t="s">
        <v>20</v>
      </c>
      <c r="D145" s="4" t="s">
        <v>21</v>
      </c>
      <c r="E145" s="193"/>
      <c r="F145" s="162"/>
      <c r="G145" s="142">
        <v>600.0</v>
      </c>
      <c r="H145" s="161"/>
      <c r="I145" s="161"/>
      <c r="J145" s="161"/>
      <c r="K145" s="161"/>
      <c r="L145" s="161" t="s">
        <v>1544</v>
      </c>
      <c r="M145" s="161" t="s">
        <v>354</v>
      </c>
      <c r="N145" s="142">
        <v>234.0</v>
      </c>
      <c r="O145" s="161" t="s">
        <v>437</v>
      </c>
      <c r="P145" s="161"/>
      <c r="S145" s="142"/>
      <c r="T145" s="142"/>
      <c r="V145" s="166"/>
      <c r="W145" s="166"/>
      <c r="X145" s="166"/>
      <c r="Y145" s="166"/>
    </row>
    <row r="146" ht="22.5" customHeight="1">
      <c r="A146" s="161" t="s">
        <v>451</v>
      </c>
      <c r="B146" s="162" t="s">
        <v>1372</v>
      </c>
      <c r="C146" s="4" t="s">
        <v>20</v>
      </c>
      <c r="D146" s="4" t="s">
        <v>21</v>
      </c>
      <c r="E146" s="194"/>
      <c r="F146" s="162"/>
      <c r="G146" s="142">
        <v>900.0</v>
      </c>
      <c r="H146" s="161"/>
      <c r="I146" s="161"/>
      <c r="J146" s="161"/>
      <c r="K146" s="161"/>
      <c r="L146" s="161" t="s">
        <v>1544</v>
      </c>
      <c r="M146" s="161" t="s">
        <v>354</v>
      </c>
      <c r="N146" s="142">
        <v>234.0</v>
      </c>
      <c r="O146" s="161" t="s">
        <v>437</v>
      </c>
      <c r="P146" s="161"/>
      <c r="S146" s="142"/>
      <c r="T146" s="142"/>
      <c r="V146" s="166"/>
      <c r="W146" s="166"/>
      <c r="X146" s="166"/>
      <c r="Y146" s="166"/>
    </row>
    <row r="147" ht="22.5" customHeight="1">
      <c r="A147" s="161" t="s">
        <v>451</v>
      </c>
      <c r="B147" s="162" t="s">
        <v>1372</v>
      </c>
      <c r="C147" s="4" t="s">
        <v>20</v>
      </c>
      <c r="D147" s="4" t="s">
        <v>21</v>
      </c>
      <c r="E147" s="193"/>
      <c r="F147" s="162"/>
      <c r="G147" s="142">
        <v>1034.48</v>
      </c>
      <c r="H147" s="161"/>
      <c r="I147" s="161"/>
      <c r="J147" s="161"/>
      <c r="K147" s="161"/>
      <c r="L147" s="161" t="s">
        <v>1544</v>
      </c>
      <c r="M147" s="161" t="s">
        <v>354</v>
      </c>
      <c r="N147" s="142">
        <v>234.0</v>
      </c>
      <c r="O147" s="161" t="s">
        <v>437</v>
      </c>
      <c r="P147" s="161"/>
      <c r="S147" s="142"/>
      <c r="T147" s="142"/>
      <c r="V147" s="166"/>
      <c r="W147" s="166"/>
      <c r="X147" s="166"/>
      <c r="Y147" s="166"/>
    </row>
    <row r="148" ht="22.5" customHeight="1">
      <c r="A148" s="161" t="s">
        <v>451</v>
      </c>
      <c r="B148" s="162" t="s">
        <v>1372</v>
      </c>
      <c r="C148" s="4" t="s">
        <v>20</v>
      </c>
      <c r="D148" s="4" t="s">
        <v>21</v>
      </c>
      <c r="E148" s="194"/>
      <c r="F148" s="162"/>
      <c r="G148" s="142">
        <v>1120.69</v>
      </c>
      <c r="H148" s="161"/>
      <c r="I148" s="161"/>
      <c r="J148" s="161"/>
      <c r="K148" s="161"/>
      <c r="L148" s="161" t="s">
        <v>1544</v>
      </c>
      <c r="M148" s="161" t="s">
        <v>354</v>
      </c>
      <c r="N148" s="142">
        <v>234.0</v>
      </c>
      <c r="O148" s="161" t="s">
        <v>437</v>
      </c>
      <c r="P148" s="161"/>
      <c r="S148" s="142"/>
      <c r="T148" s="142"/>
      <c r="V148" s="166"/>
      <c r="W148" s="166"/>
      <c r="X148" s="166"/>
      <c r="Y148" s="166"/>
    </row>
    <row r="149" ht="22.5" customHeight="1">
      <c r="A149" s="161" t="s">
        <v>451</v>
      </c>
      <c r="B149" s="162" t="s">
        <v>1372</v>
      </c>
      <c r="C149" s="4" t="s">
        <v>20</v>
      </c>
      <c r="D149" s="4" t="s">
        <v>21</v>
      </c>
      <c r="E149" s="193"/>
      <c r="F149" s="162"/>
      <c r="G149" s="142">
        <v>1379.31</v>
      </c>
      <c r="H149" s="161"/>
      <c r="I149" s="161"/>
      <c r="J149" s="161"/>
      <c r="K149" s="161"/>
      <c r="L149" s="161" t="s">
        <v>1544</v>
      </c>
      <c r="M149" s="161" t="s">
        <v>354</v>
      </c>
      <c r="N149" s="142">
        <v>234.0</v>
      </c>
      <c r="O149" s="161" t="s">
        <v>437</v>
      </c>
      <c r="P149" s="161"/>
      <c r="S149" s="142"/>
      <c r="T149" s="142"/>
      <c r="V149" s="166"/>
      <c r="W149" s="166"/>
      <c r="X149" s="166"/>
      <c r="Y149" s="166"/>
    </row>
    <row r="150" ht="22.5" customHeight="1">
      <c r="A150" s="161" t="s">
        <v>451</v>
      </c>
      <c r="B150" s="162" t="s">
        <v>1372</v>
      </c>
      <c r="C150" s="4" t="s">
        <v>20</v>
      </c>
      <c r="D150" s="4" t="s">
        <v>21</v>
      </c>
      <c r="E150" s="194"/>
      <c r="F150" s="162"/>
      <c r="G150" s="142">
        <v>1551.72</v>
      </c>
      <c r="H150" s="161"/>
      <c r="I150" s="161"/>
      <c r="J150" s="161"/>
      <c r="K150" s="161"/>
      <c r="L150" s="161" t="s">
        <v>1544</v>
      </c>
      <c r="M150" s="161" t="s">
        <v>354</v>
      </c>
      <c r="N150" s="142">
        <v>234.0</v>
      </c>
      <c r="O150" s="161" t="s">
        <v>437</v>
      </c>
      <c r="P150" s="161"/>
      <c r="S150" s="142"/>
      <c r="T150" s="142"/>
      <c r="V150" s="166"/>
      <c r="W150" s="166"/>
      <c r="X150" s="166"/>
      <c r="Y150" s="166"/>
    </row>
    <row r="151" ht="22.5" customHeight="1">
      <c r="A151" s="161" t="s">
        <v>451</v>
      </c>
      <c r="B151" s="162" t="s">
        <v>1372</v>
      </c>
      <c r="C151" s="4" t="s">
        <v>20</v>
      </c>
      <c r="D151" s="4" t="s">
        <v>21</v>
      </c>
      <c r="E151" s="193"/>
      <c r="F151" s="162"/>
      <c r="G151" s="142">
        <v>1551.72</v>
      </c>
      <c r="H151" s="161"/>
      <c r="I151" s="161"/>
      <c r="J151" s="161"/>
      <c r="K151" s="161"/>
      <c r="L151" s="161" t="s">
        <v>1544</v>
      </c>
      <c r="M151" s="161" t="s">
        <v>354</v>
      </c>
      <c r="N151" s="142">
        <v>234.0</v>
      </c>
      <c r="O151" s="161" t="s">
        <v>437</v>
      </c>
      <c r="P151" s="161"/>
      <c r="S151" s="142"/>
      <c r="T151" s="142"/>
      <c r="V151" s="166"/>
      <c r="W151" s="166"/>
      <c r="X151" s="166"/>
      <c r="Y151" s="166"/>
    </row>
    <row r="152" ht="22.5" customHeight="1">
      <c r="A152" s="161" t="s">
        <v>474</v>
      </c>
      <c r="B152" s="162" t="s">
        <v>1570</v>
      </c>
      <c r="C152" s="161"/>
      <c r="D152" s="194"/>
      <c r="E152" s="194"/>
      <c r="F152" s="162"/>
      <c r="G152" s="142">
        <v>1800.0</v>
      </c>
      <c r="H152" s="161"/>
      <c r="I152" s="161"/>
      <c r="J152" s="161"/>
      <c r="K152" s="161"/>
      <c r="L152" s="161" t="s">
        <v>1544</v>
      </c>
      <c r="M152" s="161" t="s">
        <v>354</v>
      </c>
      <c r="N152" s="142">
        <v>241.0</v>
      </c>
      <c r="O152" s="161" t="s">
        <v>475</v>
      </c>
      <c r="P152" s="161"/>
      <c r="S152" s="142"/>
      <c r="T152" s="142"/>
      <c r="V152" s="166"/>
      <c r="W152" s="166"/>
      <c r="X152" s="166"/>
      <c r="Y152" s="166"/>
    </row>
    <row r="153" ht="22.5" customHeight="1">
      <c r="A153" s="161" t="s">
        <v>349</v>
      </c>
      <c r="B153" s="162" t="s">
        <v>1278</v>
      </c>
      <c r="C153" s="161" t="s">
        <v>20</v>
      </c>
      <c r="D153" s="194"/>
      <c r="E153" s="194"/>
      <c r="F153" s="162"/>
      <c r="G153" s="142">
        <v>222448.39</v>
      </c>
      <c r="H153" s="161"/>
      <c r="I153" s="161"/>
      <c r="J153" s="161"/>
      <c r="K153" s="161"/>
      <c r="L153" s="161" t="s">
        <v>1544</v>
      </c>
      <c r="M153" s="161" t="s">
        <v>354</v>
      </c>
      <c r="N153" s="142">
        <v>220.0</v>
      </c>
      <c r="O153" s="161" t="s">
        <v>1279</v>
      </c>
      <c r="P153" s="161"/>
      <c r="S153" s="142"/>
      <c r="T153" s="142"/>
      <c r="V153" s="166"/>
      <c r="W153" s="166"/>
      <c r="X153" s="166"/>
      <c r="Y153" s="166"/>
    </row>
    <row r="154" ht="22.5" customHeight="1">
      <c r="A154" s="161" t="s">
        <v>474</v>
      </c>
      <c r="B154" s="162" t="s">
        <v>1496</v>
      </c>
      <c r="C154" s="161"/>
      <c r="D154" s="194"/>
      <c r="E154" s="194"/>
      <c r="F154" s="162"/>
      <c r="G154" s="142">
        <v>19150.0</v>
      </c>
      <c r="H154" s="161"/>
      <c r="I154" s="161"/>
      <c r="J154" s="161"/>
      <c r="K154" s="161"/>
      <c r="L154" s="161" t="s">
        <v>1544</v>
      </c>
      <c r="M154" s="161" t="s">
        <v>354</v>
      </c>
      <c r="N154" s="142">
        <v>234.0</v>
      </c>
      <c r="O154" s="161" t="s">
        <v>437</v>
      </c>
      <c r="P154" s="161"/>
      <c r="S154" s="142"/>
      <c r="T154" s="142"/>
      <c r="V154" s="166"/>
      <c r="W154" s="166"/>
      <c r="X154" s="166"/>
      <c r="Y154" s="166"/>
    </row>
    <row r="155" ht="22.5" customHeight="1">
      <c r="A155" s="161" t="s">
        <v>474</v>
      </c>
      <c r="B155" s="162" t="s">
        <v>1571</v>
      </c>
      <c r="C155" s="161"/>
      <c r="D155" s="193"/>
      <c r="E155" s="193"/>
      <c r="F155" s="162"/>
      <c r="G155" s="142">
        <v>4000.0</v>
      </c>
      <c r="H155" s="161"/>
      <c r="I155" s="161"/>
      <c r="J155" s="161"/>
      <c r="K155" s="161"/>
      <c r="L155" s="161" t="s">
        <v>1544</v>
      </c>
      <c r="M155" s="161" t="s">
        <v>354</v>
      </c>
      <c r="N155" s="142">
        <v>234.0</v>
      </c>
      <c r="O155" s="161" t="s">
        <v>437</v>
      </c>
      <c r="P155" s="161"/>
      <c r="S155" s="142"/>
      <c r="T155" s="142"/>
      <c r="V155" s="166"/>
      <c r="W155" s="166"/>
      <c r="X155" s="166"/>
      <c r="Y155" s="166"/>
    </row>
    <row r="156" ht="22.5" customHeight="1">
      <c r="A156" s="161" t="s">
        <v>474</v>
      </c>
      <c r="B156" s="162" t="s">
        <v>1571</v>
      </c>
      <c r="C156" s="161"/>
      <c r="D156" s="194"/>
      <c r="E156" s="194"/>
      <c r="F156" s="162"/>
      <c r="G156" s="142">
        <v>6500.0</v>
      </c>
      <c r="H156" s="161"/>
      <c r="I156" s="161"/>
      <c r="J156" s="161"/>
      <c r="K156" s="161"/>
      <c r="L156" s="161" t="s">
        <v>1544</v>
      </c>
      <c r="M156" s="161" t="s">
        <v>354</v>
      </c>
      <c r="N156" s="142">
        <v>234.0</v>
      </c>
      <c r="O156" s="161" t="s">
        <v>437</v>
      </c>
      <c r="P156" s="161"/>
      <c r="S156" s="142"/>
      <c r="T156" s="142"/>
      <c r="V156" s="166"/>
      <c r="W156" s="166"/>
      <c r="X156" s="166"/>
      <c r="Y156" s="166"/>
    </row>
    <row r="157" ht="22.5" customHeight="1">
      <c r="A157" s="161" t="s">
        <v>474</v>
      </c>
      <c r="B157" s="162" t="s">
        <v>1571</v>
      </c>
      <c r="C157" s="161"/>
      <c r="D157" s="193"/>
      <c r="E157" s="193"/>
      <c r="F157" s="162"/>
      <c r="G157" s="142">
        <v>8500.0</v>
      </c>
      <c r="H157" s="161"/>
      <c r="I157" s="161"/>
      <c r="J157" s="161"/>
      <c r="K157" s="161"/>
      <c r="L157" s="161" t="s">
        <v>1544</v>
      </c>
      <c r="M157" s="161" t="s">
        <v>354</v>
      </c>
      <c r="N157" s="142">
        <v>234.0</v>
      </c>
      <c r="O157" s="161" t="s">
        <v>437</v>
      </c>
      <c r="P157" s="161"/>
      <c r="S157" s="142"/>
      <c r="T157" s="142"/>
      <c r="V157" s="166"/>
      <c r="W157" s="166"/>
      <c r="X157" s="166"/>
      <c r="Y157" s="166"/>
    </row>
    <row r="158" ht="22.5" customHeight="1">
      <c r="A158" s="161" t="s">
        <v>18</v>
      </c>
      <c r="B158" s="162" t="s">
        <v>1183</v>
      </c>
      <c r="C158" s="161"/>
      <c r="D158" s="193"/>
      <c r="E158" s="193"/>
      <c r="F158" s="162"/>
      <c r="G158" s="142">
        <v>11648.0</v>
      </c>
      <c r="H158" s="161"/>
      <c r="I158" s="161"/>
      <c r="J158" s="161"/>
      <c r="K158" s="161"/>
      <c r="L158" s="161" t="s">
        <v>1544</v>
      </c>
      <c r="M158" s="161" t="s">
        <v>354</v>
      </c>
      <c r="N158" s="142">
        <v>300.0</v>
      </c>
      <c r="O158" s="161" t="s">
        <v>1185</v>
      </c>
      <c r="P158" s="161"/>
      <c r="S158" s="142"/>
      <c r="T158" s="142"/>
      <c r="V158" s="166"/>
      <c r="W158" s="166"/>
      <c r="X158" s="166"/>
      <c r="Y158" s="166"/>
    </row>
    <row r="159" ht="22.5" customHeight="1">
      <c r="A159" s="161" t="s">
        <v>474</v>
      </c>
      <c r="B159" s="162" t="s">
        <v>1572</v>
      </c>
      <c r="C159" s="161"/>
      <c r="D159" s="193"/>
      <c r="E159" s="193"/>
      <c r="F159" s="162"/>
      <c r="G159" s="142">
        <v>1499.0</v>
      </c>
      <c r="H159" s="161"/>
      <c r="I159" s="161"/>
      <c r="J159" s="161"/>
      <c r="K159" s="161"/>
      <c r="L159" s="161" t="s">
        <v>1567</v>
      </c>
      <c r="M159" s="161" t="s">
        <v>408</v>
      </c>
      <c r="N159" s="142">
        <v>219.0</v>
      </c>
      <c r="O159" s="161" t="s">
        <v>459</v>
      </c>
      <c r="P159" s="161"/>
      <c r="S159" s="142"/>
      <c r="T159" s="142"/>
      <c r="V159" s="166"/>
      <c r="W159" s="166"/>
      <c r="X159" s="166"/>
      <c r="Y159" s="166"/>
    </row>
    <row r="160" ht="22.5" customHeight="1">
      <c r="A160" s="161" t="s">
        <v>474</v>
      </c>
      <c r="B160" s="162" t="s">
        <v>1572</v>
      </c>
      <c r="C160" s="161"/>
      <c r="D160" s="194"/>
      <c r="E160" s="194"/>
      <c r="F160" s="162"/>
      <c r="G160" s="142">
        <v>1146.0</v>
      </c>
      <c r="H160" s="161"/>
      <c r="I160" s="161"/>
      <c r="J160" s="161"/>
      <c r="K160" s="161"/>
      <c r="L160" s="161" t="s">
        <v>1567</v>
      </c>
      <c r="M160" s="161" t="s">
        <v>408</v>
      </c>
      <c r="N160" s="142">
        <v>219.0</v>
      </c>
      <c r="O160" s="161" t="s">
        <v>459</v>
      </c>
      <c r="P160" s="161"/>
      <c r="S160" s="142"/>
      <c r="T160" s="142"/>
      <c r="V160" s="166"/>
      <c r="W160" s="166"/>
      <c r="X160" s="166"/>
      <c r="Y160" s="166"/>
    </row>
    <row r="161" ht="22.5" customHeight="1">
      <c r="A161" s="161" t="s">
        <v>474</v>
      </c>
      <c r="B161" s="162" t="s">
        <v>1572</v>
      </c>
      <c r="C161" s="161"/>
      <c r="D161" s="193"/>
      <c r="E161" s="193"/>
      <c r="F161" s="162"/>
      <c r="G161" s="142">
        <v>1689.0</v>
      </c>
      <c r="H161" s="161"/>
      <c r="I161" s="161"/>
      <c r="J161" s="161"/>
      <c r="K161" s="161"/>
      <c r="L161" s="161" t="s">
        <v>1567</v>
      </c>
      <c r="M161" s="161" t="s">
        <v>408</v>
      </c>
      <c r="N161" s="142">
        <v>219.0</v>
      </c>
      <c r="O161" s="161" t="s">
        <v>459</v>
      </c>
      <c r="P161" s="161"/>
      <c r="S161" s="142"/>
      <c r="T161" s="142"/>
      <c r="V161" s="166"/>
      <c r="W161" s="166"/>
      <c r="X161" s="166"/>
      <c r="Y161" s="166"/>
    </row>
    <row r="162" ht="22.5" customHeight="1">
      <c r="A162" s="161" t="s">
        <v>474</v>
      </c>
      <c r="B162" s="162" t="s">
        <v>1572</v>
      </c>
      <c r="C162" s="161"/>
      <c r="D162" s="194"/>
      <c r="E162" s="194"/>
      <c r="F162" s="162"/>
      <c r="G162" s="142">
        <v>1058.0</v>
      </c>
      <c r="H162" s="161"/>
      <c r="I162" s="161"/>
      <c r="J162" s="161"/>
      <c r="K162" s="161"/>
      <c r="L162" s="161" t="s">
        <v>1567</v>
      </c>
      <c r="M162" s="161" t="s">
        <v>408</v>
      </c>
      <c r="N162" s="142">
        <v>219.0</v>
      </c>
      <c r="O162" s="161" t="s">
        <v>459</v>
      </c>
      <c r="P162" s="161"/>
      <c r="S162" s="142"/>
      <c r="T162" s="142"/>
      <c r="V162" s="166"/>
      <c r="W162" s="166"/>
      <c r="X162" s="166"/>
      <c r="Y162" s="166"/>
    </row>
    <row r="163" ht="22.5" customHeight="1">
      <c r="A163" s="161" t="s">
        <v>474</v>
      </c>
      <c r="B163" s="162" t="s">
        <v>1572</v>
      </c>
      <c r="C163" s="161"/>
      <c r="D163" s="193"/>
      <c r="E163" s="193"/>
      <c r="F163" s="162"/>
      <c r="G163" s="142">
        <v>1781.0</v>
      </c>
      <c r="H163" s="161"/>
      <c r="I163" s="161"/>
      <c r="J163" s="161"/>
      <c r="K163" s="161"/>
      <c r="L163" s="161" t="s">
        <v>1567</v>
      </c>
      <c r="M163" s="161" t="s">
        <v>408</v>
      </c>
      <c r="N163" s="142">
        <v>219.0</v>
      </c>
      <c r="O163" s="161" t="s">
        <v>459</v>
      </c>
      <c r="P163" s="161"/>
      <c r="S163" s="142"/>
      <c r="T163" s="142"/>
      <c r="V163" s="166"/>
      <c r="W163" s="166"/>
      <c r="X163" s="166"/>
      <c r="Y163" s="166"/>
    </row>
    <row r="164" ht="22.5" customHeight="1">
      <c r="A164" s="161" t="s">
        <v>474</v>
      </c>
      <c r="B164" s="162" t="s">
        <v>1572</v>
      </c>
      <c r="C164" s="161"/>
      <c r="D164" s="194"/>
      <c r="E164" s="194"/>
      <c r="F164" s="162"/>
      <c r="G164" s="142">
        <v>1475.0</v>
      </c>
      <c r="H164" s="161"/>
      <c r="I164" s="161"/>
      <c r="J164" s="161"/>
      <c r="K164" s="161"/>
      <c r="L164" s="161" t="s">
        <v>1567</v>
      </c>
      <c r="M164" s="161" t="s">
        <v>408</v>
      </c>
      <c r="N164" s="142">
        <v>219.0</v>
      </c>
      <c r="O164" s="161" t="s">
        <v>459</v>
      </c>
      <c r="P164" s="161"/>
      <c r="S164" s="142"/>
      <c r="T164" s="142"/>
      <c r="V164" s="166"/>
      <c r="W164" s="166"/>
      <c r="X164" s="166"/>
      <c r="Y164" s="166"/>
    </row>
    <row r="165" ht="22.5" customHeight="1">
      <c r="A165" s="161" t="s">
        <v>474</v>
      </c>
      <c r="B165" s="162" t="s">
        <v>1572</v>
      </c>
      <c r="C165" s="161"/>
      <c r="D165" s="193"/>
      <c r="E165" s="193"/>
      <c r="F165" s="162"/>
      <c r="G165" s="142">
        <v>1830.0</v>
      </c>
      <c r="H165" s="161"/>
      <c r="I165" s="161"/>
      <c r="J165" s="161"/>
      <c r="K165" s="161"/>
      <c r="L165" s="161" t="s">
        <v>1567</v>
      </c>
      <c r="M165" s="161" t="s">
        <v>408</v>
      </c>
      <c r="N165" s="142">
        <v>219.0</v>
      </c>
      <c r="O165" s="161" t="s">
        <v>459</v>
      </c>
      <c r="P165" s="161"/>
      <c r="S165" s="142"/>
      <c r="T165" s="142"/>
      <c r="V165" s="166"/>
      <c r="W165" s="166"/>
      <c r="X165" s="166"/>
      <c r="Y165" s="166"/>
    </row>
    <row r="166" ht="22.5" customHeight="1">
      <c r="A166" s="161" t="s">
        <v>474</v>
      </c>
      <c r="B166" s="162" t="s">
        <v>1572</v>
      </c>
      <c r="C166" s="161"/>
      <c r="D166" s="194"/>
      <c r="E166" s="194"/>
      <c r="F166" s="162"/>
      <c r="G166" s="142">
        <v>2250.0</v>
      </c>
      <c r="H166" s="161"/>
      <c r="I166" s="161"/>
      <c r="J166" s="161"/>
      <c r="K166" s="161"/>
      <c r="L166" s="161" t="s">
        <v>1567</v>
      </c>
      <c r="M166" s="161" t="s">
        <v>408</v>
      </c>
      <c r="N166" s="142">
        <v>219.0</v>
      </c>
      <c r="O166" s="161" t="s">
        <v>459</v>
      </c>
      <c r="P166" s="161"/>
      <c r="S166" s="142"/>
      <c r="T166" s="142"/>
      <c r="V166" s="166"/>
      <c r="W166" s="166"/>
      <c r="X166" s="166"/>
      <c r="Y166" s="166"/>
    </row>
    <row r="167" ht="22.5" customHeight="1">
      <c r="A167" s="161" t="s">
        <v>474</v>
      </c>
      <c r="B167" s="162" t="s">
        <v>1572</v>
      </c>
      <c r="C167" s="161"/>
      <c r="D167" s="193"/>
      <c r="E167" s="193"/>
      <c r="F167" s="162"/>
      <c r="G167" s="142">
        <v>1381.0</v>
      </c>
      <c r="H167" s="161"/>
      <c r="I167" s="161"/>
      <c r="J167" s="161"/>
      <c r="K167" s="161"/>
      <c r="L167" s="161" t="s">
        <v>1567</v>
      </c>
      <c r="M167" s="161" t="s">
        <v>408</v>
      </c>
      <c r="N167" s="142">
        <v>219.0</v>
      </c>
      <c r="O167" s="161" t="s">
        <v>459</v>
      </c>
      <c r="P167" s="161"/>
      <c r="S167" s="142"/>
      <c r="T167" s="142"/>
      <c r="V167" s="166"/>
      <c r="W167" s="166"/>
      <c r="X167" s="166"/>
      <c r="Y167" s="166"/>
    </row>
    <row r="168" ht="22.5" customHeight="1">
      <c r="A168" s="161" t="s">
        <v>474</v>
      </c>
      <c r="B168" s="162" t="s">
        <v>1572</v>
      </c>
      <c r="C168" s="161"/>
      <c r="D168" s="194"/>
      <c r="E168" s="194"/>
      <c r="F168" s="162"/>
      <c r="G168" s="142">
        <v>1701.0</v>
      </c>
      <c r="H168" s="161"/>
      <c r="I168" s="161"/>
      <c r="J168" s="161"/>
      <c r="K168" s="161"/>
      <c r="L168" s="161" t="s">
        <v>1567</v>
      </c>
      <c r="M168" s="161" t="s">
        <v>408</v>
      </c>
      <c r="N168" s="142">
        <v>219.0</v>
      </c>
      <c r="O168" s="161" t="s">
        <v>459</v>
      </c>
      <c r="P168" s="161"/>
      <c r="S168" s="142"/>
      <c r="T168" s="142"/>
      <c r="V168" s="166"/>
      <c r="W168" s="166"/>
      <c r="X168" s="166"/>
      <c r="Y168" s="166"/>
    </row>
    <row r="169" ht="22.5" customHeight="1">
      <c r="A169" s="161" t="s">
        <v>474</v>
      </c>
      <c r="B169" s="162" t="s">
        <v>1572</v>
      </c>
      <c r="C169" s="161"/>
      <c r="D169" s="193"/>
      <c r="E169" s="193"/>
      <c r="F169" s="162"/>
      <c r="G169" s="142">
        <v>1711.0</v>
      </c>
      <c r="H169" s="161"/>
      <c r="I169" s="161"/>
      <c r="J169" s="161"/>
      <c r="K169" s="161"/>
      <c r="L169" s="161" t="s">
        <v>1567</v>
      </c>
      <c r="M169" s="161" t="s">
        <v>408</v>
      </c>
      <c r="N169" s="142">
        <v>219.0</v>
      </c>
      <c r="O169" s="161" t="s">
        <v>459</v>
      </c>
      <c r="P169" s="161"/>
      <c r="S169" s="142"/>
      <c r="T169" s="142"/>
      <c r="V169" s="166"/>
      <c r="W169" s="166"/>
      <c r="X169" s="166"/>
      <c r="Y169" s="166"/>
    </row>
    <row r="170" ht="22.5" customHeight="1">
      <c r="A170" s="161" t="s">
        <v>474</v>
      </c>
      <c r="B170" s="162" t="s">
        <v>1572</v>
      </c>
      <c r="C170" s="161"/>
      <c r="D170" s="194"/>
      <c r="E170" s="194"/>
      <c r="F170" s="162"/>
      <c r="G170" s="142">
        <v>2226.0</v>
      </c>
      <c r="H170" s="161"/>
      <c r="I170" s="161"/>
      <c r="J170" s="161"/>
      <c r="K170" s="161"/>
      <c r="L170" s="161" t="s">
        <v>1567</v>
      </c>
      <c r="M170" s="161" t="s">
        <v>408</v>
      </c>
      <c r="N170" s="142">
        <v>219.0</v>
      </c>
      <c r="O170" s="161" t="s">
        <v>459</v>
      </c>
      <c r="P170" s="161"/>
      <c r="S170" s="142"/>
      <c r="T170" s="142"/>
      <c r="V170" s="166"/>
      <c r="W170" s="166"/>
      <c r="X170" s="166"/>
      <c r="Y170" s="166"/>
    </row>
    <row r="171" ht="22.5" customHeight="1">
      <c r="A171" s="161" t="s">
        <v>474</v>
      </c>
      <c r="B171" s="162" t="s">
        <v>1572</v>
      </c>
      <c r="C171" s="161"/>
      <c r="D171" s="193"/>
      <c r="E171" s="193"/>
      <c r="F171" s="162"/>
      <c r="G171" s="142">
        <v>1422.0</v>
      </c>
      <c r="H171" s="161"/>
      <c r="I171" s="161"/>
      <c r="J171" s="161"/>
      <c r="K171" s="161"/>
      <c r="L171" s="161" t="s">
        <v>1567</v>
      </c>
      <c r="M171" s="161" t="s">
        <v>408</v>
      </c>
      <c r="N171" s="142">
        <v>219.0</v>
      </c>
      <c r="O171" s="161" t="s">
        <v>459</v>
      </c>
      <c r="P171" s="161"/>
      <c r="S171" s="142"/>
      <c r="T171" s="142"/>
      <c r="V171" s="166"/>
      <c r="W171" s="166"/>
      <c r="X171" s="166"/>
      <c r="Y171" s="166"/>
    </row>
    <row r="172" ht="22.5" customHeight="1">
      <c r="A172" s="161" t="s">
        <v>474</v>
      </c>
      <c r="B172" s="162" t="s">
        <v>1572</v>
      </c>
      <c r="C172" s="161"/>
      <c r="D172" s="194"/>
      <c r="E172" s="194"/>
      <c r="F172" s="162"/>
      <c r="G172" s="142">
        <v>2448.0</v>
      </c>
      <c r="H172" s="161"/>
      <c r="I172" s="161"/>
      <c r="J172" s="161"/>
      <c r="K172" s="161"/>
      <c r="L172" s="161" t="s">
        <v>1567</v>
      </c>
      <c r="M172" s="161" t="s">
        <v>408</v>
      </c>
      <c r="N172" s="142">
        <v>219.0</v>
      </c>
      <c r="O172" s="161" t="s">
        <v>459</v>
      </c>
      <c r="P172" s="161"/>
      <c r="S172" s="142"/>
      <c r="T172" s="142"/>
      <c r="V172" s="166"/>
      <c r="W172" s="166"/>
      <c r="X172" s="166"/>
      <c r="Y172" s="166"/>
    </row>
    <row r="173" ht="22.5" customHeight="1">
      <c r="A173" s="161" t="s">
        <v>474</v>
      </c>
      <c r="B173" s="162" t="s">
        <v>1572</v>
      </c>
      <c r="C173" s="161"/>
      <c r="D173" s="193"/>
      <c r="E173" s="193"/>
      <c r="F173" s="162"/>
      <c r="G173" s="142">
        <v>1030.0</v>
      </c>
      <c r="H173" s="161"/>
      <c r="I173" s="161"/>
      <c r="J173" s="161"/>
      <c r="K173" s="161"/>
      <c r="L173" s="161" t="s">
        <v>1567</v>
      </c>
      <c r="M173" s="161" t="s">
        <v>408</v>
      </c>
      <c r="N173" s="142">
        <v>219.0</v>
      </c>
      <c r="O173" s="161" t="s">
        <v>459</v>
      </c>
      <c r="P173" s="161"/>
      <c r="S173" s="142"/>
      <c r="T173" s="142"/>
      <c r="V173" s="166"/>
      <c r="W173" s="166"/>
      <c r="X173" s="166"/>
      <c r="Y173" s="166"/>
    </row>
    <row r="174" ht="22.5" customHeight="1">
      <c r="A174" s="161" t="s">
        <v>474</v>
      </c>
      <c r="B174" s="162" t="s">
        <v>1572</v>
      </c>
      <c r="C174" s="161"/>
      <c r="D174" s="194"/>
      <c r="E174" s="194"/>
      <c r="F174" s="162"/>
      <c r="G174" s="142">
        <v>1112.0</v>
      </c>
      <c r="H174" s="161"/>
      <c r="I174" s="161"/>
      <c r="J174" s="161"/>
      <c r="K174" s="161"/>
      <c r="L174" s="161" t="s">
        <v>1567</v>
      </c>
      <c r="M174" s="161" t="s">
        <v>408</v>
      </c>
      <c r="N174" s="142">
        <v>219.0</v>
      </c>
      <c r="O174" s="161" t="s">
        <v>459</v>
      </c>
      <c r="P174" s="161"/>
      <c r="S174" s="142"/>
      <c r="T174" s="142"/>
      <c r="V174" s="166"/>
      <c r="W174" s="166"/>
      <c r="X174" s="166"/>
      <c r="Y174" s="166"/>
    </row>
    <row r="175" ht="22.5" customHeight="1">
      <c r="A175" s="161" t="s">
        <v>474</v>
      </c>
      <c r="B175" s="162" t="s">
        <v>1572</v>
      </c>
      <c r="C175" s="161"/>
      <c r="D175" s="193"/>
      <c r="E175" s="193"/>
      <c r="F175" s="162"/>
      <c r="G175" s="142">
        <v>1140.0</v>
      </c>
      <c r="H175" s="161"/>
      <c r="I175" s="161"/>
      <c r="J175" s="161"/>
      <c r="K175" s="161"/>
      <c r="L175" s="161" t="s">
        <v>1567</v>
      </c>
      <c r="M175" s="161" t="s">
        <v>408</v>
      </c>
      <c r="N175" s="142">
        <v>219.0</v>
      </c>
      <c r="O175" s="161" t="s">
        <v>459</v>
      </c>
      <c r="P175" s="161"/>
      <c r="S175" s="142"/>
      <c r="T175" s="142"/>
      <c r="V175" s="166"/>
      <c r="W175" s="166"/>
      <c r="X175" s="166"/>
      <c r="Y175" s="166"/>
    </row>
    <row r="176" ht="22.5" customHeight="1">
      <c r="A176" s="161" t="s">
        <v>474</v>
      </c>
      <c r="B176" s="162" t="s">
        <v>1572</v>
      </c>
      <c r="C176" s="161"/>
      <c r="D176" s="194"/>
      <c r="E176" s="194"/>
      <c r="F176" s="162"/>
      <c r="G176" s="142">
        <v>1544.0</v>
      </c>
      <c r="H176" s="161"/>
      <c r="I176" s="161"/>
      <c r="J176" s="161"/>
      <c r="K176" s="161"/>
      <c r="L176" s="161" t="s">
        <v>1567</v>
      </c>
      <c r="M176" s="161" t="s">
        <v>408</v>
      </c>
      <c r="N176" s="142">
        <v>219.0</v>
      </c>
      <c r="O176" s="161" t="s">
        <v>459</v>
      </c>
      <c r="P176" s="161"/>
      <c r="S176" s="142"/>
      <c r="T176" s="142"/>
      <c r="V176" s="166"/>
      <c r="W176" s="166"/>
      <c r="X176" s="166"/>
      <c r="Y176" s="166"/>
    </row>
    <row r="177" ht="22.5" customHeight="1">
      <c r="A177" s="161" t="s">
        <v>474</v>
      </c>
      <c r="B177" s="162" t="s">
        <v>1572</v>
      </c>
      <c r="C177" s="161"/>
      <c r="D177" s="193"/>
      <c r="E177" s="193"/>
      <c r="F177" s="162"/>
      <c r="G177" s="142">
        <v>198.0</v>
      </c>
      <c r="H177" s="161"/>
      <c r="I177" s="161"/>
      <c r="J177" s="161"/>
      <c r="K177" s="161"/>
      <c r="L177" s="161" t="s">
        <v>1567</v>
      </c>
      <c r="M177" s="161" t="s">
        <v>408</v>
      </c>
      <c r="N177" s="142">
        <v>219.0</v>
      </c>
      <c r="O177" s="161" t="s">
        <v>459</v>
      </c>
      <c r="P177" s="161"/>
      <c r="S177" s="142"/>
      <c r="T177" s="142"/>
      <c r="V177" s="166"/>
      <c r="W177" s="166"/>
      <c r="X177" s="166"/>
      <c r="Y177" s="166"/>
    </row>
    <row r="178" ht="22.5" customHeight="1">
      <c r="A178" s="161" t="s">
        <v>474</v>
      </c>
      <c r="B178" s="162" t="s">
        <v>1572</v>
      </c>
      <c r="C178" s="161"/>
      <c r="D178" s="194"/>
      <c r="E178" s="194"/>
      <c r="F178" s="162"/>
      <c r="G178" s="142">
        <v>1427.0</v>
      </c>
      <c r="H178" s="161"/>
      <c r="I178" s="161"/>
      <c r="J178" s="161"/>
      <c r="K178" s="161"/>
      <c r="L178" s="161" t="s">
        <v>1567</v>
      </c>
      <c r="M178" s="161" t="s">
        <v>408</v>
      </c>
      <c r="N178" s="142">
        <v>219.0</v>
      </c>
      <c r="O178" s="161" t="s">
        <v>459</v>
      </c>
      <c r="P178" s="161"/>
      <c r="S178" s="142"/>
      <c r="T178" s="142"/>
      <c r="V178" s="166"/>
      <c r="W178" s="166"/>
      <c r="X178" s="166"/>
      <c r="Y178" s="166"/>
    </row>
    <row r="179" ht="22.5" customHeight="1">
      <c r="A179" s="161" t="s">
        <v>474</v>
      </c>
      <c r="B179" s="162" t="s">
        <v>1572</v>
      </c>
      <c r="C179" s="161"/>
      <c r="D179" s="193"/>
      <c r="E179" s="193"/>
      <c r="F179" s="162"/>
      <c r="G179" s="142">
        <v>2285.0</v>
      </c>
      <c r="H179" s="161"/>
      <c r="I179" s="161"/>
      <c r="J179" s="161"/>
      <c r="K179" s="161"/>
      <c r="L179" s="161" t="s">
        <v>1567</v>
      </c>
      <c r="M179" s="161" t="s">
        <v>408</v>
      </c>
      <c r="N179" s="142">
        <v>219.0</v>
      </c>
      <c r="O179" s="161" t="s">
        <v>459</v>
      </c>
      <c r="P179" s="161"/>
      <c r="S179" s="142"/>
      <c r="T179" s="142"/>
      <c r="V179" s="166"/>
      <c r="W179" s="166"/>
      <c r="X179" s="166"/>
      <c r="Y179" s="166"/>
    </row>
    <row r="180" ht="22.5" customHeight="1">
      <c r="A180" s="161" t="s">
        <v>474</v>
      </c>
      <c r="B180" s="162" t="s">
        <v>1572</v>
      </c>
      <c r="C180" s="161"/>
      <c r="D180" s="194"/>
      <c r="E180" s="194"/>
      <c r="F180" s="162"/>
      <c r="G180" s="142">
        <v>1432.0</v>
      </c>
      <c r="H180" s="161"/>
      <c r="I180" s="161"/>
      <c r="J180" s="161"/>
      <c r="K180" s="161"/>
      <c r="L180" s="161" t="s">
        <v>1567</v>
      </c>
      <c r="M180" s="161" t="s">
        <v>408</v>
      </c>
      <c r="N180" s="142">
        <v>219.0</v>
      </c>
      <c r="O180" s="161" t="s">
        <v>459</v>
      </c>
      <c r="P180" s="161"/>
      <c r="S180" s="142"/>
      <c r="T180" s="142"/>
      <c r="V180" s="166"/>
      <c r="W180" s="166"/>
      <c r="X180" s="166"/>
      <c r="Y180" s="166"/>
    </row>
    <row r="181" ht="22.5" customHeight="1">
      <c r="A181" s="161" t="s">
        <v>474</v>
      </c>
      <c r="B181" s="162" t="s">
        <v>1573</v>
      </c>
      <c r="C181" s="161"/>
      <c r="D181" s="193"/>
      <c r="E181" s="193"/>
      <c r="F181" s="162"/>
      <c r="G181" s="142">
        <v>120000.0</v>
      </c>
      <c r="H181" s="161"/>
      <c r="I181" s="161"/>
      <c r="J181" s="161"/>
      <c r="K181" s="161"/>
      <c r="L181" s="161" t="s">
        <v>1567</v>
      </c>
      <c r="M181" s="161" t="s">
        <v>408</v>
      </c>
      <c r="N181" s="142">
        <v>289.0</v>
      </c>
      <c r="O181" s="161" t="s">
        <v>487</v>
      </c>
      <c r="P181" s="161"/>
      <c r="S181" s="142"/>
      <c r="T181" s="142"/>
      <c r="V181" s="166"/>
      <c r="W181" s="166"/>
      <c r="X181" s="166"/>
      <c r="Y181" s="166"/>
    </row>
    <row r="182" ht="22.5" customHeight="1">
      <c r="A182" s="161" t="s">
        <v>474</v>
      </c>
      <c r="B182" s="162" t="s">
        <v>1574</v>
      </c>
      <c r="C182" s="161"/>
      <c r="D182" s="193"/>
      <c r="E182" s="193"/>
      <c r="F182" s="162"/>
      <c r="G182" s="142">
        <v>111968.78</v>
      </c>
      <c r="H182" s="161"/>
      <c r="I182" s="161"/>
      <c r="J182" s="161"/>
      <c r="K182" s="161"/>
      <c r="L182" s="161" t="s">
        <v>1575</v>
      </c>
      <c r="M182" s="161" t="s">
        <v>408</v>
      </c>
      <c r="N182" s="142">
        <v>223.0</v>
      </c>
      <c r="O182" s="161" t="s">
        <v>487</v>
      </c>
      <c r="P182" s="161"/>
      <c r="S182" s="142"/>
      <c r="T182" s="142"/>
      <c r="V182" s="166"/>
      <c r="W182" s="166"/>
      <c r="X182" s="166"/>
      <c r="Y182" s="166"/>
    </row>
    <row r="183" ht="22.5" customHeight="1">
      <c r="A183" s="161" t="s">
        <v>474</v>
      </c>
      <c r="B183" s="162" t="s">
        <v>1576</v>
      </c>
      <c r="C183" s="161"/>
      <c r="D183" s="194"/>
      <c r="E183" s="194"/>
      <c r="F183" s="162"/>
      <c r="G183" s="142">
        <v>800.0</v>
      </c>
      <c r="H183" s="161"/>
      <c r="I183" s="161"/>
      <c r="J183" s="161"/>
      <c r="K183" s="161"/>
      <c r="L183" s="161" t="s">
        <v>1544</v>
      </c>
      <c r="M183" s="161" t="s">
        <v>354</v>
      </c>
      <c r="N183" s="142">
        <v>228.0</v>
      </c>
      <c r="O183" s="161" t="s">
        <v>366</v>
      </c>
      <c r="P183" s="161"/>
      <c r="S183" s="142"/>
      <c r="T183" s="142"/>
      <c r="V183" s="166"/>
      <c r="W183" s="166"/>
      <c r="X183" s="166"/>
      <c r="Y183" s="166"/>
    </row>
    <row r="184" ht="22.5" customHeight="1">
      <c r="A184" s="161" t="s">
        <v>474</v>
      </c>
      <c r="B184" s="162" t="s">
        <v>1576</v>
      </c>
      <c r="C184" s="161"/>
      <c r="D184" s="193"/>
      <c r="E184" s="193"/>
      <c r="F184" s="162"/>
      <c r="G184" s="142">
        <v>800.0</v>
      </c>
      <c r="H184" s="161"/>
      <c r="I184" s="161"/>
      <c r="J184" s="161"/>
      <c r="K184" s="161"/>
      <c r="L184" s="161" t="s">
        <v>1544</v>
      </c>
      <c r="M184" s="161" t="s">
        <v>354</v>
      </c>
      <c r="N184" s="142">
        <v>228.0</v>
      </c>
      <c r="O184" s="161" t="s">
        <v>366</v>
      </c>
      <c r="P184" s="161"/>
      <c r="S184" s="142"/>
      <c r="T184" s="142"/>
      <c r="V184" s="166"/>
      <c r="W184" s="166"/>
      <c r="X184" s="166"/>
      <c r="Y184" s="166"/>
    </row>
    <row r="185" ht="22.5" customHeight="1">
      <c r="A185" s="161" t="s">
        <v>474</v>
      </c>
      <c r="B185" s="162" t="s">
        <v>1577</v>
      </c>
      <c r="C185" s="161"/>
      <c r="D185" s="194"/>
      <c r="E185" s="194"/>
      <c r="F185" s="162"/>
      <c r="G185" s="142">
        <v>15000.0</v>
      </c>
      <c r="H185" s="161"/>
      <c r="I185" s="161"/>
      <c r="J185" s="161"/>
      <c r="K185" s="161"/>
      <c r="L185" s="161" t="s">
        <v>1544</v>
      </c>
      <c r="M185" s="161" t="s">
        <v>354</v>
      </c>
      <c r="N185" s="142">
        <v>234.0</v>
      </c>
      <c r="O185" s="161" t="s">
        <v>437</v>
      </c>
      <c r="P185" s="161"/>
      <c r="S185" s="142"/>
      <c r="T185" s="142"/>
      <c r="V185" s="166"/>
      <c r="W185" s="166"/>
      <c r="X185" s="166"/>
      <c r="Y185" s="166"/>
    </row>
    <row r="186" ht="22.5" customHeight="1">
      <c r="A186" s="161" t="s">
        <v>528</v>
      </c>
      <c r="B186" s="162" t="s">
        <v>1288</v>
      </c>
      <c r="C186" s="27" t="s">
        <v>31</v>
      </c>
      <c r="D186" s="12" t="s">
        <v>54</v>
      </c>
      <c r="E186" s="167"/>
      <c r="F186" s="162"/>
      <c r="G186" s="144">
        <v>4666.666667</v>
      </c>
      <c r="H186" s="161"/>
      <c r="I186" s="161"/>
      <c r="J186" s="161"/>
      <c r="K186" s="161"/>
      <c r="L186" s="161" t="s">
        <v>1544</v>
      </c>
      <c r="M186" s="161" t="s">
        <v>354</v>
      </c>
      <c r="N186" s="142">
        <v>246.0</v>
      </c>
      <c r="O186" s="161" t="s">
        <v>493</v>
      </c>
      <c r="P186" s="161"/>
      <c r="S186" s="142"/>
      <c r="T186" s="142"/>
      <c r="V186" s="166"/>
      <c r="W186" s="166"/>
      <c r="X186" s="166"/>
      <c r="Y186" s="166"/>
    </row>
    <row r="187" ht="22.5" customHeight="1">
      <c r="A187" s="161" t="s">
        <v>528</v>
      </c>
      <c r="B187" s="162" t="s">
        <v>1288</v>
      </c>
      <c r="C187" s="27" t="s">
        <v>31</v>
      </c>
      <c r="D187" s="12" t="s">
        <v>98</v>
      </c>
      <c r="E187" s="167"/>
      <c r="F187" s="162"/>
      <c r="G187" s="144">
        <v>333.3333333</v>
      </c>
      <c r="H187" s="161"/>
      <c r="I187" s="161"/>
      <c r="J187" s="161"/>
      <c r="K187" s="161"/>
      <c r="L187" s="161" t="s">
        <v>1544</v>
      </c>
      <c r="M187" s="161"/>
      <c r="N187" s="142"/>
      <c r="O187" s="161"/>
      <c r="P187" s="161"/>
      <c r="S187" s="142"/>
      <c r="T187" s="142"/>
      <c r="V187" s="166"/>
      <c r="W187" s="166"/>
      <c r="X187" s="166"/>
      <c r="Y187" s="166"/>
    </row>
    <row r="188" ht="22.5" customHeight="1">
      <c r="A188" s="161" t="s">
        <v>528</v>
      </c>
      <c r="B188" s="162" t="s">
        <v>1288</v>
      </c>
      <c r="C188" s="27" t="s">
        <v>20</v>
      </c>
      <c r="D188" s="12" t="s">
        <v>21</v>
      </c>
      <c r="E188" s="167"/>
      <c r="F188" s="162"/>
      <c r="G188" s="144">
        <v>6333.333333</v>
      </c>
      <c r="H188" s="161"/>
      <c r="I188" s="161"/>
      <c r="J188" s="161"/>
      <c r="K188" s="161"/>
      <c r="L188" s="161" t="s">
        <v>1544</v>
      </c>
      <c r="M188" s="161"/>
      <c r="N188" s="142"/>
      <c r="O188" s="161"/>
      <c r="P188" s="161"/>
      <c r="S188" s="142"/>
      <c r="T188" s="142"/>
      <c r="V188" s="166"/>
      <c r="W188" s="166"/>
      <c r="X188" s="166"/>
      <c r="Y188" s="166"/>
    </row>
    <row r="189" ht="22.5" customHeight="1">
      <c r="A189" s="161" t="s">
        <v>528</v>
      </c>
      <c r="B189" s="162" t="s">
        <v>1288</v>
      </c>
      <c r="C189" s="27" t="s">
        <v>31</v>
      </c>
      <c r="D189" s="12" t="s">
        <v>187</v>
      </c>
      <c r="E189" s="167"/>
      <c r="F189" s="162"/>
      <c r="G189" s="144">
        <v>888.8888889</v>
      </c>
      <c r="H189" s="161"/>
      <c r="I189" s="161"/>
      <c r="J189" s="161"/>
      <c r="K189" s="161"/>
      <c r="L189" s="161" t="s">
        <v>1544</v>
      </c>
      <c r="M189" s="161"/>
      <c r="N189" s="142"/>
      <c r="O189" s="161"/>
      <c r="P189" s="161"/>
      <c r="S189" s="142"/>
      <c r="T189" s="142"/>
      <c r="V189" s="166"/>
      <c r="W189" s="166"/>
      <c r="X189" s="166"/>
      <c r="Y189" s="166"/>
    </row>
    <row r="190" ht="22.5" customHeight="1">
      <c r="A190" s="161" t="s">
        <v>528</v>
      </c>
      <c r="B190" s="162" t="s">
        <v>1288</v>
      </c>
      <c r="C190" s="27" t="s">
        <v>31</v>
      </c>
      <c r="D190" s="12" t="s">
        <v>38</v>
      </c>
      <c r="E190" s="167"/>
      <c r="F190" s="162"/>
      <c r="G190" s="144">
        <v>500.0</v>
      </c>
      <c r="H190" s="161"/>
      <c r="I190" s="161"/>
      <c r="J190" s="161"/>
      <c r="K190" s="161"/>
      <c r="L190" s="161" t="s">
        <v>1544</v>
      </c>
      <c r="M190" s="161"/>
      <c r="N190" s="142"/>
      <c r="O190" s="161"/>
      <c r="P190" s="161"/>
      <c r="S190" s="142"/>
      <c r="T190" s="142"/>
      <c r="V190" s="166"/>
      <c r="W190" s="166"/>
      <c r="X190" s="166"/>
      <c r="Y190" s="166"/>
    </row>
    <row r="191" ht="22.5" customHeight="1">
      <c r="A191" s="161" t="s">
        <v>528</v>
      </c>
      <c r="B191" s="162" t="s">
        <v>1288</v>
      </c>
      <c r="C191" s="27" t="s">
        <v>31</v>
      </c>
      <c r="D191" s="12" t="s">
        <v>47</v>
      </c>
      <c r="E191" s="167"/>
      <c r="F191" s="162"/>
      <c r="G191" s="144">
        <v>1777.777778</v>
      </c>
      <c r="H191" s="161"/>
      <c r="I191" s="161"/>
      <c r="J191" s="161"/>
      <c r="K191" s="161"/>
      <c r="L191" s="161" t="s">
        <v>1544</v>
      </c>
      <c r="M191" s="161"/>
      <c r="N191" s="142"/>
      <c r="O191" s="161"/>
      <c r="P191" s="161"/>
      <c r="S191" s="142"/>
      <c r="T191" s="142"/>
      <c r="V191" s="166"/>
      <c r="W191" s="166"/>
      <c r="X191" s="166"/>
      <c r="Y191" s="166"/>
    </row>
    <row r="192" ht="22.5" customHeight="1">
      <c r="A192" s="161" t="s">
        <v>528</v>
      </c>
      <c r="B192" s="162" t="s">
        <v>1288</v>
      </c>
      <c r="C192" s="27" t="s">
        <v>31</v>
      </c>
      <c r="D192" s="12" t="s">
        <v>113</v>
      </c>
      <c r="E192" s="167"/>
      <c r="F192" s="162"/>
      <c r="G192" s="144">
        <v>500.0</v>
      </c>
      <c r="H192" s="161"/>
      <c r="I192" s="161"/>
      <c r="J192" s="161"/>
      <c r="K192" s="161"/>
      <c r="L192" s="161" t="s">
        <v>1544</v>
      </c>
      <c r="M192" s="161"/>
      <c r="N192" s="142"/>
      <c r="O192" s="161"/>
      <c r="P192" s="161"/>
      <c r="S192" s="142"/>
      <c r="T192" s="142"/>
      <c r="V192" s="166"/>
      <c r="W192" s="166"/>
      <c r="X192" s="166"/>
      <c r="Y192" s="166"/>
    </row>
    <row r="193" ht="22.5" customHeight="1">
      <c r="A193" s="161" t="s">
        <v>474</v>
      </c>
      <c r="B193" s="162" t="s">
        <v>1507</v>
      </c>
      <c r="C193" s="161"/>
      <c r="D193" s="193"/>
      <c r="E193" s="193"/>
      <c r="F193" s="162"/>
      <c r="G193" s="142">
        <v>9350.0</v>
      </c>
      <c r="H193" s="161"/>
      <c r="I193" s="161"/>
      <c r="J193" s="161"/>
      <c r="K193" s="161"/>
      <c r="L193" s="161" t="s">
        <v>1544</v>
      </c>
      <c r="M193" s="161" t="s">
        <v>354</v>
      </c>
      <c r="N193" s="142">
        <v>234.0</v>
      </c>
      <c r="O193" s="161" t="s">
        <v>437</v>
      </c>
      <c r="P193" s="161"/>
      <c r="S193" s="142"/>
      <c r="T193" s="142"/>
      <c r="V193" s="166"/>
      <c r="W193" s="166"/>
      <c r="X193" s="166"/>
      <c r="Y193" s="166"/>
    </row>
    <row r="194" ht="22.5" customHeight="1">
      <c r="A194" s="161" t="s">
        <v>367</v>
      </c>
      <c r="B194" s="162" t="s">
        <v>1508</v>
      </c>
      <c r="C194" s="190" t="s">
        <v>31</v>
      </c>
      <c r="D194" s="190" t="s">
        <v>54</v>
      </c>
      <c r="E194" s="194"/>
      <c r="F194" s="162"/>
      <c r="G194" s="142">
        <f t="shared" ref="G194:G195" si="2">4346.25/2</f>
        <v>2173.125</v>
      </c>
      <c r="H194" s="161"/>
      <c r="I194" s="161"/>
      <c r="J194" s="161"/>
      <c r="K194" s="161"/>
      <c r="L194" s="161" t="s">
        <v>1544</v>
      </c>
      <c r="M194" s="161" t="s">
        <v>354</v>
      </c>
      <c r="N194" s="142">
        <v>231.0</v>
      </c>
      <c r="O194" s="161" t="s">
        <v>375</v>
      </c>
      <c r="P194" s="161"/>
      <c r="S194" s="142"/>
      <c r="T194" s="142"/>
      <c r="V194" s="166"/>
      <c r="W194" s="166"/>
      <c r="X194" s="166"/>
      <c r="Y194" s="166"/>
    </row>
    <row r="195" ht="22.5" customHeight="1">
      <c r="A195" s="161" t="s">
        <v>367</v>
      </c>
      <c r="B195" s="162" t="s">
        <v>1508</v>
      </c>
      <c r="C195" s="190" t="s">
        <v>66</v>
      </c>
      <c r="D195" s="190" t="s">
        <v>70</v>
      </c>
      <c r="E195" s="194"/>
      <c r="F195" s="162"/>
      <c r="G195" s="142">
        <f t="shared" si="2"/>
        <v>2173.125</v>
      </c>
      <c r="H195" s="161"/>
      <c r="I195" s="161"/>
      <c r="J195" s="161"/>
      <c r="K195" s="161"/>
      <c r="L195" s="161" t="s">
        <v>1544</v>
      </c>
      <c r="M195" s="161" t="s">
        <v>354</v>
      </c>
      <c r="N195" s="142">
        <v>231.0</v>
      </c>
      <c r="O195" s="161" t="s">
        <v>375</v>
      </c>
      <c r="P195" s="161"/>
      <c r="S195" s="142"/>
      <c r="T195" s="142"/>
      <c r="V195" s="166"/>
      <c r="W195" s="166"/>
      <c r="X195" s="166"/>
      <c r="Y195" s="166"/>
    </row>
    <row r="196" ht="22.5" customHeight="1">
      <c r="A196" s="161" t="s">
        <v>471</v>
      </c>
      <c r="B196" s="162" t="s">
        <v>1303</v>
      </c>
      <c r="C196" s="161"/>
      <c r="D196" s="193"/>
      <c r="E196" s="193"/>
      <c r="F196" s="162"/>
      <c r="G196" s="142">
        <v>758.62</v>
      </c>
      <c r="H196" s="161"/>
      <c r="I196" s="161"/>
      <c r="J196" s="161"/>
      <c r="K196" s="161"/>
      <c r="L196" s="161" t="s">
        <v>1544</v>
      </c>
      <c r="M196" s="161" t="s">
        <v>354</v>
      </c>
      <c r="N196" s="142">
        <v>231.0</v>
      </c>
      <c r="O196" s="161" t="s">
        <v>375</v>
      </c>
      <c r="P196" s="161"/>
      <c r="S196" s="142"/>
      <c r="T196" s="142"/>
      <c r="V196" s="166"/>
      <c r="W196" s="166"/>
      <c r="X196" s="166"/>
      <c r="Y196" s="166"/>
    </row>
    <row r="197" ht="22.5" customHeight="1">
      <c r="A197" s="161" t="s">
        <v>471</v>
      </c>
      <c r="B197" s="162" t="s">
        <v>1303</v>
      </c>
      <c r="C197" s="161"/>
      <c r="D197" s="194"/>
      <c r="E197" s="194"/>
      <c r="F197" s="162"/>
      <c r="G197" s="142">
        <v>758.62</v>
      </c>
      <c r="H197" s="161"/>
      <c r="I197" s="161"/>
      <c r="J197" s="161"/>
      <c r="K197" s="161"/>
      <c r="L197" s="161" t="s">
        <v>1544</v>
      </c>
      <c r="M197" s="161" t="s">
        <v>354</v>
      </c>
      <c r="N197" s="142">
        <v>231.0</v>
      </c>
      <c r="O197" s="161" t="s">
        <v>375</v>
      </c>
      <c r="P197" s="161"/>
      <c r="S197" s="142"/>
      <c r="T197" s="142"/>
      <c r="V197" s="166"/>
      <c r="W197" s="166"/>
      <c r="X197" s="166"/>
      <c r="Y197" s="166"/>
    </row>
    <row r="198" ht="22.5" customHeight="1">
      <c r="A198" s="161" t="s">
        <v>455</v>
      </c>
      <c r="B198" s="162" t="s">
        <v>1509</v>
      </c>
      <c r="C198" s="161" t="s">
        <v>457</v>
      </c>
      <c r="D198" s="194"/>
      <c r="E198" s="194"/>
      <c r="F198" s="162"/>
      <c r="G198" s="142">
        <v>7500.0</v>
      </c>
      <c r="H198" s="161"/>
      <c r="I198" s="161"/>
      <c r="J198" s="161"/>
      <c r="K198" s="161"/>
      <c r="L198" s="161" t="s">
        <v>1544</v>
      </c>
      <c r="M198" s="161" t="s">
        <v>354</v>
      </c>
      <c r="N198" s="142">
        <v>234.0</v>
      </c>
      <c r="O198" s="161" t="s">
        <v>437</v>
      </c>
      <c r="P198" s="161"/>
      <c r="S198" s="142"/>
      <c r="T198" s="142"/>
      <c r="V198" s="166"/>
      <c r="W198" s="166"/>
      <c r="X198" s="166"/>
      <c r="Y198" s="166"/>
    </row>
    <row r="199" ht="22.5" customHeight="1">
      <c r="A199" s="161" t="s">
        <v>437</v>
      </c>
      <c r="B199" s="162" t="s">
        <v>1383</v>
      </c>
      <c r="C199" s="161" t="s">
        <v>20</v>
      </c>
      <c r="D199" s="170" t="s">
        <v>21</v>
      </c>
      <c r="E199" s="193"/>
      <c r="F199" s="162"/>
      <c r="G199" s="142">
        <v>5500.0</v>
      </c>
      <c r="H199" s="161"/>
      <c r="I199" s="161"/>
      <c r="J199" s="161"/>
      <c r="K199" s="161"/>
      <c r="L199" s="161" t="s">
        <v>1544</v>
      </c>
      <c r="M199" s="161" t="s">
        <v>354</v>
      </c>
      <c r="N199" s="142">
        <v>234.0</v>
      </c>
      <c r="O199" s="161" t="s">
        <v>437</v>
      </c>
      <c r="P199" s="161"/>
      <c r="S199" s="142"/>
      <c r="T199" s="142"/>
      <c r="V199" s="166"/>
      <c r="W199" s="166"/>
      <c r="X199" s="166"/>
      <c r="Y199" s="166"/>
    </row>
    <row r="200" ht="22.5" customHeight="1">
      <c r="A200" s="161" t="s">
        <v>437</v>
      </c>
      <c r="B200" s="162" t="s">
        <v>1383</v>
      </c>
      <c r="C200" s="161" t="s">
        <v>20</v>
      </c>
      <c r="D200" s="170" t="s">
        <v>21</v>
      </c>
      <c r="E200" s="194"/>
      <c r="F200" s="162"/>
      <c r="G200" s="142">
        <v>13500.0</v>
      </c>
      <c r="H200" s="161"/>
      <c r="I200" s="161"/>
      <c r="J200" s="161"/>
      <c r="K200" s="161"/>
      <c r="L200" s="161" t="s">
        <v>1544</v>
      </c>
      <c r="M200" s="161" t="s">
        <v>354</v>
      </c>
      <c r="N200" s="142">
        <v>234.0</v>
      </c>
      <c r="O200" s="161" t="s">
        <v>437</v>
      </c>
      <c r="P200" s="161"/>
      <c r="S200" s="142"/>
      <c r="T200" s="142"/>
      <c r="V200" s="166"/>
      <c r="W200" s="166"/>
      <c r="X200" s="166"/>
      <c r="Y200" s="166"/>
    </row>
    <row r="201" ht="22.5" customHeight="1">
      <c r="A201" s="161" t="s">
        <v>455</v>
      </c>
      <c r="B201" s="162" t="s">
        <v>1510</v>
      </c>
      <c r="C201" s="161" t="s">
        <v>457</v>
      </c>
      <c r="D201" s="193"/>
      <c r="E201" s="193"/>
      <c r="F201" s="162"/>
      <c r="G201" s="142">
        <v>2600.0</v>
      </c>
      <c r="H201" s="161"/>
      <c r="I201" s="161"/>
      <c r="J201" s="161"/>
      <c r="K201" s="161"/>
      <c r="L201" s="161" t="s">
        <v>1544</v>
      </c>
      <c r="M201" s="161" t="s">
        <v>354</v>
      </c>
      <c r="N201" s="142">
        <v>234.0</v>
      </c>
      <c r="O201" s="161" t="s">
        <v>437</v>
      </c>
      <c r="P201" s="161"/>
      <c r="S201" s="142"/>
      <c r="T201" s="142"/>
      <c r="V201" s="166"/>
      <c r="W201" s="166"/>
      <c r="X201" s="166"/>
      <c r="Y201" s="166"/>
    </row>
    <row r="202" ht="22.5" customHeight="1">
      <c r="A202" s="161" t="s">
        <v>455</v>
      </c>
      <c r="B202" s="162" t="s">
        <v>1578</v>
      </c>
      <c r="C202" s="161" t="s">
        <v>457</v>
      </c>
      <c r="D202" s="193"/>
      <c r="E202" s="193"/>
      <c r="F202" s="162"/>
      <c r="G202" s="142">
        <v>17000.0</v>
      </c>
      <c r="H202" s="161"/>
      <c r="I202" s="161"/>
      <c r="J202" s="161"/>
      <c r="K202" s="161"/>
      <c r="L202" s="161" t="s">
        <v>1544</v>
      </c>
      <c r="M202" s="161" t="s">
        <v>354</v>
      </c>
      <c r="N202" s="142">
        <v>230.0</v>
      </c>
      <c r="O202" s="161" t="s">
        <v>395</v>
      </c>
      <c r="P202" s="161"/>
      <c r="S202" s="142"/>
      <c r="T202" s="142"/>
      <c r="V202" s="166"/>
      <c r="W202" s="166"/>
      <c r="X202" s="166"/>
      <c r="Y202" s="166"/>
    </row>
    <row r="203" ht="22.5" customHeight="1">
      <c r="A203" s="161" t="s">
        <v>471</v>
      </c>
      <c r="B203" s="162" t="s">
        <v>1313</v>
      </c>
      <c r="C203" s="161"/>
      <c r="D203" s="194"/>
      <c r="E203" s="194"/>
      <c r="F203" s="162"/>
      <c r="G203" s="142">
        <v>62546.81</v>
      </c>
      <c r="H203" s="161"/>
      <c r="I203" s="161"/>
      <c r="J203" s="161"/>
      <c r="K203" s="161"/>
      <c r="L203" s="161" t="s">
        <v>1544</v>
      </c>
      <c r="M203" s="161" t="s">
        <v>354</v>
      </c>
      <c r="N203" s="142">
        <v>221.0</v>
      </c>
      <c r="O203" s="161" t="s">
        <v>393</v>
      </c>
      <c r="P203" s="161"/>
      <c r="S203" s="142"/>
      <c r="T203" s="142"/>
      <c r="V203" s="166"/>
      <c r="W203" s="166"/>
      <c r="X203" s="166"/>
      <c r="Y203" s="166"/>
    </row>
    <row r="204" ht="22.5" customHeight="1">
      <c r="A204" s="161" t="s">
        <v>455</v>
      </c>
      <c r="B204" s="162" t="s">
        <v>1579</v>
      </c>
      <c r="C204" s="161" t="s">
        <v>457</v>
      </c>
      <c r="D204" s="194"/>
      <c r="E204" s="194"/>
      <c r="F204" s="162"/>
      <c r="G204" s="142">
        <v>8500.0</v>
      </c>
      <c r="H204" s="161"/>
      <c r="I204" s="161"/>
      <c r="J204" s="161"/>
      <c r="K204" s="161"/>
      <c r="L204" s="161" t="s">
        <v>1544</v>
      </c>
      <c r="M204" s="161" t="s">
        <v>354</v>
      </c>
      <c r="N204" s="142">
        <v>230.0</v>
      </c>
      <c r="O204" s="161" t="s">
        <v>395</v>
      </c>
      <c r="P204" s="161"/>
      <c r="S204" s="142"/>
      <c r="T204" s="142"/>
      <c r="V204" s="166"/>
      <c r="W204" s="166"/>
      <c r="X204" s="166"/>
      <c r="Y204" s="166"/>
    </row>
    <row r="205" ht="22.5" customHeight="1">
      <c r="A205" s="161" t="s">
        <v>455</v>
      </c>
      <c r="B205" s="162" t="s">
        <v>1579</v>
      </c>
      <c r="C205" s="161" t="s">
        <v>457</v>
      </c>
      <c r="D205" s="193"/>
      <c r="E205" s="193"/>
      <c r="F205" s="162"/>
      <c r="G205" s="142">
        <v>11000.0</v>
      </c>
      <c r="H205" s="161"/>
      <c r="I205" s="161"/>
      <c r="J205" s="161"/>
      <c r="K205" s="161"/>
      <c r="L205" s="161" t="s">
        <v>1544</v>
      </c>
      <c r="M205" s="161" t="s">
        <v>354</v>
      </c>
      <c r="N205" s="142">
        <v>230.0</v>
      </c>
      <c r="O205" s="161" t="s">
        <v>395</v>
      </c>
      <c r="P205" s="161"/>
      <c r="S205" s="142"/>
      <c r="T205" s="142"/>
      <c r="V205" s="166"/>
      <c r="W205" s="166"/>
      <c r="X205" s="166"/>
      <c r="Y205" s="166"/>
    </row>
    <row r="206" ht="22.5" customHeight="1">
      <c r="A206" s="161" t="s">
        <v>455</v>
      </c>
      <c r="B206" s="162" t="s">
        <v>1579</v>
      </c>
      <c r="C206" s="161" t="s">
        <v>457</v>
      </c>
      <c r="D206" s="194"/>
      <c r="E206" s="194"/>
      <c r="F206" s="162"/>
      <c r="G206" s="142">
        <v>12000.0</v>
      </c>
      <c r="H206" s="161"/>
      <c r="I206" s="161"/>
      <c r="J206" s="161"/>
      <c r="K206" s="161"/>
      <c r="L206" s="161" t="s">
        <v>1544</v>
      </c>
      <c r="M206" s="161" t="s">
        <v>354</v>
      </c>
      <c r="N206" s="142">
        <v>230.0</v>
      </c>
      <c r="O206" s="161" t="s">
        <v>395</v>
      </c>
      <c r="P206" s="161"/>
      <c r="S206" s="142"/>
      <c r="T206" s="142"/>
      <c r="V206" s="166"/>
      <c r="W206" s="166"/>
      <c r="X206" s="166"/>
      <c r="Y206" s="166"/>
    </row>
    <row r="207" ht="22.5" customHeight="1">
      <c r="A207" s="161" t="s">
        <v>455</v>
      </c>
      <c r="B207" s="162" t="s">
        <v>1579</v>
      </c>
      <c r="C207" s="161" t="s">
        <v>457</v>
      </c>
      <c r="D207" s="193"/>
      <c r="E207" s="193"/>
      <c r="F207" s="162"/>
      <c r="G207" s="142">
        <v>18000.0</v>
      </c>
      <c r="H207" s="161"/>
      <c r="I207" s="161"/>
      <c r="J207" s="161"/>
      <c r="K207" s="161"/>
      <c r="L207" s="161" t="s">
        <v>1544</v>
      </c>
      <c r="M207" s="161" t="s">
        <v>354</v>
      </c>
      <c r="N207" s="142">
        <v>230.0</v>
      </c>
      <c r="O207" s="161" t="s">
        <v>395</v>
      </c>
      <c r="P207" s="161"/>
      <c r="S207" s="142"/>
      <c r="T207" s="142"/>
      <c r="V207" s="166"/>
      <c r="W207" s="166"/>
      <c r="X207" s="166"/>
      <c r="Y207" s="166"/>
    </row>
    <row r="208" ht="22.5" customHeight="1">
      <c r="A208" s="161" t="s">
        <v>455</v>
      </c>
      <c r="B208" s="162" t="s">
        <v>1579</v>
      </c>
      <c r="C208" s="161" t="s">
        <v>457</v>
      </c>
      <c r="D208" s="194"/>
      <c r="E208" s="194"/>
      <c r="F208" s="162"/>
      <c r="G208" s="142">
        <v>34000.0</v>
      </c>
      <c r="H208" s="161"/>
      <c r="I208" s="161"/>
      <c r="J208" s="161"/>
      <c r="K208" s="161"/>
      <c r="L208" s="161" t="s">
        <v>1544</v>
      </c>
      <c r="M208" s="161" t="s">
        <v>354</v>
      </c>
      <c r="N208" s="142">
        <v>230.0</v>
      </c>
      <c r="O208" s="161" t="s">
        <v>395</v>
      </c>
      <c r="P208" s="161"/>
      <c r="S208" s="142"/>
      <c r="T208" s="142"/>
      <c r="V208" s="166"/>
      <c r="W208" s="166"/>
      <c r="X208" s="166"/>
      <c r="Y208" s="166"/>
    </row>
    <row r="209" ht="22.5" customHeight="1">
      <c r="A209" s="161" t="s">
        <v>455</v>
      </c>
      <c r="B209" s="162" t="s">
        <v>1579</v>
      </c>
      <c r="C209" s="161" t="s">
        <v>457</v>
      </c>
      <c r="D209" s="193"/>
      <c r="E209" s="193"/>
      <c r="F209" s="162"/>
      <c r="G209" s="142">
        <v>68000.0</v>
      </c>
      <c r="H209" s="161"/>
      <c r="I209" s="161"/>
      <c r="J209" s="161"/>
      <c r="K209" s="161"/>
      <c r="L209" s="161" t="s">
        <v>1544</v>
      </c>
      <c r="M209" s="161" t="s">
        <v>354</v>
      </c>
      <c r="N209" s="142">
        <v>230.0</v>
      </c>
      <c r="O209" s="161" t="s">
        <v>395</v>
      </c>
      <c r="P209" s="161"/>
      <c r="S209" s="142"/>
      <c r="T209" s="142"/>
      <c r="V209" s="166"/>
      <c r="W209" s="166"/>
      <c r="X209" s="166"/>
      <c r="Y209" s="166"/>
    </row>
    <row r="210" ht="22.5" customHeight="1">
      <c r="A210" s="161" t="s">
        <v>437</v>
      </c>
      <c r="B210" s="162" t="s">
        <v>1385</v>
      </c>
      <c r="C210" s="161" t="s">
        <v>20</v>
      </c>
      <c r="D210" s="170" t="s">
        <v>21</v>
      </c>
      <c r="E210" s="194"/>
      <c r="F210" s="162"/>
      <c r="G210" s="142">
        <v>17000.0</v>
      </c>
      <c r="H210" s="161"/>
      <c r="I210" s="161"/>
      <c r="J210" s="161"/>
      <c r="K210" s="161"/>
      <c r="L210" s="161" t="s">
        <v>1544</v>
      </c>
      <c r="M210" s="161" t="s">
        <v>354</v>
      </c>
      <c r="N210" s="142">
        <v>234.0</v>
      </c>
      <c r="O210" s="161" t="s">
        <v>437</v>
      </c>
      <c r="P210" s="161"/>
      <c r="S210" s="142"/>
      <c r="T210" s="142"/>
      <c r="V210" s="166"/>
      <c r="W210" s="166"/>
      <c r="X210" s="166"/>
      <c r="Y210" s="166"/>
    </row>
    <row r="211" ht="22.5" customHeight="1">
      <c r="A211" s="161" t="s">
        <v>437</v>
      </c>
      <c r="B211" s="162" t="s">
        <v>1385</v>
      </c>
      <c r="C211" s="161" t="s">
        <v>20</v>
      </c>
      <c r="D211" s="170" t="s">
        <v>21</v>
      </c>
      <c r="E211" s="193"/>
      <c r="F211" s="162"/>
      <c r="G211" s="142">
        <v>24500.0</v>
      </c>
      <c r="H211" s="161"/>
      <c r="I211" s="161"/>
      <c r="J211" s="161"/>
      <c r="K211" s="161"/>
      <c r="L211" s="161" t="s">
        <v>1544</v>
      </c>
      <c r="M211" s="161" t="s">
        <v>354</v>
      </c>
      <c r="N211" s="142">
        <v>234.0</v>
      </c>
      <c r="O211" s="161" t="s">
        <v>437</v>
      </c>
      <c r="P211" s="161"/>
      <c r="S211" s="142"/>
      <c r="T211" s="142"/>
      <c r="V211" s="166"/>
      <c r="W211" s="166"/>
      <c r="X211" s="166"/>
      <c r="Y211" s="166"/>
    </row>
    <row r="212" ht="22.5" customHeight="1">
      <c r="A212" s="161" t="s">
        <v>437</v>
      </c>
      <c r="B212" s="162" t="s">
        <v>1385</v>
      </c>
      <c r="C212" s="161" t="s">
        <v>20</v>
      </c>
      <c r="D212" s="170" t="s">
        <v>21</v>
      </c>
      <c r="E212" s="194"/>
      <c r="F212" s="162"/>
      <c r="G212" s="142">
        <v>24500.0</v>
      </c>
      <c r="H212" s="161"/>
      <c r="I212" s="161"/>
      <c r="J212" s="161"/>
      <c r="K212" s="161"/>
      <c r="L212" s="161" t="s">
        <v>1544</v>
      </c>
      <c r="M212" s="161" t="s">
        <v>354</v>
      </c>
      <c r="N212" s="142">
        <v>234.0</v>
      </c>
      <c r="O212" s="161" t="s">
        <v>437</v>
      </c>
      <c r="P212" s="161"/>
      <c r="S212" s="142"/>
      <c r="T212" s="142"/>
      <c r="V212" s="166"/>
      <c r="W212" s="166"/>
      <c r="X212" s="166"/>
      <c r="Y212" s="166"/>
    </row>
    <row r="213" ht="22.5" customHeight="1">
      <c r="A213" s="161" t="s">
        <v>437</v>
      </c>
      <c r="B213" s="162" t="s">
        <v>1385</v>
      </c>
      <c r="C213" s="161" t="s">
        <v>20</v>
      </c>
      <c r="D213" s="170" t="s">
        <v>21</v>
      </c>
      <c r="E213" s="193"/>
      <c r="F213" s="162"/>
      <c r="G213" s="142">
        <v>28000.0</v>
      </c>
      <c r="H213" s="161"/>
      <c r="I213" s="161"/>
      <c r="J213" s="161"/>
      <c r="K213" s="161"/>
      <c r="L213" s="161" t="s">
        <v>1544</v>
      </c>
      <c r="M213" s="161" t="s">
        <v>354</v>
      </c>
      <c r="N213" s="142">
        <v>234.0</v>
      </c>
      <c r="O213" s="161" t="s">
        <v>437</v>
      </c>
      <c r="P213" s="161"/>
      <c r="S213" s="142"/>
      <c r="T213" s="142"/>
      <c r="V213" s="166"/>
      <c r="W213" s="166"/>
      <c r="X213" s="166"/>
      <c r="Y213" s="166"/>
    </row>
    <row r="214" ht="22.5" customHeight="1">
      <c r="A214" s="161" t="s">
        <v>474</v>
      </c>
      <c r="B214" s="162" t="s">
        <v>1580</v>
      </c>
      <c r="C214" s="161"/>
      <c r="D214" s="194"/>
      <c r="E214" s="194"/>
      <c r="F214" s="162"/>
      <c r="G214" s="142">
        <v>450.0</v>
      </c>
      <c r="H214" s="161"/>
      <c r="I214" s="161"/>
      <c r="J214" s="161"/>
      <c r="K214" s="161"/>
      <c r="L214" s="161" t="s">
        <v>1544</v>
      </c>
      <c r="M214" s="161" t="s">
        <v>354</v>
      </c>
      <c r="N214" s="142">
        <v>241.0</v>
      </c>
      <c r="O214" s="161" t="s">
        <v>475</v>
      </c>
      <c r="P214" s="161"/>
      <c r="S214" s="142"/>
      <c r="T214" s="142"/>
      <c r="V214" s="166"/>
      <c r="W214" s="166"/>
      <c r="X214" s="166"/>
      <c r="Y214" s="166"/>
    </row>
    <row r="215" ht="22.5" customHeight="1">
      <c r="A215" s="161" t="s">
        <v>474</v>
      </c>
      <c r="B215" s="162" t="s">
        <v>1580</v>
      </c>
      <c r="C215" s="161"/>
      <c r="D215" s="193"/>
      <c r="E215" s="193"/>
      <c r="F215" s="162"/>
      <c r="G215" s="142">
        <v>120000.0</v>
      </c>
      <c r="H215" s="161"/>
      <c r="I215" s="161"/>
      <c r="J215" s="161"/>
      <c r="K215" s="161"/>
      <c r="L215" s="161" t="s">
        <v>1544</v>
      </c>
      <c r="M215" s="161" t="s">
        <v>354</v>
      </c>
      <c r="N215" s="142">
        <v>241.0</v>
      </c>
      <c r="O215" s="161" t="s">
        <v>475</v>
      </c>
      <c r="P215" s="161"/>
      <c r="S215" s="142"/>
      <c r="T215" s="142"/>
      <c r="V215" s="166"/>
      <c r="W215" s="166"/>
      <c r="X215" s="166"/>
      <c r="Y215" s="166"/>
    </row>
    <row r="216" ht="22.5" customHeight="1">
      <c r="A216" s="161" t="s">
        <v>474</v>
      </c>
      <c r="B216" s="162" t="s">
        <v>1512</v>
      </c>
      <c r="C216" s="161"/>
      <c r="D216" s="194"/>
      <c r="E216" s="194"/>
      <c r="F216" s="162"/>
      <c r="G216" s="142">
        <v>3200.0</v>
      </c>
      <c r="H216" s="161"/>
      <c r="I216" s="161"/>
      <c r="J216" s="161"/>
      <c r="K216" s="161"/>
      <c r="L216" s="161" t="s">
        <v>1544</v>
      </c>
      <c r="M216" s="161" t="s">
        <v>354</v>
      </c>
      <c r="N216" s="142">
        <v>234.0</v>
      </c>
      <c r="O216" s="161" t="s">
        <v>437</v>
      </c>
      <c r="P216" s="161"/>
      <c r="S216" s="142"/>
      <c r="T216" s="142"/>
      <c r="V216" s="166"/>
      <c r="W216" s="166"/>
      <c r="X216" s="166"/>
      <c r="Y216" s="166"/>
    </row>
    <row r="217" ht="22.5" customHeight="1">
      <c r="A217" s="161" t="s">
        <v>474</v>
      </c>
      <c r="B217" s="162" t="s">
        <v>1513</v>
      </c>
      <c r="C217" s="161"/>
      <c r="D217" s="193"/>
      <c r="E217" s="193"/>
      <c r="F217" s="162"/>
      <c r="G217" s="142">
        <v>66000.0</v>
      </c>
      <c r="H217" s="161"/>
      <c r="I217" s="161"/>
      <c r="J217" s="161"/>
      <c r="K217" s="161"/>
      <c r="L217" s="161" t="s">
        <v>1544</v>
      </c>
      <c r="M217" s="161" t="s">
        <v>354</v>
      </c>
      <c r="N217" s="142">
        <v>234.0</v>
      </c>
      <c r="O217" s="161" t="s">
        <v>437</v>
      </c>
      <c r="P217" s="161"/>
      <c r="S217" s="142"/>
      <c r="T217" s="142"/>
      <c r="V217" s="166"/>
      <c r="W217" s="166"/>
      <c r="X217" s="166"/>
      <c r="Y217" s="166"/>
    </row>
    <row r="218" ht="22.5" customHeight="1">
      <c r="A218" s="161" t="s">
        <v>18</v>
      </c>
      <c r="B218" s="162" t="s">
        <v>1221</v>
      </c>
      <c r="C218" s="161"/>
      <c r="D218" s="193"/>
      <c r="E218" s="193"/>
      <c r="F218" s="162"/>
      <c r="G218" s="142">
        <v>2100.0</v>
      </c>
      <c r="H218" s="161"/>
      <c r="I218" s="161"/>
      <c r="J218" s="161"/>
      <c r="K218" s="161"/>
      <c r="L218" s="161" t="s">
        <v>1544</v>
      </c>
      <c r="M218" s="161" t="s">
        <v>354</v>
      </c>
      <c r="N218" s="142">
        <v>243.0</v>
      </c>
      <c r="O218" s="161" t="s">
        <v>397</v>
      </c>
      <c r="P218" s="161"/>
      <c r="S218" s="142"/>
      <c r="T218" s="142"/>
      <c r="V218" s="166"/>
      <c r="W218" s="166"/>
      <c r="X218" s="166"/>
      <c r="Y218" s="166"/>
    </row>
    <row r="219" ht="22.5" customHeight="1">
      <c r="A219" s="161" t="s">
        <v>18</v>
      </c>
      <c r="B219" s="162" t="s">
        <v>1221</v>
      </c>
      <c r="C219" s="161"/>
      <c r="D219" s="194"/>
      <c r="E219" s="194"/>
      <c r="F219" s="162"/>
      <c r="G219" s="142">
        <v>3438.12</v>
      </c>
      <c r="H219" s="161"/>
      <c r="I219" s="161"/>
      <c r="J219" s="161"/>
      <c r="K219" s="161"/>
      <c r="L219" s="161" t="s">
        <v>1544</v>
      </c>
      <c r="M219" s="161" t="s">
        <v>354</v>
      </c>
      <c r="N219" s="142">
        <v>243.0</v>
      </c>
      <c r="O219" s="161" t="s">
        <v>397</v>
      </c>
      <c r="P219" s="161"/>
      <c r="S219" s="142"/>
      <c r="T219" s="142"/>
      <c r="V219" s="166"/>
      <c r="W219" s="166"/>
      <c r="X219" s="166"/>
      <c r="Y219" s="166"/>
    </row>
    <row r="220" ht="22.5" customHeight="1">
      <c r="A220" s="161" t="s">
        <v>18</v>
      </c>
      <c r="B220" s="162" t="s">
        <v>1221</v>
      </c>
      <c r="C220" s="161"/>
      <c r="D220" s="193"/>
      <c r="E220" s="193"/>
      <c r="F220" s="162"/>
      <c r="G220" s="142">
        <v>7542.54</v>
      </c>
      <c r="H220" s="161"/>
      <c r="I220" s="161"/>
      <c r="J220" s="161"/>
      <c r="K220" s="161"/>
      <c r="L220" s="161" t="s">
        <v>1544</v>
      </c>
      <c r="M220" s="161" t="s">
        <v>354</v>
      </c>
      <c r="N220" s="142">
        <v>243.0</v>
      </c>
      <c r="O220" s="161" t="s">
        <v>397</v>
      </c>
      <c r="P220" s="161"/>
      <c r="S220" s="142"/>
      <c r="T220" s="142"/>
      <c r="V220" s="166"/>
      <c r="W220" s="166"/>
      <c r="X220" s="166"/>
      <c r="Y220" s="166"/>
    </row>
    <row r="221" ht="22.5" customHeight="1">
      <c r="A221" s="161" t="s">
        <v>437</v>
      </c>
      <c r="B221" s="162" t="s">
        <v>1388</v>
      </c>
      <c r="C221" s="161" t="s">
        <v>20</v>
      </c>
      <c r="D221" s="170" t="s">
        <v>21</v>
      </c>
      <c r="E221" s="194"/>
      <c r="F221" s="162"/>
      <c r="G221" s="142">
        <v>2000.0</v>
      </c>
      <c r="H221" s="161"/>
      <c r="I221" s="161"/>
      <c r="J221" s="161"/>
      <c r="K221" s="161"/>
      <c r="L221" s="161" t="s">
        <v>1544</v>
      </c>
      <c r="M221" s="161" t="s">
        <v>354</v>
      </c>
      <c r="N221" s="142">
        <v>234.0</v>
      </c>
      <c r="O221" s="161" t="s">
        <v>437</v>
      </c>
      <c r="P221" s="161"/>
      <c r="S221" s="142"/>
      <c r="T221" s="142"/>
      <c r="V221" s="166"/>
      <c r="W221" s="166"/>
      <c r="X221" s="166"/>
      <c r="Y221" s="166"/>
    </row>
    <row r="222" ht="22.5" customHeight="1">
      <c r="A222" s="161" t="s">
        <v>437</v>
      </c>
      <c r="B222" s="162" t="s">
        <v>1388</v>
      </c>
      <c r="C222" s="161" t="s">
        <v>20</v>
      </c>
      <c r="D222" s="170" t="s">
        <v>21</v>
      </c>
      <c r="E222" s="193"/>
      <c r="F222" s="162"/>
      <c r="G222" s="142">
        <v>2000.0</v>
      </c>
      <c r="H222" s="161"/>
      <c r="I222" s="161"/>
      <c r="J222" s="161"/>
      <c r="K222" s="161"/>
      <c r="L222" s="161" t="s">
        <v>1544</v>
      </c>
      <c r="M222" s="161" t="s">
        <v>354</v>
      </c>
      <c r="N222" s="142">
        <v>234.0</v>
      </c>
      <c r="O222" s="161" t="s">
        <v>437</v>
      </c>
      <c r="P222" s="161"/>
      <c r="S222" s="142"/>
      <c r="T222" s="142"/>
      <c r="V222" s="166"/>
      <c r="W222" s="166"/>
      <c r="X222" s="166"/>
      <c r="Y222" s="166"/>
    </row>
    <row r="223" ht="22.5" customHeight="1">
      <c r="A223" s="161" t="s">
        <v>437</v>
      </c>
      <c r="B223" s="162" t="s">
        <v>1388</v>
      </c>
      <c r="C223" s="161" t="s">
        <v>20</v>
      </c>
      <c r="D223" s="170" t="s">
        <v>21</v>
      </c>
      <c r="E223" s="194"/>
      <c r="F223" s="162"/>
      <c r="G223" s="142">
        <v>6000.0</v>
      </c>
      <c r="H223" s="161"/>
      <c r="I223" s="161"/>
      <c r="J223" s="161"/>
      <c r="K223" s="161"/>
      <c r="L223" s="161" t="s">
        <v>1544</v>
      </c>
      <c r="M223" s="161" t="s">
        <v>354</v>
      </c>
      <c r="N223" s="142">
        <v>234.0</v>
      </c>
      <c r="O223" s="161" t="s">
        <v>437</v>
      </c>
      <c r="P223" s="161"/>
      <c r="S223" s="142"/>
      <c r="T223" s="142"/>
      <c r="V223" s="166"/>
      <c r="W223" s="166"/>
      <c r="X223" s="166"/>
      <c r="Y223" s="166"/>
    </row>
    <row r="224" ht="22.5" customHeight="1">
      <c r="A224" s="161" t="s">
        <v>437</v>
      </c>
      <c r="B224" s="162" t="s">
        <v>1388</v>
      </c>
      <c r="C224" s="161" t="s">
        <v>20</v>
      </c>
      <c r="D224" s="170" t="s">
        <v>21</v>
      </c>
      <c r="E224" s="193"/>
      <c r="F224" s="162"/>
      <c r="G224" s="142">
        <v>6500.0</v>
      </c>
      <c r="H224" s="161"/>
      <c r="I224" s="161"/>
      <c r="J224" s="161"/>
      <c r="K224" s="161"/>
      <c r="L224" s="161" t="s">
        <v>1544</v>
      </c>
      <c r="M224" s="161" t="s">
        <v>354</v>
      </c>
      <c r="N224" s="142">
        <v>234.0</v>
      </c>
      <c r="O224" s="161" t="s">
        <v>437</v>
      </c>
      <c r="P224" s="161"/>
      <c r="S224" s="142"/>
      <c r="T224" s="142"/>
      <c r="V224" s="166"/>
      <c r="W224" s="166"/>
      <c r="X224" s="166"/>
      <c r="Y224" s="166"/>
    </row>
    <row r="225" ht="22.5" customHeight="1">
      <c r="A225" s="161" t="s">
        <v>437</v>
      </c>
      <c r="B225" s="162" t="s">
        <v>1388</v>
      </c>
      <c r="C225" s="161" t="s">
        <v>20</v>
      </c>
      <c r="D225" s="170" t="s">
        <v>21</v>
      </c>
      <c r="E225" s="194"/>
      <c r="F225" s="162"/>
      <c r="G225" s="142">
        <v>12650.0</v>
      </c>
      <c r="H225" s="161"/>
      <c r="I225" s="161"/>
      <c r="J225" s="161"/>
      <c r="K225" s="161"/>
      <c r="L225" s="161" t="s">
        <v>1544</v>
      </c>
      <c r="M225" s="161" t="s">
        <v>354</v>
      </c>
      <c r="N225" s="142">
        <v>234.0</v>
      </c>
      <c r="O225" s="161" t="s">
        <v>437</v>
      </c>
      <c r="P225" s="161"/>
      <c r="S225" s="142"/>
      <c r="T225" s="142"/>
      <c r="V225" s="166"/>
      <c r="W225" s="166"/>
      <c r="X225" s="166"/>
      <c r="Y225" s="166"/>
    </row>
    <row r="226" ht="22.5" customHeight="1">
      <c r="A226" s="161" t="s">
        <v>437</v>
      </c>
      <c r="B226" s="162" t="s">
        <v>1388</v>
      </c>
      <c r="C226" s="161" t="s">
        <v>20</v>
      </c>
      <c r="D226" s="170" t="s">
        <v>21</v>
      </c>
      <c r="E226" s="193"/>
      <c r="F226" s="162"/>
      <c r="G226" s="142">
        <v>15000.0</v>
      </c>
      <c r="H226" s="161"/>
      <c r="I226" s="161"/>
      <c r="J226" s="161"/>
      <c r="K226" s="161"/>
      <c r="L226" s="161" t="s">
        <v>1544</v>
      </c>
      <c r="M226" s="161" t="s">
        <v>354</v>
      </c>
      <c r="N226" s="142">
        <v>234.0</v>
      </c>
      <c r="O226" s="161" t="s">
        <v>437</v>
      </c>
      <c r="P226" s="161"/>
      <c r="S226" s="142"/>
      <c r="T226" s="142"/>
      <c r="V226" s="166"/>
      <c r="W226" s="166"/>
      <c r="X226" s="166"/>
      <c r="Y226" s="166"/>
    </row>
    <row r="227" ht="22.5" customHeight="1">
      <c r="A227" s="161" t="s">
        <v>437</v>
      </c>
      <c r="B227" s="162" t="s">
        <v>1388</v>
      </c>
      <c r="C227" s="161" t="s">
        <v>20</v>
      </c>
      <c r="D227" s="170" t="s">
        <v>21</v>
      </c>
      <c r="E227" s="194"/>
      <c r="F227" s="162"/>
      <c r="G227" s="142">
        <v>26250.0</v>
      </c>
      <c r="H227" s="161"/>
      <c r="I227" s="161"/>
      <c r="J227" s="161"/>
      <c r="K227" s="161"/>
      <c r="L227" s="161" t="s">
        <v>1544</v>
      </c>
      <c r="M227" s="161" t="s">
        <v>354</v>
      </c>
      <c r="N227" s="142">
        <v>234.0</v>
      </c>
      <c r="O227" s="161" t="s">
        <v>437</v>
      </c>
      <c r="P227" s="161"/>
      <c r="S227" s="142"/>
      <c r="T227" s="142"/>
      <c r="V227" s="166"/>
      <c r="W227" s="166"/>
      <c r="X227" s="166"/>
      <c r="Y227" s="166"/>
    </row>
    <row r="228" ht="22.5" customHeight="1">
      <c r="A228" s="161" t="s">
        <v>474</v>
      </c>
      <c r="B228" s="162" t="s">
        <v>1517</v>
      </c>
      <c r="C228" s="161"/>
      <c r="D228" s="194"/>
      <c r="E228" s="194"/>
      <c r="F228" s="162"/>
      <c r="G228" s="142">
        <v>3190.0</v>
      </c>
      <c r="H228" s="161"/>
      <c r="I228" s="161"/>
      <c r="J228" s="161"/>
      <c r="K228" s="161"/>
      <c r="L228" s="161" t="s">
        <v>1544</v>
      </c>
      <c r="M228" s="161" t="s">
        <v>354</v>
      </c>
      <c r="N228" s="142">
        <v>246.0</v>
      </c>
      <c r="O228" s="161" t="s">
        <v>493</v>
      </c>
      <c r="P228" s="161"/>
      <c r="S228" s="142"/>
      <c r="T228" s="142"/>
      <c r="V228" s="166"/>
      <c r="W228" s="166"/>
      <c r="X228" s="166"/>
      <c r="Y228" s="166"/>
    </row>
    <row r="229" ht="22.5" customHeight="1">
      <c r="A229" s="161" t="s">
        <v>474</v>
      </c>
      <c r="B229" s="162" t="s">
        <v>1517</v>
      </c>
      <c r="C229" s="161"/>
      <c r="D229" s="193"/>
      <c r="E229" s="193"/>
      <c r="F229" s="162"/>
      <c r="G229" s="142">
        <v>3490.0</v>
      </c>
      <c r="H229" s="161"/>
      <c r="I229" s="161"/>
      <c r="J229" s="161"/>
      <c r="K229" s="161"/>
      <c r="L229" s="161" t="s">
        <v>1544</v>
      </c>
      <c r="M229" s="161" t="s">
        <v>354</v>
      </c>
      <c r="N229" s="142">
        <v>246.0</v>
      </c>
      <c r="O229" s="161" t="s">
        <v>493</v>
      </c>
      <c r="P229" s="161"/>
      <c r="S229" s="142"/>
      <c r="T229" s="142"/>
      <c r="V229" s="166"/>
      <c r="W229" s="166"/>
      <c r="X229" s="166"/>
      <c r="Y229" s="166"/>
    </row>
    <row r="230" ht="22.5" customHeight="1">
      <c r="A230" s="161" t="s">
        <v>474</v>
      </c>
      <c r="B230" s="162" t="s">
        <v>1517</v>
      </c>
      <c r="C230" s="161"/>
      <c r="D230" s="194"/>
      <c r="E230" s="194"/>
      <c r="F230" s="162"/>
      <c r="G230" s="142">
        <v>6960.0</v>
      </c>
      <c r="H230" s="161"/>
      <c r="I230" s="161"/>
      <c r="J230" s="161"/>
      <c r="K230" s="161"/>
      <c r="L230" s="161" t="s">
        <v>1544</v>
      </c>
      <c r="M230" s="161" t="s">
        <v>354</v>
      </c>
      <c r="N230" s="142">
        <v>246.0</v>
      </c>
      <c r="O230" s="161" t="s">
        <v>493</v>
      </c>
      <c r="P230" s="161"/>
      <c r="S230" s="142"/>
      <c r="T230" s="142"/>
      <c r="V230" s="166"/>
      <c r="W230" s="166"/>
      <c r="X230" s="166"/>
      <c r="Y230" s="166"/>
    </row>
    <row r="231" ht="22.5" customHeight="1">
      <c r="A231" s="161" t="s">
        <v>474</v>
      </c>
      <c r="B231" s="162" t="s">
        <v>1517</v>
      </c>
      <c r="C231" s="161"/>
      <c r="D231" s="193"/>
      <c r="E231" s="193"/>
      <c r="F231" s="162"/>
      <c r="G231" s="142">
        <v>58.0</v>
      </c>
      <c r="H231" s="161"/>
      <c r="I231" s="161"/>
      <c r="J231" s="161"/>
      <c r="K231" s="161"/>
      <c r="L231" s="161" t="s">
        <v>1581</v>
      </c>
      <c r="M231" s="161" t="s">
        <v>408</v>
      </c>
      <c r="N231" s="142">
        <v>107.0</v>
      </c>
      <c r="O231" s="161" t="s">
        <v>459</v>
      </c>
      <c r="P231" s="165"/>
      <c r="S231" s="142"/>
      <c r="T231" s="142"/>
      <c r="V231" s="166"/>
      <c r="W231" s="166"/>
      <c r="X231" s="166"/>
      <c r="Y231" s="166"/>
    </row>
    <row r="232" ht="22.5" customHeight="1">
      <c r="A232" s="161" t="s">
        <v>474</v>
      </c>
      <c r="B232" s="162" t="s">
        <v>1582</v>
      </c>
      <c r="C232" s="161"/>
      <c r="D232" s="194"/>
      <c r="E232" s="194"/>
      <c r="F232" s="162"/>
      <c r="G232" s="142">
        <v>159039.3</v>
      </c>
      <c r="H232" s="161"/>
      <c r="I232" s="161"/>
      <c r="J232" s="161"/>
      <c r="K232" s="161"/>
      <c r="L232" s="161" t="s">
        <v>1583</v>
      </c>
      <c r="M232" s="161" t="s">
        <v>408</v>
      </c>
      <c r="N232" s="142">
        <v>232.0</v>
      </c>
      <c r="O232" s="161" t="s">
        <v>459</v>
      </c>
      <c r="P232" s="161"/>
      <c r="S232" s="142"/>
      <c r="T232" s="142"/>
      <c r="V232" s="166"/>
      <c r="W232" s="166"/>
      <c r="X232" s="166"/>
      <c r="Y232" s="166"/>
    </row>
    <row r="233" ht="22.5" customHeight="1">
      <c r="A233" s="161" t="s">
        <v>474</v>
      </c>
      <c r="B233" s="162" t="s">
        <v>1582</v>
      </c>
      <c r="C233" s="161"/>
      <c r="D233" s="193"/>
      <c r="E233" s="193"/>
      <c r="F233" s="162"/>
      <c r="G233" s="142">
        <v>12000.0</v>
      </c>
      <c r="H233" s="161"/>
      <c r="I233" s="161"/>
      <c r="J233" s="161"/>
      <c r="K233" s="161"/>
      <c r="L233" s="161" t="s">
        <v>1584</v>
      </c>
      <c r="M233" s="161" t="s">
        <v>408</v>
      </c>
      <c r="N233" s="142">
        <v>248.0</v>
      </c>
      <c r="O233" s="161" t="s">
        <v>459</v>
      </c>
      <c r="P233" s="161"/>
      <c r="S233" s="142"/>
      <c r="T233" s="142"/>
      <c r="V233" s="166"/>
      <c r="W233" s="166"/>
      <c r="X233" s="166"/>
      <c r="Y233" s="166"/>
    </row>
    <row r="234" ht="22.5" customHeight="1">
      <c r="A234" s="161" t="s">
        <v>474</v>
      </c>
      <c r="B234" s="162" t="s">
        <v>1582</v>
      </c>
      <c r="C234" s="161"/>
      <c r="D234" s="194"/>
      <c r="E234" s="194"/>
      <c r="F234" s="162"/>
      <c r="G234" s="142">
        <v>321937.21</v>
      </c>
      <c r="H234" s="161"/>
      <c r="I234" s="161"/>
      <c r="J234" s="161"/>
      <c r="K234" s="161"/>
      <c r="L234" s="161" t="s">
        <v>1585</v>
      </c>
      <c r="M234" s="161" t="s">
        <v>408</v>
      </c>
      <c r="N234" s="142">
        <v>283.0</v>
      </c>
      <c r="O234" s="161" t="s">
        <v>459</v>
      </c>
      <c r="P234" s="161"/>
      <c r="S234" s="142"/>
      <c r="T234" s="142"/>
      <c r="V234" s="166"/>
      <c r="W234" s="166"/>
      <c r="X234" s="166"/>
      <c r="Y234" s="166"/>
    </row>
    <row r="235" ht="22.5" customHeight="1">
      <c r="A235" s="161" t="s">
        <v>474</v>
      </c>
      <c r="B235" s="162" t="s">
        <v>1586</v>
      </c>
      <c r="C235" s="161"/>
      <c r="D235" s="194"/>
      <c r="E235" s="194"/>
      <c r="F235" s="162"/>
      <c r="G235" s="142">
        <v>12000.0</v>
      </c>
      <c r="H235" s="161"/>
      <c r="I235" s="161"/>
      <c r="J235" s="161"/>
      <c r="K235" s="161"/>
      <c r="L235" s="161" t="s">
        <v>1584</v>
      </c>
      <c r="M235" s="161" t="s">
        <v>408</v>
      </c>
      <c r="N235" s="142">
        <v>247.0</v>
      </c>
      <c r="O235" s="161" t="s">
        <v>459</v>
      </c>
      <c r="P235" s="161"/>
      <c r="S235" s="142"/>
      <c r="T235" s="142"/>
      <c r="V235" s="166"/>
      <c r="W235" s="166"/>
      <c r="X235" s="166"/>
      <c r="Y235" s="166"/>
    </row>
    <row r="236" ht="22.5" customHeight="1">
      <c r="A236" s="161" t="s">
        <v>474</v>
      </c>
      <c r="B236" s="162" t="s">
        <v>1586</v>
      </c>
      <c r="C236" s="161"/>
      <c r="D236" s="194"/>
      <c r="E236" s="194"/>
      <c r="F236" s="162"/>
      <c r="G236" s="142">
        <v>242706.0</v>
      </c>
      <c r="H236" s="161"/>
      <c r="I236" s="161"/>
      <c r="J236" s="161"/>
      <c r="K236" s="161"/>
      <c r="L236" s="161" t="s">
        <v>1587</v>
      </c>
      <c r="M236" s="161" t="s">
        <v>408</v>
      </c>
      <c r="N236" s="142">
        <v>254.0</v>
      </c>
      <c r="O236" s="161" t="s">
        <v>459</v>
      </c>
      <c r="P236" s="161"/>
      <c r="S236" s="142"/>
      <c r="T236" s="142"/>
      <c r="V236" s="166"/>
      <c r="W236" s="166"/>
      <c r="X236" s="166"/>
      <c r="Y236" s="166"/>
    </row>
    <row r="237" ht="22.5" customHeight="1">
      <c r="A237" s="161" t="s">
        <v>483</v>
      </c>
      <c r="B237" s="162" t="s">
        <v>1290</v>
      </c>
      <c r="C237" s="2" t="s">
        <v>31</v>
      </c>
      <c r="D237" s="4" t="s">
        <v>371</v>
      </c>
      <c r="E237" s="193"/>
      <c r="F237" s="162"/>
      <c r="G237" s="142">
        <v>17.24</v>
      </c>
      <c r="H237" s="161"/>
      <c r="I237" s="161"/>
      <c r="J237" s="161"/>
      <c r="K237" s="161"/>
      <c r="L237" s="161" t="s">
        <v>1544</v>
      </c>
      <c r="M237" s="161" t="s">
        <v>354</v>
      </c>
      <c r="N237" s="142">
        <v>246.0</v>
      </c>
      <c r="O237" s="161" t="s">
        <v>493</v>
      </c>
      <c r="P237" s="161"/>
      <c r="S237" s="142"/>
      <c r="T237" s="142"/>
      <c r="V237" s="166"/>
      <c r="W237" s="166"/>
      <c r="X237" s="166"/>
      <c r="Y237" s="166"/>
    </row>
    <row r="238" ht="22.5" customHeight="1">
      <c r="A238" s="161" t="s">
        <v>483</v>
      </c>
      <c r="B238" s="162" t="s">
        <v>1290</v>
      </c>
      <c r="C238" s="2" t="s">
        <v>31</v>
      </c>
      <c r="D238" s="4" t="s">
        <v>371</v>
      </c>
      <c r="E238" s="194"/>
      <c r="F238" s="162"/>
      <c r="G238" s="142">
        <v>17.24</v>
      </c>
      <c r="H238" s="161"/>
      <c r="I238" s="161"/>
      <c r="J238" s="161"/>
      <c r="K238" s="161"/>
      <c r="L238" s="161" t="s">
        <v>1544</v>
      </c>
      <c r="M238" s="161" t="s">
        <v>354</v>
      </c>
      <c r="N238" s="142">
        <v>246.0</v>
      </c>
      <c r="O238" s="161" t="s">
        <v>493</v>
      </c>
      <c r="P238" s="161"/>
      <c r="S238" s="142"/>
      <c r="T238" s="142"/>
      <c r="V238" s="166"/>
      <c r="W238" s="166"/>
      <c r="X238" s="166"/>
      <c r="Y238" s="166"/>
    </row>
    <row r="239" ht="22.5" customHeight="1">
      <c r="A239" s="161" t="s">
        <v>474</v>
      </c>
      <c r="B239" s="162" t="s">
        <v>1588</v>
      </c>
      <c r="C239" s="27"/>
      <c r="D239" s="193"/>
      <c r="E239" s="193"/>
      <c r="F239" s="162"/>
      <c r="G239" s="142">
        <v>1080.0</v>
      </c>
      <c r="H239" s="161"/>
      <c r="I239" s="161"/>
      <c r="J239" s="161"/>
      <c r="K239" s="161"/>
      <c r="L239" s="161" t="s">
        <v>1544</v>
      </c>
      <c r="M239" s="161" t="s">
        <v>354</v>
      </c>
      <c r="N239" s="142">
        <v>241.0</v>
      </c>
      <c r="O239" s="161" t="s">
        <v>475</v>
      </c>
      <c r="P239" s="161"/>
      <c r="S239" s="142"/>
      <c r="T239" s="142"/>
      <c r="V239" s="166"/>
      <c r="W239" s="166"/>
      <c r="X239" s="166"/>
      <c r="Y239" s="166"/>
    </row>
    <row r="240" ht="22.5" customHeight="1">
      <c r="A240" s="161" t="s">
        <v>474</v>
      </c>
      <c r="B240" s="162" t="s">
        <v>1525</v>
      </c>
      <c r="C240" s="161"/>
      <c r="D240" s="194"/>
      <c r="E240" s="194"/>
      <c r="F240" s="162"/>
      <c r="G240" s="142">
        <v>44400.0</v>
      </c>
      <c r="H240" s="161"/>
      <c r="I240" s="161"/>
      <c r="J240" s="161"/>
      <c r="K240" s="161"/>
      <c r="L240" s="161" t="s">
        <v>1544</v>
      </c>
      <c r="M240" s="161" t="s">
        <v>354</v>
      </c>
      <c r="N240" s="142">
        <v>243.0</v>
      </c>
      <c r="O240" s="161" t="s">
        <v>397</v>
      </c>
      <c r="P240" s="161"/>
      <c r="S240" s="142"/>
      <c r="T240" s="142"/>
      <c r="V240" s="166"/>
      <c r="W240" s="166"/>
      <c r="X240" s="166"/>
      <c r="Y240" s="166"/>
    </row>
    <row r="241" ht="22.5" customHeight="1">
      <c r="A241" s="161" t="s">
        <v>508</v>
      </c>
      <c r="B241" s="162" t="s">
        <v>1305</v>
      </c>
      <c r="C241" s="4" t="s">
        <v>20</v>
      </c>
      <c r="D241" s="4" t="s">
        <v>21</v>
      </c>
      <c r="E241" s="193"/>
      <c r="F241" s="162"/>
      <c r="G241" s="142">
        <v>30819.25</v>
      </c>
      <c r="H241" s="161"/>
      <c r="I241" s="161"/>
      <c r="J241" s="161"/>
      <c r="K241" s="161"/>
      <c r="L241" s="161" t="s">
        <v>1544</v>
      </c>
      <c r="M241" s="161" t="s">
        <v>354</v>
      </c>
      <c r="N241" s="142">
        <v>222.0</v>
      </c>
      <c r="O241" s="161" t="s">
        <v>475</v>
      </c>
      <c r="P241" s="161"/>
      <c r="S241" s="142"/>
      <c r="T241" s="142"/>
      <c r="V241" s="166"/>
      <c r="W241" s="166"/>
      <c r="X241" s="166"/>
      <c r="Y241" s="166"/>
    </row>
    <row r="242" ht="22.5" customHeight="1">
      <c r="A242" s="161" t="s">
        <v>474</v>
      </c>
      <c r="B242" s="162" t="s">
        <v>1589</v>
      </c>
      <c r="C242" s="161"/>
      <c r="D242" s="194"/>
      <c r="E242" s="194"/>
      <c r="F242" s="162"/>
      <c r="G242" s="142">
        <v>60700.0</v>
      </c>
      <c r="H242" s="161"/>
      <c r="I242" s="161"/>
      <c r="J242" s="161"/>
      <c r="K242" s="161"/>
      <c r="L242" s="161" t="s">
        <v>1544</v>
      </c>
      <c r="M242" s="161" t="s">
        <v>354</v>
      </c>
      <c r="N242" s="142">
        <v>230.0</v>
      </c>
      <c r="O242" s="161" t="s">
        <v>395</v>
      </c>
      <c r="P242" s="161"/>
      <c r="S242" s="142"/>
      <c r="T242" s="142"/>
      <c r="V242" s="166"/>
      <c r="W242" s="166"/>
      <c r="X242" s="166"/>
      <c r="Y242" s="166"/>
    </row>
    <row r="243" ht="22.5" customHeight="1">
      <c r="A243" s="161" t="s">
        <v>474</v>
      </c>
      <c r="B243" s="162" t="s">
        <v>1589</v>
      </c>
      <c r="C243" s="161"/>
      <c r="D243" s="193"/>
      <c r="E243" s="193"/>
      <c r="F243" s="162"/>
      <c r="G243" s="142">
        <v>60700.0</v>
      </c>
      <c r="H243" s="161"/>
      <c r="I243" s="161"/>
      <c r="J243" s="161"/>
      <c r="K243" s="161"/>
      <c r="L243" s="161" t="s">
        <v>1544</v>
      </c>
      <c r="M243" s="161" t="s">
        <v>354</v>
      </c>
      <c r="N243" s="142">
        <v>230.0</v>
      </c>
      <c r="O243" s="161" t="s">
        <v>395</v>
      </c>
      <c r="P243" s="161"/>
      <c r="S243" s="142"/>
      <c r="T243" s="142"/>
      <c r="V243" s="166"/>
      <c r="W243" s="166"/>
      <c r="X243" s="166"/>
      <c r="Y243" s="166"/>
    </row>
    <row r="244" ht="22.5" customHeight="1">
      <c r="A244" s="161" t="s">
        <v>18</v>
      </c>
      <c r="B244" s="162" t="s">
        <v>1224</v>
      </c>
      <c r="C244" s="161"/>
      <c r="D244" s="193"/>
      <c r="E244" s="193"/>
      <c r="F244" s="162"/>
      <c r="G244" s="142">
        <v>5602.03</v>
      </c>
      <c r="H244" s="161"/>
      <c r="I244" s="161"/>
      <c r="J244" s="161"/>
      <c r="K244" s="161"/>
      <c r="L244" s="161" t="s">
        <v>1544</v>
      </c>
      <c r="M244" s="161" t="s">
        <v>354</v>
      </c>
      <c r="N244" s="142">
        <v>243.0</v>
      </c>
      <c r="O244" s="161" t="s">
        <v>397</v>
      </c>
      <c r="P244" s="161"/>
      <c r="S244" s="142"/>
      <c r="T244" s="142"/>
      <c r="V244" s="166"/>
      <c r="W244" s="166"/>
      <c r="X244" s="166"/>
      <c r="Y244" s="166"/>
    </row>
    <row r="245" ht="22.5" customHeight="1">
      <c r="A245" s="161" t="s">
        <v>18</v>
      </c>
      <c r="B245" s="162" t="s">
        <v>1224</v>
      </c>
      <c r="C245" s="161"/>
      <c r="D245" s="194"/>
      <c r="E245" s="194"/>
      <c r="F245" s="162"/>
      <c r="G245" s="142">
        <v>6587.27</v>
      </c>
      <c r="H245" s="161"/>
      <c r="I245" s="161"/>
      <c r="J245" s="161"/>
      <c r="K245" s="161"/>
      <c r="L245" s="161" t="s">
        <v>1544</v>
      </c>
      <c r="M245" s="161" t="s">
        <v>354</v>
      </c>
      <c r="N245" s="142">
        <v>243.0</v>
      </c>
      <c r="O245" s="161" t="s">
        <v>397</v>
      </c>
      <c r="P245" s="161"/>
      <c r="S245" s="142"/>
      <c r="T245" s="142"/>
      <c r="V245" s="166"/>
      <c r="W245" s="166"/>
      <c r="X245" s="166"/>
      <c r="Y245" s="166"/>
    </row>
    <row r="246" ht="22.5" customHeight="1">
      <c r="A246" s="161" t="s">
        <v>18</v>
      </c>
      <c r="B246" s="162" t="s">
        <v>1224</v>
      </c>
      <c r="C246" s="161"/>
      <c r="D246" s="193"/>
      <c r="E246" s="193"/>
      <c r="F246" s="162"/>
      <c r="G246" s="142">
        <v>7803.65</v>
      </c>
      <c r="H246" s="161"/>
      <c r="I246" s="161"/>
      <c r="J246" s="161"/>
      <c r="K246" s="161"/>
      <c r="L246" s="161" t="s">
        <v>1544</v>
      </c>
      <c r="M246" s="161" t="s">
        <v>354</v>
      </c>
      <c r="N246" s="142">
        <v>243.0</v>
      </c>
      <c r="O246" s="161" t="s">
        <v>397</v>
      </c>
      <c r="P246" s="161"/>
      <c r="S246" s="142"/>
      <c r="T246" s="142"/>
      <c r="V246" s="166"/>
      <c r="W246" s="166"/>
      <c r="X246" s="166"/>
      <c r="Y246" s="166"/>
    </row>
    <row r="247" ht="22.5" customHeight="1">
      <c r="A247" s="161" t="s">
        <v>18</v>
      </c>
      <c r="B247" s="162" t="s">
        <v>1224</v>
      </c>
      <c r="C247" s="161"/>
      <c r="D247" s="194"/>
      <c r="E247" s="194"/>
      <c r="F247" s="162"/>
      <c r="G247" s="142">
        <v>8137.5</v>
      </c>
      <c r="H247" s="161"/>
      <c r="I247" s="161"/>
      <c r="J247" s="161"/>
      <c r="K247" s="161"/>
      <c r="L247" s="161" t="s">
        <v>1544</v>
      </c>
      <c r="M247" s="161" t="s">
        <v>354</v>
      </c>
      <c r="N247" s="142">
        <v>243.0</v>
      </c>
      <c r="O247" s="161" t="s">
        <v>397</v>
      </c>
      <c r="P247" s="161"/>
      <c r="S247" s="142"/>
      <c r="T247" s="142"/>
      <c r="V247" s="166"/>
      <c r="W247" s="166"/>
      <c r="X247" s="166"/>
      <c r="Y247" s="166"/>
    </row>
    <row r="248" ht="22.5" customHeight="1">
      <c r="A248" s="161" t="s">
        <v>18</v>
      </c>
      <c r="B248" s="162" t="s">
        <v>1224</v>
      </c>
      <c r="C248" s="161"/>
      <c r="D248" s="193"/>
      <c r="E248" s="193"/>
      <c r="F248" s="162"/>
      <c r="G248" s="142">
        <v>9071.13</v>
      </c>
      <c r="H248" s="161"/>
      <c r="I248" s="161"/>
      <c r="J248" s="161"/>
      <c r="K248" s="161"/>
      <c r="L248" s="161" t="s">
        <v>1544</v>
      </c>
      <c r="M248" s="161" t="s">
        <v>354</v>
      </c>
      <c r="N248" s="142">
        <v>243.0</v>
      </c>
      <c r="O248" s="161" t="s">
        <v>397</v>
      </c>
      <c r="P248" s="161"/>
      <c r="S248" s="142"/>
      <c r="T248" s="142"/>
      <c r="V248" s="166"/>
      <c r="W248" s="166"/>
      <c r="X248" s="166"/>
      <c r="Y248" s="166"/>
    </row>
    <row r="249" ht="22.5" customHeight="1">
      <c r="A249" s="161" t="s">
        <v>18</v>
      </c>
      <c r="B249" s="162" t="s">
        <v>1224</v>
      </c>
      <c r="C249" s="161"/>
      <c r="D249" s="194"/>
      <c r="E249" s="194"/>
      <c r="F249" s="162"/>
      <c r="G249" s="142">
        <v>10045.28</v>
      </c>
      <c r="H249" s="161"/>
      <c r="I249" s="161"/>
      <c r="J249" s="161"/>
      <c r="K249" s="161"/>
      <c r="L249" s="161" t="s">
        <v>1544</v>
      </c>
      <c r="M249" s="161" t="s">
        <v>354</v>
      </c>
      <c r="N249" s="142">
        <v>243.0</v>
      </c>
      <c r="O249" s="161" t="s">
        <v>397</v>
      </c>
      <c r="P249" s="161"/>
      <c r="S249" s="142"/>
      <c r="T249" s="142"/>
      <c r="V249" s="166"/>
      <c r="W249" s="166"/>
      <c r="X249" s="166"/>
      <c r="Y249" s="166"/>
    </row>
    <row r="250" ht="22.5" customHeight="1">
      <c r="A250" s="161" t="s">
        <v>18</v>
      </c>
      <c r="B250" s="162" t="s">
        <v>1224</v>
      </c>
      <c r="C250" s="161"/>
      <c r="D250" s="193"/>
      <c r="E250" s="193"/>
      <c r="F250" s="162"/>
      <c r="G250" s="142">
        <v>10500.0</v>
      </c>
      <c r="H250" s="161"/>
      <c r="I250" s="161"/>
      <c r="J250" s="161"/>
      <c r="K250" s="161"/>
      <c r="L250" s="161" t="s">
        <v>1544</v>
      </c>
      <c r="M250" s="161" t="s">
        <v>354</v>
      </c>
      <c r="N250" s="142">
        <v>243.0</v>
      </c>
      <c r="O250" s="161" t="s">
        <v>397</v>
      </c>
      <c r="P250" s="161"/>
      <c r="S250" s="142"/>
      <c r="T250" s="142"/>
      <c r="V250" s="166"/>
      <c r="W250" s="166"/>
      <c r="X250" s="166"/>
      <c r="Y250" s="166"/>
    </row>
    <row r="251" ht="22.5" customHeight="1">
      <c r="A251" s="161" t="s">
        <v>18</v>
      </c>
      <c r="B251" s="162" t="s">
        <v>1224</v>
      </c>
      <c r="C251" s="161"/>
      <c r="D251" s="194"/>
      <c r="E251" s="194"/>
      <c r="F251" s="162"/>
      <c r="G251" s="142">
        <v>10779.29</v>
      </c>
      <c r="H251" s="161"/>
      <c r="I251" s="161"/>
      <c r="J251" s="161"/>
      <c r="K251" s="161"/>
      <c r="L251" s="161" t="s">
        <v>1544</v>
      </c>
      <c r="M251" s="161" t="s">
        <v>354</v>
      </c>
      <c r="N251" s="142">
        <v>243.0</v>
      </c>
      <c r="O251" s="161" t="s">
        <v>397</v>
      </c>
      <c r="P251" s="161"/>
      <c r="S251" s="142"/>
      <c r="T251" s="142"/>
      <c r="V251" s="166"/>
      <c r="W251" s="166"/>
      <c r="X251" s="166"/>
      <c r="Y251" s="166"/>
    </row>
    <row r="252" ht="22.5" customHeight="1">
      <c r="A252" s="161" t="s">
        <v>18</v>
      </c>
      <c r="B252" s="162" t="s">
        <v>1224</v>
      </c>
      <c r="C252" s="161"/>
      <c r="D252" s="193"/>
      <c r="E252" s="193"/>
      <c r="F252" s="162"/>
      <c r="G252" s="142">
        <v>12406.22</v>
      </c>
      <c r="H252" s="161"/>
      <c r="I252" s="161"/>
      <c r="J252" s="161"/>
      <c r="K252" s="161"/>
      <c r="L252" s="161" t="s">
        <v>1544</v>
      </c>
      <c r="M252" s="161" t="s">
        <v>354</v>
      </c>
      <c r="N252" s="142">
        <v>243.0</v>
      </c>
      <c r="O252" s="161" t="s">
        <v>397</v>
      </c>
      <c r="P252" s="161"/>
      <c r="S252" s="142"/>
      <c r="T252" s="142"/>
      <c r="V252" s="166"/>
      <c r="W252" s="166"/>
      <c r="X252" s="166"/>
      <c r="Y252" s="166"/>
    </row>
    <row r="253" ht="22.5" customHeight="1">
      <c r="A253" s="161" t="s">
        <v>18</v>
      </c>
      <c r="B253" s="162" t="s">
        <v>1224</v>
      </c>
      <c r="C253" s="161"/>
      <c r="D253" s="194"/>
      <c r="E253" s="194"/>
      <c r="F253" s="162"/>
      <c r="G253" s="142">
        <v>15425.78</v>
      </c>
      <c r="H253" s="161"/>
      <c r="I253" s="161"/>
      <c r="J253" s="161"/>
      <c r="K253" s="161"/>
      <c r="L253" s="161" t="s">
        <v>1544</v>
      </c>
      <c r="M253" s="161" t="s">
        <v>354</v>
      </c>
      <c r="N253" s="142">
        <v>243.0</v>
      </c>
      <c r="O253" s="161" t="s">
        <v>397</v>
      </c>
      <c r="P253" s="161"/>
      <c r="S253" s="142"/>
      <c r="T253" s="142"/>
      <c r="V253" s="166"/>
      <c r="W253" s="166"/>
      <c r="X253" s="166"/>
      <c r="Y253" s="166"/>
    </row>
    <row r="254" ht="22.5" customHeight="1">
      <c r="A254" s="161" t="s">
        <v>18</v>
      </c>
      <c r="B254" s="162" t="s">
        <v>1224</v>
      </c>
      <c r="C254" s="161"/>
      <c r="D254" s="193"/>
      <c r="E254" s="193"/>
      <c r="F254" s="162"/>
      <c r="G254" s="142">
        <v>15896.83</v>
      </c>
      <c r="H254" s="161"/>
      <c r="I254" s="161"/>
      <c r="J254" s="161"/>
      <c r="K254" s="161"/>
      <c r="L254" s="161" t="s">
        <v>1544</v>
      </c>
      <c r="M254" s="161" t="s">
        <v>354</v>
      </c>
      <c r="N254" s="142">
        <v>243.0</v>
      </c>
      <c r="O254" s="161" t="s">
        <v>397</v>
      </c>
      <c r="P254" s="161"/>
      <c r="S254" s="142"/>
      <c r="T254" s="142"/>
      <c r="V254" s="166"/>
      <c r="W254" s="166"/>
      <c r="X254" s="166"/>
      <c r="Y254" s="166"/>
    </row>
    <row r="255" ht="22.5" customHeight="1">
      <c r="A255" s="161" t="s">
        <v>18</v>
      </c>
      <c r="B255" s="162" t="s">
        <v>1224</v>
      </c>
      <c r="C255" s="161"/>
      <c r="D255" s="194"/>
      <c r="E255" s="194"/>
      <c r="F255" s="162"/>
      <c r="G255" s="142">
        <v>21000.0</v>
      </c>
      <c r="H255" s="161"/>
      <c r="I255" s="161"/>
      <c r="J255" s="161"/>
      <c r="K255" s="161"/>
      <c r="L255" s="161" t="s">
        <v>1544</v>
      </c>
      <c r="M255" s="161" t="s">
        <v>354</v>
      </c>
      <c r="N255" s="142">
        <v>243.0</v>
      </c>
      <c r="O255" s="161" t="s">
        <v>397</v>
      </c>
      <c r="P255" s="161"/>
      <c r="S255" s="142"/>
      <c r="T255" s="142"/>
      <c r="V255" s="166"/>
      <c r="W255" s="166"/>
      <c r="X255" s="166"/>
      <c r="Y255" s="166"/>
    </row>
    <row r="256" ht="22.5" customHeight="1">
      <c r="A256" s="161" t="s">
        <v>18</v>
      </c>
      <c r="B256" s="162" t="s">
        <v>1224</v>
      </c>
      <c r="C256" s="161"/>
      <c r="D256" s="193"/>
      <c r="E256" s="193"/>
      <c r="F256" s="162"/>
      <c r="G256" s="142">
        <v>35700.0</v>
      </c>
      <c r="H256" s="161"/>
      <c r="I256" s="161"/>
      <c r="J256" s="161"/>
      <c r="K256" s="161"/>
      <c r="L256" s="161" t="s">
        <v>1544</v>
      </c>
      <c r="M256" s="161" t="s">
        <v>354</v>
      </c>
      <c r="N256" s="142">
        <v>243.0</v>
      </c>
      <c r="O256" s="161" t="s">
        <v>397</v>
      </c>
      <c r="P256" s="161"/>
      <c r="S256" s="142"/>
      <c r="T256" s="142"/>
      <c r="V256" s="166"/>
      <c r="W256" s="166"/>
      <c r="X256" s="166"/>
      <c r="Y256" s="166"/>
    </row>
    <row r="257" ht="22.5" customHeight="1">
      <c r="A257" s="161" t="s">
        <v>18</v>
      </c>
      <c r="B257" s="162" t="s">
        <v>1224</v>
      </c>
      <c r="C257" s="161"/>
      <c r="D257" s="194"/>
      <c r="E257" s="194"/>
      <c r="F257" s="162"/>
      <c r="G257" s="142">
        <v>37615.72</v>
      </c>
      <c r="H257" s="161"/>
      <c r="I257" s="161"/>
      <c r="J257" s="161"/>
      <c r="K257" s="161"/>
      <c r="L257" s="161" t="s">
        <v>1544</v>
      </c>
      <c r="M257" s="161" t="s">
        <v>354</v>
      </c>
      <c r="N257" s="142">
        <v>243.0</v>
      </c>
      <c r="O257" s="161" t="s">
        <v>397</v>
      </c>
      <c r="P257" s="161"/>
      <c r="S257" s="142"/>
      <c r="T257" s="142"/>
      <c r="V257" s="166"/>
      <c r="W257" s="166"/>
      <c r="X257" s="166"/>
      <c r="Y257" s="166"/>
    </row>
    <row r="258" ht="22.5" customHeight="1">
      <c r="A258" s="161" t="s">
        <v>18</v>
      </c>
      <c r="B258" s="162" t="s">
        <v>1224</v>
      </c>
      <c r="C258" s="161"/>
      <c r="D258" s="193"/>
      <c r="E258" s="193"/>
      <c r="F258" s="162"/>
      <c r="G258" s="142">
        <v>229850.98</v>
      </c>
      <c r="H258" s="161"/>
      <c r="I258" s="161"/>
      <c r="J258" s="161"/>
      <c r="K258" s="161"/>
      <c r="L258" s="161" t="s">
        <v>1544</v>
      </c>
      <c r="M258" s="161" t="s">
        <v>354</v>
      </c>
      <c r="N258" s="142">
        <v>243.0</v>
      </c>
      <c r="O258" s="161" t="s">
        <v>397</v>
      </c>
      <c r="P258" s="161"/>
      <c r="S258" s="142"/>
      <c r="T258" s="142"/>
      <c r="V258" s="166"/>
      <c r="W258" s="166"/>
      <c r="X258" s="166"/>
      <c r="Y258" s="166"/>
    </row>
    <row r="259" ht="22.5" customHeight="1">
      <c r="A259" s="161" t="s">
        <v>18</v>
      </c>
      <c r="B259" s="162" t="s">
        <v>1224</v>
      </c>
      <c r="C259" s="161"/>
      <c r="D259" s="194"/>
      <c r="E259" s="194"/>
      <c r="F259" s="162"/>
      <c r="G259" s="142">
        <v>267879.64</v>
      </c>
      <c r="H259" s="161"/>
      <c r="I259" s="161"/>
      <c r="J259" s="161"/>
      <c r="K259" s="161"/>
      <c r="L259" s="161" t="s">
        <v>1544</v>
      </c>
      <c r="M259" s="161" t="s">
        <v>354</v>
      </c>
      <c r="N259" s="142">
        <v>243.0</v>
      </c>
      <c r="O259" s="161" t="s">
        <v>397</v>
      </c>
      <c r="P259" s="161"/>
      <c r="S259" s="142"/>
      <c r="T259" s="142"/>
      <c r="V259" s="166"/>
      <c r="W259" s="166"/>
      <c r="X259" s="166"/>
      <c r="Y259" s="166"/>
    </row>
    <row r="260" ht="22.5" customHeight="1">
      <c r="A260" s="161" t="s">
        <v>528</v>
      </c>
      <c r="B260" s="162" t="s">
        <v>1292</v>
      </c>
      <c r="C260" s="27" t="s">
        <v>31</v>
      </c>
      <c r="D260" s="12" t="s">
        <v>54</v>
      </c>
      <c r="E260" s="193"/>
      <c r="F260" s="162"/>
      <c r="G260" s="144">
        <v>18648.98622</v>
      </c>
      <c r="H260" s="161"/>
      <c r="I260" s="161"/>
      <c r="J260" s="161"/>
      <c r="K260" s="161"/>
      <c r="L260" s="161" t="s">
        <v>1544</v>
      </c>
      <c r="M260" s="161" t="s">
        <v>354</v>
      </c>
      <c r="N260" s="142">
        <v>246.0</v>
      </c>
      <c r="O260" s="161" t="s">
        <v>493</v>
      </c>
      <c r="P260" s="161"/>
      <c r="S260" s="142"/>
      <c r="T260" s="142"/>
      <c r="V260" s="166"/>
      <c r="W260" s="166"/>
      <c r="X260" s="166"/>
      <c r="Y260" s="166"/>
    </row>
    <row r="261" ht="22.5" customHeight="1">
      <c r="A261" s="161" t="s">
        <v>528</v>
      </c>
      <c r="B261" s="162" t="s">
        <v>1292</v>
      </c>
      <c r="C261" s="27" t="s">
        <v>31</v>
      </c>
      <c r="D261" s="12" t="s">
        <v>98</v>
      </c>
      <c r="E261" s="194"/>
      <c r="F261" s="162"/>
      <c r="G261" s="144">
        <v>1332.070444</v>
      </c>
      <c r="H261" s="161"/>
      <c r="I261" s="161"/>
      <c r="J261" s="161"/>
      <c r="K261" s="161"/>
      <c r="L261" s="161" t="s">
        <v>1544</v>
      </c>
      <c r="M261" s="161" t="s">
        <v>354</v>
      </c>
      <c r="N261" s="142">
        <v>246.0</v>
      </c>
      <c r="O261" s="161" t="s">
        <v>493</v>
      </c>
      <c r="P261" s="161"/>
      <c r="S261" s="142"/>
      <c r="T261" s="142"/>
      <c r="V261" s="166"/>
      <c r="W261" s="166"/>
      <c r="X261" s="166"/>
      <c r="Y261" s="166"/>
    </row>
    <row r="262" ht="22.5" customHeight="1">
      <c r="A262" s="161" t="s">
        <v>528</v>
      </c>
      <c r="B262" s="162" t="s">
        <v>1292</v>
      </c>
      <c r="C262" s="27" t="s">
        <v>20</v>
      </c>
      <c r="D262" s="12" t="s">
        <v>21</v>
      </c>
      <c r="E262" s="193"/>
      <c r="F262" s="162"/>
      <c r="G262" s="144">
        <v>25309.33844</v>
      </c>
      <c r="H262" s="161"/>
      <c r="I262" s="161"/>
      <c r="J262" s="161"/>
      <c r="K262" s="161"/>
      <c r="L262" s="161" t="s">
        <v>1544</v>
      </c>
      <c r="M262" s="161" t="s">
        <v>354</v>
      </c>
      <c r="N262" s="142">
        <v>246.0</v>
      </c>
      <c r="O262" s="161" t="s">
        <v>493</v>
      </c>
      <c r="P262" s="161"/>
      <c r="S262" s="142"/>
      <c r="T262" s="142"/>
      <c r="V262" s="166"/>
      <c r="W262" s="166"/>
      <c r="X262" s="166"/>
      <c r="Y262" s="166"/>
    </row>
    <row r="263" ht="22.5" customHeight="1">
      <c r="A263" s="161" t="s">
        <v>528</v>
      </c>
      <c r="B263" s="162" t="s">
        <v>1292</v>
      </c>
      <c r="C263" s="27" t="s">
        <v>31</v>
      </c>
      <c r="D263" s="12" t="s">
        <v>187</v>
      </c>
      <c r="E263" s="194"/>
      <c r="F263" s="162"/>
      <c r="G263" s="144">
        <v>3552.187852</v>
      </c>
      <c r="H263" s="161"/>
      <c r="I263" s="161"/>
      <c r="J263" s="161"/>
      <c r="K263" s="161"/>
      <c r="L263" s="161" t="s">
        <v>1544</v>
      </c>
      <c r="M263" s="161" t="s">
        <v>354</v>
      </c>
      <c r="N263" s="142">
        <v>246.0</v>
      </c>
      <c r="O263" s="161" t="s">
        <v>493</v>
      </c>
      <c r="P263" s="161"/>
      <c r="S263" s="142"/>
      <c r="T263" s="142"/>
      <c r="V263" s="166"/>
      <c r="W263" s="166"/>
      <c r="X263" s="166"/>
      <c r="Y263" s="166"/>
    </row>
    <row r="264" ht="22.5" customHeight="1">
      <c r="A264" s="161" t="s">
        <v>528</v>
      </c>
      <c r="B264" s="162" t="s">
        <v>1292</v>
      </c>
      <c r="C264" s="27" t="s">
        <v>31</v>
      </c>
      <c r="D264" s="12" t="s">
        <v>38</v>
      </c>
      <c r="E264" s="193"/>
      <c r="F264" s="162"/>
      <c r="G264" s="144">
        <v>1998.105667</v>
      </c>
      <c r="H264" s="161"/>
      <c r="I264" s="161"/>
      <c r="J264" s="161"/>
      <c r="K264" s="161"/>
      <c r="L264" s="161" t="s">
        <v>1544</v>
      </c>
      <c r="M264" s="161" t="s">
        <v>354</v>
      </c>
      <c r="N264" s="142">
        <v>246.0</v>
      </c>
      <c r="O264" s="161" t="s">
        <v>493</v>
      </c>
      <c r="P264" s="161"/>
      <c r="S264" s="142"/>
      <c r="T264" s="142"/>
      <c r="V264" s="166"/>
      <c r="W264" s="166"/>
      <c r="X264" s="166"/>
      <c r="Y264" s="166"/>
    </row>
    <row r="265" ht="22.5" customHeight="1">
      <c r="A265" s="161" t="s">
        <v>528</v>
      </c>
      <c r="B265" s="162" t="s">
        <v>1292</v>
      </c>
      <c r="C265" s="27" t="s">
        <v>31</v>
      </c>
      <c r="D265" s="12" t="s">
        <v>47</v>
      </c>
      <c r="E265" s="194"/>
      <c r="F265" s="162"/>
      <c r="G265" s="144">
        <v>7104.375704</v>
      </c>
      <c r="H265" s="161"/>
      <c r="I265" s="161"/>
      <c r="J265" s="161"/>
      <c r="K265" s="161"/>
      <c r="L265" s="161" t="s">
        <v>1544</v>
      </c>
      <c r="M265" s="161" t="s">
        <v>354</v>
      </c>
      <c r="N265" s="142">
        <v>246.0</v>
      </c>
      <c r="O265" s="161" t="s">
        <v>493</v>
      </c>
      <c r="P265" s="161"/>
      <c r="S265" s="142"/>
      <c r="T265" s="142"/>
      <c r="V265" s="166"/>
      <c r="W265" s="166"/>
      <c r="X265" s="166"/>
      <c r="Y265" s="166"/>
    </row>
    <row r="266" ht="22.5" customHeight="1">
      <c r="A266" s="161" t="s">
        <v>528</v>
      </c>
      <c r="B266" s="162" t="s">
        <v>1292</v>
      </c>
      <c r="C266" s="27" t="s">
        <v>31</v>
      </c>
      <c r="D266" s="12" t="s">
        <v>113</v>
      </c>
      <c r="E266" s="193"/>
      <c r="F266" s="162"/>
      <c r="G266" s="144">
        <v>1998.105667</v>
      </c>
      <c r="H266" s="161"/>
      <c r="I266" s="161"/>
      <c r="J266" s="161"/>
      <c r="K266" s="161"/>
      <c r="L266" s="161" t="s">
        <v>1544</v>
      </c>
      <c r="M266" s="161" t="s">
        <v>354</v>
      </c>
      <c r="N266" s="142">
        <v>246.0</v>
      </c>
      <c r="O266" s="161" t="s">
        <v>493</v>
      </c>
      <c r="P266" s="161"/>
      <c r="S266" s="142"/>
      <c r="T266" s="142"/>
      <c r="V266" s="166"/>
      <c r="W266" s="166"/>
      <c r="X266" s="166"/>
      <c r="Y266" s="166"/>
    </row>
    <row r="267" ht="22.5" customHeight="1">
      <c r="A267" s="161" t="s">
        <v>440</v>
      </c>
      <c r="B267" s="162" t="s">
        <v>1423</v>
      </c>
      <c r="C267" s="4" t="s">
        <v>31</v>
      </c>
      <c r="D267" s="4" t="s">
        <v>54</v>
      </c>
      <c r="E267" s="194"/>
      <c r="F267" s="162"/>
      <c r="G267" s="142">
        <v>81074.84</v>
      </c>
      <c r="H267" s="161"/>
      <c r="I267" s="161"/>
      <c r="J267" s="161"/>
      <c r="K267" s="161"/>
      <c r="L267" s="161" t="s">
        <v>1544</v>
      </c>
      <c r="M267" s="161" t="s">
        <v>354</v>
      </c>
      <c r="N267" s="142">
        <v>247.0</v>
      </c>
      <c r="O267" s="161" t="s">
        <v>524</v>
      </c>
      <c r="P267" s="161"/>
      <c r="S267" s="142"/>
      <c r="T267" s="142"/>
      <c r="V267" s="166"/>
      <c r="W267" s="166"/>
      <c r="X267" s="166"/>
      <c r="Y267" s="166"/>
    </row>
    <row r="268" ht="22.5" customHeight="1">
      <c r="A268" s="161" t="s">
        <v>440</v>
      </c>
      <c r="B268" s="162" t="s">
        <v>1422</v>
      </c>
      <c r="C268" s="4" t="s">
        <v>31</v>
      </c>
      <c r="D268" s="4" t="s">
        <v>54</v>
      </c>
      <c r="E268" s="193"/>
      <c r="F268" s="162"/>
      <c r="G268" s="142">
        <v>96572.03</v>
      </c>
      <c r="H268" s="161"/>
      <c r="I268" s="161"/>
      <c r="J268" s="161"/>
      <c r="K268" s="161"/>
      <c r="L268" s="161" t="s">
        <v>1544</v>
      </c>
      <c r="M268" s="161" t="s">
        <v>354</v>
      </c>
      <c r="N268" s="142">
        <v>226.0</v>
      </c>
      <c r="O268" s="161" t="s">
        <v>524</v>
      </c>
      <c r="P268" s="161"/>
      <c r="S268" s="142"/>
      <c r="T268" s="142"/>
      <c r="V268" s="166"/>
      <c r="W268" s="166"/>
      <c r="X268" s="166"/>
      <c r="Y268" s="166"/>
    </row>
    <row r="269" ht="22.5" customHeight="1">
      <c r="A269" s="27" t="s">
        <v>474</v>
      </c>
      <c r="B269" s="162" t="s">
        <v>1590</v>
      </c>
      <c r="C269" s="161"/>
      <c r="D269" s="193"/>
      <c r="E269" s="193"/>
      <c r="F269" s="162"/>
      <c r="G269" s="142">
        <v>22345.0</v>
      </c>
      <c r="H269" s="161"/>
      <c r="I269" s="161"/>
      <c r="J269" s="161"/>
      <c r="K269" s="161"/>
      <c r="L269" s="161" t="s">
        <v>1544</v>
      </c>
      <c r="M269" s="161" t="s">
        <v>354</v>
      </c>
      <c r="N269" s="142">
        <v>234.0</v>
      </c>
      <c r="O269" s="161" t="s">
        <v>437</v>
      </c>
      <c r="P269" s="161"/>
      <c r="S269" s="142"/>
      <c r="T269" s="142"/>
      <c r="V269" s="166"/>
      <c r="W269" s="166"/>
      <c r="X269" s="166"/>
      <c r="Y269" s="166"/>
    </row>
    <row r="270" ht="22.5" customHeight="1">
      <c r="A270" s="161" t="s">
        <v>385</v>
      </c>
      <c r="B270" s="162" t="s">
        <v>1591</v>
      </c>
      <c r="C270" s="4" t="s">
        <v>31</v>
      </c>
      <c r="D270" s="4" t="s">
        <v>371</v>
      </c>
      <c r="E270" s="193"/>
      <c r="F270" s="162"/>
      <c r="G270" s="142">
        <v>2622.38</v>
      </c>
      <c r="H270" s="161"/>
      <c r="I270" s="161"/>
      <c r="J270" s="161"/>
      <c r="K270" s="161"/>
      <c r="L270" s="161" t="s">
        <v>1544</v>
      </c>
      <c r="M270" s="161" t="s">
        <v>354</v>
      </c>
      <c r="N270" s="142">
        <v>237.0</v>
      </c>
      <c r="O270" s="161" t="s">
        <v>385</v>
      </c>
      <c r="P270" s="161"/>
      <c r="S270" s="142"/>
      <c r="T270" s="142"/>
      <c r="V270" s="166"/>
      <c r="W270" s="166"/>
      <c r="X270" s="166"/>
      <c r="Y270" s="166"/>
    </row>
    <row r="271" ht="22.5" customHeight="1">
      <c r="A271" s="161" t="s">
        <v>422</v>
      </c>
      <c r="B271" s="162" t="s">
        <v>1323</v>
      </c>
      <c r="C271" s="2" t="s">
        <v>31</v>
      </c>
      <c r="D271" s="4" t="s">
        <v>371</v>
      </c>
      <c r="E271" s="193"/>
      <c r="F271" s="162"/>
      <c r="G271" s="142">
        <v>5700.83</v>
      </c>
      <c r="H271" s="161"/>
      <c r="I271" s="161"/>
      <c r="J271" s="161"/>
      <c r="K271" s="161"/>
      <c r="L271" s="161" t="s">
        <v>1592</v>
      </c>
      <c r="M271" s="161" t="s">
        <v>408</v>
      </c>
      <c r="N271" s="142">
        <v>186.0</v>
      </c>
      <c r="O271" s="161" t="s">
        <v>422</v>
      </c>
      <c r="P271" s="165"/>
      <c r="S271" s="142"/>
      <c r="T271" s="142"/>
      <c r="V271" s="166"/>
      <c r="W271" s="166"/>
      <c r="X271" s="166"/>
      <c r="Y271" s="166"/>
    </row>
    <row r="272" ht="22.5" customHeight="1">
      <c r="A272" s="27" t="s">
        <v>474</v>
      </c>
      <c r="B272" s="162" t="s">
        <v>1532</v>
      </c>
      <c r="C272" s="161"/>
      <c r="D272" s="193"/>
      <c r="E272" s="193"/>
      <c r="F272" s="162"/>
      <c r="G272" s="142">
        <v>44870.0</v>
      </c>
      <c r="H272" s="161"/>
      <c r="I272" s="161"/>
      <c r="J272" s="161"/>
      <c r="K272" s="161"/>
      <c r="L272" s="161" t="s">
        <v>1544</v>
      </c>
      <c r="M272" s="161" t="s">
        <v>354</v>
      </c>
      <c r="N272" s="142">
        <v>234.0</v>
      </c>
      <c r="O272" s="161" t="s">
        <v>437</v>
      </c>
      <c r="P272" s="161"/>
      <c r="S272" s="142"/>
      <c r="T272" s="142"/>
      <c r="V272" s="166"/>
      <c r="W272" s="166"/>
      <c r="X272" s="166"/>
      <c r="Y272" s="166"/>
    </row>
    <row r="273" ht="22.5" customHeight="1">
      <c r="A273" s="161" t="s">
        <v>18</v>
      </c>
      <c r="B273" s="162" t="s">
        <v>1233</v>
      </c>
      <c r="C273" s="161"/>
      <c r="D273" s="193"/>
      <c r="E273" s="193"/>
      <c r="F273" s="162"/>
      <c r="G273" s="142">
        <v>36196.1</v>
      </c>
      <c r="H273" s="161"/>
      <c r="I273" s="161"/>
      <c r="J273" s="161"/>
      <c r="K273" s="161"/>
      <c r="L273" s="161" t="s">
        <v>1544</v>
      </c>
      <c r="M273" s="161" t="s">
        <v>354</v>
      </c>
      <c r="N273" s="142">
        <v>243.0</v>
      </c>
      <c r="O273" s="161" t="s">
        <v>397</v>
      </c>
      <c r="P273" s="161"/>
      <c r="S273" s="142"/>
      <c r="T273" s="142"/>
      <c r="V273" s="166"/>
      <c r="W273" s="166"/>
      <c r="X273" s="166"/>
      <c r="Y273" s="166"/>
    </row>
    <row r="274" ht="22.5" customHeight="1">
      <c r="A274" s="161" t="s">
        <v>18</v>
      </c>
      <c r="B274" s="162" t="s">
        <v>1233</v>
      </c>
      <c r="C274" s="161"/>
      <c r="D274" s="194"/>
      <c r="E274" s="194"/>
      <c r="F274" s="162"/>
      <c r="G274" s="142">
        <v>36609.01</v>
      </c>
      <c r="H274" s="161"/>
      <c r="I274" s="161"/>
      <c r="J274" s="161"/>
      <c r="K274" s="161"/>
      <c r="L274" s="161" t="s">
        <v>1544</v>
      </c>
      <c r="M274" s="161" t="s">
        <v>354</v>
      </c>
      <c r="N274" s="142">
        <v>243.0</v>
      </c>
      <c r="O274" s="161" t="s">
        <v>397</v>
      </c>
      <c r="P274" s="161"/>
      <c r="S274" s="142"/>
      <c r="T274" s="142"/>
      <c r="V274" s="166"/>
      <c r="W274" s="166"/>
      <c r="X274" s="166"/>
      <c r="Y274" s="166"/>
    </row>
    <row r="275" ht="22.5" customHeight="1">
      <c r="A275" s="161" t="s">
        <v>18</v>
      </c>
      <c r="B275" s="162" t="s">
        <v>1233</v>
      </c>
      <c r="C275" s="161"/>
      <c r="D275" s="193"/>
      <c r="E275" s="193"/>
      <c r="F275" s="162"/>
      <c r="G275" s="142">
        <v>81868.31</v>
      </c>
      <c r="H275" s="161"/>
      <c r="I275" s="161"/>
      <c r="J275" s="161"/>
      <c r="K275" s="161"/>
      <c r="L275" s="161" t="s">
        <v>1544</v>
      </c>
      <c r="M275" s="161" t="s">
        <v>354</v>
      </c>
      <c r="N275" s="142">
        <v>243.0</v>
      </c>
      <c r="O275" s="161" t="s">
        <v>397</v>
      </c>
      <c r="P275" s="161"/>
      <c r="S275" s="142"/>
      <c r="T275" s="142"/>
      <c r="V275" s="166"/>
      <c r="W275" s="166"/>
      <c r="X275" s="166"/>
      <c r="Y275" s="166"/>
    </row>
    <row r="276" ht="22.5" customHeight="1">
      <c r="A276" s="161" t="s">
        <v>474</v>
      </c>
      <c r="B276" s="162" t="s">
        <v>1593</v>
      </c>
      <c r="C276" s="161"/>
      <c r="D276" s="194"/>
      <c r="E276" s="194"/>
      <c r="F276" s="162"/>
      <c r="G276" s="142">
        <v>5000.0</v>
      </c>
      <c r="H276" s="161"/>
      <c r="I276" s="161"/>
      <c r="J276" s="161"/>
      <c r="K276" s="161"/>
      <c r="L276" s="161" t="s">
        <v>1544</v>
      </c>
      <c r="M276" s="161" t="s">
        <v>354</v>
      </c>
      <c r="N276" s="142">
        <v>234.0</v>
      </c>
      <c r="O276" s="161" t="s">
        <v>437</v>
      </c>
      <c r="P276" s="161"/>
      <c r="S276" s="142"/>
      <c r="T276" s="142"/>
      <c r="V276" s="166"/>
      <c r="W276" s="166"/>
      <c r="X276" s="166"/>
      <c r="Y276" s="166"/>
    </row>
    <row r="277" ht="22.5" customHeight="1">
      <c r="A277" s="161" t="s">
        <v>528</v>
      </c>
      <c r="B277" s="162" t="s">
        <v>1294</v>
      </c>
      <c r="C277" s="27" t="s">
        <v>31</v>
      </c>
      <c r="D277" s="12" t="s">
        <v>54</v>
      </c>
      <c r="E277" s="193"/>
      <c r="F277" s="162"/>
      <c r="G277" s="144">
        <v>361.5328889</v>
      </c>
      <c r="H277" s="161"/>
      <c r="I277" s="161"/>
      <c r="J277" s="161"/>
      <c r="K277" s="161"/>
      <c r="L277" s="161" t="s">
        <v>1544</v>
      </c>
      <c r="M277" s="161" t="s">
        <v>354</v>
      </c>
      <c r="N277" s="142">
        <v>246.0</v>
      </c>
      <c r="O277" s="161" t="s">
        <v>493</v>
      </c>
      <c r="P277" s="161"/>
      <c r="S277" s="142"/>
      <c r="T277" s="142"/>
      <c r="V277" s="166"/>
      <c r="W277" s="166"/>
      <c r="X277" s="166"/>
      <c r="Y277" s="166"/>
    </row>
    <row r="278" ht="22.5" customHeight="1">
      <c r="A278" s="161" t="s">
        <v>528</v>
      </c>
      <c r="B278" s="162" t="s">
        <v>1294</v>
      </c>
      <c r="C278" s="27" t="s">
        <v>31</v>
      </c>
      <c r="D278" s="12" t="s">
        <v>98</v>
      </c>
      <c r="E278" s="194"/>
      <c r="F278" s="162"/>
      <c r="G278" s="144">
        <v>25.82377778</v>
      </c>
      <c r="H278" s="161"/>
      <c r="I278" s="161"/>
      <c r="J278" s="161"/>
      <c r="K278" s="161"/>
      <c r="L278" s="161" t="s">
        <v>1544</v>
      </c>
      <c r="M278" s="161" t="s">
        <v>354</v>
      </c>
      <c r="N278" s="142">
        <v>246.0</v>
      </c>
      <c r="O278" s="161" t="s">
        <v>493</v>
      </c>
      <c r="P278" s="161"/>
      <c r="S278" s="142"/>
      <c r="T278" s="142"/>
      <c r="V278" s="166"/>
      <c r="W278" s="166"/>
      <c r="X278" s="166"/>
      <c r="Y278" s="166"/>
    </row>
    <row r="279" ht="22.5" customHeight="1">
      <c r="A279" s="161" t="s">
        <v>528</v>
      </c>
      <c r="B279" s="162" t="s">
        <v>1294</v>
      </c>
      <c r="C279" s="27" t="s">
        <v>20</v>
      </c>
      <c r="D279" s="12" t="s">
        <v>21</v>
      </c>
      <c r="E279" s="194"/>
      <c r="F279" s="162"/>
      <c r="G279" s="144">
        <v>490.6517778</v>
      </c>
      <c r="H279" s="161"/>
      <c r="I279" s="161"/>
      <c r="J279" s="161"/>
      <c r="K279" s="161"/>
      <c r="L279" s="161" t="s">
        <v>1544</v>
      </c>
      <c r="M279" s="161"/>
      <c r="N279" s="142"/>
      <c r="O279" s="161"/>
      <c r="P279" s="161"/>
      <c r="S279" s="142"/>
      <c r="T279" s="142"/>
      <c r="V279" s="166"/>
      <c r="W279" s="166"/>
      <c r="X279" s="166"/>
      <c r="Y279" s="166"/>
    </row>
    <row r="280" ht="22.5" customHeight="1">
      <c r="A280" s="161" t="s">
        <v>528</v>
      </c>
      <c r="B280" s="162" t="s">
        <v>1294</v>
      </c>
      <c r="C280" s="27" t="s">
        <v>31</v>
      </c>
      <c r="D280" s="12" t="s">
        <v>187</v>
      </c>
      <c r="E280" s="194"/>
      <c r="F280" s="162"/>
      <c r="G280" s="144">
        <v>68.86340741</v>
      </c>
      <c r="H280" s="161"/>
      <c r="I280" s="161"/>
      <c r="J280" s="161"/>
      <c r="K280" s="161"/>
      <c r="L280" s="161" t="s">
        <v>1544</v>
      </c>
      <c r="M280" s="161"/>
      <c r="N280" s="142"/>
      <c r="O280" s="161"/>
      <c r="P280" s="161"/>
      <c r="S280" s="142"/>
      <c r="T280" s="142"/>
      <c r="V280" s="166"/>
      <c r="W280" s="166"/>
      <c r="X280" s="166"/>
      <c r="Y280" s="166"/>
    </row>
    <row r="281" ht="22.5" customHeight="1">
      <c r="A281" s="161" t="s">
        <v>528</v>
      </c>
      <c r="B281" s="162" t="s">
        <v>1294</v>
      </c>
      <c r="C281" s="27" t="s">
        <v>31</v>
      </c>
      <c r="D281" s="12" t="s">
        <v>38</v>
      </c>
      <c r="E281" s="194"/>
      <c r="F281" s="162"/>
      <c r="G281" s="144">
        <v>38.73566667</v>
      </c>
      <c r="H281" s="161"/>
      <c r="I281" s="161"/>
      <c r="J281" s="161"/>
      <c r="K281" s="161"/>
      <c r="L281" s="161" t="s">
        <v>1544</v>
      </c>
      <c r="M281" s="161"/>
      <c r="N281" s="142"/>
      <c r="O281" s="161"/>
      <c r="P281" s="161"/>
      <c r="S281" s="142"/>
      <c r="T281" s="142"/>
      <c r="V281" s="166"/>
      <c r="W281" s="166"/>
      <c r="X281" s="166"/>
      <c r="Y281" s="166"/>
    </row>
    <row r="282" ht="22.5" customHeight="1">
      <c r="A282" s="161" t="s">
        <v>528</v>
      </c>
      <c r="B282" s="162" t="s">
        <v>1294</v>
      </c>
      <c r="C282" s="27" t="s">
        <v>31</v>
      </c>
      <c r="D282" s="12" t="s">
        <v>47</v>
      </c>
      <c r="E282" s="194"/>
      <c r="F282" s="162"/>
      <c r="G282" s="144">
        <v>137.7268148</v>
      </c>
      <c r="H282" s="161"/>
      <c r="I282" s="161"/>
      <c r="J282" s="161"/>
      <c r="K282" s="161"/>
      <c r="L282" s="161" t="s">
        <v>1544</v>
      </c>
      <c r="M282" s="161"/>
      <c r="N282" s="142"/>
      <c r="O282" s="161"/>
      <c r="P282" s="161"/>
      <c r="S282" s="142"/>
      <c r="T282" s="142"/>
      <c r="V282" s="166"/>
      <c r="W282" s="166"/>
      <c r="X282" s="166"/>
      <c r="Y282" s="166"/>
    </row>
    <row r="283" ht="22.5" customHeight="1">
      <c r="A283" s="161" t="s">
        <v>528</v>
      </c>
      <c r="B283" s="162" t="s">
        <v>1294</v>
      </c>
      <c r="C283" s="27" t="s">
        <v>31</v>
      </c>
      <c r="D283" s="12" t="s">
        <v>113</v>
      </c>
      <c r="E283" s="194"/>
      <c r="F283" s="162"/>
      <c r="G283" s="144">
        <v>38.73566667</v>
      </c>
      <c r="H283" s="161"/>
      <c r="I283" s="161"/>
      <c r="J283" s="161"/>
      <c r="K283" s="161"/>
      <c r="L283" s="161" t="s">
        <v>1544</v>
      </c>
      <c r="M283" s="161"/>
      <c r="N283" s="142"/>
      <c r="O283" s="161"/>
      <c r="P283" s="161"/>
      <c r="S283" s="142"/>
      <c r="T283" s="142"/>
      <c r="V283" s="166"/>
      <c r="W283" s="166"/>
      <c r="X283" s="166"/>
      <c r="Y283" s="166"/>
    </row>
    <row r="284" ht="22.5" customHeight="1">
      <c r="A284" s="161" t="s">
        <v>528</v>
      </c>
      <c r="B284" s="162" t="s">
        <v>1295</v>
      </c>
      <c r="C284" s="27" t="s">
        <v>31</v>
      </c>
      <c r="D284" s="12" t="s">
        <v>54</v>
      </c>
      <c r="E284" s="193"/>
      <c r="F284" s="162"/>
      <c r="G284" s="144">
        <v>275.9617778</v>
      </c>
      <c r="H284" s="161"/>
      <c r="I284" s="161"/>
      <c r="J284" s="161"/>
      <c r="K284" s="161"/>
      <c r="L284" s="161" t="s">
        <v>1544</v>
      </c>
      <c r="M284" s="161" t="s">
        <v>354</v>
      </c>
      <c r="N284" s="142">
        <v>246.0</v>
      </c>
      <c r="O284" s="161" t="s">
        <v>493</v>
      </c>
      <c r="P284" s="161"/>
      <c r="S284" s="142"/>
      <c r="T284" s="142"/>
      <c r="V284" s="166"/>
      <c r="W284" s="166"/>
      <c r="X284" s="166"/>
      <c r="Y284" s="166"/>
    </row>
    <row r="285" ht="22.5" customHeight="1">
      <c r="A285" s="161" t="s">
        <v>528</v>
      </c>
      <c r="B285" s="162" t="s">
        <v>1295</v>
      </c>
      <c r="C285" s="27" t="s">
        <v>31</v>
      </c>
      <c r="D285" s="12" t="s">
        <v>98</v>
      </c>
      <c r="E285" s="194"/>
      <c r="F285" s="162"/>
      <c r="G285" s="144">
        <v>19.71155556</v>
      </c>
      <c r="H285" s="161"/>
      <c r="I285" s="161"/>
      <c r="J285" s="161"/>
      <c r="K285" s="161"/>
      <c r="L285" s="161" t="s">
        <v>1544</v>
      </c>
      <c r="M285" s="161" t="s">
        <v>354</v>
      </c>
      <c r="N285" s="142">
        <v>246.0</v>
      </c>
      <c r="O285" s="161" t="s">
        <v>493</v>
      </c>
      <c r="P285" s="161"/>
      <c r="S285" s="142"/>
      <c r="T285" s="142"/>
      <c r="V285" s="166"/>
      <c r="W285" s="166"/>
      <c r="X285" s="166"/>
      <c r="Y285" s="166"/>
    </row>
    <row r="286" ht="22.5" customHeight="1">
      <c r="A286" s="161" t="s">
        <v>528</v>
      </c>
      <c r="B286" s="162" t="s">
        <v>1594</v>
      </c>
      <c r="C286" s="27" t="s">
        <v>20</v>
      </c>
      <c r="D286" s="12" t="s">
        <v>21</v>
      </c>
      <c r="E286" s="193"/>
      <c r="F286" s="162"/>
      <c r="G286" s="144">
        <v>374.5195556</v>
      </c>
      <c r="H286" s="161"/>
      <c r="I286" s="161"/>
      <c r="J286" s="161"/>
      <c r="K286" s="161"/>
      <c r="L286" s="161" t="s">
        <v>1544</v>
      </c>
      <c r="M286" s="161" t="s">
        <v>354</v>
      </c>
      <c r="N286" s="142">
        <v>246.0</v>
      </c>
      <c r="O286" s="161" t="s">
        <v>493</v>
      </c>
      <c r="P286" s="161"/>
      <c r="S286" s="142"/>
      <c r="T286" s="142"/>
      <c r="V286" s="166"/>
      <c r="W286" s="166"/>
      <c r="X286" s="166"/>
      <c r="Y286" s="166"/>
    </row>
    <row r="287" ht="22.5" customHeight="1">
      <c r="A287" s="161" t="s">
        <v>528</v>
      </c>
      <c r="B287" s="162" t="s">
        <v>1594</v>
      </c>
      <c r="C287" s="27" t="s">
        <v>31</v>
      </c>
      <c r="D287" s="12" t="s">
        <v>187</v>
      </c>
      <c r="E287" s="194"/>
      <c r="F287" s="162"/>
      <c r="G287" s="144">
        <v>52.56414815</v>
      </c>
      <c r="H287" s="161"/>
      <c r="I287" s="161"/>
      <c r="J287" s="161"/>
      <c r="K287" s="161"/>
      <c r="L287" s="161" t="s">
        <v>1544</v>
      </c>
      <c r="M287" s="161" t="s">
        <v>354</v>
      </c>
      <c r="N287" s="142">
        <v>246.0</v>
      </c>
      <c r="O287" s="161" t="s">
        <v>493</v>
      </c>
      <c r="P287" s="161"/>
      <c r="S287" s="142"/>
      <c r="T287" s="142"/>
      <c r="V287" s="166"/>
      <c r="W287" s="166"/>
      <c r="X287" s="166"/>
      <c r="Y287" s="166"/>
    </row>
    <row r="288" ht="22.5" customHeight="1">
      <c r="A288" s="161" t="s">
        <v>528</v>
      </c>
      <c r="B288" s="162" t="s">
        <v>1594</v>
      </c>
      <c r="C288" s="27" t="s">
        <v>31</v>
      </c>
      <c r="D288" s="12" t="s">
        <v>38</v>
      </c>
      <c r="E288" s="193"/>
      <c r="F288" s="162"/>
      <c r="G288" s="144">
        <v>29.56733333</v>
      </c>
      <c r="H288" s="161"/>
      <c r="I288" s="161"/>
      <c r="J288" s="161"/>
      <c r="K288" s="161"/>
      <c r="L288" s="161" t="s">
        <v>1544</v>
      </c>
      <c r="M288" s="161" t="s">
        <v>354</v>
      </c>
      <c r="N288" s="142">
        <v>246.0</v>
      </c>
      <c r="O288" s="161" t="s">
        <v>493</v>
      </c>
      <c r="P288" s="161"/>
      <c r="S288" s="142"/>
      <c r="T288" s="142"/>
      <c r="V288" s="166"/>
      <c r="W288" s="166"/>
      <c r="X288" s="166"/>
      <c r="Y288" s="166"/>
    </row>
    <row r="289" ht="22.5" customHeight="1">
      <c r="A289" s="161" t="s">
        <v>528</v>
      </c>
      <c r="B289" s="162" t="s">
        <v>1594</v>
      </c>
      <c r="C289" s="27" t="s">
        <v>31</v>
      </c>
      <c r="D289" s="12" t="s">
        <v>47</v>
      </c>
      <c r="E289" s="193"/>
      <c r="F289" s="162"/>
      <c r="G289" s="144">
        <v>105.1282963</v>
      </c>
      <c r="H289" s="161"/>
      <c r="I289" s="161"/>
      <c r="J289" s="161"/>
      <c r="K289" s="161"/>
      <c r="L289" s="161" t="s">
        <v>1544</v>
      </c>
      <c r="M289" s="161"/>
      <c r="N289" s="142"/>
      <c r="O289" s="161"/>
      <c r="P289" s="161"/>
      <c r="S289" s="142"/>
      <c r="T289" s="142"/>
      <c r="V289" s="166"/>
      <c r="W289" s="166"/>
      <c r="X289" s="166"/>
      <c r="Y289" s="166"/>
    </row>
    <row r="290" ht="22.5" customHeight="1">
      <c r="A290" s="161" t="s">
        <v>528</v>
      </c>
      <c r="B290" s="162" t="s">
        <v>1594</v>
      </c>
      <c r="C290" s="27" t="s">
        <v>31</v>
      </c>
      <c r="D290" s="12" t="s">
        <v>113</v>
      </c>
      <c r="E290" s="193"/>
      <c r="F290" s="162"/>
      <c r="G290" s="144">
        <v>29.56733333</v>
      </c>
      <c r="H290" s="161"/>
      <c r="I290" s="161"/>
      <c r="J290" s="161"/>
      <c r="K290" s="161"/>
      <c r="L290" s="161" t="s">
        <v>1544</v>
      </c>
      <c r="M290" s="161"/>
      <c r="N290" s="142"/>
      <c r="O290" s="161"/>
      <c r="P290" s="161"/>
      <c r="S290" s="142"/>
      <c r="T290" s="142"/>
      <c r="V290" s="166"/>
      <c r="W290" s="166"/>
      <c r="X290" s="166"/>
      <c r="Y290" s="166"/>
    </row>
    <row r="291" ht="22.5" customHeight="1">
      <c r="A291" s="161" t="s">
        <v>349</v>
      </c>
      <c r="B291" s="162" t="s">
        <v>1595</v>
      </c>
      <c r="C291" s="161"/>
      <c r="D291" s="193"/>
      <c r="E291" s="193"/>
      <c r="F291" s="162"/>
      <c r="G291" s="142">
        <v>93704.86</v>
      </c>
      <c r="H291" s="161"/>
      <c r="I291" s="161"/>
      <c r="J291" s="161"/>
      <c r="K291" s="161"/>
      <c r="L291" s="161" t="s">
        <v>1544</v>
      </c>
      <c r="M291" s="161" t="s">
        <v>354</v>
      </c>
      <c r="N291" s="142">
        <v>223.0</v>
      </c>
      <c r="O291" s="161" t="s">
        <v>536</v>
      </c>
      <c r="P291" s="161"/>
      <c r="S291" s="142"/>
      <c r="T291" s="142"/>
      <c r="V291" s="166"/>
      <c r="W291" s="166"/>
      <c r="X291" s="166"/>
      <c r="Y291" s="166"/>
    </row>
    <row r="292" ht="22.5" customHeight="1">
      <c r="A292" s="161" t="s">
        <v>349</v>
      </c>
      <c r="B292" s="162" t="s">
        <v>1537</v>
      </c>
      <c r="C292" s="161" t="s">
        <v>20</v>
      </c>
      <c r="D292" s="194"/>
      <c r="E292" s="194"/>
      <c r="F292" s="162"/>
      <c r="G292" s="142">
        <v>62593.46</v>
      </c>
      <c r="H292" s="161"/>
      <c r="I292" s="161"/>
      <c r="J292" s="161"/>
      <c r="K292" s="161"/>
      <c r="L292" s="161" t="s">
        <v>1544</v>
      </c>
      <c r="M292" s="161" t="s">
        <v>354</v>
      </c>
      <c r="N292" s="142">
        <v>224.0</v>
      </c>
      <c r="O292" s="161" t="s">
        <v>377</v>
      </c>
      <c r="P292" s="161"/>
      <c r="S292" s="142"/>
      <c r="T292" s="142"/>
      <c r="V292" s="166"/>
      <c r="W292" s="166"/>
      <c r="X292" s="166"/>
      <c r="Y292" s="166"/>
    </row>
    <row r="293" ht="22.5" customHeight="1">
      <c r="A293" s="161" t="s">
        <v>18</v>
      </c>
      <c r="B293" s="162" t="s">
        <v>1186</v>
      </c>
      <c r="C293" s="161"/>
      <c r="D293" s="194"/>
      <c r="E293" s="194"/>
      <c r="F293" s="162"/>
      <c r="G293" s="142">
        <v>4200.0</v>
      </c>
      <c r="H293" s="161"/>
      <c r="I293" s="161"/>
      <c r="J293" s="161"/>
      <c r="K293" s="161"/>
      <c r="L293" s="161" t="s">
        <v>1544</v>
      </c>
      <c r="M293" s="161" t="s">
        <v>354</v>
      </c>
      <c r="N293" s="142">
        <v>243.0</v>
      </c>
      <c r="O293" s="161" t="s">
        <v>397</v>
      </c>
      <c r="P293" s="161"/>
      <c r="S293" s="142"/>
      <c r="T293" s="142"/>
      <c r="V293" s="166"/>
      <c r="W293" s="166"/>
      <c r="X293" s="166"/>
      <c r="Y293" s="166"/>
    </row>
    <row r="294" ht="22.5" customHeight="1">
      <c r="A294" s="161" t="s">
        <v>18</v>
      </c>
      <c r="B294" s="162" t="s">
        <v>1186</v>
      </c>
      <c r="C294" s="161"/>
      <c r="D294" s="193"/>
      <c r="E294" s="193"/>
      <c r="F294" s="162"/>
      <c r="G294" s="142">
        <v>5946.34</v>
      </c>
      <c r="H294" s="161"/>
      <c r="I294" s="161"/>
      <c r="J294" s="161"/>
      <c r="K294" s="161"/>
      <c r="L294" s="161" t="s">
        <v>1544</v>
      </c>
      <c r="M294" s="161" t="s">
        <v>354</v>
      </c>
      <c r="N294" s="142">
        <v>243.0</v>
      </c>
      <c r="O294" s="161" t="s">
        <v>397</v>
      </c>
      <c r="P294" s="161"/>
      <c r="S294" s="142"/>
      <c r="T294" s="142"/>
      <c r="V294" s="166"/>
      <c r="W294" s="166"/>
      <c r="X294" s="166"/>
      <c r="Y294" s="166"/>
    </row>
    <row r="295" ht="22.5" customHeight="1">
      <c r="A295" s="161" t="s">
        <v>18</v>
      </c>
      <c r="B295" s="162" t="s">
        <v>1186</v>
      </c>
      <c r="C295" s="161"/>
      <c r="D295" s="194"/>
      <c r="E295" s="194"/>
      <c r="F295" s="162"/>
      <c r="G295" s="142">
        <v>9589.43</v>
      </c>
      <c r="H295" s="161"/>
      <c r="I295" s="161"/>
      <c r="J295" s="161"/>
      <c r="K295" s="161"/>
      <c r="L295" s="161" t="s">
        <v>1544</v>
      </c>
      <c r="M295" s="161" t="s">
        <v>354</v>
      </c>
      <c r="N295" s="142">
        <v>243.0</v>
      </c>
      <c r="O295" s="161" t="s">
        <v>397</v>
      </c>
      <c r="P295" s="161"/>
      <c r="S295" s="142"/>
      <c r="T295" s="142"/>
      <c r="V295" s="166"/>
      <c r="W295" s="166"/>
      <c r="X295" s="166"/>
      <c r="Y295" s="166"/>
    </row>
    <row r="296" ht="22.5" customHeight="1">
      <c r="A296" s="161" t="s">
        <v>18</v>
      </c>
      <c r="B296" s="162" t="s">
        <v>1186</v>
      </c>
      <c r="C296" s="161"/>
      <c r="D296" s="193"/>
      <c r="E296" s="193"/>
      <c r="F296" s="162"/>
      <c r="G296" s="142">
        <v>13107.29</v>
      </c>
      <c r="H296" s="161"/>
      <c r="I296" s="161"/>
      <c r="J296" s="161"/>
      <c r="K296" s="161"/>
      <c r="L296" s="161" t="s">
        <v>1544</v>
      </c>
      <c r="M296" s="161" t="s">
        <v>354</v>
      </c>
      <c r="N296" s="142">
        <v>243.0</v>
      </c>
      <c r="O296" s="161" t="s">
        <v>397</v>
      </c>
      <c r="P296" s="161"/>
      <c r="S296" s="142"/>
      <c r="T296" s="142"/>
      <c r="V296" s="166"/>
      <c r="W296" s="166"/>
      <c r="X296" s="166"/>
      <c r="Y296" s="166"/>
    </row>
    <row r="297" ht="22.5" customHeight="1">
      <c r="A297" s="161" t="s">
        <v>18</v>
      </c>
      <c r="B297" s="162" t="s">
        <v>1186</v>
      </c>
      <c r="C297" s="161"/>
      <c r="D297" s="194"/>
      <c r="E297" s="194"/>
      <c r="F297" s="162"/>
      <c r="G297" s="142">
        <v>51405.61</v>
      </c>
      <c r="H297" s="161"/>
      <c r="I297" s="161"/>
      <c r="J297" s="161"/>
      <c r="K297" s="161"/>
      <c r="L297" s="161" t="s">
        <v>1544</v>
      </c>
      <c r="M297" s="161" t="s">
        <v>354</v>
      </c>
      <c r="N297" s="142">
        <v>243.0</v>
      </c>
      <c r="O297" s="161" t="s">
        <v>397</v>
      </c>
      <c r="P297" s="161"/>
      <c r="S297" s="142"/>
      <c r="T297" s="142"/>
      <c r="V297" s="166"/>
      <c r="W297" s="166"/>
      <c r="X297" s="166"/>
      <c r="Y297" s="166"/>
    </row>
    <row r="298" ht="22.5" customHeight="1">
      <c r="A298" s="161" t="s">
        <v>18</v>
      </c>
      <c r="B298" s="162" t="s">
        <v>1186</v>
      </c>
      <c r="C298" s="161"/>
      <c r="D298" s="193"/>
      <c r="E298" s="193"/>
      <c r="F298" s="162"/>
      <c r="G298" s="142">
        <v>227957.34</v>
      </c>
      <c r="H298" s="161"/>
      <c r="I298" s="161"/>
      <c r="J298" s="161"/>
      <c r="K298" s="161"/>
      <c r="L298" s="161" t="s">
        <v>1544</v>
      </c>
      <c r="M298" s="161" t="s">
        <v>354</v>
      </c>
      <c r="N298" s="142">
        <v>243.0</v>
      </c>
      <c r="O298" s="161" t="s">
        <v>397</v>
      </c>
      <c r="P298" s="161"/>
      <c r="S298" s="142"/>
      <c r="T298" s="142"/>
      <c r="V298" s="166"/>
      <c r="W298" s="166"/>
      <c r="X298" s="166"/>
      <c r="Y298" s="166"/>
    </row>
    <row r="299" ht="22.5" customHeight="1">
      <c r="A299" s="161" t="s">
        <v>18</v>
      </c>
      <c r="B299" s="162" t="s">
        <v>1186</v>
      </c>
      <c r="C299" s="161"/>
      <c r="D299" s="194"/>
      <c r="E299" s="194"/>
      <c r="F299" s="162"/>
      <c r="G299" s="142">
        <v>248074.98</v>
      </c>
      <c r="H299" s="161"/>
      <c r="I299" s="161"/>
      <c r="J299" s="161"/>
      <c r="K299" s="161"/>
      <c r="L299" s="161" t="s">
        <v>1544</v>
      </c>
      <c r="M299" s="161" t="s">
        <v>354</v>
      </c>
      <c r="N299" s="142">
        <v>243.0</v>
      </c>
      <c r="O299" s="161" t="s">
        <v>397</v>
      </c>
      <c r="P299" s="161"/>
      <c r="S299" s="142"/>
      <c r="T299" s="142"/>
      <c r="V299" s="166"/>
      <c r="W299" s="166"/>
      <c r="X299" s="166"/>
      <c r="Y299" s="166"/>
    </row>
    <row r="300" ht="22.5" customHeight="1">
      <c r="A300" s="161" t="s">
        <v>467</v>
      </c>
      <c r="B300" s="162" t="s">
        <v>1348</v>
      </c>
      <c r="C300" s="2" t="s">
        <v>20</v>
      </c>
      <c r="D300" s="4" t="s">
        <v>371</v>
      </c>
      <c r="E300" s="194"/>
      <c r="F300" s="162"/>
      <c r="G300" s="142">
        <v>8814.88</v>
      </c>
      <c r="H300" s="161"/>
      <c r="I300" s="161"/>
      <c r="J300" s="161"/>
      <c r="K300" s="161"/>
      <c r="L300" s="161" t="s">
        <v>1544</v>
      </c>
      <c r="M300" s="161" t="s">
        <v>354</v>
      </c>
      <c r="N300" s="142">
        <v>225.0</v>
      </c>
      <c r="O300" s="161" t="s">
        <v>467</v>
      </c>
      <c r="P300" s="161"/>
      <c r="S300" s="142"/>
      <c r="T300" s="142"/>
      <c r="V300" s="166"/>
      <c r="W300" s="166"/>
      <c r="X300" s="166"/>
      <c r="Y300" s="166"/>
    </row>
    <row r="301" ht="22.5" customHeight="1">
      <c r="A301" s="161" t="s">
        <v>474</v>
      </c>
      <c r="B301" s="162" t="s">
        <v>1596</v>
      </c>
      <c r="C301" s="161"/>
      <c r="D301" s="194"/>
      <c r="E301" s="194"/>
      <c r="F301" s="162"/>
      <c r="G301" s="142">
        <v>8555.55</v>
      </c>
      <c r="H301" s="161"/>
      <c r="I301" s="161"/>
      <c r="J301" s="161"/>
      <c r="K301" s="161"/>
      <c r="L301" s="161" t="s">
        <v>1544</v>
      </c>
      <c r="M301" s="161" t="s">
        <v>354</v>
      </c>
      <c r="N301" s="142">
        <v>239.0</v>
      </c>
      <c r="O301" s="161" t="s">
        <v>393</v>
      </c>
      <c r="P301" s="161"/>
      <c r="S301" s="142"/>
      <c r="T301" s="142"/>
      <c r="V301" s="166"/>
      <c r="W301" s="166"/>
      <c r="X301" s="166"/>
      <c r="Y301" s="166"/>
    </row>
    <row r="302" ht="22.5" customHeight="1">
      <c r="A302" s="161" t="s">
        <v>357</v>
      </c>
      <c r="B302" s="162" t="s">
        <v>1300</v>
      </c>
      <c r="C302" s="27" t="s">
        <v>31</v>
      </c>
      <c r="D302" s="12" t="s">
        <v>54</v>
      </c>
      <c r="E302" s="194"/>
      <c r="F302" s="162"/>
      <c r="G302" s="144">
        <v>772.3333333</v>
      </c>
      <c r="H302" s="161"/>
      <c r="I302" s="161"/>
      <c r="J302" s="161"/>
      <c r="K302" s="161"/>
      <c r="L302" s="161" t="s">
        <v>1544</v>
      </c>
      <c r="M302" s="161" t="s">
        <v>354</v>
      </c>
      <c r="N302" s="142">
        <v>227.0</v>
      </c>
      <c r="O302" s="161" t="s">
        <v>357</v>
      </c>
      <c r="P302" s="161"/>
      <c r="S302" s="142"/>
      <c r="T302" s="142"/>
      <c r="V302" s="166"/>
      <c r="W302" s="166"/>
      <c r="X302" s="166"/>
      <c r="Y302" s="166"/>
    </row>
    <row r="303" ht="22.5" customHeight="1">
      <c r="A303" s="161" t="s">
        <v>357</v>
      </c>
      <c r="B303" s="162" t="s">
        <v>1300</v>
      </c>
      <c r="C303" s="27" t="s">
        <v>31</v>
      </c>
      <c r="D303" s="12" t="s">
        <v>98</v>
      </c>
      <c r="E303" s="193"/>
      <c r="F303" s="162"/>
      <c r="G303" s="144">
        <v>55.16666667</v>
      </c>
      <c r="H303" s="161"/>
      <c r="I303" s="161"/>
      <c r="J303" s="161"/>
      <c r="K303" s="161"/>
      <c r="L303" s="161" t="s">
        <v>1544</v>
      </c>
      <c r="M303" s="161" t="s">
        <v>354</v>
      </c>
      <c r="N303" s="142">
        <v>227.0</v>
      </c>
      <c r="O303" s="161" t="s">
        <v>357</v>
      </c>
      <c r="P303" s="161"/>
      <c r="S303" s="142"/>
      <c r="T303" s="142"/>
      <c r="V303" s="166"/>
      <c r="W303" s="166"/>
      <c r="X303" s="166"/>
      <c r="Y303" s="166"/>
    </row>
    <row r="304" ht="22.5" customHeight="1">
      <c r="A304" s="161" t="s">
        <v>357</v>
      </c>
      <c r="B304" s="162" t="s">
        <v>1300</v>
      </c>
      <c r="C304" s="27" t="s">
        <v>20</v>
      </c>
      <c r="D304" s="12" t="s">
        <v>21</v>
      </c>
      <c r="E304" s="193"/>
      <c r="F304" s="162"/>
      <c r="G304" s="144">
        <v>1048.166667</v>
      </c>
      <c r="H304" s="161"/>
      <c r="I304" s="161"/>
      <c r="J304" s="161"/>
      <c r="K304" s="161"/>
      <c r="L304" s="161" t="s">
        <v>1544</v>
      </c>
      <c r="M304" s="161"/>
      <c r="N304" s="142"/>
      <c r="O304" s="161"/>
      <c r="P304" s="161"/>
      <c r="S304" s="142"/>
      <c r="T304" s="142"/>
      <c r="V304" s="166"/>
      <c r="W304" s="166"/>
      <c r="X304" s="166"/>
      <c r="Y304" s="166"/>
    </row>
    <row r="305" ht="22.5" customHeight="1">
      <c r="A305" s="161" t="s">
        <v>357</v>
      </c>
      <c r="B305" s="162" t="s">
        <v>1300</v>
      </c>
      <c r="C305" s="27" t="s">
        <v>31</v>
      </c>
      <c r="D305" s="12" t="s">
        <v>187</v>
      </c>
      <c r="E305" s="193"/>
      <c r="F305" s="162"/>
      <c r="G305" s="144">
        <v>147.1111111</v>
      </c>
      <c r="H305" s="161"/>
      <c r="I305" s="161"/>
      <c r="J305" s="161"/>
      <c r="K305" s="161"/>
      <c r="L305" s="161" t="s">
        <v>1544</v>
      </c>
      <c r="M305" s="161"/>
      <c r="N305" s="142"/>
      <c r="O305" s="161"/>
      <c r="P305" s="161"/>
      <c r="S305" s="142"/>
      <c r="T305" s="142"/>
      <c r="V305" s="166"/>
      <c r="W305" s="166"/>
      <c r="X305" s="166"/>
      <c r="Y305" s="166"/>
    </row>
    <row r="306" ht="22.5" customHeight="1">
      <c r="A306" s="161" t="s">
        <v>357</v>
      </c>
      <c r="B306" s="162" t="s">
        <v>1300</v>
      </c>
      <c r="C306" s="27" t="s">
        <v>31</v>
      </c>
      <c r="D306" s="12" t="s">
        <v>38</v>
      </c>
      <c r="E306" s="193"/>
      <c r="F306" s="162"/>
      <c r="G306" s="144">
        <v>82.75</v>
      </c>
      <c r="H306" s="161"/>
      <c r="I306" s="161"/>
      <c r="J306" s="161"/>
      <c r="K306" s="161"/>
      <c r="L306" s="161" t="s">
        <v>1544</v>
      </c>
      <c r="M306" s="161"/>
      <c r="N306" s="142"/>
      <c r="O306" s="161"/>
      <c r="P306" s="161"/>
      <c r="S306" s="142"/>
      <c r="T306" s="142"/>
      <c r="V306" s="166"/>
      <c r="W306" s="166"/>
      <c r="X306" s="166"/>
      <c r="Y306" s="166"/>
    </row>
    <row r="307" ht="22.5" customHeight="1">
      <c r="A307" s="161" t="s">
        <v>357</v>
      </c>
      <c r="B307" s="162" t="s">
        <v>1300</v>
      </c>
      <c r="C307" s="27" t="s">
        <v>31</v>
      </c>
      <c r="D307" s="12" t="s">
        <v>47</v>
      </c>
      <c r="E307" s="193"/>
      <c r="F307" s="162"/>
      <c r="G307" s="144">
        <v>294.2222222</v>
      </c>
      <c r="H307" s="161"/>
      <c r="I307" s="161"/>
      <c r="J307" s="161"/>
      <c r="K307" s="161"/>
      <c r="L307" s="161" t="s">
        <v>1544</v>
      </c>
      <c r="M307" s="161"/>
      <c r="N307" s="142"/>
      <c r="O307" s="161"/>
      <c r="P307" s="161"/>
      <c r="S307" s="142"/>
      <c r="T307" s="142"/>
      <c r="V307" s="166"/>
      <c r="W307" s="166"/>
      <c r="X307" s="166"/>
      <c r="Y307" s="166"/>
    </row>
    <row r="308" ht="22.5" customHeight="1">
      <c r="A308" s="161" t="s">
        <v>357</v>
      </c>
      <c r="B308" s="162" t="s">
        <v>1300</v>
      </c>
      <c r="C308" s="27" t="s">
        <v>31</v>
      </c>
      <c r="D308" s="12" t="s">
        <v>113</v>
      </c>
      <c r="E308" s="193"/>
      <c r="F308" s="162"/>
      <c r="G308" s="144">
        <v>82.75</v>
      </c>
      <c r="H308" s="161"/>
      <c r="I308" s="161"/>
      <c r="J308" s="161"/>
      <c r="K308" s="161"/>
      <c r="L308" s="161" t="s">
        <v>1544</v>
      </c>
      <c r="M308" s="161"/>
      <c r="N308" s="142"/>
      <c r="O308" s="161"/>
      <c r="P308" s="161"/>
      <c r="S308" s="142"/>
      <c r="T308" s="142"/>
      <c r="V308" s="166"/>
      <c r="W308" s="166"/>
      <c r="X308" s="166"/>
      <c r="Y308" s="166"/>
    </row>
    <row r="309" ht="22.5" customHeight="1">
      <c r="A309" s="161" t="s">
        <v>389</v>
      </c>
      <c r="B309" s="162" t="s">
        <v>1538</v>
      </c>
      <c r="C309" s="4" t="s">
        <v>20</v>
      </c>
      <c r="D309" s="4" t="s">
        <v>21</v>
      </c>
      <c r="E309" s="194"/>
      <c r="F309" s="162"/>
      <c r="G309" s="142">
        <v>25813.05</v>
      </c>
      <c r="H309" s="161"/>
      <c r="I309" s="161"/>
      <c r="J309" s="161"/>
      <c r="K309" s="161"/>
      <c r="L309" s="161" t="s">
        <v>1597</v>
      </c>
      <c r="M309" s="161" t="s">
        <v>408</v>
      </c>
      <c r="N309" s="142">
        <v>15.0</v>
      </c>
      <c r="O309" s="161" t="s">
        <v>422</v>
      </c>
      <c r="P309" s="161"/>
      <c r="S309" s="142"/>
      <c r="T309" s="142"/>
      <c r="V309" s="166"/>
      <c r="W309" s="166"/>
      <c r="X309" s="166"/>
      <c r="Y309" s="166"/>
    </row>
    <row r="310" ht="22.5" customHeight="1">
      <c r="A310" s="161" t="s">
        <v>474</v>
      </c>
      <c r="B310" s="162" t="s">
        <v>1539</v>
      </c>
      <c r="C310" s="161"/>
      <c r="D310" s="193"/>
      <c r="E310" s="193"/>
      <c r="F310" s="162"/>
      <c r="G310" s="142">
        <v>6500.0</v>
      </c>
      <c r="H310" s="161"/>
      <c r="I310" s="161"/>
      <c r="J310" s="161"/>
      <c r="K310" s="161"/>
      <c r="L310" s="161" t="s">
        <v>1544</v>
      </c>
      <c r="M310" s="161" t="s">
        <v>354</v>
      </c>
      <c r="N310" s="142">
        <v>239.0</v>
      </c>
      <c r="O310" s="161" t="s">
        <v>393</v>
      </c>
      <c r="P310" s="161"/>
      <c r="S310" s="142"/>
      <c r="T310" s="142"/>
      <c r="V310" s="166"/>
      <c r="W310" s="166"/>
      <c r="X310" s="166"/>
      <c r="Y310" s="166"/>
    </row>
    <row r="311" ht="22.5" customHeight="1">
      <c r="A311" s="161" t="s">
        <v>508</v>
      </c>
      <c r="B311" s="162" t="s">
        <v>1309</v>
      </c>
      <c r="C311" s="4" t="s">
        <v>20</v>
      </c>
      <c r="D311" s="4" t="s">
        <v>21</v>
      </c>
      <c r="E311" s="194"/>
      <c r="F311" s="162"/>
      <c r="G311" s="142">
        <v>1186.68</v>
      </c>
      <c r="H311" s="161"/>
      <c r="I311" s="161"/>
      <c r="J311" s="161"/>
      <c r="K311" s="161"/>
      <c r="L311" s="161" t="s">
        <v>1544</v>
      </c>
      <c r="M311" s="161" t="s">
        <v>354</v>
      </c>
      <c r="N311" s="142">
        <v>241.0</v>
      </c>
      <c r="O311" s="161" t="s">
        <v>475</v>
      </c>
      <c r="P311" s="161"/>
      <c r="S311" s="142"/>
      <c r="T311" s="142"/>
      <c r="V311" s="166"/>
      <c r="W311" s="166"/>
      <c r="X311" s="166"/>
      <c r="Y311" s="166"/>
    </row>
    <row r="312" ht="22.5" customHeight="1">
      <c r="A312" s="161" t="s">
        <v>508</v>
      </c>
      <c r="B312" s="162" t="s">
        <v>1309</v>
      </c>
      <c r="C312" s="4" t="s">
        <v>20</v>
      </c>
      <c r="D312" s="4" t="s">
        <v>21</v>
      </c>
      <c r="E312" s="194"/>
      <c r="F312" s="162"/>
      <c r="G312" s="142">
        <v>13957.5</v>
      </c>
      <c r="H312" s="161"/>
      <c r="I312" s="161"/>
      <c r="J312" s="161"/>
      <c r="K312" s="161"/>
      <c r="L312" s="161" t="s">
        <v>1544</v>
      </c>
      <c r="M312" s="161" t="s">
        <v>354</v>
      </c>
      <c r="N312" s="142">
        <v>241.0</v>
      </c>
      <c r="O312" s="161" t="s">
        <v>475</v>
      </c>
      <c r="P312" s="161"/>
      <c r="S312" s="142"/>
      <c r="T312" s="142"/>
      <c r="V312" s="166"/>
      <c r="W312" s="166"/>
      <c r="X312" s="166"/>
      <c r="Y312" s="166"/>
    </row>
    <row r="313" ht="22.5" customHeight="1">
      <c r="A313" s="27" t="s">
        <v>403</v>
      </c>
      <c r="B313" s="162" t="s">
        <v>1598</v>
      </c>
      <c r="C313" s="27" t="s">
        <v>31</v>
      </c>
      <c r="D313" s="170" t="s">
        <v>187</v>
      </c>
      <c r="E313" s="193"/>
      <c r="F313" s="162"/>
      <c r="G313" s="142">
        <v>4958.17</v>
      </c>
      <c r="H313" s="161"/>
      <c r="I313" s="161"/>
      <c r="J313" s="161"/>
      <c r="K313" s="161"/>
      <c r="L313" s="161" t="s">
        <v>1587</v>
      </c>
      <c r="M313" s="161" t="s">
        <v>408</v>
      </c>
      <c r="N313" s="142">
        <v>252.0</v>
      </c>
      <c r="O313" s="161" t="s">
        <v>459</v>
      </c>
      <c r="P313" s="161"/>
      <c r="S313" s="142"/>
      <c r="T313" s="142"/>
      <c r="V313" s="166"/>
      <c r="W313" s="166"/>
      <c r="X313" s="166"/>
      <c r="Y313" s="166"/>
    </row>
    <row r="314" ht="22.5" customHeight="1">
      <c r="A314" s="27" t="s">
        <v>395</v>
      </c>
      <c r="B314" s="162" t="s">
        <v>1599</v>
      </c>
      <c r="C314" s="27" t="s">
        <v>20</v>
      </c>
      <c r="D314" s="4" t="s">
        <v>21</v>
      </c>
      <c r="E314" s="193"/>
      <c r="F314" s="162"/>
      <c r="G314" s="142">
        <v>33631.02</v>
      </c>
      <c r="H314" s="161"/>
      <c r="I314" s="161"/>
      <c r="J314" s="161"/>
      <c r="K314" s="161"/>
      <c r="L314" s="161" t="s">
        <v>1600</v>
      </c>
      <c r="M314" s="161" t="s">
        <v>408</v>
      </c>
      <c r="N314" s="142">
        <v>293.0</v>
      </c>
      <c r="O314" s="161" t="s">
        <v>459</v>
      </c>
      <c r="P314" s="161"/>
      <c r="S314" s="142"/>
      <c r="T314" s="142"/>
      <c r="V314" s="166"/>
      <c r="W314" s="166"/>
      <c r="X314" s="166"/>
      <c r="Y314" s="166"/>
    </row>
    <row r="315" ht="22.5" customHeight="1">
      <c r="A315" s="27" t="s">
        <v>395</v>
      </c>
      <c r="B315" s="162" t="s">
        <v>1601</v>
      </c>
      <c r="C315" s="27" t="s">
        <v>20</v>
      </c>
      <c r="D315" s="4" t="s">
        <v>21</v>
      </c>
      <c r="E315" s="194"/>
      <c r="F315" s="162"/>
      <c r="G315" s="142">
        <v>34955.51</v>
      </c>
      <c r="H315" s="161"/>
      <c r="I315" s="161"/>
      <c r="J315" s="161"/>
      <c r="K315" s="161"/>
      <c r="L315" s="161" t="s">
        <v>1602</v>
      </c>
      <c r="M315" s="161" t="s">
        <v>408</v>
      </c>
      <c r="N315" s="142">
        <v>294.0</v>
      </c>
      <c r="O315" s="161" t="s">
        <v>459</v>
      </c>
      <c r="P315" s="161"/>
      <c r="S315" s="142"/>
      <c r="T315" s="142"/>
      <c r="V315" s="166"/>
      <c r="W315" s="166"/>
      <c r="X315" s="166"/>
      <c r="Y315" s="166"/>
    </row>
    <row r="316" ht="22.5" customHeight="1">
      <c r="A316" s="27" t="s">
        <v>395</v>
      </c>
      <c r="B316" s="162" t="s">
        <v>1603</v>
      </c>
      <c r="C316" s="27" t="s">
        <v>20</v>
      </c>
      <c r="D316" s="4" t="s">
        <v>21</v>
      </c>
      <c r="E316" s="193"/>
      <c r="F316" s="162"/>
      <c r="G316" s="142">
        <v>10945.67</v>
      </c>
      <c r="H316" s="161"/>
      <c r="I316" s="161"/>
      <c r="J316" s="161"/>
      <c r="K316" s="161"/>
      <c r="L316" s="161" t="s">
        <v>1602</v>
      </c>
      <c r="M316" s="161" t="s">
        <v>408</v>
      </c>
      <c r="N316" s="142">
        <v>295.0</v>
      </c>
      <c r="O316" s="161" t="s">
        <v>459</v>
      </c>
      <c r="P316" s="161"/>
      <c r="S316" s="142"/>
      <c r="T316" s="142"/>
      <c r="V316" s="166"/>
      <c r="W316" s="166"/>
      <c r="X316" s="166"/>
      <c r="Y316" s="166"/>
    </row>
    <row r="317" ht="22.5" customHeight="1">
      <c r="A317" s="27" t="s">
        <v>395</v>
      </c>
      <c r="B317" s="162" t="s">
        <v>1604</v>
      </c>
      <c r="C317" s="27" t="s">
        <v>20</v>
      </c>
      <c r="D317" s="4" t="s">
        <v>21</v>
      </c>
      <c r="E317" s="193"/>
      <c r="F317" s="162"/>
      <c r="G317" s="142">
        <v>7512.87</v>
      </c>
      <c r="H317" s="161"/>
      <c r="I317" s="161"/>
      <c r="J317" s="161"/>
      <c r="K317" s="161"/>
      <c r="L317" s="161" t="s">
        <v>1567</v>
      </c>
      <c r="M317" s="161" t="s">
        <v>408</v>
      </c>
      <c r="N317" s="142">
        <v>296.0</v>
      </c>
      <c r="O317" s="161" t="s">
        <v>459</v>
      </c>
      <c r="P317" s="161"/>
      <c r="S317" s="142"/>
      <c r="T317" s="142"/>
      <c r="V317" s="166"/>
      <c r="W317" s="166"/>
      <c r="X317" s="166"/>
      <c r="Y317" s="166"/>
    </row>
    <row r="318" ht="22.5" customHeight="1">
      <c r="A318" s="161" t="s">
        <v>403</v>
      </c>
      <c r="B318" s="162" t="s">
        <v>549</v>
      </c>
      <c r="C318" s="27" t="s">
        <v>31</v>
      </c>
      <c r="D318" s="170" t="s">
        <v>187</v>
      </c>
      <c r="E318" s="193"/>
      <c r="F318" s="162"/>
      <c r="G318" s="142">
        <v>620.0</v>
      </c>
      <c r="H318" s="161"/>
      <c r="I318" s="161"/>
      <c r="J318" s="161"/>
      <c r="K318" s="161"/>
      <c r="L318" s="161" t="s">
        <v>1567</v>
      </c>
      <c r="M318" s="161" t="s">
        <v>408</v>
      </c>
      <c r="N318" s="142">
        <v>301.0</v>
      </c>
      <c r="O318" s="161" t="s">
        <v>409</v>
      </c>
      <c r="P318" s="161"/>
      <c r="S318" s="142"/>
      <c r="T318" s="142"/>
      <c r="V318" s="166"/>
      <c r="W318" s="166"/>
      <c r="X318" s="166"/>
      <c r="Y318" s="166"/>
    </row>
    <row r="319" ht="22.5" customHeight="1">
      <c r="A319" s="161" t="s">
        <v>403</v>
      </c>
      <c r="B319" s="162" t="s">
        <v>1605</v>
      </c>
      <c r="C319" s="27" t="s">
        <v>31</v>
      </c>
      <c r="D319" s="170" t="s">
        <v>187</v>
      </c>
      <c r="E319" s="193"/>
      <c r="F319" s="162"/>
      <c r="G319" s="142">
        <v>614.8</v>
      </c>
      <c r="H319" s="161"/>
      <c r="I319" s="161"/>
      <c r="J319" s="161"/>
      <c r="K319" s="161"/>
      <c r="L319" s="161" t="s">
        <v>1567</v>
      </c>
      <c r="M319" s="161" t="s">
        <v>408</v>
      </c>
      <c r="N319" s="142">
        <v>300.0</v>
      </c>
      <c r="O319" s="161" t="s">
        <v>459</v>
      </c>
      <c r="P319" s="161"/>
      <c r="S319" s="142"/>
      <c r="T319" s="142"/>
      <c r="V319" s="166"/>
      <c r="W319" s="166"/>
      <c r="X319" s="166"/>
      <c r="Y319" s="166"/>
    </row>
    <row r="320" ht="22.5" customHeight="1">
      <c r="A320" s="161" t="s">
        <v>403</v>
      </c>
      <c r="B320" s="162" t="s">
        <v>1605</v>
      </c>
      <c r="C320" s="27" t="s">
        <v>31</v>
      </c>
      <c r="D320" s="195" t="s">
        <v>187</v>
      </c>
      <c r="E320" s="194"/>
      <c r="F320" s="162"/>
      <c r="G320" s="142">
        <v>430.0</v>
      </c>
      <c r="H320" s="161"/>
      <c r="I320" s="161"/>
      <c r="J320" s="161"/>
      <c r="K320" s="161"/>
      <c r="L320" s="161" t="s">
        <v>1567</v>
      </c>
      <c r="M320" s="161" t="s">
        <v>408</v>
      </c>
      <c r="N320" s="142">
        <v>300.0</v>
      </c>
      <c r="O320" s="161" t="s">
        <v>409</v>
      </c>
      <c r="P320" s="161"/>
      <c r="S320" s="142"/>
      <c r="T320" s="142"/>
      <c r="V320" s="166"/>
      <c r="W320" s="166"/>
      <c r="X320" s="166"/>
      <c r="Y320" s="166"/>
    </row>
    <row r="321" ht="22.5" customHeight="1">
      <c r="A321" s="161" t="s">
        <v>403</v>
      </c>
      <c r="B321" s="162" t="s">
        <v>415</v>
      </c>
      <c r="C321" s="4" t="s">
        <v>31</v>
      </c>
      <c r="D321" s="4" t="s">
        <v>187</v>
      </c>
      <c r="E321" s="194"/>
      <c r="F321" s="162"/>
      <c r="G321" s="142">
        <v>5.8</v>
      </c>
      <c r="H321" s="161"/>
      <c r="I321" s="161"/>
      <c r="J321" s="161"/>
      <c r="K321" s="161"/>
      <c r="L321" s="161" t="s">
        <v>1567</v>
      </c>
      <c r="M321" s="161" t="s">
        <v>408</v>
      </c>
      <c r="N321" s="142">
        <v>299.0</v>
      </c>
      <c r="O321" s="161" t="s">
        <v>459</v>
      </c>
      <c r="P321" s="161"/>
      <c r="S321" s="142"/>
      <c r="T321" s="142"/>
      <c r="V321" s="166"/>
      <c r="W321" s="166"/>
      <c r="X321" s="166"/>
      <c r="Y321" s="166"/>
    </row>
    <row r="322" ht="22.5" customHeight="1">
      <c r="A322" s="161" t="s">
        <v>403</v>
      </c>
      <c r="B322" s="162" t="s">
        <v>415</v>
      </c>
      <c r="C322" s="4" t="s">
        <v>31</v>
      </c>
      <c r="D322" s="4" t="s">
        <v>187</v>
      </c>
      <c r="E322" s="193"/>
      <c r="F322" s="162"/>
      <c r="G322" s="142">
        <v>256.55</v>
      </c>
      <c r="H322" s="161"/>
      <c r="I322" s="161"/>
      <c r="J322" s="161"/>
      <c r="K322" s="161"/>
      <c r="L322" s="161" t="s">
        <v>1567</v>
      </c>
      <c r="M322" s="161" t="s">
        <v>408</v>
      </c>
      <c r="N322" s="142">
        <v>299.0</v>
      </c>
      <c r="O322" s="161" t="s">
        <v>409</v>
      </c>
      <c r="P322" s="161"/>
      <c r="S322" s="142"/>
      <c r="T322" s="142"/>
      <c r="V322" s="166"/>
      <c r="W322" s="166"/>
      <c r="X322" s="166"/>
      <c r="Y322" s="166"/>
    </row>
    <row r="323" ht="22.5" customHeight="1">
      <c r="A323" s="161" t="s">
        <v>403</v>
      </c>
      <c r="B323" s="162" t="s">
        <v>412</v>
      </c>
      <c r="C323" s="4" t="s">
        <v>31</v>
      </c>
      <c r="D323" s="4" t="s">
        <v>187</v>
      </c>
      <c r="E323" s="194"/>
      <c r="F323" s="162"/>
      <c r="G323" s="142">
        <v>8310.0</v>
      </c>
      <c r="H323" s="161"/>
      <c r="I323" s="161"/>
      <c r="J323" s="161"/>
      <c r="K323" s="161"/>
      <c r="L323" s="161" t="s">
        <v>1544</v>
      </c>
      <c r="M323" s="161" t="s">
        <v>354</v>
      </c>
      <c r="N323" s="142">
        <v>253.0</v>
      </c>
      <c r="O323" s="161" t="s">
        <v>409</v>
      </c>
      <c r="P323" s="161"/>
      <c r="S323" s="142"/>
      <c r="T323" s="142"/>
      <c r="V323" s="166"/>
      <c r="W323" s="166"/>
      <c r="X323" s="166"/>
      <c r="Y323" s="166"/>
    </row>
    <row r="324" ht="22.5" customHeight="1">
      <c r="A324" s="4" t="s">
        <v>474</v>
      </c>
      <c r="B324" s="162" t="s">
        <v>1606</v>
      </c>
      <c r="D324" s="179"/>
      <c r="E324" s="193"/>
      <c r="F324" s="162"/>
      <c r="G324" s="142">
        <v>416786.42</v>
      </c>
      <c r="H324" s="161"/>
      <c r="I324" s="161"/>
      <c r="J324" s="161"/>
      <c r="K324" s="161"/>
      <c r="L324" s="161" t="s">
        <v>1567</v>
      </c>
      <c r="M324" s="161" t="s">
        <v>354</v>
      </c>
      <c r="N324" s="142">
        <v>252.0</v>
      </c>
      <c r="O324" s="161" t="s">
        <v>18</v>
      </c>
      <c r="P324" s="161"/>
      <c r="S324" s="142"/>
      <c r="T324" s="142"/>
      <c r="V324" s="166"/>
      <c r="W324" s="166"/>
      <c r="X324" s="166"/>
      <c r="Y324" s="166"/>
    </row>
    <row r="325" ht="22.5" customHeight="1">
      <c r="A325" s="161" t="s">
        <v>417</v>
      </c>
      <c r="B325" s="162" t="s">
        <v>418</v>
      </c>
      <c r="C325" s="4" t="s">
        <v>370</v>
      </c>
      <c r="D325" s="177" t="s">
        <v>371</v>
      </c>
      <c r="E325" s="194"/>
      <c r="F325" s="162"/>
      <c r="G325" s="142">
        <v>52520.19</v>
      </c>
      <c r="H325" s="161"/>
      <c r="I325" s="161"/>
      <c r="J325" s="161"/>
      <c r="K325" s="161"/>
      <c r="L325" s="161" t="s">
        <v>1544</v>
      </c>
      <c r="M325" s="161" t="s">
        <v>354</v>
      </c>
      <c r="N325" s="142">
        <v>301.0</v>
      </c>
      <c r="O325" s="161" t="s">
        <v>417</v>
      </c>
      <c r="P325" s="161"/>
      <c r="S325" s="142"/>
      <c r="T325" s="142"/>
      <c r="V325" s="166"/>
      <c r="W325" s="166"/>
      <c r="X325" s="166"/>
      <c r="Y325" s="166"/>
    </row>
    <row r="326" ht="22.5" customHeight="1">
      <c r="A326" s="161" t="s">
        <v>513</v>
      </c>
      <c r="B326" s="162" t="s">
        <v>1427</v>
      </c>
      <c r="C326" s="4" t="s">
        <v>66</v>
      </c>
      <c r="D326" s="4" t="s">
        <v>485</v>
      </c>
      <c r="E326" s="194"/>
      <c r="F326" s="162"/>
      <c r="G326" s="142">
        <v>953.47</v>
      </c>
      <c r="H326" s="161"/>
      <c r="I326" s="161"/>
      <c r="J326" s="161"/>
      <c r="K326" s="161"/>
      <c r="L326" s="161" t="s">
        <v>1567</v>
      </c>
      <c r="M326" s="161" t="s">
        <v>408</v>
      </c>
      <c r="N326" s="142">
        <v>400.0</v>
      </c>
      <c r="O326" s="161" t="s">
        <v>515</v>
      </c>
      <c r="P326" s="161"/>
      <c r="S326" s="142"/>
      <c r="T326" s="142"/>
      <c r="V326" s="166"/>
      <c r="W326" s="166"/>
      <c r="X326" s="166"/>
      <c r="Y326" s="166"/>
    </row>
    <row r="327" ht="22.5" customHeight="1">
      <c r="A327" s="161"/>
      <c r="B327" s="162"/>
      <c r="C327" s="161"/>
      <c r="D327" s="194"/>
      <c r="E327" s="194"/>
      <c r="F327" s="162"/>
      <c r="G327" s="149"/>
      <c r="H327" s="161"/>
      <c r="I327" s="161"/>
      <c r="J327" s="161"/>
      <c r="K327" s="161"/>
      <c r="L327" s="161"/>
      <c r="M327" s="161"/>
      <c r="N327" s="149"/>
      <c r="O327" s="161"/>
      <c r="P327" s="161"/>
      <c r="S327" s="149"/>
      <c r="T327" s="149"/>
      <c r="V327" s="166"/>
      <c r="W327" s="166"/>
      <c r="X327" s="166"/>
      <c r="Y327" s="166"/>
    </row>
    <row r="328" ht="22.5" customHeight="1">
      <c r="A328" s="161"/>
      <c r="B328" s="162"/>
      <c r="C328" s="161"/>
      <c r="D328" s="194"/>
      <c r="E328" s="194"/>
      <c r="F328" s="162"/>
      <c r="G328" s="149"/>
      <c r="H328" s="161"/>
      <c r="I328" s="161"/>
      <c r="J328" s="161"/>
      <c r="K328" s="161"/>
      <c r="L328" s="161"/>
      <c r="M328" s="161"/>
      <c r="N328" s="149"/>
      <c r="O328" s="161"/>
      <c r="P328" s="161"/>
      <c r="S328" s="149"/>
      <c r="T328" s="149"/>
      <c r="V328" s="166"/>
      <c r="W328" s="166"/>
      <c r="X328" s="166"/>
      <c r="Y328" s="166"/>
    </row>
    <row r="329" ht="22.5" customHeight="1">
      <c r="A329" s="161"/>
      <c r="B329" s="162"/>
      <c r="C329" s="161"/>
      <c r="D329" s="194"/>
      <c r="E329" s="194"/>
      <c r="F329" s="162"/>
      <c r="G329" s="149"/>
      <c r="H329" s="161"/>
      <c r="I329" s="161"/>
      <c r="J329" s="161"/>
      <c r="K329" s="161"/>
      <c r="L329" s="161"/>
      <c r="M329" s="161"/>
      <c r="N329" s="149"/>
      <c r="O329" s="161"/>
      <c r="P329" s="161"/>
      <c r="S329" s="149"/>
      <c r="T329" s="149"/>
      <c r="V329" s="166"/>
      <c r="W329" s="166"/>
      <c r="X329" s="166"/>
      <c r="Y329" s="166"/>
    </row>
    <row r="330" ht="22.5" customHeight="1">
      <c r="A330" s="161"/>
      <c r="B330" s="162"/>
      <c r="C330" s="161"/>
      <c r="D330" s="194"/>
      <c r="E330" s="194"/>
      <c r="F330" s="162"/>
      <c r="G330" s="149"/>
      <c r="H330" s="161"/>
      <c r="I330" s="161"/>
      <c r="J330" s="161"/>
      <c r="K330" s="161"/>
      <c r="L330" s="161"/>
      <c r="M330" s="161"/>
      <c r="N330" s="149"/>
      <c r="O330" s="161"/>
      <c r="P330" s="161"/>
      <c r="S330" s="149"/>
      <c r="T330" s="149"/>
      <c r="V330" s="166"/>
      <c r="W330" s="166"/>
      <c r="X330" s="166"/>
      <c r="Y330" s="166"/>
    </row>
    <row r="331" ht="22.5" customHeight="1">
      <c r="A331" s="161"/>
      <c r="B331" s="162"/>
      <c r="C331" s="161"/>
      <c r="D331" s="194"/>
      <c r="E331" s="194"/>
      <c r="F331" s="162"/>
      <c r="G331" s="149"/>
      <c r="H331" s="161"/>
      <c r="I331" s="161"/>
      <c r="J331" s="161"/>
      <c r="K331" s="161"/>
      <c r="L331" s="161"/>
      <c r="M331" s="161"/>
      <c r="N331" s="149"/>
      <c r="O331" s="161"/>
      <c r="P331" s="161"/>
      <c r="S331" s="149"/>
      <c r="T331" s="149"/>
      <c r="V331" s="166"/>
      <c r="W331" s="166"/>
      <c r="X331" s="166"/>
      <c r="Y331" s="166"/>
    </row>
    <row r="332" ht="22.5" customHeight="1">
      <c r="A332" s="161"/>
      <c r="B332" s="162"/>
      <c r="C332" s="161"/>
      <c r="D332" s="194"/>
      <c r="E332" s="194"/>
      <c r="F332" s="162"/>
      <c r="G332" s="149"/>
      <c r="H332" s="161"/>
      <c r="I332" s="161"/>
      <c r="J332" s="161"/>
      <c r="K332" s="161"/>
      <c r="L332" s="161"/>
      <c r="M332" s="161"/>
      <c r="N332" s="149"/>
      <c r="O332" s="161"/>
      <c r="P332" s="161"/>
      <c r="S332" s="149"/>
      <c r="T332" s="149"/>
      <c r="V332" s="166"/>
      <c r="W332" s="166"/>
      <c r="X332" s="166"/>
      <c r="Y332" s="166"/>
    </row>
    <row r="333" ht="22.5" customHeight="1">
      <c r="A333" s="161"/>
      <c r="B333" s="162"/>
      <c r="C333" s="161"/>
      <c r="D333" s="194"/>
      <c r="E333" s="194"/>
      <c r="F333" s="162"/>
      <c r="G333" s="149"/>
      <c r="H333" s="161"/>
      <c r="I333" s="161"/>
      <c r="J333" s="161"/>
      <c r="K333" s="161"/>
      <c r="L333" s="161"/>
      <c r="M333" s="161"/>
      <c r="N333" s="149"/>
      <c r="O333" s="161"/>
      <c r="P333" s="161"/>
      <c r="S333" s="149"/>
      <c r="T333" s="149"/>
      <c r="V333" s="166"/>
      <c r="W333" s="166"/>
      <c r="X333" s="166"/>
      <c r="Y333" s="166"/>
    </row>
    <row r="334" ht="22.5" customHeight="1">
      <c r="A334" s="161"/>
      <c r="B334" s="162"/>
      <c r="C334" s="161"/>
      <c r="D334" s="194"/>
      <c r="E334" s="194"/>
      <c r="F334" s="162"/>
      <c r="G334" s="149"/>
      <c r="H334" s="161"/>
      <c r="I334" s="161"/>
      <c r="J334" s="161"/>
      <c r="K334" s="161"/>
      <c r="L334" s="161"/>
      <c r="M334" s="161"/>
      <c r="N334" s="149"/>
      <c r="O334" s="161"/>
      <c r="P334" s="161"/>
      <c r="S334" s="149"/>
      <c r="T334" s="149"/>
      <c r="V334" s="166"/>
      <c r="W334" s="166"/>
      <c r="X334" s="166"/>
      <c r="Y334" s="166"/>
    </row>
    <row r="335" ht="22.5" customHeight="1">
      <c r="A335" s="161"/>
      <c r="B335" s="162"/>
      <c r="C335" s="161"/>
      <c r="D335" s="194"/>
      <c r="E335" s="194"/>
      <c r="F335" s="162"/>
      <c r="G335" s="149"/>
      <c r="H335" s="161"/>
      <c r="I335" s="161"/>
      <c r="J335" s="161"/>
      <c r="K335" s="161"/>
      <c r="L335" s="161"/>
      <c r="M335" s="161"/>
      <c r="N335" s="149"/>
      <c r="O335" s="161"/>
      <c r="P335" s="161"/>
      <c r="S335" s="149"/>
      <c r="T335" s="149"/>
      <c r="V335" s="166"/>
      <c r="W335" s="166"/>
      <c r="X335" s="166"/>
      <c r="Y335" s="166"/>
    </row>
    <row r="336" ht="22.5" customHeight="1">
      <c r="A336" s="161"/>
      <c r="B336" s="162"/>
      <c r="C336" s="161"/>
      <c r="D336" s="194"/>
      <c r="E336" s="194"/>
      <c r="F336" s="162"/>
      <c r="G336" s="149"/>
      <c r="H336" s="161"/>
      <c r="I336" s="161"/>
      <c r="J336" s="161"/>
      <c r="K336" s="161"/>
      <c r="L336" s="161"/>
      <c r="M336" s="161"/>
      <c r="N336" s="149"/>
      <c r="O336" s="161"/>
      <c r="P336" s="161"/>
      <c r="S336" s="149"/>
      <c r="T336" s="149"/>
      <c r="V336" s="166"/>
      <c r="W336" s="166"/>
      <c r="X336" s="166"/>
      <c r="Y336" s="166"/>
    </row>
    <row r="337" ht="22.5" customHeight="1">
      <c r="A337" s="161"/>
      <c r="B337" s="162"/>
      <c r="C337" s="161"/>
      <c r="D337" s="194"/>
      <c r="E337" s="194"/>
      <c r="F337" s="162"/>
      <c r="G337" s="149"/>
      <c r="H337" s="161"/>
      <c r="I337" s="161"/>
      <c r="J337" s="161"/>
      <c r="K337" s="161"/>
      <c r="L337" s="161"/>
      <c r="M337" s="161"/>
      <c r="N337" s="149"/>
      <c r="O337" s="161"/>
      <c r="P337" s="161"/>
      <c r="S337" s="149"/>
      <c r="T337" s="149"/>
      <c r="V337" s="166"/>
      <c r="W337" s="166"/>
      <c r="X337" s="166"/>
      <c r="Y337" s="166"/>
    </row>
    <row r="338" ht="22.5" customHeight="1">
      <c r="A338" s="161"/>
      <c r="B338" s="162"/>
      <c r="C338" s="161"/>
      <c r="D338" s="194"/>
      <c r="E338" s="194"/>
      <c r="F338" s="162"/>
      <c r="G338" s="149"/>
      <c r="H338" s="161"/>
      <c r="I338" s="161"/>
      <c r="J338" s="161"/>
      <c r="K338" s="161"/>
      <c r="L338" s="161"/>
      <c r="M338" s="161"/>
      <c r="N338" s="149"/>
      <c r="O338" s="161"/>
      <c r="P338" s="161"/>
      <c r="S338" s="149"/>
      <c r="T338" s="149"/>
      <c r="V338" s="166"/>
      <c r="W338" s="166"/>
      <c r="X338" s="166"/>
      <c r="Y338" s="166"/>
    </row>
    <row r="339" ht="22.5" customHeight="1">
      <c r="A339" s="161"/>
      <c r="B339" s="162"/>
      <c r="C339" s="161"/>
      <c r="D339" s="194"/>
      <c r="E339" s="194"/>
      <c r="F339" s="162"/>
      <c r="G339" s="149"/>
      <c r="H339" s="161"/>
      <c r="I339" s="161"/>
      <c r="J339" s="161"/>
      <c r="K339" s="161"/>
      <c r="L339" s="161"/>
      <c r="M339" s="161"/>
      <c r="N339" s="149"/>
      <c r="O339" s="161"/>
      <c r="P339" s="161"/>
      <c r="S339" s="149"/>
      <c r="T339" s="149"/>
      <c r="V339" s="166"/>
      <c r="W339" s="166"/>
      <c r="X339" s="166"/>
      <c r="Y339" s="166"/>
    </row>
    <row r="340" ht="22.5" customHeight="1">
      <c r="A340" s="161"/>
      <c r="B340" s="162"/>
      <c r="C340" s="161"/>
      <c r="D340" s="194"/>
      <c r="E340" s="194"/>
      <c r="F340" s="162"/>
      <c r="G340" s="149"/>
      <c r="H340" s="161"/>
      <c r="I340" s="161"/>
      <c r="J340" s="161"/>
      <c r="K340" s="161"/>
      <c r="L340" s="161"/>
      <c r="M340" s="161"/>
      <c r="N340" s="149"/>
      <c r="O340" s="161"/>
      <c r="P340" s="161"/>
      <c r="S340" s="149"/>
      <c r="T340" s="149"/>
      <c r="V340" s="166"/>
      <c r="W340" s="166"/>
      <c r="X340" s="166"/>
      <c r="Y340" s="166"/>
    </row>
    <row r="341" ht="22.5" customHeight="1">
      <c r="A341" s="161"/>
      <c r="B341" s="162"/>
      <c r="C341" s="161"/>
      <c r="D341" s="194"/>
      <c r="E341" s="194"/>
      <c r="F341" s="162"/>
      <c r="G341" s="149"/>
      <c r="H341" s="161"/>
      <c r="I341" s="161"/>
      <c r="J341" s="161"/>
      <c r="K341" s="161"/>
      <c r="L341" s="161"/>
      <c r="M341" s="161"/>
      <c r="N341" s="149"/>
      <c r="O341" s="161"/>
      <c r="P341" s="161"/>
      <c r="S341" s="149"/>
      <c r="T341" s="149"/>
      <c r="V341" s="166"/>
      <c r="W341" s="166"/>
      <c r="X341" s="166"/>
      <c r="Y341" s="166"/>
    </row>
    <row r="342" ht="22.5" customHeight="1">
      <c r="A342" s="161"/>
      <c r="B342" s="162"/>
      <c r="C342" s="161"/>
      <c r="D342" s="194"/>
      <c r="E342" s="194"/>
      <c r="F342" s="162"/>
      <c r="G342" s="149"/>
      <c r="H342" s="161"/>
      <c r="I342" s="161"/>
      <c r="J342" s="161"/>
      <c r="K342" s="161"/>
      <c r="L342" s="161"/>
      <c r="M342" s="161"/>
      <c r="N342" s="149"/>
      <c r="O342" s="161"/>
      <c r="P342" s="161"/>
      <c r="S342" s="149"/>
      <c r="T342" s="149"/>
      <c r="V342" s="166"/>
      <c r="W342" s="166"/>
      <c r="X342" s="166"/>
      <c r="Y342" s="166"/>
    </row>
    <row r="343" ht="22.5" customHeight="1">
      <c r="A343" s="161"/>
      <c r="B343" s="162"/>
      <c r="C343" s="161"/>
      <c r="D343" s="194"/>
      <c r="E343" s="194"/>
      <c r="F343" s="162"/>
      <c r="G343" s="149"/>
      <c r="H343" s="161"/>
      <c r="I343" s="161"/>
      <c r="J343" s="161"/>
      <c r="K343" s="161"/>
      <c r="L343" s="161"/>
      <c r="M343" s="161"/>
      <c r="N343" s="149"/>
      <c r="O343" s="161"/>
      <c r="P343" s="161"/>
      <c r="S343" s="149"/>
      <c r="T343" s="149"/>
      <c r="V343" s="166"/>
      <c r="W343" s="166"/>
      <c r="X343" s="166"/>
      <c r="Y343" s="166"/>
    </row>
    <row r="344" ht="22.5" customHeight="1">
      <c r="A344" s="161"/>
      <c r="B344" s="162"/>
      <c r="C344" s="161"/>
      <c r="D344" s="194"/>
      <c r="E344" s="194"/>
      <c r="F344" s="162"/>
      <c r="G344" s="149"/>
      <c r="H344" s="161"/>
      <c r="I344" s="161"/>
      <c r="J344" s="161"/>
      <c r="K344" s="161"/>
      <c r="L344" s="161"/>
      <c r="M344" s="161"/>
      <c r="N344" s="149"/>
      <c r="O344" s="161"/>
      <c r="P344" s="161"/>
      <c r="S344" s="149"/>
      <c r="T344" s="149"/>
      <c r="V344" s="166"/>
      <c r="W344" s="166"/>
      <c r="X344" s="166"/>
      <c r="Y344" s="166"/>
    </row>
    <row r="345" ht="22.5" customHeight="1">
      <c r="A345" s="161"/>
      <c r="B345" s="162"/>
      <c r="C345" s="161"/>
      <c r="D345" s="194"/>
      <c r="E345" s="194"/>
      <c r="F345" s="162"/>
      <c r="G345" s="149"/>
      <c r="H345" s="161"/>
      <c r="I345" s="161"/>
      <c r="J345" s="161"/>
      <c r="K345" s="161"/>
      <c r="L345" s="161"/>
      <c r="M345" s="161"/>
      <c r="N345" s="149"/>
      <c r="O345" s="161"/>
      <c r="P345" s="161"/>
      <c r="S345" s="149"/>
      <c r="T345" s="149"/>
      <c r="V345" s="166"/>
      <c r="W345" s="166"/>
      <c r="X345" s="166"/>
      <c r="Y345" s="166"/>
    </row>
    <row r="346" ht="22.5" customHeight="1">
      <c r="A346" s="161"/>
      <c r="B346" s="162"/>
      <c r="C346" s="161"/>
      <c r="D346" s="194"/>
      <c r="E346" s="194"/>
      <c r="F346" s="162"/>
      <c r="G346" s="149"/>
      <c r="H346" s="161"/>
      <c r="I346" s="161"/>
      <c r="J346" s="161"/>
      <c r="K346" s="161"/>
      <c r="L346" s="161"/>
      <c r="M346" s="161"/>
      <c r="N346" s="149"/>
      <c r="O346" s="161"/>
      <c r="P346" s="161"/>
      <c r="S346" s="149"/>
      <c r="T346" s="149"/>
      <c r="V346" s="166"/>
      <c r="W346" s="166"/>
      <c r="X346" s="166"/>
      <c r="Y346" s="166"/>
    </row>
    <row r="347" ht="22.5" customHeight="1">
      <c r="A347" s="161"/>
      <c r="B347" s="162"/>
      <c r="C347" s="161"/>
      <c r="D347" s="194"/>
      <c r="E347" s="194"/>
      <c r="F347" s="162"/>
      <c r="G347" s="149"/>
      <c r="H347" s="161"/>
      <c r="I347" s="161"/>
      <c r="J347" s="161"/>
      <c r="K347" s="161"/>
      <c r="L347" s="161"/>
      <c r="M347" s="161"/>
      <c r="N347" s="149"/>
      <c r="O347" s="161"/>
      <c r="P347" s="161"/>
      <c r="S347" s="149"/>
      <c r="T347" s="149"/>
      <c r="V347" s="166"/>
      <c r="W347" s="166"/>
      <c r="X347" s="166"/>
      <c r="Y347" s="166"/>
    </row>
    <row r="348" ht="22.5" customHeight="1">
      <c r="A348" s="161"/>
      <c r="B348" s="162"/>
      <c r="C348" s="161"/>
      <c r="D348" s="194"/>
      <c r="E348" s="194"/>
      <c r="F348" s="162"/>
      <c r="G348" s="149"/>
      <c r="H348" s="161"/>
      <c r="I348" s="161"/>
      <c r="J348" s="161"/>
      <c r="K348" s="161"/>
      <c r="L348" s="161"/>
      <c r="M348" s="161"/>
      <c r="N348" s="149"/>
      <c r="O348" s="161"/>
      <c r="P348" s="161"/>
      <c r="S348" s="149"/>
      <c r="T348" s="149"/>
      <c r="V348" s="166"/>
      <c r="W348" s="166"/>
      <c r="X348" s="166"/>
      <c r="Y348" s="166"/>
    </row>
    <row r="349" ht="22.5" customHeight="1">
      <c r="A349" s="161"/>
      <c r="B349" s="162"/>
      <c r="C349" s="161"/>
      <c r="D349" s="194"/>
      <c r="E349" s="194"/>
      <c r="F349" s="162"/>
      <c r="G349" s="149"/>
      <c r="H349" s="161"/>
      <c r="I349" s="161"/>
      <c r="J349" s="161"/>
      <c r="K349" s="161"/>
      <c r="L349" s="161"/>
      <c r="M349" s="161"/>
      <c r="N349" s="149"/>
      <c r="O349" s="161"/>
      <c r="P349" s="161"/>
      <c r="S349" s="149"/>
      <c r="T349" s="149"/>
      <c r="V349" s="166"/>
      <c r="W349" s="166"/>
      <c r="X349" s="166"/>
      <c r="Y349" s="166"/>
    </row>
    <row r="350" ht="22.5" customHeight="1">
      <c r="A350" s="161"/>
      <c r="B350" s="162"/>
      <c r="C350" s="161"/>
      <c r="D350" s="194"/>
      <c r="E350" s="194"/>
      <c r="F350" s="162"/>
      <c r="G350" s="149"/>
      <c r="H350" s="161"/>
      <c r="I350" s="161"/>
      <c r="J350" s="161"/>
      <c r="K350" s="161"/>
      <c r="L350" s="161"/>
      <c r="M350" s="161"/>
      <c r="N350" s="149"/>
      <c r="O350" s="161"/>
      <c r="P350" s="161"/>
      <c r="S350" s="149"/>
      <c r="T350" s="149"/>
      <c r="V350" s="166"/>
      <c r="W350" s="166"/>
      <c r="X350" s="166"/>
      <c r="Y350" s="166"/>
    </row>
    <row r="351" ht="22.5" customHeight="1">
      <c r="A351" s="161"/>
      <c r="B351" s="162"/>
      <c r="C351" s="161"/>
      <c r="D351" s="194"/>
      <c r="E351" s="194"/>
      <c r="F351" s="162"/>
      <c r="G351" s="149"/>
      <c r="H351" s="161"/>
      <c r="I351" s="161"/>
      <c r="J351" s="161"/>
      <c r="K351" s="161"/>
      <c r="L351" s="161"/>
      <c r="M351" s="161"/>
      <c r="N351" s="149"/>
      <c r="O351" s="161"/>
      <c r="P351" s="161"/>
      <c r="S351" s="149"/>
      <c r="T351" s="149"/>
      <c r="V351" s="166"/>
      <c r="W351" s="166"/>
      <c r="X351" s="166"/>
      <c r="Y351" s="166"/>
    </row>
    <row r="352" ht="22.5" customHeight="1">
      <c r="A352" s="161"/>
      <c r="B352" s="162"/>
      <c r="C352" s="161"/>
      <c r="D352" s="194"/>
      <c r="E352" s="194"/>
      <c r="F352" s="162"/>
      <c r="G352" s="149"/>
      <c r="H352" s="161"/>
      <c r="I352" s="161"/>
      <c r="J352" s="161"/>
      <c r="K352" s="161"/>
      <c r="L352" s="161"/>
      <c r="M352" s="161"/>
      <c r="N352" s="149"/>
      <c r="O352" s="161"/>
      <c r="P352" s="161"/>
      <c r="S352" s="149"/>
      <c r="T352" s="149"/>
      <c r="V352" s="166"/>
      <c r="W352" s="166"/>
      <c r="X352" s="166"/>
      <c r="Y352" s="166"/>
    </row>
    <row r="353" ht="22.5" customHeight="1">
      <c r="A353" s="161"/>
      <c r="B353" s="162"/>
      <c r="C353" s="161"/>
      <c r="D353" s="194"/>
      <c r="E353" s="194"/>
      <c r="F353" s="162"/>
      <c r="G353" s="149"/>
      <c r="H353" s="161"/>
      <c r="I353" s="161"/>
      <c r="J353" s="161"/>
      <c r="K353" s="161"/>
      <c r="L353" s="161"/>
      <c r="M353" s="161"/>
      <c r="N353" s="149"/>
      <c r="O353" s="161"/>
      <c r="P353" s="161"/>
      <c r="S353" s="149"/>
      <c r="T353" s="149"/>
      <c r="V353" s="166"/>
      <c r="W353" s="166"/>
      <c r="X353" s="166"/>
      <c r="Y353" s="166"/>
    </row>
    <row r="354" ht="22.5" customHeight="1">
      <c r="A354" s="161"/>
      <c r="B354" s="162"/>
      <c r="C354" s="161"/>
      <c r="D354" s="194"/>
      <c r="E354" s="194"/>
      <c r="F354" s="162"/>
      <c r="G354" s="149"/>
      <c r="H354" s="161"/>
      <c r="I354" s="161"/>
      <c r="J354" s="161"/>
      <c r="K354" s="161"/>
      <c r="L354" s="161"/>
      <c r="M354" s="161"/>
      <c r="N354" s="149"/>
      <c r="O354" s="161"/>
      <c r="P354" s="161"/>
      <c r="S354" s="149"/>
      <c r="T354" s="149"/>
      <c r="V354" s="166"/>
      <c r="W354" s="166"/>
      <c r="X354" s="166"/>
      <c r="Y354" s="166"/>
    </row>
    <row r="355" ht="22.5" customHeight="1">
      <c r="A355" s="161"/>
      <c r="B355" s="162"/>
      <c r="C355" s="161"/>
      <c r="D355" s="194"/>
      <c r="E355" s="194"/>
      <c r="F355" s="162"/>
      <c r="G355" s="149"/>
      <c r="H355" s="161"/>
      <c r="I355" s="161"/>
      <c r="J355" s="161"/>
      <c r="K355" s="161"/>
      <c r="L355" s="161"/>
      <c r="M355" s="161"/>
      <c r="N355" s="149"/>
      <c r="O355" s="161"/>
      <c r="P355" s="161"/>
      <c r="S355" s="149"/>
      <c r="T355" s="149"/>
      <c r="V355" s="166"/>
      <c r="W355" s="166"/>
      <c r="X355" s="166"/>
      <c r="Y355" s="166"/>
    </row>
    <row r="356" ht="22.5" customHeight="1">
      <c r="A356" s="161"/>
      <c r="B356" s="162"/>
      <c r="C356" s="161"/>
      <c r="D356" s="194"/>
      <c r="E356" s="194"/>
      <c r="F356" s="162"/>
      <c r="G356" s="149"/>
      <c r="H356" s="161"/>
      <c r="I356" s="161"/>
      <c r="J356" s="161"/>
      <c r="K356" s="161"/>
      <c r="L356" s="161"/>
      <c r="M356" s="161"/>
      <c r="N356" s="149"/>
      <c r="O356" s="161"/>
      <c r="P356" s="161"/>
      <c r="S356" s="149"/>
      <c r="T356" s="149"/>
      <c r="V356" s="166"/>
      <c r="W356" s="166"/>
      <c r="X356" s="166"/>
      <c r="Y356" s="166"/>
    </row>
    <row r="357" ht="22.5" customHeight="1">
      <c r="A357" s="161"/>
      <c r="B357" s="162"/>
      <c r="C357" s="161"/>
      <c r="D357" s="194"/>
      <c r="E357" s="194"/>
      <c r="F357" s="162"/>
      <c r="G357" s="149"/>
      <c r="H357" s="161"/>
      <c r="I357" s="161"/>
      <c r="J357" s="161"/>
      <c r="K357" s="161"/>
      <c r="L357" s="161"/>
      <c r="M357" s="161"/>
      <c r="N357" s="149"/>
      <c r="O357" s="161"/>
      <c r="P357" s="161"/>
      <c r="S357" s="149"/>
      <c r="T357" s="149"/>
      <c r="V357" s="166"/>
      <c r="W357" s="166"/>
      <c r="X357" s="166"/>
      <c r="Y357" s="166"/>
    </row>
    <row r="358" ht="22.5" customHeight="1">
      <c r="A358" s="161"/>
      <c r="B358" s="162"/>
      <c r="C358" s="161"/>
      <c r="D358" s="194"/>
      <c r="E358" s="194"/>
      <c r="F358" s="162"/>
      <c r="G358" s="149"/>
      <c r="H358" s="161"/>
      <c r="I358" s="161"/>
      <c r="J358" s="161"/>
      <c r="K358" s="161"/>
      <c r="L358" s="161"/>
      <c r="M358" s="161"/>
      <c r="N358" s="149"/>
      <c r="O358" s="161"/>
      <c r="P358" s="161"/>
      <c r="S358" s="149"/>
      <c r="T358" s="149"/>
      <c r="V358" s="166"/>
      <c r="W358" s="166"/>
      <c r="X358" s="166"/>
      <c r="Y358" s="166"/>
    </row>
    <row r="359" ht="22.5" customHeight="1">
      <c r="A359" s="161"/>
      <c r="B359" s="162"/>
      <c r="C359" s="161"/>
      <c r="D359" s="194"/>
      <c r="E359" s="194"/>
      <c r="F359" s="162"/>
      <c r="G359" s="149"/>
      <c r="H359" s="161"/>
      <c r="I359" s="161"/>
      <c r="J359" s="161"/>
      <c r="K359" s="161"/>
      <c r="L359" s="161"/>
      <c r="M359" s="161"/>
      <c r="N359" s="149"/>
      <c r="O359" s="161"/>
      <c r="P359" s="161"/>
      <c r="S359" s="149"/>
      <c r="T359" s="149"/>
      <c r="V359" s="166"/>
      <c r="W359" s="166"/>
      <c r="X359" s="166"/>
      <c r="Y359" s="166"/>
    </row>
    <row r="360" ht="22.5" customHeight="1">
      <c r="A360" s="161"/>
      <c r="B360" s="162"/>
      <c r="C360" s="161"/>
      <c r="D360" s="194"/>
      <c r="E360" s="194"/>
      <c r="F360" s="162"/>
      <c r="G360" s="149"/>
      <c r="H360" s="161"/>
      <c r="I360" s="161"/>
      <c r="J360" s="161"/>
      <c r="K360" s="161"/>
      <c r="L360" s="161"/>
      <c r="M360" s="161"/>
      <c r="N360" s="149"/>
      <c r="O360" s="161"/>
      <c r="P360" s="161"/>
      <c r="S360" s="149"/>
      <c r="T360" s="149"/>
      <c r="V360" s="166"/>
      <c r="W360" s="166"/>
      <c r="X360" s="166"/>
      <c r="Y360" s="166"/>
    </row>
    <row r="361" ht="22.5" customHeight="1">
      <c r="A361" s="161"/>
      <c r="B361" s="162"/>
      <c r="C361" s="161"/>
      <c r="D361" s="194"/>
      <c r="E361" s="194"/>
      <c r="F361" s="162"/>
      <c r="G361" s="149"/>
      <c r="H361" s="161"/>
      <c r="I361" s="161"/>
      <c r="J361" s="161"/>
      <c r="K361" s="161"/>
      <c r="L361" s="161"/>
      <c r="M361" s="161"/>
      <c r="N361" s="149"/>
      <c r="O361" s="161"/>
      <c r="P361" s="161"/>
      <c r="S361" s="149"/>
      <c r="T361" s="149"/>
      <c r="V361" s="166"/>
      <c r="W361" s="166"/>
      <c r="X361" s="166"/>
      <c r="Y361" s="166"/>
    </row>
    <row r="362" ht="22.5" customHeight="1">
      <c r="A362" s="161"/>
      <c r="B362" s="162"/>
      <c r="C362" s="161"/>
      <c r="D362" s="194"/>
      <c r="E362" s="194"/>
      <c r="F362" s="162"/>
      <c r="G362" s="149"/>
      <c r="H362" s="161"/>
      <c r="I362" s="161"/>
      <c r="J362" s="161"/>
      <c r="K362" s="161"/>
      <c r="L362" s="161"/>
      <c r="M362" s="161"/>
      <c r="N362" s="149"/>
      <c r="O362" s="161"/>
      <c r="P362" s="161"/>
      <c r="S362" s="149"/>
      <c r="T362" s="149"/>
      <c r="V362" s="166"/>
      <c r="W362" s="166"/>
      <c r="X362" s="166"/>
      <c r="Y362" s="166"/>
    </row>
    <row r="363" ht="22.5" customHeight="1">
      <c r="A363" s="161"/>
      <c r="B363" s="162"/>
      <c r="C363" s="161"/>
      <c r="D363" s="194"/>
      <c r="E363" s="194"/>
      <c r="F363" s="162"/>
      <c r="G363" s="149"/>
      <c r="H363" s="161"/>
      <c r="I363" s="161"/>
      <c r="J363" s="161"/>
      <c r="K363" s="161"/>
      <c r="L363" s="161"/>
      <c r="M363" s="161"/>
      <c r="N363" s="149"/>
      <c r="O363" s="161"/>
      <c r="P363" s="161"/>
      <c r="S363" s="149"/>
      <c r="T363" s="149"/>
      <c r="V363" s="166"/>
      <c r="W363" s="166"/>
      <c r="X363" s="166"/>
      <c r="Y363" s="166"/>
    </row>
    <row r="364" ht="22.5" customHeight="1">
      <c r="A364" s="161"/>
      <c r="B364" s="162"/>
      <c r="C364" s="161"/>
      <c r="D364" s="194"/>
      <c r="E364" s="194"/>
      <c r="F364" s="162"/>
      <c r="G364" s="149"/>
      <c r="H364" s="161"/>
      <c r="I364" s="161"/>
      <c r="J364" s="161"/>
      <c r="K364" s="161"/>
      <c r="L364" s="161"/>
      <c r="M364" s="161"/>
      <c r="N364" s="149"/>
      <c r="O364" s="161"/>
      <c r="P364" s="161"/>
      <c r="S364" s="149"/>
      <c r="T364" s="149"/>
      <c r="V364" s="166"/>
      <c r="W364" s="166"/>
      <c r="X364" s="166"/>
      <c r="Y364" s="166"/>
    </row>
    <row r="365" ht="22.5" customHeight="1">
      <c r="A365" s="161"/>
      <c r="B365" s="162"/>
      <c r="C365" s="161"/>
      <c r="D365" s="194"/>
      <c r="E365" s="194"/>
      <c r="F365" s="162"/>
      <c r="G365" s="149"/>
      <c r="H365" s="161"/>
      <c r="I365" s="161"/>
      <c r="J365" s="161"/>
      <c r="K365" s="161"/>
      <c r="L365" s="161"/>
      <c r="M365" s="161"/>
      <c r="N365" s="149"/>
      <c r="O365" s="161"/>
      <c r="P365" s="161"/>
      <c r="S365" s="149"/>
      <c r="T365" s="149"/>
      <c r="V365" s="166"/>
      <c r="W365" s="166"/>
      <c r="X365" s="166"/>
      <c r="Y365" s="166"/>
    </row>
    <row r="366" ht="22.5" customHeight="1">
      <c r="A366" s="161"/>
      <c r="B366" s="162"/>
      <c r="C366" s="161"/>
      <c r="D366" s="194"/>
      <c r="E366" s="194"/>
      <c r="F366" s="162"/>
      <c r="G366" s="149"/>
      <c r="H366" s="161"/>
      <c r="I366" s="161"/>
      <c r="J366" s="161"/>
      <c r="K366" s="161"/>
      <c r="L366" s="161"/>
      <c r="M366" s="161"/>
      <c r="N366" s="149"/>
      <c r="O366" s="161"/>
      <c r="P366" s="161"/>
      <c r="S366" s="149"/>
      <c r="T366" s="149"/>
      <c r="V366" s="166"/>
      <c r="W366" s="166"/>
      <c r="X366" s="166"/>
      <c r="Y366" s="166"/>
    </row>
    <row r="367" ht="22.5" customHeight="1">
      <c r="A367" s="161"/>
      <c r="B367" s="162"/>
      <c r="C367" s="161"/>
      <c r="D367" s="194"/>
      <c r="E367" s="194"/>
      <c r="F367" s="162"/>
      <c r="G367" s="149"/>
      <c r="H367" s="161"/>
      <c r="I367" s="161"/>
      <c r="J367" s="161"/>
      <c r="K367" s="161"/>
      <c r="L367" s="161"/>
      <c r="M367" s="161"/>
      <c r="N367" s="149"/>
      <c r="O367" s="161"/>
      <c r="P367" s="161"/>
      <c r="S367" s="149"/>
      <c r="T367" s="149"/>
      <c r="V367" s="166"/>
      <c r="W367" s="166"/>
      <c r="X367" s="166"/>
      <c r="Y367" s="166"/>
    </row>
    <row r="368" ht="22.5" customHeight="1">
      <c r="A368" s="161"/>
      <c r="B368" s="162"/>
      <c r="C368" s="161"/>
      <c r="D368" s="194"/>
      <c r="E368" s="194"/>
      <c r="F368" s="162"/>
      <c r="G368" s="149"/>
      <c r="H368" s="161"/>
      <c r="I368" s="161"/>
      <c r="J368" s="161"/>
      <c r="K368" s="161"/>
      <c r="L368" s="161"/>
      <c r="M368" s="161"/>
      <c r="N368" s="149"/>
      <c r="O368" s="161"/>
      <c r="P368" s="161"/>
      <c r="S368" s="149"/>
      <c r="T368" s="149"/>
      <c r="V368" s="166"/>
      <c r="W368" s="166"/>
      <c r="X368" s="166"/>
      <c r="Y368" s="166"/>
    </row>
    <row r="369" ht="22.5" customHeight="1">
      <c r="A369" s="161"/>
      <c r="B369" s="162"/>
      <c r="C369" s="161"/>
      <c r="D369" s="194"/>
      <c r="E369" s="194"/>
      <c r="F369" s="162"/>
      <c r="G369" s="149"/>
      <c r="H369" s="161"/>
      <c r="I369" s="161"/>
      <c r="J369" s="161"/>
      <c r="K369" s="161"/>
      <c r="L369" s="161"/>
      <c r="M369" s="161"/>
      <c r="N369" s="149"/>
      <c r="O369" s="161"/>
      <c r="P369" s="161"/>
      <c r="S369" s="149"/>
      <c r="T369" s="149"/>
      <c r="V369" s="166"/>
      <c r="W369" s="166"/>
      <c r="X369" s="166"/>
      <c r="Y369" s="166"/>
    </row>
    <row r="370" ht="22.5" customHeight="1">
      <c r="A370" s="161"/>
      <c r="B370" s="162"/>
      <c r="C370" s="161"/>
      <c r="D370" s="194"/>
      <c r="E370" s="194"/>
      <c r="F370" s="162"/>
      <c r="G370" s="149"/>
      <c r="H370" s="161"/>
      <c r="I370" s="161"/>
      <c r="J370" s="161"/>
      <c r="K370" s="161"/>
      <c r="L370" s="161"/>
      <c r="M370" s="161"/>
      <c r="N370" s="149"/>
      <c r="O370" s="161"/>
      <c r="P370" s="161"/>
      <c r="S370" s="149"/>
      <c r="T370" s="149"/>
      <c r="V370" s="166"/>
      <c r="W370" s="166"/>
      <c r="X370" s="166"/>
      <c r="Y370" s="166"/>
    </row>
    <row r="371" ht="22.5" customHeight="1">
      <c r="A371" s="161"/>
      <c r="B371" s="162"/>
      <c r="C371" s="161"/>
      <c r="D371" s="194"/>
      <c r="E371" s="194"/>
      <c r="F371" s="162"/>
      <c r="G371" s="149"/>
      <c r="H371" s="161"/>
      <c r="I371" s="161"/>
      <c r="J371" s="161"/>
      <c r="K371" s="161"/>
      <c r="L371" s="161"/>
      <c r="M371" s="161"/>
      <c r="N371" s="149"/>
      <c r="O371" s="161"/>
      <c r="P371" s="161"/>
      <c r="S371" s="149"/>
      <c r="T371" s="149"/>
      <c r="V371" s="166"/>
      <c r="W371" s="166"/>
      <c r="X371" s="166"/>
      <c r="Y371" s="166"/>
    </row>
    <row r="372" ht="22.5" customHeight="1">
      <c r="A372" s="161"/>
      <c r="B372" s="162"/>
      <c r="C372" s="161"/>
      <c r="D372" s="194"/>
      <c r="E372" s="194"/>
      <c r="F372" s="162"/>
      <c r="G372" s="149"/>
      <c r="H372" s="161"/>
      <c r="I372" s="161"/>
      <c r="J372" s="161"/>
      <c r="K372" s="161"/>
      <c r="L372" s="161"/>
      <c r="M372" s="161"/>
      <c r="N372" s="149"/>
      <c r="O372" s="161"/>
      <c r="P372" s="161"/>
      <c r="S372" s="149"/>
      <c r="T372" s="149"/>
      <c r="V372" s="166"/>
      <c r="W372" s="166"/>
      <c r="X372" s="166"/>
      <c r="Y372" s="166"/>
    </row>
    <row r="373" ht="22.5" customHeight="1">
      <c r="A373" s="161"/>
      <c r="B373" s="162"/>
      <c r="C373" s="161"/>
      <c r="D373" s="194"/>
      <c r="E373" s="194"/>
      <c r="F373" s="162"/>
      <c r="G373" s="149"/>
      <c r="H373" s="161"/>
      <c r="I373" s="161"/>
      <c r="J373" s="161"/>
      <c r="K373" s="161"/>
      <c r="L373" s="161"/>
      <c r="M373" s="161"/>
      <c r="N373" s="149"/>
      <c r="O373" s="161"/>
      <c r="P373" s="161"/>
      <c r="S373" s="149"/>
      <c r="T373" s="149"/>
      <c r="V373" s="166"/>
      <c r="W373" s="166"/>
      <c r="X373" s="166"/>
      <c r="Y373" s="166"/>
    </row>
    <row r="374" ht="22.5" customHeight="1">
      <c r="A374" s="161"/>
      <c r="B374" s="162"/>
      <c r="C374" s="161"/>
      <c r="D374" s="194"/>
      <c r="E374" s="194"/>
      <c r="F374" s="162"/>
      <c r="G374" s="149"/>
      <c r="H374" s="161"/>
      <c r="I374" s="161"/>
      <c r="J374" s="161"/>
      <c r="K374" s="161"/>
      <c r="L374" s="161"/>
      <c r="M374" s="161"/>
      <c r="N374" s="149"/>
      <c r="O374" s="161"/>
      <c r="P374" s="161"/>
      <c r="S374" s="149"/>
      <c r="T374" s="149"/>
      <c r="V374" s="166"/>
      <c r="W374" s="166"/>
      <c r="X374" s="166"/>
      <c r="Y374" s="166"/>
    </row>
    <row r="375" ht="22.5" customHeight="1">
      <c r="A375" s="161"/>
      <c r="B375" s="162"/>
      <c r="C375" s="161"/>
      <c r="D375" s="194"/>
      <c r="E375" s="194"/>
      <c r="F375" s="162"/>
      <c r="G375" s="149"/>
      <c r="H375" s="161"/>
      <c r="I375" s="161"/>
      <c r="J375" s="161"/>
      <c r="K375" s="161"/>
      <c r="L375" s="161"/>
      <c r="M375" s="161"/>
      <c r="N375" s="149"/>
      <c r="O375" s="161"/>
      <c r="P375" s="161"/>
      <c r="S375" s="149"/>
      <c r="T375" s="149"/>
      <c r="V375" s="166"/>
      <c r="W375" s="166"/>
      <c r="X375" s="166"/>
      <c r="Y375" s="166"/>
    </row>
    <row r="376" ht="22.5" customHeight="1">
      <c r="A376" s="161"/>
      <c r="B376" s="162"/>
      <c r="C376" s="161"/>
      <c r="D376" s="194"/>
      <c r="E376" s="194"/>
      <c r="F376" s="162"/>
      <c r="G376" s="149"/>
      <c r="H376" s="161"/>
      <c r="I376" s="161"/>
      <c r="J376" s="161"/>
      <c r="K376" s="161"/>
      <c r="L376" s="161"/>
      <c r="M376" s="161"/>
      <c r="N376" s="149"/>
      <c r="O376" s="161"/>
      <c r="P376" s="161"/>
      <c r="S376" s="149"/>
      <c r="T376" s="149"/>
      <c r="V376" s="166"/>
      <c r="W376" s="166"/>
      <c r="X376" s="166"/>
      <c r="Y376" s="166"/>
    </row>
    <row r="377" ht="22.5" customHeight="1">
      <c r="A377" s="161"/>
      <c r="B377" s="162"/>
      <c r="C377" s="161"/>
      <c r="D377" s="194"/>
      <c r="E377" s="194"/>
      <c r="F377" s="162"/>
      <c r="G377" s="149"/>
      <c r="H377" s="161"/>
      <c r="I377" s="161"/>
      <c r="J377" s="161"/>
      <c r="K377" s="161"/>
      <c r="L377" s="161"/>
      <c r="M377" s="161"/>
      <c r="N377" s="149"/>
      <c r="O377" s="161"/>
      <c r="P377" s="161"/>
      <c r="S377" s="149"/>
      <c r="T377" s="149"/>
      <c r="V377" s="166"/>
      <c r="W377" s="166"/>
      <c r="X377" s="166"/>
      <c r="Y377" s="166"/>
    </row>
    <row r="378" ht="22.5" customHeight="1">
      <c r="A378" s="161"/>
      <c r="B378" s="162"/>
      <c r="C378" s="161"/>
      <c r="D378" s="194"/>
      <c r="E378" s="194"/>
      <c r="F378" s="162"/>
      <c r="G378" s="149"/>
      <c r="H378" s="161"/>
      <c r="I378" s="161"/>
      <c r="J378" s="161"/>
      <c r="K378" s="161"/>
      <c r="L378" s="161"/>
      <c r="M378" s="161"/>
      <c r="N378" s="149"/>
      <c r="O378" s="161"/>
      <c r="P378" s="161"/>
      <c r="S378" s="149"/>
      <c r="T378" s="149"/>
      <c r="V378" s="166"/>
      <c r="W378" s="166"/>
      <c r="X378" s="166"/>
      <c r="Y378" s="166"/>
    </row>
    <row r="379" ht="22.5" customHeight="1">
      <c r="A379" s="161"/>
      <c r="B379" s="162"/>
      <c r="C379" s="161"/>
      <c r="D379" s="194"/>
      <c r="E379" s="194"/>
      <c r="F379" s="162"/>
      <c r="G379" s="149"/>
      <c r="H379" s="161"/>
      <c r="I379" s="161"/>
      <c r="J379" s="161"/>
      <c r="K379" s="161"/>
      <c r="L379" s="161"/>
      <c r="M379" s="161"/>
      <c r="N379" s="149"/>
      <c r="O379" s="161"/>
      <c r="P379" s="161"/>
      <c r="S379" s="149"/>
      <c r="T379" s="149"/>
      <c r="V379" s="166"/>
      <c r="W379" s="166"/>
      <c r="X379" s="166"/>
      <c r="Y379" s="166"/>
    </row>
    <row r="380" ht="22.5" customHeight="1">
      <c r="A380" s="161"/>
      <c r="B380" s="162"/>
      <c r="C380" s="161"/>
      <c r="D380" s="194"/>
      <c r="E380" s="194"/>
      <c r="F380" s="162"/>
      <c r="G380" s="149"/>
      <c r="H380" s="161"/>
      <c r="I380" s="161"/>
      <c r="J380" s="161"/>
      <c r="K380" s="161"/>
      <c r="L380" s="161"/>
      <c r="M380" s="161"/>
      <c r="N380" s="149"/>
      <c r="O380" s="161"/>
      <c r="P380" s="161"/>
      <c r="S380" s="149"/>
      <c r="T380" s="149"/>
      <c r="V380" s="166"/>
      <c r="W380" s="166"/>
      <c r="X380" s="166"/>
      <c r="Y380" s="166"/>
    </row>
    <row r="381" ht="22.5" customHeight="1">
      <c r="A381" s="161"/>
      <c r="B381" s="162"/>
      <c r="C381" s="161"/>
      <c r="D381" s="194"/>
      <c r="E381" s="194"/>
      <c r="F381" s="162"/>
      <c r="G381" s="149"/>
      <c r="H381" s="161"/>
      <c r="I381" s="161"/>
      <c r="J381" s="161"/>
      <c r="K381" s="161"/>
      <c r="L381" s="161"/>
      <c r="M381" s="161"/>
      <c r="N381" s="149"/>
      <c r="O381" s="161"/>
      <c r="P381" s="161"/>
      <c r="S381" s="149"/>
      <c r="T381" s="149"/>
      <c r="V381" s="166"/>
      <c r="W381" s="166"/>
      <c r="X381" s="166"/>
      <c r="Y381" s="166"/>
    </row>
    <row r="382" ht="22.5" customHeight="1">
      <c r="A382" s="161"/>
      <c r="B382" s="162"/>
      <c r="C382" s="161"/>
      <c r="D382" s="194"/>
      <c r="E382" s="194"/>
      <c r="F382" s="162"/>
      <c r="G382" s="149"/>
      <c r="H382" s="161"/>
      <c r="I382" s="161"/>
      <c r="J382" s="161"/>
      <c r="K382" s="161"/>
      <c r="L382" s="161"/>
      <c r="M382" s="161"/>
      <c r="N382" s="149"/>
      <c r="O382" s="161"/>
      <c r="P382" s="161"/>
      <c r="S382" s="149"/>
      <c r="T382" s="149"/>
      <c r="V382" s="166"/>
      <c r="W382" s="166"/>
      <c r="X382" s="166"/>
      <c r="Y382" s="166"/>
    </row>
    <row r="383" ht="22.5" customHeight="1">
      <c r="A383" s="161"/>
      <c r="B383" s="162"/>
      <c r="C383" s="161"/>
      <c r="D383" s="194"/>
      <c r="E383" s="194"/>
      <c r="F383" s="162"/>
      <c r="G383" s="149"/>
      <c r="H383" s="161"/>
      <c r="I383" s="161"/>
      <c r="J383" s="161"/>
      <c r="K383" s="161"/>
      <c r="L383" s="161"/>
      <c r="M383" s="161"/>
      <c r="N383" s="149"/>
      <c r="O383" s="161"/>
      <c r="P383" s="161"/>
      <c r="S383" s="149"/>
      <c r="T383" s="149"/>
      <c r="V383" s="166"/>
      <c r="W383" s="166"/>
      <c r="X383" s="166"/>
      <c r="Y383" s="166"/>
    </row>
    <row r="384" ht="22.5" customHeight="1">
      <c r="A384" s="161"/>
      <c r="B384" s="162"/>
      <c r="C384" s="161"/>
      <c r="D384" s="194"/>
      <c r="E384" s="194"/>
      <c r="F384" s="162"/>
      <c r="G384" s="149"/>
      <c r="H384" s="161"/>
      <c r="I384" s="161"/>
      <c r="J384" s="161"/>
      <c r="K384" s="161"/>
      <c r="L384" s="161"/>
      <c r="M384" s="161"/>
      <c r="N384" s="149"/>
      <c r="O384" s="161"/>
      <c r="P384" s="161"/>
      <c r="S384" s="149"/>
      <c r="T384" s="149"/>
      <c r="V384" s="166"/>
      <c r="W384" s="166"/>
      <c r="X384" s="166"/>
      <c r="Y384" s="166"/>
    </row>
    <row r="385" ht="22.5" customHeight="1">
      <c r="A385" s="161"/>
      <c r="B385" s="162"/>
      <c r="C385" s="161"/>
      <c r="D385" s="194"/>
      <c r="E385" s="194"/>
      <c r="F385" s="162"/>
      <c r="G385" s="149"/>
      <c r="H385" s="161"/>
      <c r="I385" s="161"/>
      <c r="J385" s="161"/>
      <c r="K385" s="161"/>
      <c r="L385" s="161"/>
      <c r="M385" s="161"/>
      <c r="N385" s="149"/>
      <c r="O385" s="161"/>
      <c r="P385" s="161"/>
      <c r="S385" s="149"/>
      <c r="T385" s="149"/>
      <c r="V385" s="166"/>
      <c r="W385" s="166"/>
      <c r="X385" s="166"/>
      <c r="Y385" s="166"/>
    </row>
    <row r="386" ht="22.5" customHeight="1">
      <c r="A386" s="161"/>
      <c r="B386" s="162"/>
      <c r="C386" s="161"/>
      <c r="D386" s="194"/>
      <c r="E386" s="194"/>
      <c r="F386" s="162"/>
      <c r="G386" s="149"/>
      <c r="H386" s="161"/>
      <c r="I386" s="161"/>
      <c r="J386" s="161"/>
      <c r="K386" s="161"/>
      <c r="L386" s="161"/>
      <c r="M386" s="161"/>
      <c r="N386" s="149"/>
      <c r="O386" s="161"/>
      <c r="P386" s="161"/>
      <c r="S386" s="149"/>
      <c r="T386" s="149"/>
      <c r="V386" s="166"/>
      <c r="W386" s="166"/>
      <c r="X386" s="166"/>
      <c r="Y386" s="166"/>
    </row>
    <row r="387" ht="22.5" customHeight="1">
      <c r="A387" s="161"/>
      <c r="B387" s="162"/>
      <c r="C387" s="161"/>
      <c r="D387" s="194"/>
      <c r="E387" s="194"/>
      <c r="F387" s="162"/>
      <c r="G387" s="149"/>
      <c r="H387" s="161"/>
      <c r="I387" s="161"/>
      <c r="J387" s="161"/>
      <c r="K387" s="161"/>
      <c r="L387" s="161"/>
      <c r="M387" s="161"/>
      <c r="N387" s="149"/>
      <c r="O387" s="161"/>
      <c r="P387" s="161"/>
      <c r="S387" s="149"/>
      <c r="T387" s="149"/>
      <c r="V387" s="166"/>
      <c r="W387" s="166"/>
      <c r="X387" s="166"/>
      <c r="Y387" s="166"/>
    </row>
    <row r="388" ht="22.5" customHeight="1">
      <c r="A388" s="161"/>
      <c r="B388" s="162"/>
      <c r="C388" s="161"/>
      <c r="D388" s="194"/>
      <c r="E388" s="194"/>
      <c r="F388" s="162"/>
      <c r="G388" s="149"/>
      <c r="H388" s="161"/>
      <c r="I388" s="161"/>
      <c r="J388" s="161"/>
      <c r="K388" s="161"/>
      <c r="L388" s="161"/>
      <c r="M388" s="161"/>
      <c r="N388" s="149"/>
      <c r="O388" s="161"/>
      <c r="P388" s="161"/>
      <c r="S388" s="149"/>
      <c r="T388" s="149"/>
      <c r="V388" s="166"/>
      <c r="W388" s="166"/>
      <c r="X388" s="166"/>
      <c r="Y388" s="166"/>
    </row>
    <row r="389" ht="22.5" customHeight="1">
      <c r="A389" s="161"/>
      <c r="B389" s="162"/>
      <c r="C389" s="161"/>
      <c r="D389" s="194"/>
      <c r="E389" s="194"/>
      <c r="F389" s="162"/>
      <c r="G389" s="149"/>
      <c r="H389" s="161"/>
      <c r="I389" s="161"/>
      <c r="J389" s="161"/>
      <c r="K389" s="161"/>
      <c r="L389" s="161"/>
      <c r="M389" s="161"/>
      <c r="N389" s="149"/>
      <c r="O389" s="161"/>
      <c r="P389" s="161"/>
      <c r="S389" s="149"/>
      <c r="T389" s="149"/>
      <c r="V389" s="166"/>
      <c r="W389" s="166"/>
      <c r="X389" s="166"/>
      <c r="Y389" s="166"/>
    </row>
    <row r="390" ht="22.5" customHeight="1">
      <c r="A390" s="161"/>
      <c r="B390" s="162"/>
      <c r="C390" s="161"/>
      <c r="D390" s="194"/>
      <c r="E390" s="194"/>
      <c r="F390" s="162"/>
      <c r="G390" s="149"/>
      <c r="H390" s="161"/>
      <c r="I390" s="161"/>
      <c r="J390" s="161"/>
      <c r="K390" s="161"/>
      <c r="L390" s="161"/>
      <c r="M390" s="161"/>
      <c r="N390" s="149"/>
      <c r="O390" s="161"/>
      <c r="P390" s="161"/>
      <c r="S390" s="149"/>
      <c r="T390" s="149"/>
      <c r="V390" s="166"/>
      <c r="W390" s="166"/>
      <c r="X390" s="166"/>
      <c r="Y390" s="166"/>
    </row>
    <row r="391" ht="22.5" customHeight="1">
      <c r="A391" s="161"/>
      <c r="B391" s="162"/>
      <c r="C391" s="161"/>
      <c r="D391" s="194"/>
      <c r="E391" s="194"/>
      <c r="F391" s="162"/>
      <c r="G391" s="149"/>
      <c r="H391" s="161"/>
      <c r="I391" s="161"/>
      <c r="J391" s="161"/>
      <c r="K391" s="161"/>
      <c r="L391" s="161"/>
      <c r="M391" s="161"/>
      <c r="N391" s="149"/>
      <c r="O391" s="161"/>
      <c r="P391" s="161"/>
      <c r="S391" s="149"/>
      <c r="T391" s="149"/>
      <c r="V391" s="166"/>
      <c r="W391" s="166"/>
      <c r="X391" s="166"/>
      <c r="Y391" s="166"/>
    </row>
    <row r="392" ht="22.5" customHeight="1">
      <c r="A392" s="161"/>
      <c r="B392" s="162"/>
      <c r="C392" s="161"/>
      <c r="D392" s="194"/>
      <c r="E392" s="194"/>
      <c r="F392" s="162"/>
      <c r="G392" s="149"/>
      <c r="H392" s="161"/>
      <c r="I392" s="161"/>
      <c r="J392" s="161"/>
      <c r="K392" s="161"/>
      <c r="L392" s="161"/>
      <c r="M392" s="161"/>
      <c r="N392" s="149"/>
      <c r="O392" s="161"/>
      <c r="P392" s="161"/>
      <c r="S392" s="149"/>
      <c r="T392" s="149"/>
      <c r="V392" s="166"/>
      <c r="W392" s="166"/>
      <c r="X392" s="166"/>
      <c r="Y392" s="166"/>
    </row>
    <row r="393" ht="22.5" customHeight="1">
      <c r="A393" s="161"/>
      <c r="B393" s="162"/>
      <c r="C393" s="161"/>
      <c r="D393" s="194"/>
      <c r="E393" s="194"/>
      <c r="F393" s="162"/>
      <c r="G393" s="149"/>
      <c r="H393" s="161"/>
      <c r="I393" s="161"/>
      <c r="J393" s="161"/>
      <c r="K393" s="161"/>
      <c r="L393" s="161"/>
      <c r="M393" s="161"/>
      <c r="N393" s="149"/>
      <c r="O393" s="161"/>
      <c r="P393" s="161"/>
      <c r="S393" s="149"/>
      <c r="T393" s="149"/>
      <c r="V393" s="166"/>
      <c r="W393" s="166"/>
      <c r="X393" s="166"/>
      <c r="Y393" s="166"/>
    </row>
    <row r="394" ht="22.5" customHeight="1">
      <c r="A394" s="161"/>
      <c r="B394" s="162"/>
      <c r="C394" s="161"/>
      <c r="D394" s="194"/>
      <c r="E394" s="194"/>
      <c r="F394" s="162"/>
      <c r="G394" s="149"/>
      <c r="H394" s="161"/>
      <c r="I394" s="161"/>
      <c r="J394" s="161"/>
      <c r="K394" s="161"/>
      <c r="L394" s="161"/>
      <c r="M394" s="161"/>
      <c r="N394" s="149"/>
      <c r="O394" s="161"/>
      <c r="P394" s="161"/>
      <c r="S394" s="149"/>
      <c r="T394" s="149"/>
      <c r="V394" s="166"/>
      <c r="W394" s="166"/>
      <c r="X394" s="166"/>
      <c r="Y394" s="166"/>
    </row>
    <row r="395" ht="22.5" customHeight="1">
      <c r="A395" s="161"/>
      <c r="B395" s="162"/>
      <c r="C395" s="161"/>
      <c r="D395" s="194"/>
      <c r="E395" s="194"/>
      <c r="F395" s="162"/>
      <c r="G395" s="149"/>
      <c r="H395" s="161"/>
      <c r="I395" s="161"/>
      <c r="J395" s="161"/>
      <c r="K395" s="161"/>
      <c r="L395" s="161"/>
      <c r="M395" s="161"/>
      <c r="N395" s="149"/>
      <c r="O395" s="161"/>
      <c r="P395" s="161"/>
      <c r="S395" s="149"/>
      <c r="T395" s="149"/>
      <c r="V395" s="166"/>
      <c r="W395" s="166"/>
      <c r="X395" s="166"/>
      <c r="Y395" s="166"/>
    </row>
    <row r="396" ht="22.5" customHeight="1">
      <c r="A396" s="161"/>
      <c r="B396" s="162"/>
      <c r="C396" s="161"/>
      <c r="D396" s="194"/>
      <c r="E396" s="194"/>
      <c r="F396" s="162"/>
      <c r="G396" s="149"/>
      <c r="H396" s="161"/>
      <c r="I396" s="161"/>
      <c r="J396" s="161"/>
      <c r="K396" s="161"/>
      <c r="L396" s="161"/>
      <c r="M396" s="161"/>
      <c r="N396" s="149"/>
      <c r="O396" s="161"/>
      <c r="P396" s="161"/>
      <c r="S396" s="149"/>
      <c r="T396" s="149"/>
      <c r="V396" s="166"/>
      <c r="W396" s="166"/>
      <c r="X396" s="166"/>
      <c r="Y396" s="166"/>
    </row>
    <row r="397" ht="22.5" customHeight="1">
      <c r="A397" s="161"/>
      <c r="B397" s="162"/>
      <c r="C397" s="161"/>
      <c r="D397" s="194"/>
      <c r="E397" s="194"/>
      <c r="F397" s="162"/>
      <c r="G397" s="149"/>
      <c r="H397" s="161"/>
      <c r="I397" s="161"/>
      <c r="J397" s="161"/>
      <c r="K397" s="161"/>
      <c r="L397" s="161"/>
      <c r="M397" s="161"/>
      <c r="N397" s="149"/>
      <c r="O397" s="161"/>
      <c r="P397" s="161"/>
      <c r="S397" s="149"/>
      <c r="T397" s="149"/>
      <c r="V397" s="166"/>
      <c r="W397" s="166"/>
      <c r="X397" s="166"/>
      <c r="Y397" s="166"/>
    </row>
    <row r="398" ht="22.5" customHeight="1">
      <c r="A398" s="161"/>
      <c r="B398" s="162"/>
      <c r="C398" s="161"/>
      <c r="D398" s="194"/>
      <c r="E398" s="194"/>
      <c r="F398" s="162"/>
      <c r="G398" s="149"/>
      <c r="H398" s="161"/>
      <c r="I398" s="161"/>
      <c r="J398" s="161"/>
      <c r="K398" s="161"/>
      <c r="L398" s="161"/>
      <c r="M398" s="161"/>
      <c r="N398" s="149"/>
      <c r="O398" s="161"/>
      <c r="P398" s="161"/>
      <c r="S398" s="149"/>
      <c r="T398" s="149"/>
      <c r="V398" s="166"/>
      <c r="W398" s="166"/>
      <c r="X398" s="166"/>
      <c r="Y398" s="166"/>
    </row>
    <row r="399" ht="22.5" customHeight="1">
      <c r="A399" s="161"/>
      <c r="B399" s="162"/>
      <c r="C399" s="161"/>
      <c r="D399" s="194"/>
      <c r="E399" s="194"/>
      <c r="F399" s="162"/>
      <c r="G399" s="149"/>
      <c r="H399" s="161"/>
      <c r="I399" s="161"/>
      <c r="J399" s="161"/>
      <c r="K399" s="161"/>
      <c r="L399" s="161"/>
      <c r="M399" s="161"/>
      <c r="N399" s="149"/>
      <c r="O399" s="161"/>
      <c r="P399" s="161"/>
      <c r="S399" s="149"/>
      <c r="T399" s="149"/>
      <c r="V399" s="166"/>
      <c r="W399" s="166"/>
      <c r="X399" s="166"/>
      <c r="Y399" s="166"/>
    </row>
    <row r="400" ht="22.5" customHeight="1">
      <c r="A400" s="161"/>
      <c r="B400" s="162"/>
      <c r="C400" s="161"/>
      <c r="D400" s="194"/>
      <c r="E400" s="194"/>
      <c r="F400" s="162"/>
      <c r="G400" s="149"/>
      <c r="H400" s="161"/>
      <c r="I400" s="161"/>
      <c r="J400" s="161"/>
      <c r="K400" s="161"/>
      <c r="L400" s="161"/>
      <c r="M400" s="161"/>
      <c r="N400" s="149"/>
      <c r="O400" s="161"/>
      <c r="P400" s="161"/>
      <c r="S400" s="149"/>
      <c r="T400" s="149"/>
      <c r="V400" s="166"/>
      <c r="W400" s="166"/>
      <c r="X400" s="166"/>
      <c r="Y400" s="166"/>
    </row>
    <row r="401" ht="22.5" customHeight="1">
      <c r="A401" s="161"/>
      <c r="B401" s="162"/>
      <c r="C401" s="161"/>
      <c r="D401" s="194"/>
      <c r="E401" s="194"/>
      <c r="F401" s="162"/>
      <c r="G401" s="149"/>
      <c r="H401" s="161"/>
      <c r="I401" s="161"/>
      <c r="J401" s="161"/>
      <c r="K401" s="161"/>
      <c r="L401" s="161"/>
      <c r="M401" s="161"/>
      <c r="N401" s="149"/>
      <c r="O401" s="161"/>
      <c r="P401" s="161"/>
      <c r="S401" s="149"/>
      <c r="T401" s="149"/>
      <c r="V401" s="166"/>
      <c r="W401" s="166"/>
      <c r="X401" s="166"/>
      <c r="Y401" s="166"/>
    </row>
    <row r="402" ht="22.5" customHeight="1">
      <c r="A402" s="161"/>
      <c r="B402" s="162"/>
      <c r="C402" s="161"/>
      <c r="D402" s="194"/>
      <c r="E402" s="194"/>
      <c r="F402" s="162"/>
      <c r="G402" s="149"/>
      <c r="H402" s="161"/>
      <c r="I402" s="161"/>
      <c r="J402" s="161"/>
      <c r="K402" s="161"/>
      <c r="L402" s="161"/>
      <c r="M402" s="161"/>
      <c r="N402" s="149"/>
      <c r="O402" s="161"/>
      <c r="P402" s="161"/>
      <c r="S402" s="149"/>
      <c r="T402" s="149"/>
      <c r="V402" s="166"/>
      <c r="W402" s="166"/>
      <c r="X402" s="166"/>
      <c r="Y402" s="166"/>
    </row>
    <row r="403" ht="22.5" customHeight="1">
      <c r="A403" s="161"/>
      <c r="B403" s="162"/>
      <c r="C403" s="161"/>
      <c r="D403" s="194"/>
      <c r="E403" s="194"/>
      <c r="F403" s="162"/>
      <c r="G403" s="149"/>
      <c r="H403" s="161"/>
      <c r="I403" s="161"/>
      <c r="J403" s="161"/>
      <c r="K403" s="161"/>
      <c r="L403" s="161"/>
      <c r="M403" s="161"/>
      <c r="N403" s="149"/>
      <c r="O403" s="161"/>
      <c r="P403" s="161"/>
      <c r="S403" s="149"/>
      <c r="T403" s="149"/>
      <c r="V403" s="166"/>
      <c r="W403" s="166"/>
      <c r="X403" s="166"/>
      <c r="Y403" s="166"/>
    </row>
    <row r="404" ht="22.5" customHeight="1">
      <c r="A404" s="161"/>
      <c r="B404" s="162"/>
      <c r="C404" s="161"/>
      <c r="D404" s="194"/>
      <c r="E404" s="194"/>
      <c r="F404" s="162"/>
      <c r="G404" s="149"/>
      <c r="H404" s="161"/>
      <c r="I404" s="161"/>
      <c r="J404" s="161"/>
      <c r="K404" s="161"/>
      <c r="L404" s="161"/>
      <c r="M404" s="161"/>
      <c r="N404" s="149"/>
      <c r="O404" s="161"/>
      <c r="P404" s="161"/>
      <c r="S404" s="149"/>
      <c r="T404" s="149"/>
      <c r="V404" s="166"/>
      <c r="W404" s="166"/>
      <c r="X404" s="166"/>
      <c r="Y404" s="166"/>
    </row>
    <row r="405" ht="22.5" customHeight="1">
      <c r="A405" s="161"/>
      <c r="B405" s="162"/>
      <c r="C405" s="161"/>
      <c r="D405" s="194"/>
      <c r="E405" s="194"/>
      <c r="F405" s="162"/>
      <c r="G405" s="149"/>
      <c r="H405" s="161"/>
      <c r="I405" s="161"/>
      <c r="J405" s="161"/>
      <c r="K405" s="161"/>
      <c r="L405" s="161"/>
      <c r="M405" s="161"/>
      <c r="N405" s="149"/>
      <c r="O405" s="161"/>
      <c r="P405" s="161"/>
      <c r="S405" s="149"/>
      <c r="T405" s="149"/>
      <c r="V405" s="166"/>
      <c r="W405" s="166"/>
      <c r="X405" s="166"/>
      <c r="Y405" s="166"/>
    </row>
    <row r="406" ht="22.5" customHeight="1">
      <c r="A406" s="161"/>
      <c r="B406" s="162"/>
      <c r="C406" s="161"/>
      <c r="D406" s="194"/>
      <c r="E406" s="194"/>
      <c r="F406" s="162"/>
      <c r="G406" s="149"/>
      <c r="H406" s="161"/>
      <c r="I406" s="161"/>
      <c r="J406" s="161"/>
      <c r="K406" s="161"/>
      <c r="L406" s="161"/>
      <c r="M406" s="161"/>
      <c r="N406" s="149"/>
      <c r="O406" s="161"/>
      <c r="P406" s="161"/>
      <c r="S406" s="149"/>
      <c r="T406" s="149"/>
      <c r="V406" s="166"/>
      <c r="W406" s="166"/>
      <c r="X406" s="166"/>
      <c r="Y406" s="166"/>
    </row>
    <row r="407" ht="22.5" customHeight="1">
      <c r="A407" s="161"/>
      <c r="B407" s="162"/>
      <c r="C407" s="161"/>
      <c r="D407" s="194"/>
      <c r="E407" s="194"/>
      <c r="F407" s="162"/>
      <c r="G407" s="149"/>
      <c r="H407" s="161"/>
      <c r="I407" s="161"/>
      <c r="J407" s="161"/>
      <c r="K407" s="161"/>
      <c r="L407" s="161"/>
      <c r="M407" s="161"/>
      <c r="N407" s="149"/>
      <c r="O407" s="161"/>
      <c r="P407" s="161"/>
      <c r="S407" s="149"/>
      <c r="T407" s="149"/>
      <c r="V407" s="166"/>
      <c r="W407" s="166"/>
      <c r="X407" s="166"/>
      <c r="Y407" s="166"/>
    </row>
    <row r="408" ht="22.5" customHeight="1">
      <c r="A408" s="161"/>
      <c r="B408" s="162"/>
      <c r="C408" s="161"/>
      <c r="D408" s="194"/>
      <c r="E408" s="194"/>
      <c r="F408" s="162"/>
      <c r="G408" s="149"/>
      <c r="H408" s="161"/>
      <c r="I408" s="161"/>
      <c r="J408" s="161"/>
      <c r="K408" s="161"/>
      <c r="L408" s="161"/>
      <c r="M408" s="161"/>
      <c r="N408" s="149"/>
      <c r="O408" s="161"/>
      <c r="P408" s="161"/>
      <c r="S408" s="149"/>
      <c r="T408" s="149"/>
      <c r="V408" s="166"/>
      <c r="W408" s="166"/>
      <c r="X408" s="166"/>
      <c r="Y408" s="166"/>
    </row>
    <row r="409" ht="22.5" customHeight="1">
      <c r="A409" s="161"/>
      <c r="B409" s="162"/>
      <c r="C409" s="161"/>
      <c r="D409" s="194"/>
      <c r="E409" s="194"/>
      <c r="F409" s="162"/>
      <c r="G409" s="149"/>
      <c r="H409" s="161"/>
      <c r="I409" s="161"/>
      <c r="J409" s="161"/>
      <c r="K409" s="161"/>
      <c r="L409" s="161"/>
      <c r="M409" s="161"/>
      <c r="N409" s="149"/>
      <c r="O409" s="161"/>
      <c r="P409" s="161"/>
      <c r="S409" s="149"/>
      <c r="T409" s="149"/>
      <c r="V409" s="166"/>
      <c r="W409" s="166"/>
      <c r="X409" s="166"/>
      <c r="Y409" s="166"/>
    </row>
    <row r="410" ht="22.5" customHeight="1">
      <c r="A410" s="161"/>
      <c r="B410" s="162"/>
      <c r="C410" s="161"/>
      <c r="D410" s="194"/>
      <c r="E410" s="194"/>
      <c r="F410" s="162"/>
      <c r="G410" s="149"/>
      <c r="H410" s="161"/>
      <c r="I410" s="161"/>
      <c r="J410" s="161"/>
      <c r="K410" s="161"/>
      <c r="L410" s="161"/>
      <c r="M410" s="161"/>
      <c r="N410" s="149"/>
      <c r="O410" s="161"/>
      <c r="P410" s="161"/>
      <c r="S410" s="149"/>
      <c r="T410" s="149"/>
      <c r="V410" s="166"/>
      <c r="W410" s="166"/>
      <c r="X410" s="166"/>
      <c r="Y410" s="166"/>
    </row>
    <row r="411" ht="22.5" customHeight="1">
      <c r="A411" s="161"/>
      <c r="B411" s="162"/>
      <c r="C411" s="161"/>
      <c r="D411" s="194"/>
      <c r="E411" s="194"/>
      <c r="F411" s="162"/>
      <c r="G411" s="149"/>
      <c r="H411" s="161"/>
      <c r="I411" s="161"/>
      <c r="J411" s="161"/>
      <c r="K411" s="161"/>
      <c r="L411" s="161"/>
      <c r="M411" s="161"/>
      <c r="N411" s="149"/>
      <c r="O411" s="161"/>
      <c r="P411" s="161"/>
      <c r="S411" s="149"/>
      <c r="T411" s="149"/>
      <c r="V411" s="166"/>
      <c r="W411" s="166"/>
      <c r="X411" s="166"/>
      <c r="Y411" s="166"/>
    </row>
    <row r="412" ht="22.5" customHeight="1">
      <c r="A412" s="161"/>
      <c r="B412" s="162"/>
      <c r="C412" s="161"/>
      <c r="D412" s="194"/>
      <c r="E412" s="194"/>
      <c r="F412" s="162"/>
      <c r="G412" s="149"/>
      <c r="H412" s="161"/>
      <c r="I412" s="161"/>
      <c r="J412" s="161"/>
      <c r="K412" s="161"/>
      <c r="L412" s="161"/>
      <c r="M412" s="161"/>
      <c r="N412" s="149"/>
      <c r="O412" s="161"/>
      <c r="P412" s="161"/>
      <c r="S412" s="149"/>
      <c r="T412" s="149"/>
      <c r="V412" s="166"/>
      <c r="W412" s="166"/>
      <c r="X412" s="166"/>
      <c r="Y412" s="166"/>
    </row>
    <row r="413" ht="22.5" customHeight="1">
      <c r="A413" s="161"/>
      <c r="B413" s="162"/>
      <c r="C413" s="161"/>
      <c r="D413" s="194"/>
      <c r="E413" s="194"/>
      <c r="F413" s="162"/>
      <c r="G413" s="149"/>
      <c r="H413" s="161"/>
      <c r="I413" s="161"/>
      <c r="J413" s="161"/>
      <c r="K413" s="161"/>
      <c r="L413" s="161"/>
      <c r="M413" s="161"/>
      <c r="N413" s="149"/>
      <c r="O413" s="161"/>
      <c r="P413" s="161"/>
      <c r="S413" s="149"/>
      <c r="T413" s="149"/>
      <c r="V413" s="166"/>
      <c r="W413" s="166"/>
      <c r="X413" s="166"/>
      <c r="Y413" s="166"/>
    </row>
    <row r="414" ht="22.5" customHeight="1">
      <c r="A414" s="161"/>
      <c r="B414" s="162"/>
      <c r="C414" s="161"/>
      <c r="D414" s="194"/>
      <c r="E414" s="194"/>
      <c r="F414" s="162"/>
      <c r="G414" s="149"/>
      <c r="H414" s="161"/>
      <c r="I414" s="161"/>
      <c r="J414" s="161"/>
      <c r="K414" s="161"/>
      <c r="L414" s="161"/>
      <c r="M414" s="161"/>
      <c r="N414" s="149"/>
      <c r="O414" s="161"/>
      <c r="P414" s="161"/>
      <c r="S414" s="149"/>
      <c r="T414" s="149"/>
      <c r="V414" s="166"/>
      <c r="W414" s="166"/>
      <c r="X414" s="166"/>
      <c r="Y414" s="166"/>
    </row>
    <row r="415" ht="22.5" customHeight="1">
      <c r="A415" s="161"/>
      <c r="B415" s="162"/>
      <c r="C415" s="161"/>
      <c r="D415" s="194"/>
      <c r="E415" s="194"/>
      <c r="F415" s="162"/>
      <c r="G415" s="149"/>
      <c r="H415" s="161"/>
      <c r="I415" s="161"/>
      <c r="J415" s="161"/>
      <c r="K415" s="161"/>
      <c r="L415" s="161"/>
      <c r="M415" s="161"/>
      <c r="N415" s="149"/>
      <c r="O415" s="161"/>
      <c r="P415" s="161"/>
      <c r="S415" s="149"/>
      <c r="T415" s="149"/>
      <c r="V415" s="166"/>
      <c r="W415" s="166"/>
      <c r="X415" s="166"/>
      <c r="Y415" s="166"/>
    </row>
    <row r="416" ht="22.5" customHeight="1">
      <c r="A416" s="161"/>
      <c r="B416" s="162"/>
      <c r="C416" s="161"/>
      <c r="D416" s="194"/>
      <c r="E416" s="194"/>
      <c r="F416" s="162"/>
      <c r="G416" s="149"/>
      <c r="H416" s="161"/>
      <c r="I416" s="161"/>
      <c r="J416" s="161"/>
      <c r="K416" s="161"/>
      <c r="L416" s="161"/>
      <c r="M416" s="161"/>
      <c r="N416" s="149"/>
      <c r="O416" s="161"/>
      <c r="P416" s="161"/>
      <c r="S416" s="149"/>
      <c r="T416" s="149"/>
      <c r="V416" s="166"/>
      <c r="W416" s="166"/>
      <c r="X416" s="166"/>
      <c r="Y416" s="166"/>
    </row>
    <row r="417" ht="22.5" customHeight="1">
      <c r="A417" s="161"/>
      <c r="B417" s="162"/>
      <c r="C417" s="161"/>
      <c r="D417" s="194"/>
      <c r="E417" s="194"/>
      <c r="F417" s="162"/>
      <c r="G417" s="149"/>
      <c r="H417" s="161"/>
      <c r="I417" s="161"/>
      <c r="J417" s="161"/>
      <c r="K417" s="161"/>
      <c r="L417" s="161"/>
      <c r="M417" s="161"/>
      <c r="N417" s="149"/>
      <c r="O417" s="161"/>
      <c r="P417" s="161"/>
      <c r="S417" s="149"/>
      <c r="T417" s="149"/>
      <c r="V417" s="166"/>
      <c r="W417" s="166"/>
      <c r="X417" s="166"/>
      <c r="Y417" s="166"/>
    </row>
    <row r="418" ht="22.5" customHeight="1">
      <c r="A418" s="161"/>
      <c r="B418" s="162"/>
      <c r="C418" s="161"/>
      <c r="D418" s="194"/>
      <c r="E418" s="194"/>
      <c r="F418" s="162"/>
      <c r="G418" s="149"/>
      <c r="H418" s="161"/>
      <c r="I418" s="161"/>
      <c r="J418" s="161"/>
      <c r="K418" s="161"/>
      <c r="L418" s="161"/>
      <c r="M418" s="161"/>
      <c r="N418" s="149"/>
      <c r="O418" s="161"/>
      <c r="P418" s="161"/>
      <c r="S418" s="149"/>
      <c r="T418" s="149"/>
      <c r="V418" s="166"/>
      <c r="W418" s="166"/>
      <c r="X418" s="166"/>
      <c r="Y418" s="166"/>
    </row>
    <row r="419" ht="22.5" customHeight="1">
      <c r="A419" s="161"/>
      <c r="B419" s="162"/>
      <c r="C419" s="161"/>
      <c r="D419" s="194"/>
      <c r="E419" s="194"/>
      <c r="F419" s="162"/>
      <c r="G419" s="149"/>
      <c r="H419" s="161"/>
      <c r="I419" s="161"/>
      <c r="J419" s="161"/>
      <c r="K419" s="161"/>
      <c r="L419" s="161"/>
      <c r="M419" s="161"/>
      <c r="N419" s="149"/>
      <c r="O419" s="161"/>
      <c r="P419" s="161"/>
      <c r="S419" s="149"/>
      <c r="T419" s="149"/>
      <c r="V419" s="166"/>
      <c r="W419" s="166"/>
      <c r="X419" s="166"/>
      <c r="Y419" s="166"/>
    </row>
    <row r="420" ht="22.5" customHeight="1">
      <c r="A420" s="161"/>
      <c r="B420" s="162"/>
      <c r="C420" s="161"/>
      <c r="D420" s="194"/>
      <c r="E420" s="194"/>
      <c r="F420" s="162"/>
      <c r="G420" s="149"/>
      <c r="H420" s="161"/>
      <c r="I420" s="161"/>
      <c r="J420" s="161"/>
      <c r="K420" s="161"/>
      <c r="L420" s="161"/>
      <c r="M420" s="161"/>
      <c r="N420" s="149"/>
      <c r="O420" s="161"/>
      <c r="P420" s="161"/>
      <c r="S420" s="149"/>
      <c r="T420" s="149"/>
      <c r="V420" s="166"/>
      <c r="W420" s="166"/>
      <c r="X420" s="166"/>
      <c r="Y420" s="166"/>
    </row>
    <row r="421" ht="22.5" customHeight="1">
      <c r="A421" s="161"/>
      <c r="B421" s="162"/>
      <c r="C421" s="161"/>
      <c r="D421" s="194"/>
      <c r="E421" s="194"/>
      <c r="F421" s="162"/>
      <c r="G421" s="149"/>
      <c r="H421" s="161"/>
      <c r="I421" s="161"/>
      <c r="J421" s="161"/>
      <c r="K421" s="161"/>
      <c r="L421" s="161"/>
      <c r="M421" s="161"/>
      <c r="N421" s="149"/>
      <c r="O421" s="161"/>
      <c r="P421" s="161"/>
      <c r="S421" s="149"/>
      <c r="T421" s="149"/>
      <c r="V421" s="166"/>
      <c r="W421" s="166"/>
      <c r="X421" s="166"/>
      <c r="Y421" s="166"/>
    </row>
    <row r="422" ht="22.5" customHeight="1">
      <c r="A422" s="161"/>
      <c r="B422" s="162"/>
      <c r="C422" s="161"/>
      <c r="D422" s="194"/>
      <c r="E422" s="194"/>
      <c r="F422" s="162"/>
      <c r="G422" s="149"/>
      <c r="H422" s="161"/>
      <c r="I422" s="161"/>
      <c r="J422" s="161"/>
      <c r="K422" s="161"/>
      <c r="L422" s="161"/>
      <c r="M422" s="161"/>
      <c r="N422" s="149"/>
      <c r="O422" s="161"/>
      <c r="P422" s="161"/>
      <c r="S422" s="149"/>
      <c r="T422" s="149"/>
      <c r="V422" s="166"/>
      <c r="W422" s="166"/>
      <c r="X422" s="166"/>
      <c r="Y422" s="166"/>
    </row>
    <row r="423" ht="22.5" customHeight="1">
      <c r="A423" s="161"/>
      <c r="B423" s="162"/>
      <c r="C423" s="161"/>
      <c r="D423" s="194"/>
      <c r="E423" s="194"/>
      <c r="F423" s="162"/>
      <c r="G423" s="149"/>
      <c r="H423" s="161"/>
      <c r="I423" s="161"/>
      <c r="J423" s="161"/>
      <c r="K423" s="161"/>
      <c r="L423" s="161"/>
      <c r="M423" s="161"/>
      <c r="N423" s="149"/>
      <c r="O423" s="161"/>
      <c r="P423" s="161"/>
      <c r="S423" s="149"/>
      <c r="T423" s="149"/>
      <c r="V423" s="166"/>
      <c r="W423" s="166"/>
      <c r="X423" s="166"/>
      <c r="Y423" s="166"/>
    </row>
    <row r="424" ht="22.5" customHeight="1">
      <c r="A424" s="161"/>
      <c r="B424" s="162"/>
      <c r="C424" s="161"/>
      <c r="D424" s="194"/>
      <c r="E424" s="194"/>
      <c r="F424" s="162"/>
      <c r="G424" s="149"/>
      <c r="H424" s="161"/>
      <c r="I424" s="161"/>
      <c r="J424" s="161"/>
      <c r="K424" s="161"/>
      <c r="L424" s="161"/>
      <c r="M424" s="161"/>
      <c r="N424" s="149"/>
      <c r="O424" s="161"/>
      <c r="P424" s="161"/>
      <c r="S424" s="149"/>
      <c r="T424" s="149"/>
      <c r="V424" s="166"/>
      <c r="W424" s="166"/>
      <c r="X424" s="166"/>
      <c r="Y424" s="166"/>
    </row>
    <row r="425" ht="22.5" customHeight="1">
      <c r="A425" s="161"/>
      <c r="B425" s="162"/>
      <c r="C425" s="161"/>
      <c r="D425" s="194"/>
      <c r="E425" s="194"/>
      <c r="F425" s="162"/>
      <c r="G425" s="149"/>
      <c r="H425" s="161"/>
      <c r="I425" s="161"/>
      <c r="J425" s="161"/>
      <c r="K425" s="161"/>
      <c r="L425" s="161"/>
      <c r="M425" s="161"/>
      <c r="N425" s="149"/>
      <c r="O425" s="161"/>
      <c r="P425" s="161"/>
      <c r="S425" s="149"/>
      <c r="T425" s="149"/>
      <c r="V425" s="166"/>
      <c r="W425" s="166"/>
      <c r="X425" s="166"/>
      <c r="Y425" s="166"/>
    </row>
    <row r="426" ht="22.5" customHeight="1">
      <c r="A426" s="161"/>
      <c r="B426" s="162"/>
      <c r="C426" s="161"/>
      <c r="D426" s="194"/>
      <c r="E426" s="194"/>
      <c r="F426" s="162"/>
      <c r="G426" s="149"/>
      <c r="H426" s="161"/>
      <c r="I426" s="161"/>
      <c r="J426" s="161"/>
      <c r="K426" s="161"/>
      <c r="L426" s="161"/>
      <c r="M426" s="161"/>
      <c r="N426" s="149"/>
      <c r="O426" s="161"/>
      <c r="P426" s="161"/>
      <c r="S426" s="149"/>
      <c r="T426" s="149"/>
      <c r="V426" s="166"/>
      <c r="W426" s="166"/>
      <c r="X426" s="166"/>
      <c r="Y426" s="166"/>
    </row>
    <row r="427" ht="22.5" customHeight="1">
      <c r="A427" s="161"/>
      <c r="B427" s="162"/>
      <c r="C427" s="161"/>
      <c r="D427" s="194"/>
      <c r="E427" s="194"/>
      <c r="F427" s="162"/>
      <c r="G427" s="149"/>
      <c r="H427" s="161"/>
      <c r="I427" s="161"/>
      <c r="J427" s="161"/>
      <c r="K427" s="161"/>
      <c r="L427" s="161"/>
      <c r="M427" s="161"/>
      <c r="N427" s="149"/>
      <c r="O427" s="161"/>
      <c r="P427" s="161"/>
      <c r="S427" s="149"/>
      <c r="T427" s="149"/>
      <c r="V427" s="166"/>
      <c r="W427" s="166"/>
      <c r="X427" s="166"/>
      <c r="Y427" s="166"/>
    </row>
    <row r="428" ht="22.5" customHeight="1">
      <c r="A428" s="161"/>
      <c r="B428" s="162"/>
      <c r="C428" s="161"/>
      <c r="D428" s="194"/>
      <c r="E428" s="194"/>
      <c r="F428" s="162"/>
      <c r="G428" s="149"/>
      <c r="H428" s="161"/>
      <c r="I428" s="161"/>
      <c r="J428" s="161"/>
      <c r="K428" s="161"/>
      <c r="L428" s="161"/>
      <c r="M428" s="161"/>
      <c r="N428" s="149"/>
      <c r="O428" s="161"/>
      <c r="P428" s="161"/>
      <c r="S428" s="149"/>
      <c r="T428" s="149"/>
      <c r="V428" s="166"/>
      <c r="W428" s="166"/>
      <c r="X428" s="166"/>
      <c r="Y428" s="166"/>
    </row>
    <row r="429" ht="22.5" customHeight="1">
      <c r="A429" s="161"/>
      <c r="B429" s="162"/>
      <c r="C429" s="161"/>
      <c r="D429" s="194"/>
      <c r="E429" s="194"/>
      <c r="F429" s="162"/>
      <c r="G429" s="149"/>
      <c r="H429" s="161"/>
      <c r="I429" s="161"/>
      <c r="J429" s="161"/>
      <c r="K429" s="161"/>
      <c r="L429" s="161"/>
      <c r="M429" s="161"/>
      <c r="N429" s="149"/>
      <c r="O429" s="161"/>
      <c r="P429" s="161"/>
      <c r="S429" s="149"/>
      <c r="T429" s="149"/>
      <c r="V429" s="166"/>
      <c r="W429" s="166"/>
      <c r="X429" s="166"/>
      <c r="Y429" s="166"/>
    </row>
    <row r="430" ht="22.5" customHeight="1">
      <c r="A430" s="161"/>
      <c r="B430" s="162"/>
      <c r="C430" s="161"/>
      <c r="D430" s="194"/>
      <c r="E430" s="194"/>
      <c r="F430" s="162"/>
      <c r="G430" s="149"/>
      <c r="H430" s="161"/>
      <c r="I430" s="161"/>
      <c r="J430" s="161"/>
      <c r="K430" s="161"/>
      <c r="L430" s="161"/>
      <c r="M430" s="161"/>
      <c r="N430" s="149"/>
      <c r="O430" s="161"/>
      <c r="P430" s="161"/>
      <c r="S430" s="149"/>
      <c r="T430" s="149"/>
      <c r="V430" s="166"/>
      <c r="W430" s="166"/>
      <c r="X430" s="166"/>
      <c r="Y430" s="166"/>
    </row>
    <row r="431" ht="22.5" customHeight="1">
      <c r="A431" s="161"/>
      <c r="B431" s="162"/>
      <c r="C431" s="161"/>
      <c r="D431" s="194"/>
      <c r="E431" s="194"/>
      <c r="F431" s="162"/>
      <c r="G431" s="149"/>
      <c r="H431" s="161"/>
      <c r="I431" s="161"/>
      <c r="J431" s="161"/>
      <c r="K431" s="161"/>
      <c r="L431" s="161"/>
      <c r="M431" s="161"/>
      <c r="N431" s="149"/>
      <c r="O431" s="161"/>
      <c r="P431" s="161"/>
      <c r="S431" s="149"/>
      <c r="T431" s="149"/>
      <c r="V431" s="166"/>
      <c r="W431" s="166"/>
      <c r="X431" s="166"/>
      <c r="Y431" s="166"/>
    </row>
    <row r="432" ht="22.5" customHeight="1">
      <c r="A432" s="161"/>
      <c r="B432" s="162"/>
      <c r="C432" s="161"/>
      <c r="D432" s="194"/>
      <c r="E432" s="194"/>
      <c r="F432" s="162"/>
      <c r="G432" s="149"/>
      <c r="H432" s="161"/>
      <c r="I432" s="161"/>
      <c r="J432" s="161"/>
      <c r="K432" s="161"/>
      <c r="L432" s="161"/>
      <c r="M432" s="161"/>
      <c r="N432" s="149"/>
      <c r="O432" s="161"/>
      <c r="P432" s="161"/>
      <c r="S432" s="149"/>
      <c r="T432" s="149"/>
      <c r="V432" s="166"/>
      <c r="W432" s="166"/>
      <c r="X432" s="166"/>
      <c r="Y432" s="166"/>
    </row>
    <row r="433" ht="22.5" customHeight="1">
      <c r="A433" s="161"/>
      <c r="B433" s="162"/>
      <c r="C433" s="161"/>
      <c r="D433" s="194"/>
      <c r="E433" s="194"/>
      <c r="F433" s="162"/>
      <c r="G433" s="149"/>
      <c r="H433" s="161"/>
      <c r="I433" s="161"/>
      <c r="J433" s="161"/>
      <c r="K433" s="161"/>
      <c r="L433" s="161"/>
      <c r="M433" s="161"/>
      <c r="N433" s="149"/>
      <c r="O433" s="161"/>
      <c r="P433" s="161"/>
      <c r="S433" s="149"/>
      <c r="T433" s="149"/>
      <c r="V433" s="166"/>
      <c r="W433" s="166"/>
      <c r="X433" s="166"/>
      <c r="Y433" s="166"/>
    </row>
    <row r="434" ht="22.5" customHeight="1">
      <c r="A434" s="161"/>
      <c r="B434" s="162"/>
      <c r="C434" s="161"/>
      <c r="D434" s="194"/>
      <c r="E434" s="194"/>
      <c r="F434" s="162"/>
      <c r="G434" s="149"/>
      <c r="H434" s="161"/>
      <c r="I434" s="161"/>
      <c r="J434" s="161"/>
      <c r="K434" s="161"/>
      <c r="L434" s="161"/>
      <c r="M434" s="161"/>
      <c r="N434" s="149"/>
      <c r="O434" s="161"/>
      <c r="P434" s="161"/>
      <c r="S434" s="149"/>
      <c r="T434" s="149"/>
      <c r="V434" s="166"/>
      <c r="W434" s="166"/>
      <c r="X434" s="166"/>
      <c r="Y434" s="166"/>
    </row>
    <row r="435" ht="22.5" customHeight="1">
      <c r="A435" s="161"/>
      <c r="B435" s="162"/>
      <c r="C435" s="161"/>
      <c r="D435" s="194"/>
      <c r="E435" s="194"/>
      <c r="F435" s="162"/>
      <c r="G435" s="149"/>
      <c r="H435" s="161"/>
      <c r="I435" s="161"/>
      <c r="J435" s="161"/>
      <c r="K435" s="161"/>
      <c r="L435" s="161"/>
      <c r="M435" s="161"/>
      <c r="N435" s="149"/>
      <c r="O435" s="161"/>
      <c r="P435" s="161"/>
      <c r="S435" s="149"/>
      <c r="T435" s="149"/>
      <c r="V435" s="166"/>
      <c r="W435" s="166"/>
      <c r="X435" s="166"/>
      <c r="Y435" s="166"/>
    </row>
    <row r="436" ht="22.5" customHeight="1">
      <c r="A436" s="161"/>
      <c r="B436" s="162"/>
      <c r="C436" s="161"/>
      <c r="D436" s="194"/>
      <c r="E436" s="194"/>
      <c r="F436" s="162"/>
      <c r="G436" s="149"/>
      <c r="H436" s="161"/>
      <c r="I436" s="161"/>
      <c r="J436" s="161"/>
      <c r="K436" s="161"/>
      <c r="L436" s="161"/>
      <c r="M436" s="161"/>
      <c r="N436" s="149"/>
      <c r="O436" s="161"/>
      <c r="P436" s="161"/>
      <c r="S436" s="149"/>
      <c r="T436" s="149"/>
      <c r="V436" s="166"/>
      <c r="W436" s="166"/>
      <c r="X436" s="166"/>
      <c r="Y436" s="166"/>
    </row>
    <row r="437" ht="22.5" customHeight="1">
      <c r="A437" s="161"/>
      <c r="B437" s="162"/>
      <c r="C437" s="161"/>
      <c r="D437" s="194"/>
      <c r="E437" s="194"/>
      <c r="F437" s="162"/>
      <c r="G437" s="149"/>
      <c r="H437" s="161"/>
      <c r="I437" s="161"/>
      <c r="J437" s="161"/>
      <c r="K437" s="161"/>
      <c r="L437" s="161"/>
      <c r="M437" s="161"/>
      <c r="N437" s="149"/>
      <c r="O437" s="161"/>
      <c r="P437" s="161"/>
      <c r="S437" s="149"/>
      <c r="T437" s="149"/>
      <c r="V437" s="166"/>
      <c r="W437" s="166"/>
      <c r="X437" s="166"/>
      <c r="Y437" s="166"/>
    </row>
    <row r="438" ht="22.5" customHeight="1">
      <c r="A438" s="161"/>
      <c r="B438" s="162"/>
      <c r="C438" s="161"/>
      <c r="D438" s="194"/>
      <c r="E438" s="194"/>
      <c r="F438" s="162"/>
      <c r="G438" s="149"/>
      <c r="H438" s="161"/>
      <c r="I438" s="161"/>
      <c r="J438" s="161"/>
      <c r="K438" s="161"/>
      <c r="L438" s="161"/>
      <c r="M438" s="161"/>
      <c r="N438" s="149"/>
      <c r="O438" s="161"/>
      <c r="P438" s="161"/>
      <c r="S438" s="149"/>
      <c r="T438" s="149"/>
      <c r="V438" s="166"/>
      <c r="W438" s="166"/>
      <c r="X438" s="166"/>
      <c r="Y438" s="166"/>
    </row>
    <row r="439" ht="22.5" customHeight="1">
      <c r="A439" s="161"/>
      <c r="B439" s="162"/>
      <c r="C439" s="161"/>
      <c r="D439" s="194"/>
      <c r="E439" s="194"/>
      <c r="F439" s="162"/>
      <c r="G439" s="149"/>
      <c r="H439" s="161"/>
      <c r="I439" s="161"/>
      <c r="J439" s="161"/>
      <c r="K439" s="161"/>
      <c r="L439" s="161"/>
      <c r="M439" s="161"/>
      <c r="N439" s="149"/>
      <c r="O439" s="161"/>
      <c r="P439" s="161"/>
      <c r="S439" s="149"/>
      <c r="T439" s="149"/>
      <c r="V439" s="166"/>
      <c r="W439" s="166"/>
      <c r="X439" s="166"/>
      <c r="Y439" s="166"/>
    </row>
    <row r="440" ht="22.5" customHeight="1">
      <c r="A440" s="161"/>
      <c r="B440" s="162"/>
      <c r="C440" s="161"/>
      <c r="D440" s="194"/>
      <c r="E440" s="194"/>
      <c r="F440" s="162"/>
      <c r="G440" s="149"/>
      <c r="H440" s="161"/>
      <c r="I440" s="161"/>
      <c r="J440" s="161"/>
      <c r="K440" s="161"/>
      <c r="L440" s="161"/>
      <c r="M440" s="161"/>
      <c r="N440" s="149"/>
      <c r="O440" s="161"/>
      <c r="P440" s="161"/>
      <c r="S440" s="149"/>
      <c r="T440" s="149"/>
      <c r="V440" s="166"/>
      <c r="W440" s="166"/>
      <c r="X440" s="166"/>
      <c r="Y440" s="166"/>
    </row>
    <row r="441" ht="22.5" customHeight="1">
      <c r="A441" s="161"/>
      <c r="B441" s="162"/>
      <c r="C441" s="161"/>
      <c r="D441" s="194"/>
      <c r="E441" s="194"/>
      <c r="F441" s="162"/>
      <c r="G441" s="149"/>
      <c r="H441" s="161"/>
      <c r="I441" s="161"/>
      <c r="J441" s="161"/>
      <c r="K441" s="161"/>
      <c r="L441" s="161"/>
      <c r="M441" s="161"/>
      <c r="N441" s="149"/>
      <c r="O441" s="161"/>
      <c r="P441" s="161"/>
      <c r="S441" s="149"/>
      <c r="T441" s="149"/>
      <c r="V441" s="166"/>
      <c r="W441" s="166"/>
      <c r="X441" s="166"/>
      <c r="Y441" s="166"/>
    </row>
    <row r="442" ht="22.5" customHeight="1">
      <c r="A442" s="161"/>
      <c r="B442" s="162"/>
      <c r="C442" s="161"/>
      <c r="D442" s="194"/>
      <c r="E442" s="194"/>
      <c r="F442" s="162"/>
      <c r="G442" s="149"/>
      <c r="H442" s="161"/>
      <c r="I442" s="161"/>
      <c r="J442" s="161"/>
      <c r="K442" s="161"/>
      <c r="L442" s="161"/>
      <c r="M442" s="161"/>
      <c r="N442" s="149"/>
      <c r="O442" s="161"/>
      <c r="P442" s="161"/>
      <c r="S442" s="149"/>
      <c r="T442" s="149"/>
      <c r="V442" s="166"/>
      <c r="W442" s="166"/>
      <c r="X442" s="166"/>
      <c r="Y442" s="166"/>
    </row>
    <row r="443" ht="22.5" customHeight="1">
      <c r="A443" s="161"/>
      <c r="B443" s="162"/>
      <c r="C443" s="161"/>
      <c r="D443" s="194"/>
      <c r="E443" s="194"/>
      <c r="F443" s="162"/>
      <c r="G443" s="149"/>
      <c r="H443" s="161"/>
      <c r="I443" s="161"/>
      <c r="J443" s="161"/>
      <c r="K443" s="161"/>
      <c r="L443" s="161"/>
      <c r="M443" s="161"/>
      <c r="N443" s="149"/>
      <c r="O443" s="161"/>
      <c r="P443" s="161"/>
      <c r="S443" s="149"/>
      <c r="T443" s="149"/>
      <c r="V443" s="166"/>
      <c r="W443" s="166"/>
      <c r="X443" s="166"/>
      <c r="Y443" s="166"/>
    </row>
    <row r="444" ht="22.5" customHeight="1">
      <c r="A444" s="161"/>
      <c r="B444" s="162"/>
      <c r="C444" s="161"/>
      <c r="D444" s="194"/>
      <c r="E444" s="194"/>
      <c r="F444" s="162"/>
      <c r="G444" s="149"/>
      <c r="H444" s="161"/>
      <c r="I444" s="161"/>
      <c r="J444" s="161"/>
      <c r="K444" s="161"/>
      <c r="L444" s="161"/>
      <c r="M444" s="161"/>
      <c r="N444" s="149"/>
      <c r="O444" s="161"/>
      <c r="P444" s="161"/>
      <c r="S444" s="149"/>
      <c r="T444" s="149"/>
      <c r="V444" s="166"/>
      <c r="W444" s="166"/>
      <c r="X444" s="166"/>
      <c r="Y444" s="166"/>
    </row>
    <row r="445" ht="22.5" customHeight="1">
      <c r="A445" s="161"/>
      <c r="B445" s="162"/>
      <c r="C445" s="161"/>
      <c r="D445" s="194"/>
      <c r="E445" s="194"/>
      <c r="F445" s="162"/>
      <c r="G445" s="149"/>
      <c r="H445" s="161"/>
      <c r="I445" s="161"/>
      <c r="J445" s="161"/>
      <c r="K445" s="161"/>
      <c r="L445" s="161"/>
      <c r="M445" s="161"/>
      <c r="N445" s="149"/>
      <c r="O445" s="161"/>
      <c r="P445" s="161"/>
      <c r="S445" s="149"/>
      <c r="T445" s="149"/>
      <c r="V445" s="166"/>
      <c r="W445" s="166"/>
      <c r="X445" s="166"/>
      <c r="Y445" s="166"/>
    </row>
    <row r="446" ht="22.5" customHeight="1">
      <c r="A446" s="161"/>
      <c r="B446" s="162"/>
      <c r="C446" s="161"/>
      <c r="D446" s="194"/>
      <c r="E446" s="194"/>
      <c r="F446" s="162"/>
      <c r="G446" s="149"/>
      <c r="H446" s="161"/>
      <c r="I446" s="161"/>
      <c r="J446" s="161"/>
      <c r="K446" s="161"/>
      <c r="L446" s="161"/>
      <c r="M446" s="161"/>
      <c r="N446" s="149"/>
      <c r="O446" s="161"/>
      <c r="P446" s="161"/>
      <c r="S446" s="149"/>
      <c r="T446" s="149"/>
      <c r="V446" s="166"/>
      <c r="W446" s="166"/>
      <c r="X446" s="166"/>
      <c r="Y446" s="166"/>
    </row>
    <row r="447" ht="22.5" customHeight="1">
      <c r="A447" s="161"/>
      <c r="B447" s="162"/>
      <c r="C447" s="161"/>
      <c r="D447" s="194"/>
      <c r="E447" s="194"/>
      <c r="F447" s="162"/>
      <c r="G447" s="149"/>
      <c r="H447" s="161"/>
      <c r="I447" s="161"/>
      <c r="J447" s="161"/>
      <c r="K447" s="161"/>
      <c r="L447" s="161"/>
      <c r="M447" s="161"/>
      <c r="N447" s="149"/>
      <c r="O447" s="161"/>
      <c r="P447" s="161"/>
      <c r="S447" s="149"/>
      <c r="T447" s="149"/>
      <c r="V447" s="166"/>
      <c r="W447" s="166"/>
      <c r="X447" s="166"/>
      <c r="Y447" s="166"/>
    </row>
    <row r="448" ht="22.5" customHeight="1">
      <c r="A448" s="161"/>
      <c r="B448" s="162"/>
      <c r="C448" s="161"/>
      <c r="D448" s="194"/>
      <c r="E448" s="194"/>
      <c r="F448" s="162"/>
      <c r="G448" s="149"/>
      <c r="H448" s="161"/>
      <c r="I448" s="161"/>
      <c r="J448" s="161"/>
      <c r="K448" s="161"/>
      <c r="L448" s="161"/>
      <c r="M448" s="161"/>
      <c r="N448" s="149"/>
      <c r="O448" s="161"/>
      <c r="P448" s="161"/>
      <c r="S448" s="149"/>
      <c r="T448" s="149"/>
      <c r="V448" s="166"/>
      <c r="W448" s="166"/>
      <c r="X448" s="166"/>
      <c r="Y448" s="166"/>
    </row>
    <row r="449" ht="22.5" customHeight="1">
      <c r="A449" s="161"/>
      <c r="B449" s="162"/>
      <c r="C449" s="161"/>
      <c r="D449" s="194"/>
      <c r="E449" s="194"/>
      <c r="F449" s="162"/>
      <c r="G449" s="149"/>
      <c r="H449" s="161"/>
      <c r="I449" s="161"/>
      <c r="J449" s="161"/>
      <c r="K449" s="161"/>
      <c r="L449" s="161"/>
      <c r="M449" s="161"/>
      <c r="N449" s="149"/>
      <c r="O449" s="161"/>
      <c r="P449" s="161"/>
      <c r="S449" s="149"/>
      <c r="T449" s="149"/>
      <c r="V449" s="166"/>
      <c r="W449" s="166"/>
      <c r="X449" s="166"/>
      <c r="Y449" s="166"/>
    </row>
    <row r="450" ht="22.5" customHeight="1">
      <c r="A450" s="161"/>
      <c r="B450" s="162"/>
      <c r="C450" s="161"/>
      <c r="D450" s="194"/>
      <c r="E450" s="194"/>
      <c r="F450" s="162"/>
      <c r="G450" s="149"/>
      <c r="H450" s="161"/>
      <c r="I450" s="161"/>
      <c r="J450" s="161"/>
      <c r="K450" s="161"/>
      <c r="L450" s="161"/>
      <c r="M450" s="161"/>
      <c r="N450" s="149"/>
      <c r="O450" s="161"/>
      <c r="P450" s="161"/>
      <c r="S450" s="149"/>
      <c r="T450" s="149"/>
      <c r="V450" s="166"/>
      <c r="W450" s="166"/>
      <c r="X450" s="166"/>
      <c r="Y450" s="166"/>
    </row>
    <row r="451" ht="22.5" customHeight="1">
      <c r="A451" s="161"/>
      <c r="B451" s="162"/>
      <c r="C451" s="161"/>
      <c r="D451" s="194"/>
      <c r="E451" s="194"/>
      <c r="F451" s="162"/>
      <c r="G451" s="149"/>
      <c r="H451" s="161"/>
      <c r="I451" s="161"/>
      <c r="J451" s="161"/>
      <c r="K451" s="161"/>
      <c r="L451" s="161"/>
      <c r="M451" s="161"/>
      <c r="N451" s="149"/>
      <c r="O451" s="161"/>
      <c r="P451" s="161"/>
      <c r="S451" s="149"/>
      <c r="T451" s="149"/>
      <c r="V451" s="166"/>
      <c r="W451" s="166"/>
      <c r="X451" s="166"/>
      <c r="Y451" s="166"/>
    </row>
    <row r="452" ht="22.5" customHeight="1">
      <c r="A452" s="161"/>
      <c r="B452" s="162"/>
      <c r="C452" s="161"/>
      <c r="D452" s="194"/>
      <c r="E452" s="194"/>
      <c r="F452" s="162"/>
      <c r="G452" s="149"/>
      <c r="H452" s="161"/>
      <c r="I452" s="161"/>
      <c r="J452" s="161"/>
      <c r="K452" s="161"/>
      <c r="L452" s="161"/>
      <c r="M452" s="161"/>
      <c r="N452" s="149"/>
      <c r="O452" s="161"/>
      <c r="P452" s="161"/>
      <c r="S452" s="149"/>
      <c r="T452" s="149"/>
      <c r="V452" s="166"/>
      <c r="W452" s="166"/>
      <c r="X452" s="166"/>
      <c r="Y452" s="166"/>
    </row>
    <row r="453" ht="22.5" customHeight="1">
      <c r="A453" s="161"/>
      <c r="B453" s="162"/>
      <c r="C453" s="161"/>
      <c r="D453" s="194"/>
      <c r="E453" s="194"/>
      <c r="F453" s="162"/>
      <c r="G453" s="149"/>
      <c r="H453" s="161"/>
      <c r="I453" s="161"/>
      <c r="J453" s="161"/>
      <c r="K453" s="161"/>
      <c r="L453" s="161"/>
      <c r="M453" s="161"/>
      <c r="N453" s="149"/>
      <c r="O453" s="161"/>
      <c r="P453" s="161"/>
      <c r="S453" s="149"/>
      <c r="T453" s="149"/>
      <c r="V453" s="166"/>
      <c r="W453" s="166"/>
      <c r="X453" s="166"/>
      <c r="Y453" s="166"/>
    </row>
    <row r="454" ht="22.5" customHeight="1">
      <c r="A454" s="161"/>
      <c r="B454" s="162"/>
      <c r="C454" s="161"/>
      <c r="D454" s="194"/>
      <c r="E454" s="194"/>
      <c r="F454" s="162"/>
      <c r="G454" s="149"/>
      <c r="H454" s="161"/>
      <c r="I454" s="161"/>
      <c r="J454" s="161"/>
      <c r="K454" s="161"/>
      <c r="L454" s="161"/>
      <c r="M454" s="161"/>
      <c r="N454" s="149"/>
      <c r="O454" s="161"/>
      <c r="P454" s="161"/>
      <c r="S454" s="149"/>
      <c r="T454" s="149"/>
      <c r="V454" s="166"/>
      <c r="W454" s="166"/>
      <c r="X454" s="166"/>
      <c r="Y454" s="166"/>
    </row>
    <row r="455" ht="22.5" customHeight="1">
      <c r="A455" s="161"/>
      <c r="B455" s="162"/>
      <c r="C455" s="161"/>
      <c r="D455" s="194"/>
      <c r="E455" s="194"/>
      <c r="F455" s="162"/>
      <c r="G455" s="149"/>
      <c r="H455" s="161"/>
      <c r="I455" s="161"/>
      <c r="J455" s="161"/>
      <c r="K455" s="161"/>
      <c r="L455" s="161"/>
      <c r="M455" s="161"/>
      <c r="N455" s="149"/>
      <c r="O455" s="161"/>
      <c r="P455" s="161"/>
      <c r="S455" s="149"/>
      <c r="T455" s="149"/>
      <c r="V455" s="166"/>
      <c r="W455" s="166"/>
      <c r="X455" s="166"/>
      <c r="Y455" s="166"/>
    </row>
    <row r="456" ht="22.5" customHeight="1">
      <c r="A456" s="161"/>
      <c r="B456" s="162"/>
      <c r="C456" s="161"/>
      <c r="D456" s="194"/>
      <c r="E456" s="194"/>
      <c r="F456" s="162"/>
      <c r="G456" s="149"/>
      <c r="H456" s="161"/>
      <c r="I456" s="161"/>
      <c r="J456" s="161"/>
      <c r="K456" s="161"/>
      <c r="L456" s="161"/>
      <c r="M456" s="161"/>
      <c r="N456" s="149"/>
      <c r="O456" s="161"/>
      <c r="P456" s="161"/>
      <c r="S456" s="149"/>
      <c r="T456" s="149"/>
      <c r="V456" s="166"/>
      <c r="W456" s="166"/>
      <c r="X456" s="166"/>
      <c r="Y456" s="166"/>
    </row>
    <row r="457" ht="22.5" customHeight="1">
      <c r="A457" s="161"/>
      <c r="B457" s="162"/>
      <c r="C457" s="161"/>
      <c r="D457" s="194"/>
      <c r="E457" s="194"/>
      <c r="F457" s="162"/>
      <c r="G457" s="149"/>
      <c r="H457" s="161"/>
      <c r="I457" s="161"/>
      <c r="J457" s="161"/>
      <c r="K457" s="161"/>
      <c r="L457" s="161"/>
      <c r="M457" s="161"/>
      <c r="N457" s="149"/>
      <c r="O457" s="161"/>
      <c r="P457" s="161"/>
      <c r="S457" s="149"/>
      <c r="T457" s="149"/>
      <c r="V457" s="166"/>
      <c r="W457" s="166"/>
      <c r="X457" s="166"/>
      <c r="Y457" s="166"/>
    </row>
    <row r="458" ht="22.5" customHeight="1">
      <c r="A458" s="161"/>
      <c r="B458" s="162"/>
      <c r="C458" s="161"/>
      <c r="D458" s="194"/>
      <c r="E458" s="194"/>
      <c r="F458" s="162"/>
      <c r="G458" s="149"/>
      <c r="H458" s="161"/>
      <c r="I458" s="161"/>
      <c r="J458" s="161"/>
      <c r="K458" s="161"/>
      <c r="L458" s="161"/>
      <c r="M458" s="161"/>
      <c r="N458" s="149"/>
      <c r="O458" s="161"/>
      <c r="P458" s="161"/>
      <c r="S458" s="149"/>
      <c r="T458" s="149"/>
      <c r="V458" s="166"/>
      <c r="W458" s="166"/>
      <c r="X458" s="166"/>
      <c r="Y458" s="166"/>
    </row>
    <row r="459" ht="22.5" customHeight="1">
      <c r="A459" s="161"/>
      <c r="B459" s="162"/>
      <c r="C459" s="161"/>
      <c r="D459" s="194"/>
      <c r="E459" s="194"/>
      <c r="F459" s="162"/>
      <c r="G459" s="149"/>
      <c r="H459" s="161"/>
      <c r="I459" s="161"/>
      <c r="J459" s="161"/>
      <c r="K459" s="161"/>
      <c r="L459" s="161"/>
      <c r="M459" s="161"/>
      <c r="N459" s="149"/>
      <c r="O459" s="161"/>
      <c r="P459" s="161"/>
      <c r="S459" s="149"/>
      <c r="T459" s="149"/>
      <c r="V459" s="166"/>
      <c r="W459" s="166"/>
      <c r="X459" s="166"/>
      <c r="Y459" s="166"/>
    </row>
    <row r="460" ht="22.5" customHeight="1">
      <c r="A460" s="161"/>
      <c r="B460" s="162"/>
      <c r="C460" s="161"/>
      <c r="D460" s="194"/>
      <c r="E460" s="194"/>
      <c r="F460" s="162"/>
      <c r="G460" s="149"/>
      <c r="H460" s="161"/>
      <c r="I460" s="161"/>
      <c r="J460" s="161"/>
      <c r="K460" s="161"/>
      <c r="L460" s="161"/>
      <c r="M460" s="161"/>
      <c r="N460" s="149"/>
      <c r="O460" s="161"/>
      <c r="P460" s="161"/>
      <c r="S460" s="149"/>
      <c r="T460" s="149"/>
      <c r="V460" s="166"/>
      <c r="W460" s="166"/>
      <c r="X460" s="166"/>
      <c r="Y460" s="166"/>
    </row>
    <row r="461" ht="22.5" customHeight="1">
      <c r="A461" s="161"/>
      <c r="B461" s="162"/>
      <c r="C461" s="161"/>
      <c r="D461" s="194"/>
      <c r="E461" s="194"/>
      <c r="F461" s="162"/>
      <c r="G461" s="149"/>
      <c r="H461" s="161"/>
      <c r="I461" s="161"/>
      <c r="J461" s="161"/>
      <c r="K461" s="161"/>
      <c r="L461" s="161"/>
      <c r="M461" s="161"/>
      <c r="N461" s="149"/>
      <c r="O461" s="161"/>
      <c r="P461" s="161"/>
      <c r="S461" s="149"/>
      <c r="T461" s="149"/>
      <c r="V461" s="166"/>
      <c r="W461" s="166"/>
      <c r="X461" s="166"/>
      <c r="Y461" s="166"/>
    </row>
    <row r="462" ht="22.5" customHeight="1">
      <c r="A462" s="161"/>
      <c r="B462" s="162"/>
      <c r="C462" s="161"/>
      <c r="D462" s="194"/>
      <c r="E462" s="194"/>
      <c r="F462" s="162"/>
      <c r="G462" s="149"/>
      <c r="H462" s="161"/>
      <c r="I462" s="161"/>
      <c r="J462" s="161"/>
      <c r="K462" s="161"/>
      <c r="L462" s="161"/>
      <c r="M462" s="161"/>
      <c r="N462" s="149"/>
      <c r="O462" s="161"/>
      <c r="P462" s="161"/>
      <c r="S462" s="149"/>
      <c r="T462" s="149"/>
      <c r="V462" s="166"/>
      <c r="W462" s="166"/>
      <c r="X462" s="166"/>
      <c r="Y462" s="166"/>
    </row>
    <row r="463" ht="22.5" customHeight="1">
      <c r="A463" s="161"/>
      <c r="B463" s="162"/>
      <c r="C463" s="161"/>
      <c r="D463" s="194"/>
      <c r="E463" s="194"/>
      <c r="F463" s="162"/>
      <c r="G463" s="149"/>
      <c r="H463" s="161"/>
      <c r="I463" s="161"/>
      <c r="J463" s="161"/>
      <c r="K463" s="161"/>
      <c r="L463" s="161"/>
      <c r="M463" s="161"/>
      <c r="N463" s="149"/>
      <c r="O463" s="161"/>
      <c r="P463" s="161"/>
      <c r="S463" s="149"/>
      <c r="T463" s="149"/>
      <c r="V463" s="166"/>
      <c r="W463" s="166"/>
      <c r="X463" s="166"/>
      <c r="Y463" s="166"/>
    </row>
    <row r="464" ht="22.5" customHeight="1">
      <c r="A464" s="161"/>
      <c r="B464" s="162"/>
      <c r="C464" s="161"/>
      <c r="D464" s="194"/>
      <c r="E464" s="194"/>
      <c r="F464" s="162"/>
      <c r="G464" s="149"/>
      <c r="H464" s="161"/>
      <c r="I464" s="161"/>
      <c r="J464" s="161"/>
      <c r="K464" s="161"/>
      <c r="L464" s="161"/>
      <c r="M464" s="161"/>
      <c r="N464" s="149"/>
      <c r="O464" s="161"/>
      <c r="P464" s="161"/>
      <c r="S464" s="149"/>
      <c r="T464" s="149"/>
      <c r="V464" s="166"/>
      <c r="W464" s="166"/>
      <c r="X464" s="166"/>
      <c r="Y464" s="166"/>
    </row>
    <row r="465" ht="22.5" customHeight="1">
      <c r="A465" s="161"/>
      <c r="B465" s="162"/>
      <c r="C465" s="161"/>
      <c r="D465" s="194"/>
      <c r="E465" s="194"/>
      <c r="F465" s="162"/>
      <c r="G465" s="149"/>
      <c r="H465" s="161"/>
      <c r="I465" s="161"/>
      <c r="J465" s="161"/>
      <c r="K465" s="161"/>
      <c r="L465" s="161"/>
      <c r="M465" s="161"/>
      <c r="N465" s="149"/>
      <c r="O465" s="161"/>
      <c r="P465" s="161"/>
      <c r="S465" s="149"/>
      <c r="T465" s="149"/>
      <c r="V465" s="166"/>
      <c r="W465" s="166"/>
      <c r="X465" s="166"/>
      <c r="Y465" s="166"/>
    </row>
    <row r="466" ht="22.5" customHeight="1">
      <c r="A466" s="161"/>
      <c r="B466" s="162"/>
      <c r="C466" s="161"/>
      <c r="D466" s="194"/>
      <c r="E466" s="194"/>
      <c r="F466" s="162"/>
      <c r="G466" s="149"/>
      <c r="H466" s="161"/>
      <c r="I466" s="161"/>
      <c r="J466" s="161"/>
      <c r="K466" s="161"/>
      <c r="L466" s="161"/>
      <c r="M466" s="161"/>
      <c r="N466" s="149"/>
      <c r="O466" s="161"/>
      <c r="P466" s="161"/>
      <c r="S466" s="149"/>
      <c r="T466" s="149"/>
      <c r="V466" s="166"/>
      <c r="W466" s="166"/>
      <c r="X466" s="166"/>
      <c r="Y466" s="166"/>
    </row>
    <row r="467" ht="22.5" customHeight="1">
      <c r="A467" s="161"/>
      <c r="B467" s="162"/>
      <c r="C467" s="161"/>
      <c r="D467" s="194"/>
      <c r="E467" s="194"/>
      <c r="F467" s="162"/>
      <c r="G467" s="149"/>
      <c r="H467" s="161"/>
      <c r="I467" s="161"/>
      <c r="J467" s="161"/>
      <c r="K467" s="161"/>
      <c r="L467" s="161"/>
      <c r="M467" s="161"/>
      <c r="N467" s="149"/>
      <c r="O467" s="161"/>
      <c r="P467" s="161"/>
      <c r="S467" s="149"/>
      <c r="T467" s="149"/>
      <c r="V467" s="166"/>
      <c r="W467" s="166"/>
      <c r="X467" s="166"/>
      <c r="Y467" s="166"/>
    </row>
    <row r="468" ht="22.5" customHeight="1">
      <c r="A468" s="161"/>
      <c r="B468" s="162"/>
      <c r="C468" s="161"/>
      <c r="D468" s="194"/>
      <c r="E468" s="194"/>
      <c r="F468" s="162"/>
      <c r="G468" s="149"/>
      <c r="H468" s="161"/>
      <c r="I468" s="161"/>
      <c r="J468" s="161"/>
      <c r="K468" s="161"/>
      <c r="L468" s="161"/>
      <c r="M468" s="161"/>
      <c r="N468" s="149"/>
      <c r="O468" s="161"/>
      <c r="P468" s="161"/>
      <c r="S468" s="149"/>
      <c r="T468" s="149"/>
      <c r="V468" s="166"/>
      <c r="W468" s="166"/>
      <c r="X468" s="166"/>
      <c r="Y468" s="166"/>
    </row>
    <row r="469" ht="22.5" customHeight="1">
      <c r="A469" s="161"/>
      <c r="B469" s="162"/>
      <c r="C469" s="161"/>
      <c r="D469" s="194"/>
      <c r="E469" s="194"/>
      <c r="F469" s="162"/>
      <c r="G469" s="149"/>
      <c r="H469" s="161"/>
      <c r="I469" s="161"/>
      <c r="J469" s="161"/>
      <c r="K469" s="161"/>
      <c r="L469" s="161"/>
      <c r="M469" s="161"/>
      <c r="N469" s="149"/>
      <c r="O469" s="161"/>
      <c r="P469" s="161"/>
      <c r="S469" s="149"/>
      <c r="T469" s="149"/>
      <c r="V469" s="166"/>
      <c r="W469" s="166"/>
      <c r="X469" s="166"/>
      <c r="Y469" s="166"/>
    </row>
    <row r="470" ht="22.5" customHeight="1">
      <c r="A470" s="161"/>
      <c r="B470" s="162"/>
      <c r="C470" s="161"/>
      <c r="D470" s="194"/>
      <c r="E470" s="194"/>
      <c r="F470" s="162"/>
      <c r="G470" s="149"/>
      <c r="H470" s="161"/>
      <c r="I470" s="161"/>
      <c r="J470" s="161"/>
      <c r="K470" s="161"/>
      <c r="L470" s="161"/>
      <c r="M470" s="161"/>
      <c r="N470" s="149"/>
      <c r="O470" s="161"/>
      <c r="P470" s="161"/>
      <c r="S470" s="149"/>
      <c r="T470" s="149"/>
      <c r="V470" s="166"/>
      <c r="W470" s="166"/>
      <c r="X470" s="166"/>
      <c r="Y470" s="166"/>
    </row>
    <row r="471" ht="22.5" customHeight="1">
      <c r="A471" s="161"/>
      <c r="B471" s="162"/>
      <c r="C471" s="161"/>
      <c r="D471" s="194"/>
      <c r="E471" s="194"/>
      <c r="F471" s="162"/>
      <c r="G471" s="149"/>
      <c r="H471" s="161"/>
      <c r="I471" s="161"/>
      <c r="J471" s="161"/>
      <c r="K471" s="161"/>
      <c r="L471" s="161"/>
      <c r="M471" s="161"/>
      <c r="N471" s="149"/>
      <c r="O471" s="161"/>
      <c r="P471" s="161"/>
      <c r="S471" s="149"/>
      <c r="T471" s="149"/>
      <c r="V471" s="166"/>
      <c r="W471" s="166"/>
      <c r="X471" s="166"/>
      <c r="Y471" s="166"/>
    </row>
    <row r="472" ht="22.5" customHeight="1">
      <c r="A472" s="161"/>
      <c r="B472" s="162"/>
      <c r="C472" s="161"/>
      <c r="D472" s="194"/>
      <c r="E472" s="194"/>
      <c r="F472" s="162"/>
      <c r="G472" s="149"/>
      <c r="H472" s="161"/>
      <c r="I472" s="161"/>
      <c r="J472" s="161"/>
      <c r="K472" s="161"/>
      <c r="L472" s="161"/>
      <c r="M472" s="161"/>
      <c r="N472" s="149"/>
      <c r="O472" s="161"/>
      <c r="P472" s="161"/>
      <c r="S472" s="149"/>
      <c r="T472" s="149"/>
      <c r="V472" s="166"/>
      <c r="W472" s="166"/>
      <c r="X472" s="166"/>
      <c r="Y472" s="166"/>
    </row>
    <row r="473" ht="22.5" customHeight="1">
      <c r="A473" s="161"/>
      <c r="B473" s="162"/>
      <c r="C473" s="161"/>
      <c r="D473" s="194"/>
      <c r="E473" s="194"/>
      <c r="F473" s="162"/>
      <c r="G473" s="149"/>
      <c r="H473" s="161"/>
      <c r="I473" s="161"/>
      <c r="J473" s="161"/>
      <c r="K473" s="161"/>
      <c r="L473" s="161"/>
      <c r="M473" s="161"/>
      <c r="N473" s="149"/>
      <c r="O473" s="161"/>
      <c r="P473" s="161"/>
      <c r="S473" s="149"/>
      <c r="T473" s="149"/>
      <c r="V473" s="166"/>
      <c r="W473" s="166"/>
      <c r="X473" s="166"/>
      <c r="Y473" s="166"/>
    </row>
    <row r="474" ht="22.5" customHeight="1">
      <c r="A474" s="161"/>
      <c r="B474" s="162"/>
      <c r="C474" s="161"/>
      <c r="D474" s="194"/>
      <c r="E474" s="194"/>
      <c r="F474" s="162"/>
      <c r="G474" s="149"/>
      <c r="H474" s="161"/>
      <c r="I474" s="161"/>
      <c r="J474" s="161"/>
      <c r="K474" s="161"/>
      <c r="L474" s="161"/>
      <c r="M474" s="161"/>
      <c r="N474" s="149"/>
      <c r="O474" s="161"/>
      <c r="P474" s="161"/>
      <c r="S474" s="149"/>
      <c r="T474" s="149"/>
      <c r="V474" s="166"/>
      <c r="W474" s="166"/>
      <c r="X474" s="166"/>
      <c r="Y474" s="166"/>
    </row>
    <row r="475" ht="22.5" customHeight="1">
      <c r="A475" s="161"/>
      <c r="B475" s="162"/>
      <c r="C475" s="161"/>
      <c r="D475" s="194"/>
      <c r="E475" s="194"/>
      <c r="F475" s="162"/>
      <c r="G475" s="149"/>
      <c r="H475" s="161"/>
      <c r="I475" s="161"/>
      <c r="J475" s="161"/>
      <c r="K475" s="161"/>
      <c r="L475" s="161"/>
      <c r="M475" s="161"/>
      <c r="N475" s="149"/>
      <c r="O475" s="161"/>
      <c r="P475" s="161"/>
      <c r="S475" s="149"/>
      <c r="T475" s="149"/>
      <c r="V475" s="166"/>
      <c r="W475" s="166"/>
      <c r="X475" s="166"/>
      <c r="Y475" s="166"/>
    </row>
    <row r="476" ht="22.5" customHeight="1">
      <c r="A476" s="161"/>
      <c r="B476" s="162"/>
      <c r="C476" s="161"/>
      <c r="D476" s="194"/>
      <c r="E476" s="194"/>
      <c r="F476" s="162"/>
      <c r="G476" s="149"/>
      <c r="H476" s="161"/>
      <c r="I476" s="161"/>
      <c r="J476" s="161"/>
      <c r="K476" s="161"/>
      <c r="L476" s="161"/>
      <c r="M476" s="161"/>
      <c r="N476" s="149"/>
      <c r="O476" s="161"/>
      <c r="P476" s="161"/>
      <c r="S476" s="149"/>
      <c r="T476" s="149"/>
      <c r="V476" s="166"/>
      <c r="W476" s="166"/>
      <c r="X476" s="166"/>
      <c r="Y476" s="166"/>
    </row>
    <row r="477" ht="22.5" customHeight="1">
      <c r="A477" s="161"/>
      <c r="B477" s="162"/>
      <c r="C477" s="161"/>
      <c r="D477" s="194"/>
      <c r="E477" s="194"/>
      <c r="F477" s="162"/>
      <c r="G477" s="149"/>
      <c r="H477" s="161"/>
      <c r="I477" s="161"/>
      <c r="J477" s="161"/>
      <c r="K477" s="161"/>
      <c r="L477" s="161"/>
      <c r="M477" s="161"/>
      <c r="N477" s="149"/>
      <c r="O477" s="161"/>
      <c r="P477" s="161"/>
      <c r="S477" s="149"/>
      <c r="T477" s="149"/>
      <c r="V477" s="166"/>
      <c r="W477" s="166"/>
      <c r="X477" s="166"/>
      <c r="Y477" s="166"/>
    </row>
    <row r="478" ht="22.5" customHeight="1">
      <c r="A478" s="161"/>
      <c r="B478" s="162"/>
      <c r="C478" s="161"/>
      <c r="D478" s="194"/>
      <c r="E478" s="194"/>
      <c r="F478" s="162"/>
      <c r="G478" s="149"/>
      <c r="H478" s="161"/>
      <c r="I478" s="161"/>
      <c r="J478" s="161"/>
      <c r="K478" s="161"/>
      <c r="L478" s="161"/>
      <c r="M478" s="161"/>
      <c r="N478" s="149"/>
      <c r="O478" s="161"/>
      <c r="P478" s="161"/>
      <c r="S478" s="149"/>
      <c r="T478" s="149"/>
      <c r="V478" s="166"/>
      <c r="W478" s="166"/>
      <c r="X478" s="166"/>
      <c r="Y478" s="166"/>
    </row>
    <row r="479" ht="22.5" customHeight="1">
      <c r="A479" s="161"/>
      <c r="B479" s="162"/>
      <c r="C479" s="161"/>
      <c r="D479" s="194"/>
      <c r="E479" s="194"/>
      <c r="F479" s="162"/>
      <c r="G479" s="149"/>
      <c r="H479" s="161"/>
      <c r="I479" s="161"/>
      <c r="J479" s="161"/>
      <c r="K479" s="161"/>
      <c r="L479" s="161"/>
      <c r="M479" s="161"/>
      <c r="N479" s="149"/>
      <c r="O479" s="161"/>
      <c r="P479" s="161"/>
      <c r="S479" s="149"/>
      <c r="T479" s="149"/>
      <c r="V479" s="166"/>
      <c r="W479" s="166"/>
      <c r="X479" s="166"/>
      <c r="Y479" s="166"/>
    </row>
    <row r="480" ht="22.5" customHeight="1">
      <c r="A480" s="161"/>
      <c r="B480" s="162"/>
      <c r="C480" s="161"/>
      <c r="D480" s="194"/>
      <c r="E480" s="194"/>
      <c r="F480" s="162"/>
      <c r="G480" s="149"/>
      <c r="H480" s="161"/>
      <c r="I480" s="161"/>
      <c r="J480" s="161"/>
      <c r="K480" s="161"/>
      <c r="L480" s="161"/>
      <c r="M480" s="161"/>
      <c r="N480" s="149"/>
      <c r="O480" s="161"/>
      <c r="P480" s="161"/>
      <c r="S480" s="149"/>
      <c r="T480" s="149"/>
      <c r="V480" s="166"/>
      <c r="W480" s="166"/>
      <c r="X480" s="166"/>
      <c r="Y480" s="166"/>
    </row>
    <row r="481" ht="22.5" customHeight="1">
      <c r="A481" s="161"/>
      <c r="B481" s="162"/>
      <c r="C481" s="161"/>
      <c r="D481" s="194"/>
      <c r="E481" s="194"/>
      <c r="F481" s="162"/>
      <c r="G481" s="149"/>
      <c r="H481" s="161"/>
      <c r="I481" s="161"/>
      <c r="J481" s="161"/>
      <c r="K481" s="161"/>
      <c r="L481" s="161"/>
      <c r="M481" s="161"/>
      <c r="N481" s="149"/>
      <c r="O481" s="161"/>
      <c r="P481" s="161"/>
      <c r="S481" s="149"/>
      <c r="T481" s="149"/>
      <c r="V481" s="166"/>
      <c r="W481" s="166"/>
      <c r="X481" s="166"/>
      <c r="Y481" s="166"/>
    </row>
    <row r="482" ht="22.5" customHeight="1">
      <c r="A482" s="161"/>
      <c r="B482" s="162"/>
      <c r="C482" s="161"/>
      <c r="D482" s="194"/>
      <c r="E482" s="194"/>
      <c r="F482" s="162"/>
      <c r="G482" s="149"/>
      <c r="H482" s="161"/>
      <c r="I482" s="161"/>
      <c r="J482" s="161"/>
      <c r="K482" s="161"/>
      <c r="L482" s="161"/>
      <c r="M482" s="161"/>
      <c r="N482" s="149"/>
      <c r="O482" s="161"/>
      <c r="P482" s="161"/>
      <c r="S482" s="149"/>
      <c r="T482" s="149"/>
      <c r="V482" s="166"/>
      <c r="W482" s="166"/>
      <c r="X482" s="166"/>
      <c r="Y482" s="166"/>
    </row>
    <row r="483" ht="22.5" customHeight="1">
      <c r="A483" s="161"/>
      <c r="B483" s="162"/>
      <c r="C483" s="161"/>
      <c r="D483" s="194"/>
      <c r="E483" s="194"/>
      <c r="F483" s="162"/>
      <c r="G483" s="149"/>
      <c r="H483" s="161"/>
      <c r="I483" s="161"/>
      <c r="J483" s="161"/>
      <c r="K483" s="161"/>
      <c r="L483" s="161"/>
      <c r="M483" s="161"/>
      <c r="N483" s="149"/>
      <c r="O483" s="161"/>
      <c r="P483" s="161"/>
      <c r="S483" s="149"/>
      <c r="T483" s="149"/>
      <c r="V483" s="166"/>
      <c r="W483" s="166"/>
      <c r="X483" s="166"/>
      <c r="Y483" s="166"/>
    </row>
    <row r="484" ht="22.5" customHeight="1">
      <c r="A484" s="161"/>
      <c r="B484" s="162"/>
      <c r="C484" s="161"/>
      <c r="D484" s="194"/>
      <c r="E484" s="194"/>
      <c r="F484" s="162"/>
      <c r="G484" s="149"/>
      <c r="H484" s="161"/>
      <c r="I484" s="161"/>
      <c r="J484" s="161"/>
      <c r="K484" s="161"/>
      <c r="L484" s="161"/>
      <c r="M484" s="161"/>
      <c r="N484" s="149"/>
      <c r="O484" s="161"/>
      <c r="P484" s="161"/>
      <c r="S484" s="149"/>
      <c r="T484" s="149"/>
      <c r="V484" s="166"/>
      <c r="W484" s="166"/>
      <c r="X484" s="166"/>
      <c r="Y484" s="166"/>
    </row>
    <row r="485" ht="22.5" customHeight="1">
      <c r="A485" s="161"/>
      <c r="B485" s="162"/>
      <c r="C485" s="161"/>
      <c r="D485" s="194"/>
      <c r="E485" s="194"/>
      <c r="F485" s="162"/>
      <c r="G485" s="149"/>
      <c r="H485" s="161"/>
      <c r="I485" s="161"/>
      <c r="J485" s="161"/>
      <c r="K485" s="161"/>
      <c r="L485" s="161"/>
      <c r="M485" s="161"/>
      <c r="N485" s="149"/>
      <c r="O485" s="161"/>
      <c r="P485" s="161"/>
      <c r="S485" s="149"/>
      <c r="T485" s="149"/>
      <c r="V485" s="166"/>
      <c r="W485" s="166"/>
      <c r="X485" s="166"/>
      <c r="Y485" s="166"/>
    </row>
    <row r="486" ht="22.5" customHeight="1">
      <c r="A486" s="161"/>
      <c r="B486" s="162"/>
      <c r="C486" s="161"/>
      <c r="D486" s="194"/>
      <c r="E486" s="194"/>
      <c r="F486" s="162"/>
      <c r="G486" s="149"/>
      <c r="H486" s="161"/>
      <c r="I486" s="161"/>
      <c r="J486" s="161"/>
      <c r="K486" s="161"/>
      <c r="L486" s="161"/>
      <c r="M486" s="161"/>
      <c r="N486" s="149"/>
      <c r="O486" s="161"/>
      <c r="P486" s="161"/>
      <c r="S486" s="149"/>
      <c r="T486" s="149"/>
      <c r="V486" s="166"/>
      <c r="W486" s="166"/>
      <c r="X486" s="166"/>
      <c r="Y486" s="166"/>
    </row>
    <row r="487" ht="22.5" customHeight="1">
      <c r="A487" s="161"/>
      <c r="B487" s="162"/>
      <c r="C487" s="161"/>
      <c r="D487" s="194"/>
      <c r="E487" s="194"/>
      <c r="F487" s="162"/>
      <c r="G487" s="149"/>
      <c r="H487" s="161"/>
      <c r="I487" s="161"/>
      <c r="J487" s="161"/>
      <c r="K487" s="161"/>
      <c r="L487" s="161"/>
      <c r="M487" s="161"/>
      <c r="N487" s="149"/>
      <c r="O487" s="161"/>
      <c r="P487" s="161"/>
      <c r="S487" s="149"/>
      <c r="T487" s="149"/>
      <c r="V487" s="166"/>
      <c r="W487" s="166"/>
      <c r="X487" s="166"/>
      <c r="Y487" s="166"/>
    </row>
    <row r="488" ht="22.5" customHeight="1">
      <c r="A488" s="161"/>
      <c r="B488" s="162"/>
      <c r="C488" s="161"/>
      <c r="D488" s="194"/>
      <c r="E488" s="194"/>
      <c r="F488" s="162"/>
      <c r="G488" s="149"/>
      <c r="H488" s="161"/>
      <c r="I488" s="161"/>
      <c r="J488" s="161"/>
      <c r="K488" s="161"/>
      <c r="L488" s="161"/>
      <c r="M488" s="161"/>
      <c r="N488" s="149"/>
      <c r="O488" s="161"/>
      <c r="P488" s="161"/>
      <c r="S488" s="149"/>
      <c r="T488" s="149"/>
      <c r="V488" s="166"/>
      <c r="W488" s="166"/>
      <c r="X488" s="166"/>
      <c r="Y488" s="166"/>
    </row>
    <row r="489" ht="22.5" customHeight="1">
      <c r="A489" s="161"/>
      <c r="B489" s="162"/>
      <c r="C489" s="161"/>
      <c r="D489" s="194"/>
      <c r="E489" s="194"/>
      <c r="F489" s="162"/>
      <c r="G489" s="149"/>
      <c r="H489" s="161"/>
      <c r="I489" s="161"/>
      <c r="J489" s="161"/>
      <c r="K489" s="161"/>
      <c r="L489" s="161"/>
      <c r="M489" s="161"/>
      <c r="N489" s="149"/>
      <c r="O489" s="161"/>
      <c r="P489" s="161"/>
      <c r="S489" s="149"/>
      <c r="T489" s="149"/>
      <c r="V489" s="166"/>
      <c r="W489" s="166"/>
      <c r="X489" s="166"/>
      <c r="Y489" s="166"/>
    </row>
    <row r="490" ht="22.5" customHeight="1">
      <c r="A490" s="161"/>
      <c r="B490" s="162"/>
      <c r="C490" s="161"/>
      <c r="D490" s="194"/>
      <c r="E490" s="194"/>
      <c r="F490" s="162"/>
      <c r="G490" s="149"/>
      <c r="H490" s="161"/>
      <c r="I490" s="161"/>
      <c r="J490" s="161"/>
      <c r="K490" s="161"/>
      <c r="L490" s="161"/>
      <c r="M490" s="161"/>
      <c r="N490" s="149"/>
      <c r="O490" s="161"/>
      <c r="P490" s="161"/>
      <c r="S490" s="149"/>
      <c r="T490" s="149"/>
      <c r="V490" s="166"/>
      <c r="W490" s="166"/>
      <c r="X490" s="166"/>
      <c r="Y490" s="166"/>
    </row>
    <row r="491" ht="22.5" customHeight="1">
      <c r="A491" s="161"/>
      <c r="B491" s="162"/>
      <c r="C491" s="161"/>
      <c r="D491" s="194"/>
      <c r="E491" s="194"/>
      <c r="F491" s="162"/>
      <c r="G491" s="149"/>
      <c r="H491" s="161"/>
      <c r="I491" s="161"/>
      <c r="J491" s="161"/>
      <c r="K491" s="161"/>
      <c r="L491" s="161"/>
      <c r="M491" s="161"/>
      <c r="N491" s="149"/>
      <c r="O491" s="161"/>
      <c r="P491" s="161"/>
      <c r="S491" s="149"/>
      <c r="T491" s="149"/>
      <c r="V491" s="166"/>
      <c r="W491" s="166"/>
      <c r="X491" s="166"/>
      <c r="Y491" s="166"/>
    </row>
    <row r="492" ht="22.5" customHeight="1">
      <c r="A492" s="161"/>
      <c r="B492" s="162"/>
      <c r="C492" s="161"/>
      <c r="D492" s="194"/>
      <c r="E492" s="194"/>
      <c r="F492" s="162"/>
      <c r="G492" s="149"/>
      <c r="H492" s="161"/>
      <c r="I492" s="161"/>
      <c r="J492" s="161"/>
      <c r="K492" s="161"/>
      <c r="L492" s="161"/>
      <c r="M492" s="161"/>
      <c r="N492" s="149"/>
      <c r="O492" s="161"/>
      <c r="P492" s="161"/>
      <c r="S492" s="149"/>
      <c r="T492" s="149"/>
      <c r="V492" s="166"/>
      <c r="W492" s="166"/>
      <c r="X492" s="166"/>
      <c r="Y492" s="166"/>
    </row>
    <row r="493" ht="22.5" customHeight="1">
      <c r="A493" s="161"/>
      <c r="B493" s="162"/>
      <c r="C493" s="161"/>
      <c r="D493" s="194"/>
      <c r="E493" s="194"/>
      <c r="F493" s="162"/>
      <c r="G493" s="149"/>
      <c r="H493" s="161"/>
      <c r="I493" s="161"/>
      <c r="J493" s="161"/>
      <c r="K493" s="161"/>
      <c r="L493" s="161"/>
      <c r="M493" s="161"/>
      <c r="N493" s="149"/>
      <c r="O493" s="161"/>
      <c r="P493" s="161"/>
      <c r="S493" s="149"/>
      <c r="T493" s="149"/>
      <c r="V493" s="166"/>
      <c r="W493" s="166"/>
      <c r="X493" s="166"/>
      <c r="Y493" s="166"/>
    </row>
    <row r="494" ht="22.5" customHeight="1">
      <c r="A494" s="161"/>
      <c r="B494" s="162"/>
      <c r="C494" s="161"/>
      <c r="D494" s="194"/>
      <c r="E494" s="194"/>
      <c r="F494" s="162"/>
      <c r="G494" s="149"/>
      <c r="H494" s="161"/>
      <c r="I494" s="161"/>
      <c r="J494" s="161"/>
      <c r="K494" s="161"/>
      <c r="L494" s="161"/>
      <c r="M494" s="161"/>
      <c r="N494" s="149"/>
      <c r="O494" s="161"/>
      <c r="P494" s="161"/>
      <c r="S494" s="149"/>
      <c r="T494" s="149"/>
      <c r="V494" s="166"/>
      <c r="W494" s="166"/>
      <c r="X494" s="166"/>
      <c r="Y494" s="166"/>
    </row>
    <row r="495" ht="22.5" customHeight="1">
      <c r="A495" s="161"/>
      <c r="B495" s="162"/>
      <c r="C495" s="161"/>
      <c r="D495" s="194"/>
      <c r="E495" s="194"/>
      <c r="F495" s="162"/>
      <c r="G495" s="149"/>
      <c r="H495" s="161"/>
      <c r="I495" s="161"/>
      <c r="J495" s="161"/>
      <c r="K495" s="161"/>
      <c r="L495" s="161"/>
      <c r="M495" s="161"/>
      <c r="N495" s="149"/>
      <c r="O495" s="161"/>
      <c r="P495" s="161"/>
      <c r="S495" s="149"/>
      <c r="T495" s="149"/>
      <c r="V495" s="166"/>
      <c r="W495" s="166"/>
      <c r="X495" s="166"/>
      <c r="Y495" s="166"/>
    </row>
    <row r="496" ht="22.5" customHeight="1">
      <c r="A496" s="161"/>
      <c r="B496" s="162"/>
      <c r="C496" s="161"/>
      <c r="D496" s="194"/>
      <c r="E496" s="194"/>
      <c r="F496" s="162"/>
      <c r="G496" s="149"/>
      <c r="H496" s="161"/>
      <c r="I496" s="161"/>
      <c r="J496" s="161"/>
      <c r="K496" s="161"/>
      <c r="L496" s="161"/>
      <c r="M496" s="161"/>
      <c r="N496" s="149"/>
      <c r="O496" s="161"/>
      <c r="P496" s="161"/>
      <c r="S496" s="149"/>
      <c r="T496" s="149"/>
      <c r="V496" s="166"/>
      <c r="W496" s="166"/>
      <c r="X496" s="166"/>
      <c r="Y496" s="166"/>
    </row>
    <row r="497" ht="22.5" customHeight="1">
      <c r="A497" s="161"/>
      <c r="B497" s="162"/>
      <c r="C497" s="161"/>
      <c r="D497" s="194"/>
      <c r="E497" s="194"/>
      <c r="F497" s="162"/>
      <c r="G497" s="149"/>
      <c r="H497" s="161"/>
      <c r="I497" s="161"/>
      <c r="J497" s="161"/>
      <c r="K497" s="161"/>
      <c r="L497" s="161"/>
      <c r="M497" s="161"/>
      <c r="N497" s="149"/>
      <c r="O497" s="161"/>
      <c r="P497" s="161"/>
      <c r="S497" s="149"/>
      <c r="T497" s="149"/>
      <c r="V497" s="166"/>
      <c r="W497" s="166"/>
      <c r="X497" s="166"/>
      <c r="Y497" s="166"/>
    </row>
    <row r="498" ht="22.5" customHeight="1">
      <c r="A498" s="161"/>
      <c r="B498" s="162"/>
      <c r="C498" s="161"/>
      <c r="D498" s="194"/>
      <c r="E498" s="194"/>
      <c r="F498" s="162"/>
      <c r="G498" s="149"/>
      <c r="H498" s="161"/>
      <c r="I498" s="161"/>
      <c r="J498" s="161"/>
      <c r="K498" s="161"/>
      <c r="L498" s="161"/>
      <c r="M498" s="161"/>
      <c r="N498" s="149"/>
      <c r="O498" s="161"/>
      <c r="P498" s="161"/>
      <c r="S498" s="149"/>
      <c r="T498" s="149"/>
      <c r="V498" s="166"/>
      <c r="W498" s="166"/>
      <c r="X498" s="166"/>
      <c r="Y498" s="166"/>
    </row>
    <row r="499" ht="22.5" customHeight="1">
      <c r="A499" s="161"/>
      <c r="B499" s="162"/>
      <c r="C499" s="161"/>
      <c r="D499" s="194"/>
      <c r="E499" s="194"/>
      <c r="F499" s="162"/>
      <c r="G499" s="149"/>
      <c r="H499" s="161"/>
      <c r="I499" s="161"/>
      <c r="J499" s="161"/>
      <c r="K499" s="161"/>
      <c r="L499" s="161"/>
      <c r="M499" s="161"/>
      <c r="N499" s="149"/>
      <c r="O499" s="161"/>
      <c r="P499" s="161"/>
      <c r="S499" s="149"/>
      <c r="T499" s="149"/>
      <c r="V499" s="166"/>
      <c r="W499" s="166"/>
      <c r="X499" s="166"/>
      <c r="Y499" s="166"/>
    </row>
    <row r="500" ht="22.5" customHeight="1">
      <c r="A500" s="161"/>
      <c r="B500" s="162"/>
      <c r="C500" s="161"/>
      <c r="D500" s="194"/>
      <c r="E500" s="194"/>
      <c r="F500" s="162"/>
      <c r="G500" s="149"/>
      <c r="H500" s="161"/>
      <c r="I500" s="161"/>
      <c r="J500" s="161"/>
      <c r="K500" s="161"/>
      <c r="L500" s="161"/>
      <c r="M500" s="161"/>
      <c r="N500" s="149"/>
      <c r="O500" s="161"/>
      <c r="P500" s="161"/>
      <c r="S500" s="149"/>
      <c r="T500" s="149"/>
      <c r="V500" s="166"/>
      <c r="W500" s="166"/>
      <c r="X500" s="166"/>
      <c r="Y500" s="166"/>
    </row>
    <row r="501" ht="22.5" customHeight="1">
      <c r="A501" s="161"/>
      <c r="B501" s="162"/>
      <c r="C501" s="161"/>
      <c r="D501" s="194"/>
      <c r="E501" s="194"/>
      <c r="F501" s="162"/>
      <c r="G501" s="149"/>
      <c r="H501" s="161"/>
      <c r="I501" s="161"/>
      <c r="J501" s="161"/>
      <c r="K501" s="161"/>
      <c r="L501" s="161"/>
      <c r="M501" s="161"/>
      <c r="N501" s="149"/>
      <c r="O501" s="161"/>
      <c r="P501" s="161"/>
      <c r="S501" s="149"/>
      <c r="T501" s="149"/>
      <c r="V501" s="166"/>
      <c r="W501" s="166"/>
      <c r="X501" s="166"/>
      <c r="Y501" s="166"/>
    </row>
    <row r="502" ht="22.5" customHeight="1">
      <c r="A502" s="161"/>
      <c r="B502" s="162"/>
      <c r="C502" s="161"/>
      <c r="D502" s="194"/>
      <c r="E502" s="194"/>
      <c r="F502" s="162"/>
      <c r="G502" s="149"/>
      <c r="H502" s="161"/>
      <c r="I502" s="161"/>
      <c r="J502" s="161"/>
      <c r="K502" s="161"/>
      <c r="L502" s="161"/>
      <c r="M502" s="161"/>
      <c r="N502" s="149"/>
      <c r="O502" s="161"/>
      <c r="P502" s="161"/>
      <c r="S502" s="149"/>
      <c r="T502" s="149"/>
      <c r="V502" s="166"/>
      <c r="W502" s="166"/>
      <c r="X502" s="166"/>
      <c r="Y502" s="166"/>
    </row>
    <row r="503" ht="22.5" customHeight="1">
      <c r="A503" s="161"/>
      <c r="B503" s="162"/>
      <c r="C503" s="161"/>
      <c r="D503" s="194"/>
      <c r="E503" s="194"/>
      <c r="F503" s="162"/>
      <c r="G503" s="149"/>
      <c r="H503" s="161"/>
      <c r="I503" s="161"/>
      <c r="J503" s="161"/>
      <c r="K503" s="161"/>
      <c r="L503" s="161"/>
      <c r="M503" s="161"/>
      <c r="N503" s="149"/>
      <c r="O503" s="161"/>
      <c r="P503" s="161"/>
      <c r="S503" s="149"/>
      <c r="T503" s="149"/>
      <c r="V503" s="166"/>
      <c r="W503" s="166"/>
      <c r="X503" s="166"/>
      <c r="Y503" s="166"/>
    </row>
    <row r="504" ht="22.5" customHeight="1">
      <c r="A504" s="161"/>
      <c r="B504" s="162"/>
      <c r="C504" s="161"/>
      <c r="D504" s="194"/>
      <c r="E504" s="194"/>
      <c r="F504" s="162"/>
      <c r="G504" s="149"/>
      <c r="H504" s="161"/>
      <c r="I504" s="161"/>
      <c r="J504" s="161"/>
      <c r="K504" s="161"/>
      <c r="L504" s="161"/>
      <c r="M504" s="161"/>
      <c r="N504" s="149"/>
      <c r="O504" s="161"/>
      <c r="P504" s="161"/>
      <c r="S504" s="149"/>
      <c r="T504" s="149"/>
      <c r="V504" s="166"/>
      <c r="W504" s="166"/>
      <c r="X504" s="166"/>
      <c r="Y504" s="166"/>
    </row>
    <row r="505" ht="22.5" customHeight="1">
      <c r="A505" s="161"/>
      <c r="B505" s="162"/>
      <c r="C505" s="161"/>
      <c r="D505" s="194"/>
      <c r="E505" s="194"/>
      <c r="F505" s="162"/>
      <c r="G505" s="149"/>
      <c r="H505" s="161"/>
      <c r="I505" s="161"/>
      <c r="J505" s="161"/>
      <c r="K505" s="161"/>
      <c r="L505" s="161"/>
      <c r="M505" s="161"/>
      <c r="N505" s="149"/>
      <c r="O505" s="161"/>
      <c r="P505" s="161"/>
      <c r="S505" s="149"/>
      <c r="T505" s="149"/>
      <c r="V505" s="166"/>
      <c r="W505" s="166"/>
      <c r="X505" s="166"/>
      <c r="Y505" s="166"/>
    </row>
    <row r="506" ht="22.5" customHeight="1">
      <c r="A506" s="161"/>
      <c r="B506" s="162"/>
      <c r="C506" s="161"/>
      <c r="D506" s="194"/>
      <c r="E506" s="194"/>
      <c r="F506" s="162"/>
      <c r="G506" s="149"/>
      <c r="H506" s="161"/>
      <c r="I506" s="161"/>
      <c r="J506" s="161"/>
      <c r="K506" s="161"/>
      <c r="L506" s="161"/>
      <c r="M506" s="161"/>
      <c r="N506" s="149"/>
      <c r="O506" s="161"/>
      <c r="P506" s="161"/>
      <c r="S506" s="149"/>
      <c r="T506" s="149"/>
      <c r="V506" s="166"/>
      <c r="W506" s="166"/>
      <c r="X506" s="166"/>
      <c r="Y506" s="166"/>
    </row>
    <row r="507" ht="22.5" customHeight="1">
      <c r="A507" s="161"/>
      <c r="B507" s="162"/>
      <c r="C507" s="161"/>
      <c r="D507" s="194"/>
      <c r="E507" s="194"/>
      <c r="F507" s="162"/>
      <c r="G507" s="149"/>
      <c r="H507" s="161"/>
      <c r="I507" s="161"/>
      <c r="J507" s="161"/>
      <c r="K507" s="161"/>
      <c r="L507" s="161"/>
      <c r="M507" s="161"/>
      <c r="N507" s="149"/>
      <c r="O507" s="161"/>
      <c r="P507" s="161"/>
      <c r="S507" s="149"/>
      <c r="T507" s="149"/>
      <c r="V507" s="166"/>
      <c r="W507" s="166"/>
      <c r="X507" s="166"/>
      <c r="Y507" s="166"/>
    </row>
    <row r="508" ht="22.5" customHeight="1">
      <c r="A508" s="161"/>
      <c r="B508" s="162"/>
      <c r="C508" s="161"/>
      <c r="D508" s="194"/>
      <c r="E508" s="194"/>
      <c r="F508" s="162"/>
      <c r="G508" s="149"/>
      <c r="H508" s="161"/>
      <c r="I508" s="161"/>
      <c r="J508" s="161"/>
      <c r="K508" s="161"/>
      <c r="L508" s="161"/>
      <c r="M508" s="161"/>
      <c r="N508" s="149"/>
      <c r="O508" s="161"/>
      <c r="P508" s="161"/>
      <c r="S508" s="149"/>
      <c r="T508" s="149"/>
      <c r="V508" s="166"/>
      <c r="W508" s="166"/>
      <c r="X508" s="166"/>
      <c r="Y508" s="166"/>
    </row>
    <row r="509" ht="22.5" customHeight="1">
      <c r="A509" s="161"/>
      <c r="B509" s="162"/>
      <c r="C509" s="161"/>
      <c r="D509" s="194"/>
      <c r="E509" s="194"/>
      <c r="F509" s="162"/>
      <c r="G509" s="149"/>
      <c r="H509" s="161"/>
      <c r="I509" s="161"/>
      <c r="J509" s="161"/>
      <c r="K509" s="161"/>
      <c r="L509" s="161"/>
      <c r="M509" s="161"/>
      <c r="N509" s="149"/>
      <c r="O509" s="161"/>
      <c r="P509" s="161"/>
      <c r="S509" s="149"/>
      <c r="T509" s="149"/>
      <c r="V509" s="166"/>
      <c r="W509" s="166"/>
      <c r="X509" s="166"/>
      <c r="Y509" s="166"/>
    </row>
    <row r="510" ht="22.5" customHeight="1">
      <c r="A510" s="161"/>
      <c r="B510" s="162"/>
      <c r="C510" s="161"/>
      <c r="D510" s="194"/>
      <c r="E510" s="194"/>
      <c r="F510" s="162"/>
      <c r="G510" s="149"/>
      <c r="H510" s="161"/>
      <c r="I510" s="161"/>
      <c r="J510" s="161"/>
      <c r="K510" s="161"/>
      <c r="L510" s="161"/>
      <c r="M510" s="161"/>
      <c r="N510" s="149"/>
      <c r="O510" s="161"/>
      <c r="P510" s="161"/>
      <c r="S510" s="149"/>
      <c r="T510" s="149"/>
      <c r="V510" s="166"/>
      <c r="W510" s="166"/>
      <c r="X510" s="166"/>
      <c r="Y510" s="166"/>
    </row>
    <row r="511" ht="22.5" customHeight="1">
      <c r="A511" s="161"/>
      <c r="B511" s="162"/>
      <c r="C511" s="161"/>
      <c r="D511" s="194"/>
      <c r="E511" s="194"/>
      <c r="F511" s="162"/>
      <c r="G511" s="149"/>
      <c r="H511" s="161"/>
      <c r="I511" s="161"/>
      <c r="J511" s="161"/>
      <c r="K511" s="161"/>
      <c r="L511" s="161"/>
      <c r="M511" s="161"/>
      <c r="N511" s="149"/>
      <c r="O511" s="161"/>
      <c r="P511" s="161"/>
      <c r="S511" s="149"/>
      <c r="T511" s="149"/>
      <c r="V511" s="166"/>
      <c r="W511" s="166"/>
      <c r="X511" s="166"/>
      <c r="Y511" s="166"/>
    </row>
    <row r="512" ht="22.5" customHeight="1">
      <c r="A512" s="161"/>
      <c r="B512" s="162"/>
      <c r="C512" s="161"/>
      <c r="D512" s="194"/>
      <c r="E512" s="194"/>
      <c r="F512" s="162"/>
      <c r="G512" s="149"/>
      <c r="H512" s="161"/>
      <c r="I512" s="161"/>
      <c r="J512" s="161"/>
      <c r="K512" s="161"/>
      <c r="L512" s="161"/>
      <c r="M512" s="161"/>
      <c r="N512" s="149"/>
      <c r="O512" s="161"/>
      <c r="P512" s="161"/>
      <c r="S512" s="149"/>
      <c r="T512" s="149"/>
      <c r="V512" s="166"/>
      <c r="W512" s="166"/>
      <c r="X512" s="166"/>
      <c r="Y512" s="166"/>
    </row>
    <row r="513" ht="22.5" customHeight="1">
      <c r="A513" s="161"/>
      <c r="B513" s="162"/>
      <c r="C513" s="161"/>
      <c r="D513" s="194"/>
      <c r="E513" s="194"/>
      <c r="F513" s="162"/>
      <c r="G513" s="149"/>
      <c r="H513" s="161"/>
      <c r="I513" s="161"/>
      <c r="J513" s="161"/>
      <c r="K513" s="161"/>
      <c r="L513" s="161"/>
      <c r="M513" s="161"/>
      <c r="N513" s="149"/>
      <c r="O513" s="161"/>
      <c r="P513" s="161"/>
      <c r="S513" s="149"/>
      <c r="T513" s="149"/>
      <c r="V513" s="166"/>
      <c r="W513" s="166"/>
      <c r="X513" s="166"/>
      <c r="Y513" s="166"/>
    </row>
    <row r="514" ht="22.5" customHeight="1">
      <c r="A514" s="161"/>
      <c r="B514" s="162"/>
      <c r="C514" s="161"/>
      <c r="D514" s="194"/>
      <c r="E514" s="194"/>
      <c r="F514" s="162"/>
      <c r="G514" s="149"/>
      <c r="H514" s="161"/>
      <c r="I514" s="161"/>
      <c r="J514" s="161"/>
      <c r="K514" s="161"/>
      <c r="L514" s="161"/>
      <c r="M514" s="161"/>
      <c r="N514" s="149"/>
      <c r="O514" s="161"/>
      <c r="P514" s="161"/>
      <c r="S514" s="149"/>
      <c r="T514" s="149"/>
      <c r="V514" s="166"/>
      <c r="W514" s="166"/>
      <c r="X514" s="166"/>
      <c r="Y514" s="166"/>
    </row>
    <row r="515" ht="22.5" customHeight="1">
      <c r="A515" s="161"/>
      <c r="B515" s="162"/>
      <c r="C515" s="161"/>
      <c r="D515" s="194"/>
      <c r="E515" s="194"/>
      <c r="F515" s="162"/>
      <c r="G515" s="149"/>
      <c r="H515" s="161"/>
      <c r="I515" s="161"/>
      <c r="J515" s="161"/>
      <c r="K515" s="161"/>
      <c r="L515" s="161"/>
      <c r="M515" s="161"/>
      <c r="N515" s="149"/>
      <c r="O515" s="161"/>
      <c r="P515" s="161"/>
      <c r="S515" s="149"/>
      <c r="T515" s="149"/>
      <c r="V515" s="166"/>
      <c r="W515" s="166"/>
      <c r="X515" s="166"/>
      <c r="Y515" s="166"/>
    </row>
    <row r="516" ht="22.5" customHeight="1">
      <c r="A516" s="161"/>
      <c r="B516" s="162"/>
      <c r="C516" s="161"/>
      <c r="D516" s="194"/>
      <c r="E516" s="194"/>
      <c r="F516" s="162"/>
      <c r="G516" s="149"/>
      <c r="H516" s="161"/>
      <c r="I516" s="161"/>
      <c r="J516" s="161"/>
      <c r="K516" s="161"/>
      <c r="L516" s="161"/>
      <c r="M516" s="161"/>
      <c r="N516" s="149"/>
      <c r="O516" s="161"/>
      <c r="P516" s="161"/>
      <c r="S516" s="149"/>
      <c r="T516" s="149"/>
      <c r="V516" s="166"/>
      <c r="W516" s="166"/>
      <c r="X516" s="166"/>
      <c r="Y516" s="166"/>
    </row>
    <row r="517" ht="22.5" customHeight="1">
      <c r="A517" s="161"/>
      <c r="B517" s="162"/>
      <c r="C517" s="161"/>
      <c r="D517" s="194"/>
      <c r="E517" s="194"/>
      <c r="F517" s="162"/>
      <c r="G517" s="149"/>
      <c r="H517" s="161"/>
      <c r="I517" s="161"/>
      <c r="J517" s="161"/>
      <c r="K517" s="161"/>
      <c r="L517" s="161"/>
      <c r="M517" s="161"/>
      <c r="N517" s="149"/>
      <c r="O517" s="161"/>
      <c r="P517" s="161"/>
      <c r="S517" s="149"/>
      <c r="T517" s="149"/>
      <c r="V517" s="166"/>
      <c r="W517" s="166"/>
      <c r="X517" s="166"/>
      <c r="Y517" s="166"/>
    </row>
    <row r="518" ht="22.5" customHeight="1">
      <c r="A518" s="161"/>
      <c r="B518" s="162"/>
      <c r="C518" s="161"/>
      <c r="D518" s="194"/>
      <c r="E518" s="194"/>
      <c r="F518" s="162"/>
      <c r="G518" s="149"/>
      <c r="H518" s="161"/>
      <c r="I518" s="161"/>
      <c r="J518" s="161"/>
      <c r="K518" s="161"/>
      <c r="L518" s="161"/>
      <c r="M518" s="161"/>
      <c r="N518" s="149"/>
      <c r="O518" s="161"/>
      <c r="P518" s="161"/>
      <c r="S518" s="149"/>
      <c r="T518" s="149"/>
      <c r="V518" s="166"/>
      <c r="W518" s="166"/>
      <c r="X518" s="166"/>
      <c r="Y518" s="166"/>
    </row>
    <row r="519" ht="22.5" customHeight="1">
      <c r="A519" s="161"/>
      <c r="B519" s="162"/>
      <c r="C519" s="161"/>
      <c r="D519" s="194"/>
      <c r="E519" s="194"/>
      <c r="F519" s="162"/>
      <c r="G519" s="149"/>
      <c r="H519" s="161"/>
      <c r="I519" s="161"/>
      <c r="J519" s="161"/>
      <c r="K519" s="161"/>
      <c r="L519" s="161"/>
      <c r="M519" s="161"/>
      <c r="N519" s="149"/>
      <c r="O519" s="161"/>
      <c r="P519" s="161"/>
      <c r="S519" s="149"/>
      <c r="T519" s="149"/>
      <c r="V519" s="166"/>
      <c r="W519" s="166"/>
      <c r="X519" s="166"/>
      <c r="Y519" s="166"/>
    </row>
    <row r="520" ht="22.5" customHeight="1">
      <c r="A520" s="161"/>
      <c r="B520" s="162"/>
      <c r="C520" s="161"/>
      <c r="D520" s="194"/>
      <c r="E520" s="194"/>
      <c r="F520" s="162"/>
      <c r="G520" s="149"/>
      <c r="H520" s="161"/>
      <c r="I520" s="161"/>
      <c r="J520" s="161"/>
      <c r="K520" s="161"/>
      <c r="L520" s="161"/>
      <c r="M520" s="161"/>
      <c r="N520" s="149"/>
      <c r="O520" s="161"/>
      <c r="P520" s="161"/>
      <c r="S520" s="149"/>
      <c r="T520" s="149"/>
      <c r="V520" s="166"/>
      <c r="W520" s="166"/>
      <c r="X520" s="166"/>
      <c r="Y520" s="166"/>
    </row>
    <row r="521" ht="22.5" customHeight="1">
      <c r="A521" s="161"/>
      <c r="B521" s="162"/>
      <c r="C521" s="161"/>
      <c r="D521" s="194"/>
      <c r="E521" s="194"/>
      <c r="F521" s="162"/>
      <c r="G521" s="149"/>
      <c r="H521" s="161"/>
      <c r="I521" s="161"/>
      <c r="J521" s="161"/>
      <c r="K521" s="161"/>
      <c r="L521" s="161"/>
      <c r="M521" s="161"/>
      <c r="N521" s="149"/>
      <c r="O521" s="161"/>
      <c r="P521" s="161"/>
      <c r="S521" s="149"/>
      <c r="T521" s="149"/>
      <c r="V521" s="166"/>
      <c r="W521" s="166"/>
      <c r="X521" s="166"/>
      <c r="Y521" s="166"/>
    </row>
    <row r="522" ht="22.5" customHeight="1">
      <c r="A522" s="161"/>
      <c r="B522" s="162"/>
      <c r="C522" s="161"/>
      <c r="D522" s="194"/>
      <c r="E522" s="194"/>
      <c r="F522" s="162"/>
      <c r="G522" s="149"/>
      <c r="H522" s="161"/>
      <c r="I522" s="161"/>
      <c r="J522" s="161"/>
      <c r="K522" s="161"/>
      <c r="L522" s="161"/>
      <c r="M522" s="161"/>
      <c r="N522" s="149"/>
      <c r="O522" s="161"/>
      <c r="P522" s="161"/>
      <c r="S522" s="149"/>
      <c r="T522" s="149"/>
      <c r="V522" s="166"/>
      <c r="W522" s="166"/>
      <c r="X522" s="166"/>
      <c r="Y522" s="166"/>
    </row>
    <row r="523" ht="22.5" customHeight="1">
      <c r="A523" s="161"/>
      <c r="B523" s="162"/>
      <c r="C523" s="161"/>
      <c r="D523" s="194"/>
      <c r="E523" s="194"/>
      <c r="F523" s="162"/>
      <c r="G523" s="149"/>
      <c r="H523" s="161"/>
      <c r="I523" s="161"/>
      <c r="J523" s="161"/>
      <c r="K523" s="161"/>
      <c r="L523" s="161"/>
      <c r="M523" s="161"/>
      <c r="N523" s="149"/>
      <c r="O523" s="161"/>
      <c r="P523" s="161"/>
      <c r="S523" s="149"/>
      <c r="T523" s="149"/>
      <c r="V523" s="166"/>
      <c r="W523" s="166"/>
      <c r="X523" s="166"/>
      <c r="Y523" s="166"/>
    </row>
    <row r="524" ht="22.5" customHeight="1">
      <c r="A524" s="161"/>
      <c r="B524" s="162"/>
      <c r="C524" s="161"/>
      <c r="D524" s="194"/>
      <c r="E524" s="194"/>
      <c r="F524" s="162"/>
      <c r="G524" s="149"/>
      <c r="H524" s="161"/>
      <c r="I524" s="161"/>
      <c r="J524" s="161"/>
      <c r="K524" s="161"/>
      <c r="L524" s="161"/>
      <c r="M524" s="161"/>
      <c r="N524" s="149"/>
      <c r="O524" s="161"/>
      <c r="P524" s="161"/>
      <c r="S524" s="149"/>
      <c r="T524" s="149"/>
      <c r="V524" s="166"/>
      <c r="W524" s="166"/>
      <c r="X524" s="166"/>
      <c r="Y524" s="166"/>
    </row>
    <row r="525" ht="22.5" customHeight="1">
      <c r="A525" s="161"/>
      <c r="B525" s="162"/>
      <c r="C525" s="161"/>
      <c r="D525" s="194"/>
      <c r="E525" s="194"/>
      <c r="F525" s="162"/>
      <c r="G525" s="149"/>
      <c r="H525" s="161"/>
      <c r="I525" s="161"/>
      <c r="J525" s="161"/>
      <c r="K525" s="161"/>
      <c r="L525" s="161"/>
      <c r="M525" s="161"/>
      <c r="N525" s="149"/>
      <c r="O525" s="161"/>
      <c r="P525" s="161"/>
      <c r="S525" s="149"/>
      <c r="T525" s="149"/>
      <c r="V525" s="166"/>
      <c r="W525" s="166"/>
      <c r="X525" s="166"/>
      <c r="Y525" s="166"/>
    </row>
    <row r="526" ht="22.5" customHeight="1">
      <c r="A526" s="161"/>
      <c r="B526" s="162"/>
      <c r="C526" s="161"/>
      <c r="D526" s="194"/>
      <c r="E526" s="194"/>
      <c r="F526" s="162"/>
      <c r="G526" s="149"/>
      <c r="H526" s="161"/>
      <c r="I526" s="161"/>
      <c r="J526" s="161"/>
      <c r="K526" s="161"/>
      <c r="L526" s="161"/>
      <c r="M526" s="161"/>
      <c r="N526" s="149"/>
      <c r="O526" s="161"/>
      <c r="P526" s="161"/>
      <c r="S526" s="149"/>
      <c r="T526" s="149"/>
      <c r="V526" s="166"/>
      <c r="W526" s="166"/>
      <c r="X526" s="166"/>
      <c r="Y526" s="166"/>
    </row>
    <row r="527" ht="22.5" customHeight="1">
      <c r="A527" s="161"/>
      <c r="B527" s="162"/>
      <c r="C527" s="161"/>
      <c r="D527" s="194"/>
      <c r="E527" s="194"/>
      <c r="F527" s="162"/>
      <c r="G527" s="149"/>
      <c r="H527" s="161"/>
      <c r="I527" s="161"/>
      <c r="J527" s="161"/>
      <c r="K527" s="161"/>
      <c r="L527" s="161"/>
      <c r="M527" s="161"/>
      <c r="N527" s="149"/>
      <c r="O527" s="161"/>
      <c r="P527" s="161"/>
      <c r="S527" s="149"/>
      <c r="T527" s="149"/>
      <c r="V527" s="166"/>
      <c r="W527" s="166"/>
      <c r="X527" s="166"/>
      <c r="Y527" s="166"/>
    </row>
    <row r="528" ht="22.5" customHeight="1">
      <c r="A528" s="161"/>
      <c r="B528" s="162"/>
      <c r="C528" s="161"/>
      <c r="D528" s="194"/>
      <c r="E528" s="194"/>
      <c r="F528" s="162"/>
      <c r="G528" s="149"/>
      <c r="H528" s="161"/>
      <c r="I528" s="161"/>
      <c r="J528" s="161"/>
      <c r="K528" s="161"/>
      <c r="L528" s="161"/>
      <c r="M528" s="161"/>
      <c r="N528" s="149"/>
      <c r="O528" s="161"/>
      <c r="P528" s="161"/>
      <c r="S528" s="149"/>
      <c r="T528" s="149"/>
      <c r="V528" s="166"/>
      <c r="W528" s="166"/>
      <c r="X528" s="166"/>
      <c r="Y528" s="166"/>
    </row>
    <row r="529" ht="22.5" customHeight="1">
      <c r="A529" s="161"/>
      <c r="B529" s="162"/>
      <c r="C529" s="161"/>
      <c r="D529" s="194"/>
      <c r="E529" s="194"/>
      <c r="F529" s="162"/>
      <c r="G529" s="149"/>
      <c r="H529" s="161"/>
      <c r="I529" s="161"/>
      <c r="J529" s="161"/>
      <c r="K529" s="161"/>
      <c r="L529" s="161"/>
      <c r="M529" s="161"/>
      <c r="N529" s="149"/>
      <c r="O529" s="161"/>
      <c r="P529" s="161"/>
      <c r="S529" s="149"/>
      <c r="T529" s="149"/>
      <c r="V529" s="166"/>
      <c r="W529" s="166"/>
      <c r="X529" s="166"/>
      <c r="Y529" s="166"/>
    </row>
    <row r="530" ht="22.5" customHeight="1">
      <c r="A530" s="161"/>
      <c r="B530" s="162"/>
      <c r="C530" s="161"/>
      <c r="D530" s="194"/>
      <c r="E530" s="194"/>
      <c r="F530" s="162"/>
      <c r="G530" s="149"/>
      <c r="H530" s="161"/>
      <c r="I530" s="161"/>
      <c r="J530" s="161"/>
      <c r="K530" s="161"/>
      <c r="L530" s="161"/>
      <c r="M530" s="161"/>
      <c r="N530" s="149"/>
      <c r="O530" s="161"/>
      <c r="P530" s="161"/>
      <c r="S530" s="149"/>
      <c r="T530" s="149"/>
      <c r="V530" s="166"/>
      <c r="W530" s="166"/>
      <c r="X530" s="166"/>
      <c r="Y530" s="166"/>
    </row>
    <row r="531" ht="22.5" customHeight="1">
      <c r="A531" s="161"/>
      <c r="B531" s="162"/>
      <c r="C531" s="161"/>
      <c r="D531" s="194"/>
      <c r="E531" s="194"/>
      <c r="F531" s="162"/>
      <c r="G531" s="149"/>
      <c r="H531" s="161"/>
      <c r="I531" s="161"/>
      <c r="J531" s="161"/>
      <c r="K531" s="161"/>
      <c r="L531" s="161"/>
      <c r="M531" s="161"/>
      <c r="N531" s="149"/>
      <c r="O531" s="161"/>
      <c r="P531" s="161"/>
      <c r="S531" s="149"/>
      <c r="T531" s="149"/>
      <c r="V531" s="166"/>
      <c r="W531" s="166"/>
      <c r="X531" s="166"/>
      <c r="Y531" s="166"/>
    </row>
    <row r="532" ht="22.5" customHeight="1">
      <c r="A532" s="161"/>
      <c r="B532" s="162"/>
      <c r="C532" s="161"/>
      <c r="D532" s="194"/>
      <c r="E532" s="194"/>
      <c r="F532" s="162"/>
      <c r="G532" s="149"/>
      <c r="H532" s="161"/>
      <c r="I532" s="161"/>
      <c r="J532" s="161"/>
      <c r="K532" s="161"/>
      <c r="L532" s="161"/>
      <c r="M532" s="161"/>
      <c r="N532" s="149"/>
      <c r="O532" s="161"/>
      <c r="P532" s="161"/>
      <c r="S532" s="149"/>
      <c r="T532" s="149"/>
      <c r="V532" s="166"/>
      <c r="W532" s="166"/>
      <c r="X532" s="166"/>
      <c r="Y532" s="166"/>
    </row>
    <row r="533" ht="22.5" customHeight="1">
      <c r="A533" s="161"/>
      <c r="B533" s="162"/>
      <c r="C533" s="161"/>
      <c r="D533" s="194"/>
      <c r="E533" s="194"/>
      <c r="F533" s="162"/>
      <c r="G533" s="149"/>
      <c r="H533" s="161"/>
      <c r="I533" s="161"/>
      <c r="J533" s="161"/>
      <c r="K533" s="161"/>
      <c r="L533" s="161"/>
      <c r="M533" s="161"/>
      <c r="N533" s="149"/>
      <c r="O533" s="161"/>
      <c r="P533" s="161"/>
      <c r="S533" s="149"/>
      <c r="T533" s="149"/>
      <c r="V533" s="166"/>
      <c r="W533" s="166"/>
      <c r="X533" s="166"/>
      <c r="Y533" s="166"/>
    </row>
    <row r="534" ht="22.5" customHeight="1">
      <c r="A534" s="161"/>
      <c r="B534" s="162"/>
      <c r="C534" s="161"/>
      <c r="D534" s="194"/>
      <c r="E534" s="194"/>
      <c r="F534" s="162"/>
      <c r="G534" s="149"/>
      <c r="H534" s="161"/>
      <c r="I534" s="161"/>
      <c r="J534" s="161"/>
      <c r="K534" s="161"/>
      <c r="L534" s="161"/>
      <c r="M534" s="161"/>
      <c r="N534" s="149"/>
      <c r="O534" s="161"/>
      <c r="P534" s="161"/>
      <c r="S534" s="149"/>
      <c r="T534" s="149"/>
      <c r="V534" s="166"/>
      <c r="W534" s="166"/>
      <c r="X534" s="166"/>
      <c r="Y534" s="166"/>
    </row>
    <row r="535" ht="22.5" customHeight="1">
      <c r="A535" s="161"/>
      <c r="B535" s="162"/>
      <c r="C535" s="161"/>
      <c r="D535" s="194"/>
      <c r="E535" s="194"/>
      <c r="F535" s="162"/>
      <c r="G535" s="149"/>
      <c r="H535" s="161"/>
      <c r="I535" s="161"/>
      <c r="J535" s="161"/>
      <c r="K535" s="161"/>
      <c r="L535" s="161"/>
      <c r="M535" s="161"/>
      <c r="N535" s="149"/>
      <c r="O535" s="161"/>
      <c r="P535" s="161"/>
      <c r="S535" s="149"/>
      <c r="T535" s="149"/>
      <c r="V535" s="166"/>
      <c r="W535" s="166"/>
      <c r="X535" s="166"/>
      <c r="Y535" s="166"/>
    </row>
    <row r="536" ht="22.5" customHeight="1">
      <c r="A536" s="161"/>
      <c r="B536" s="162"/>
      <c r="C536" s="161"/>
      <c r="D536" s="194"/>
      <c r="E536" s="194"/>
      <c r="F536" s="162"/>
      <c r="G536" s="149"/>
      <c r="H536" s="161"/>
      <c r="I536" s="161"/>
      <c r="J536" s="161"/>
      <c r="K536" s="161"/>
      <c r="L536" s="161"/>
      <c r="M536" s="161"/>
      <c r="N536" s="149"/>
      <c r="O536" s="161"/>
      <c r="P536" s="161"/>
      <c r="S536" s="149"/>
      <c r="T536" s="149"/>
      <c r="V536" s="166"/>
      <c r="W536" s="166"/>
      <c r="X536" s="166"/>
      <c r="Y536" s="166"/>
    </row>
    <row r="537" ht="22.5" customHeight="1">
      <c r="A537" s="161"/>
      <c r="B537" s="162"/>
      <c r="C537" s="161"/>
      <c r="D537" s="194"/>
      <c r="E537" s="194"/>
      <c r="F537" s="162"/>
      <c r="G537" s="149"/>
      <c r="H537" s="161"/>
      <c r="I537" s="161"/>
      <c r="J537" s="161"/>
      <c r="K537" s="161"/>
      <c r="L537" s="161"/>
      <c r="M537" s="161"/>
      <c r="N537" s="149"/>
      <c r="O537" s="161"/>
      <c r="P537" s="161"/>
      <c r="S537" s="149"/>
      <c r="T537" s="149"/>
      <c r="V537" s="166"/>
      <c r="W537" s="166"/>
      <c r="X537" s="166"/>
      <c r="Y537" s="166"/>
    </row>
    <row r="538" ht="22.5" customHeight="1">
      <c r="A538" s="161"/>
      <c r="B538" s="162"/>
      <c r="C538" s="161"/>
      <c r="D538" s="194"/>
      <c r="E538" s="194"/>
      <c r="F538" s="162"/>
      <c r="G538" s="149"/>
      <c r="H538" s="161"/>
      <c r="I538" s="161"/>
      <c r="J538" s="161"/>
      <c r="K538" s="161"/>
      <c r="L538" s="161"/>
      <c r="M538" s="161"/>
      <c r="N538" s="149"/>
      <c r="O538" s="161"/>
      <c r="P538" s="161"/>
      <c r="S538" s="149"/>
      <c r="T538" s="149"/>
      <c r="V538" s="166"/>
      <c r="W538" s="166"/>
      <c r="X538" s="166"/>
      <c r="Y538" s="166"/>
    </row>
    <row r="539" ht="22.5" customHeight="1">
      <c r="A539" s="161"/>
      <c r="B539" s="162"/>
      <c r="C539" s="161"/>
      <c r="D539" s="194"/>
      <c r="E539" s="194"/>
      <c r="F539" s="162"/>
      <c r="G539" s="149"/>
      <c r="H539" s="161"/>
      <c r="I539" s="161"/>
      <c r="J539" s="161"/>
      <c r="K539" s="161"/>
      <c r="L539" s="161"/>
      <c r="M539" s="161"/>
      <c r="N539" s="149"/>
      <c r="O539" s="161"/>
      <c r="P539" s="161"/>
      <c r="S539" s="149"/>
      <c r="T539" s="149"/>
      <c r="V539" s="166"/>
      <c r="W539" s="166"/>
      <c r="X539" s="166"/>
      <c r="Y539" s="166"/>
    </row>
    <row r="540" ht="22.5" customHeight="1">
      <c r="A540" s="161"/>
      <c r="B540" s="162"/>
      <c r="C540" s="161"/>
      <c r="D540" s="194"/>
      <c r="E540" s="194"/>
      <c r="F540" s="162"/>
      <c r="G540" s="149"/>
      <c r="H540" s="161"/>
      <c r="I540" s="161"/>
      <c r="J540" s="161"/>
      <c r="K540" s="161"/>
      <c r="L540" s="161"/>
      <c r="M540" s="161"/>
      <c r="N540" s="149"/>
      <c r="O540" s="161"/>
      <c r="P540" s="161"/>
      <c r="S540" s="149"/>
      <c r="T540" s="149"/>
      <c r="V540" s="166"/>
      <c r="W540" s="166"/>
      <c r="X540" s="166"/>
      <c r="Y540" s="166"/>
    </row>
    <row r="541" ht="22.5" customHeight="1">
      <c r="A541" s="161"/>
      <c r="B541" s="162"/>
      <c r="C541" s="161"/>
      <c r="D541" s="194"/>
      <c r="E541" s="194"/>
      <c r="F541" s="162"/>
      <c r="G541" s="149"/>
      <c r="H541" s="161"/>
      <c r="I541" s="161"/>
      <c r="J541" s="161"/>
      <c r="K541" s="161"/>
      <c r="L541" s="161"/>
      <c r="M541" s="161"/>
      <c r="N541" s="149"/>
      <c r="O541" s="161"/>
      <c r="P541" s="161"/>
      <c r="S541" s="149"/>
      <c r="T541" s="149"/>
      <c r="V541" s="166"/>
      <c r="W541" s="166"/>
      <c r="X541" s="166"/>
      <c r="Y541" s="166"/>
    </row>
    <row r="542" ht="22.5" customHeight="1">
      <c r="A542" s="161"/>
      <c r="B542" s="162"/>
      <c r="C542" s="161"/>
      <c r="D542" s="194"/>
      <c r="E542" s="194"/>
      <c r="F542" s="162"/>
      <c r="G542" s="149"/>
      <c r="H542" s="161"/>
      <c r="I542" s="161"/>
      <c r="J542" s="161"/>
      <c r="K542" s="161"/>
      <c r="L542" s="161"/>
      <c r="M542" s="161"/>
      <c r="N542" s="149"/>
      <c r="O542" s="161"/>
      <c r="P542" s="161"/>
      <c r="S542" s="149"/>
      <c r="T542" s="149"/>
      <c r="V542" s="166"/>
      <c r="W542" s="166"/>
      <c r="X542" s="166"/>
      <c r="Y542" s="166"/>
    </row>
    <row r="543" ht="22.5" customHeight="1">
      <c r="A543" s="161"/>
      <c r="B543" s="162"/>
      <c r="C543" s="161"/>
      <c r="D543" s="194"/>
      <c r="E543" s="194"/>
      <c r="F543" s="162"/>
      <c r="G543" s="149"/>
      <c r="H543" s="161"/>
      <c r="I543" s="161"/>
      <c r="J543" s="161"/>
      <c r="K543" s="161"/>
      <c r="L543" s="161"/>
      <c r="M543" s="161"/>
      <c r="N543" s="149"/>
      <c r="O543" s="161"/>
      <c r="P543" s="161"/>
      <c r="S543" s="149"/>
      <c r="T543" s="149"/>
      <c r="V543" s="166"/>
      <c r="W543" s="166"/>
      <c r="X543" s="166"/>
      <c r="Y543" s="166"/>
    </row>
    <row r="544" ht="22.5" customHeight="1">
      <c r="A544" s="161"/>
      <c r="B544" s="162"/>
      <c r="C544" s="161"/>
      <c r="D544" s="194"/>
      <c r="E544" s="194"/>
      <c r="F544" s="162"/>
      <c r="G544" s="149"/>
      <c r="H544" s="161"/>
      <c r="I544" s="161"/>
      <c r="J544" s="161"/>
      <c r="K544" s="161"/>
      <c r="L544" s="161"/>
      <c r="M544" s="161"/>
      <c r="N544" s="149"/>
      <c r="O544" s="161"/>
      <c r="P544" s="161"/>
      <c r="S544" s="149"/>
      <c r="T544" s="149"/>
      <c r="V544" s="166"/>
      <c r="W544" s="166"/>
      <c r="X544" s="166"/>
      <c r="Y544" s="166"/>
    </row>
    <row r="545" ht="22.5" customHeight="1">
      <c r="A545" s="161"/>
      <c r="B545" s="162"/>
      <c r="C545" s="161"/>
      <c r="D545" s="194"/>
      <c r="E545" s="194"/>
      <c r="F545" s="162"/>
      <c r="G545" s="149"/>
      <c r="H545" s="161"/>
      <c r="I545" s="161"/>
      <c r="J545" s="161"/>
      <c r="K545" s="161"/>
      <c r="L545" s="161"/>
      <c r="M545" s="161"/>
      <c r="N545" s="149"/>
      <c r="O545" s="161"/>
      <c r="P545" s="161"/>
      <c r="S545" s="149"/>
      <c r="T545" s="149"/>
      <c r="V545" s="166"/>
      <c r="W545" s="166"/>
      <c r="X545" s="166"/>
      <c r="Y545" s="166"/>
    </row>
    <row r="546" ht="22.5" customHeight="1">
      <c r="A546" s="161"/>
      <c r="B546" s="162"/>
      <c r="C546" s="161"/>
      <c r="D546" s="194"/>
      <c r="E546" s="194"/>
      <c r="F546" s="162"/>
      <c r="G546" s="149"/>
      <c r="H546" s="161"/>
      <c r="I546" s="161"/>
      <c r="J546" s="161"/>
      <c r="K546" s="161"/>
      <c r="L546" s="161"/>
      <c r="M546" s="161"/>
      <c r="N546" s="149"/>
      <c r="O546" s="161"/>
      <c r="P546" s="161"/>
      <c r="S546" s="149"/>
      <c r="T546" s="149"/>
      <c r="V546" s="166"/>
      <c r="W546" s="166"/>
      <c r="X546" s="166"/>
      <c r="Y546" s="166"/>
    </row>
    <row r="547" ht="22.5" customHeight="1">
      <c r="A547" s="161"/>
      <c r="B547" s="162"/>
      <c r="C547" s="161"/>
      <c r="D547" s="194"/>
      <c r="E547" s="194"/>
      <c r="F547" s="162"/>
      <c r="G547" s="149"/>
      <c r="H547" s="161"/>
      <c r="I547" s="161"/>
      <c r="J547" s="161"/>
      <c r="K547" s="161"/>
      <c r="L547" s="161"/>
      <c r="M547" s="161"/>
      <c r="N547" s="149"/>
      <c r="O547" s="161"/>
      <c r="P547" s="161"/>
      <c r="S547" s="149"/>
      <c r="T547" s="149"/>
      <c r="V547" s="166"/>
      <c r="W547" s="166"/>
      <c r="X547" s="166"/>
      <c r="Y547" s="166"/>
    </row>
    <row r="548" ht="22.5" customHeight="1">
      <c r="A548" s="161"/>
      <c r="B548" s="162"/>
      <c r="C548" s="161"/>
      <c r="D548" s="194"/>
      <c r="E548" s="194"/>
      <c r="F548" s="162"/>
      <c r="G548" s="149"/>
      <c r="H548" s="161"/>
      <c r="I548" s="161"/>
      <c r="J548" s="161"/>
      <c r="K548" s="161"/>
      <c r="L548" s="161"/>
      <c r="M548" s="161"/>
      <c r="N548" s="149"/>
      <c r="O548" s="161"/>
      <c r="P548" s="161"/>
      <c r="S548" s="149"/>
      <c r="T548" s="149"/>
      <c r="V548" s="166"/>
      <c r="W548" s="166"/>
      <c r="X548" s="166"/>
      <c r="Y548" s="166"/>
    </row>
    <row r="549" ht="22.5" customHeight="1">
      <c r="A549" s="161"/>
      <c r="B549" s="162"/>
      <c r="C549" s="161"/>
      <c r="D549" s="194"/>
      <c r="E549" s="194"/>
      <c r="F549" s="162"/>
      <c r="G549" s="149"/>
      <c r="H549" s="161"/>
      <c r="I549" s="161"/>
      <c r="J549" s="161"/>
      <c r="K549" s="161"/>
      <c r="L549" s="161"/>
      <c r="M549" s="161"/>
      <c r="N549" s="149"/>
      <c r="O549" s="161"/>
      <c r="P549" s="161"/>
      <c r="S549" s="149"/>
      <c r="T549" s="149"/>
      <c r="V549" s="166"/>
      <c r="W549" s="166"/>
      <c r="X549" s="166"/>
      <c r="Y549" s="166"/>
    </row>
    <row r="550" ht="22.5" customHeight="1">
      <c r="A550" s="161"/>
      <c r="B550" s="162"/>
      <c r="C550" s="161"/>
      <c r="D550" s="194"/>
      <c r="E550" s="194"/>
      <c r="F550" s="162"/>
      <c r="G550" s="149"/>
      <c r="H550" s="161"/>
      <c r="I550" s="161"/>
      <c r="J550" s="161"/>
      <c r="K550" s="161"/>
      <c r="L550" s="161"/>
      <c r="M550" s="161"/>
      <c r="N550" s="149"/>
      <c r="O550" s="161"/>
      <c r="P550" s="161"/>
      <c r="S550" s="149"/>
      <c r="T550" s="149"/>
      <c r="V550" s="166"/>
      <c r="W550" s="166"/>
      <c r="X550" s="166"/>
      <c r="Y550" s="166"/>
    </row>
    <row r="551" ht="22.5" customHeight="1">
      <c r="A551" s="161"/>
      <c r="B551" s="162"/>
      <c r="C551" s="161"/>
      <c r="D551" s="194"/>
      <c r="E551" s="194"/>
      <c r="F551" s="162"/>
      <c r="G551" s="149"/>
      <c r="H551" s="161"/>
      <c r="I551" s="161"/>
      <c r="J551" s="161"/>
      <c r="K551" s="161"/>
      <c r="L551" s="161"/>
      <c r="M551" s="161"/>
      <c r="N551" s="149"/>
      <c r="O551" s="161"/>
      <c r="P551" s="161"/>
      <c r="S551" s="149"/>
      <c r="T551" s="149"/>
      <c r="V551" s="166"/>
      <c r="W551" s="166"/>
      <c r="X551" s="166"/>
      <c r="Y551" s="166"/>
    </row>
    <row r="552" ht="22.5" customHeight="1">
      <c r="A552" s="161"/>
      <c r="B552" s="162"/>
      <c r="C552" s="161"/>
      <c r="D552" s="194"/>
      <c r="E552" s="194"/>
      <c r="F552" s="162"/>
      <c r="G552" s="149"/>
      <c r="H552" s="161"/>
      <c r="I552" s="161"/>
      <c r="J552" s="161"/>
      <c r="K552" s="161"/>
      <c r="L552" s="161"/>
      <c r="M552" s="161"/>
      <c r="N552" s="149"/>
      <c r="O552" s="161"/>
      <c r="P552" s="161"/>
      <c r="S552" s="149"/>
      <c r="T552" s="149"/>
      <c r="V552" s="166"/>
      <c r="W552" s="166"/>
      <c r="X552" s="166"/>
      <c r="Y552" s="166"/>
    </row>
    <row r="553" ht="22.5" customHeight="1">
      <c r="A553" s="161"/>
      <c r="B553" s="162"/>
      <c r="C553" s="161"/>
      <c r="D553" s="194"/>
      <c r="E553" s="194"/>
      <c r="F553" s="162"/>
      <c r="G553" s="149"/>
      <c r="H553" s="161"/>
      <c r="I553" s="161"/>
      <c r="J553" s="161"/>
      <c r="K553" s="161"/>
      <c r="L553" s="161"/>
      <c r="M553" s="161"/>
      <c r="N553" s="149"/>
      <c r="O553" s="161"/>
      <c r="P553" s="161"/>
      <c r="S553" s="149"/>
      <c r="T553" s="149"/>
      <c r="V553" s="166"/>
      <c r="W553" s="166"/>
      <c r="X553" s="166"/>
      <c r="Y553" s="166"/>
    </row>
    <row r="554" ht="22.5" customHeight="1">
      <c r="A554" s="161"/>
      <c r="B554" s="162"/>
      <c r="C554" s="161"/>
      <c r="D554" s="194"/>
      <c r="E554" s="194"/>
      <c r="F554" s="162"/>
      <c r="G554" s="149"/>
      <c r="H554" s="161"/>
      <c r="I554" s="161"/>
      <c r="J554" s="161"/>
      <c r="K554" s="161"/>
      <c r="L554" s="161"/>
      <c r="M554" s="161"/>
      <c r="N554" s="149"/>
      <c r="O554" s="161"/>
      <c r="P554" s="161"/>
      <c r="S554" s="149"/>
      <c r="T554" s="149"/>
      <c r="V554" s="166"/>
      <c r="W554" s="166"/>
      <c r="X554" s="166"/>
      <c r="Y554" s="166"/>
    </row>
    <row r="555" ht="22.5" customHeight="1">
      <c r="A555" s="161"/>
      <c r="B555" s="162"/>
      <c r="C555" s="161"/>
      <c r="D555" s="194"/>
      <c r="E555" s="194"/>
      <c r="F555" s="162"/>
      <c r="G555" s="149"/>
      <c r="H555" s="161"/>
      <c r="I555" s="161"/>
      <c r="J555" s="161"/>
      <c r="K555" s="161"/>
      <c r="L555" s="161"/>
      <c r="M555" s="161"/>
      <c r="N555" s="149"/>
      <c r="O555" s="161"/>
      <c r="P555" s="161"/>
      <c r="S555" s="149"/>
      <c r="T555" s="149"/>
      <c r="V555" s="166"/>
      <c r="W555" s="166"/>
      <c r="X555" s="166"/>
      <c r="Y555" s="166"/>
    </row>
    <row r="556" ht="22.5" customHeight="1">
      <c r="A556" s="161"/>
      <c r="B556" s="162"/>
      <c r="C556" s="161"/>
      <c r="D556" s="194"/>
      <c r="E556" s="194"/>
      <c r="F556" s="162"/>
      <c r="G556" s="149"/>
      <c r="H556" s="161"/>
      <c r="I556" s="161"/>
      <c r="J556" s="161"/>
      <c r="K556" s="161"/>
      <c r="L556" s="161"/>
      <c r="M556" s="161"/>
      <c r="N556" s="149"/>
      <c r="O556" s="161"/>
      <c r="P556" s="161"/>
      <c r="S556" s="149"/>
      <c r="T556" s="149"/>
      <c r="V556" s="166"/>
      <c r="W556" s="166"/>
      <c r="X556" s="166"/>
      <c r="Y556" s="166"/>
    </row>
    <row r="557" ht="22.5" customHeight="1">
      <c r="A557" s="161"/>
      <c r="B557" s="162"/>
      <c r="C557" s="161"/>
      <c r="D557" s="194"/>
      <c r="E557" s="194"/>
      <c r="F557" s="162"/>
      <c r="G557" s="149"/>
      <c r="H557" s="161"/>
      <c r="I557" s="161"/>
      <c r="J557" s="161"/>
      <c r="K557" s="161"/>
      <c r="L557" s="161"/>
      <c r="M557" s="161"/>
      <c r="N557" s="149"/>
      <c r="O557" s="161"/>
      <c r="P557" s="161"/>
      <c r="S557" s="149"/>
      <c r="T557" s="149"/>
      <c r="V557" s="166"/>
      <c r="W557" s="166"/>
      <c r="X557" s="166"/>
      <c r="Y557" s="166"/>
    </row>
    <row r="558" ht="22.5" customHeight="1">
      <c r="A558" s="161"/>
      <c r="B558" s="162"/>
      <c r="C558" s="161"/>
      <c r="D558" s="194"/>
      <c r="E558" s="194"/>
      <c r="F558" s="162"/>
      <c r="G558" s="149"/>
      <c r="H558" s="161"/>
      <c r="I558" s="161"/>
      <c r="J558" s="161"/>
      <c r="K558" s="161"/>
      <c r="L558" s="161"/>
      <c r="M558" s="161"/>
      <c r="N558" s="149"/>
      <c r="O558" s="161"/>
      <c r="P558" s="161"/>
      <c r="S558" s="149"/>
      <c r="T558" s="149"/>
      <c r="V558" s="166"/>
      <c r="W558" s="166"/>
      <c r="X558" s="166"/>
      <c r="Y558" s="166"/>
    </row>
    <row r="559" ht="22.5" customHeight="1">
      <c r="A559" s="161"/>
      <c r="B559" s="162"/>
      <c r="C559" s="161"/>
      <c r="D559" s="194"/>
      <c r="E559" s="194"/>
      <c r="F559" s="162"/>
      <c r="G559" s="149"/>
      <c r="H559" s="161"/>
      <c r="I559" s="161"/>
      <c r="J559" s="161"/>
      <c r="K559" s="161"/>
      <c r="L559" s="161"/>
      <c r="M559" s="161"/>
      <c r="N559" s="149"/>
      <c r="O559" s="161"/>
      <c r="P559" s="161"/>
      <c r="S559" s="149"/>
      <c r="T559" s="149"/>
      <c r="V559" s="166"/>
      <c r="W559" s="166"/>
      <c r="X559" s="166"/>
      <c r="Y559" s="166"/>
    </row>
    <row r="560" ht="22.5" customHeight="1">
      <c r="A560" s="161"/>
      <c r="B560" s="162"/>
      <c r="C560" s="161"/>
      <c r="D560" s="194"/>
      <c r="E560" s="194"/>
      <c r="F560" s="162"/>
      <c r="G560" s="149"/>
      <c r="H560" s="161"/>
      <c r="I560" s="161"/>
      <c r="J560" s="161"/>
      <c r="K560" s="161"/>
      <c r="L560" s="161"/>
      <c r="M560" s="161"/>
      <c r="N560" s="149"/>
      <c r="O560" s="161"/>
      <c r="P560" s="161"/>
      <c r="S560" s="149"/>
      <c r="T560" s="149"/>
      <c r="V560" s="166"/>
      <c r="W560" s="166"/>
      <c r="X560" s="166"/>
      <c r="Y560" s="166"/>
    </row>
    <row r="561" ht="22.5" customHeight="1">
      <c r="A561" s="161"/>
      <c r="B561" s="162"/>
      <c r="C561" s="161"/>
      <c r="D561" s="194"/>
      <c r="E561" s="194"/>
      <c r="F561" s="162"/>
      <c r="G561" s="149"/>
      <c r="H561" s="161"/>
      <c r="I561" s="161"/>
      <c r="J561" s="161"/>
      <c r="K561" s="161"/>
      <c r="L561" s="161"/>
      <c r="M561" s="161"/>
      <c r="N561" s="149"/>
      <c r="O561" s="161"/>
      <c r="P561" s="161"/>
      <c r="S561" s="149"/>
      <c r="T561" s="149"/>
      <c r="V561" s="166"/>
      <c r="W561" s="166"/>
      <c r="X561" s="166"/>
      <c r="Y561" s="166"/>
    </row>
    <row r="562" ht="22.5" customHeight="1">
      <c r="A562" s="161"/>
      <c r="B562" s="162"/>
      <c r="C562" s="161"/>
      <c r="D562" s="194"/>
      <c r="E562" s="194"/>
      <c r="F562" s="162"/>
      <c r="G562" s="149"/>
      <c r="H562" s="161"/>
      <c r="I562" s="161"/>
      <c r="J562" s="161"/>
      <c r="K562" s="161"/>
      <c r="L562" s="161"/>
      <c r="M562" s="161"/>
      <c r="N562" s="149"/>
      <c r="O562" s="161"/>
      <c r="P562" s="161"/>
      <c r="S562" s="149"/>
      <c r="T562" s="149"/>
      <c r="V562" s="166"/>
      <c r="W562" s="166"/>
      <c r="X562" s="166"/>
      <c r="Y562" s="166"/>
    </row>
    <row r="563" ht="22.5" customHeight="1">
      <c r="A563" s="161"/>
      <c r="B563" s="162"/>
      <c r="C563" s="161"/>
      <c r="D563" s="194"/>
      <c r="E563" s="194"/>
      <c r="F563" s="162"/>
      <c r="G563" s="149"/>
      <c r="H563" s="161"/>
      <c r="I563" s="161"/>
      <c r="J563" s="161"/>
      <c r="K563" s="161"/>
      <c r="L563" s="161"/>
      <c r="M563" s="161"/>
      <c r="N563" s="149"/>
      <c r="O563" s="161"/>
      <c r="P563" s="161"/>
      <c r="S563" s="149"/>
      <c r="T563" s="149"/>
      <c r="V563" s="166"/>
      <c r="W563" s="166"/>
      <c r="X563" s="166"/>
      <c r="Y563" s="166"/>
    </row>
    <row r="564" ht="22.5" customHeight="1">
      <c r="A564" s="161"/>
      <c r="B564" s="162"/>
      <c r="C564" s="161"/>
      <c r="D564" s="194"/>
      <c r="E564" s="194"/>
      <c r="F564" s="162"/>
      <c r="G564" s="149"/>
      <c r="H564" s="161"/>
      <c r="I564" s="161"/>
      <c r="J564" s="161"/>
      <c r="K564" s="161"/>
      <c r="L564" s="161"/>
      <c r="M564" s="161"/>
      <c r="N564" s="149"/>
      <c r="O564" s="161"/>
      <c r="P564" s="161"/>
      <c r="S564" s="149"/>
      <c r="T564" s="149"/>
      <c r="V564" s="166"/>
      <c r="W564" s="166"/>
      <c r="X564" s="166"/>
      <c r="Y564" s="166"/>
    </row>
    <row r="565" ht="22.5" customHeight="1">
      <c r="A565" s="161"/>
      <c r="B565" s="162"/>
      <c r="C565" s="161"/>
      <c r="D565" s="194"/>
      <c r="E565" s="194"/>
      <c r="F565" s="162"/>
      <c r="G565" s="149"/>
      <c r="H565" s="161"/>
      <c r="I565" s="161"/>
      <c r="J565" s="161"/>
      <c r="K565" s="161"/>
      <c r="L565" s="161"/>
      <c r="M565" s="161"/>
      <c r="N565" s="149"/>
      <c r="O565" s="161"/>
      <c r="P565" s="161"/>
      <c r="S565" s="149"/>
      <c r="T565" s="149"/>
      <c r="V565" s="166"/>
      <c r="W565" s="166"/>
      <c r="X565" s="166"/>
      <c r="Y565" s="166"/>
    </row>
    <row r="566" ht="22.5" customHeight="1">
      <c r="A566" s="161"/>
      <c r="B566" s="162"/>
      <c r="C566" s="161"/>
      <c r="D566" s="194"/>
      <c r="E566" s="194"/>
      <c r="F566" s="162"/>
      <c r="G566" s="149"/>
      <c r="H566" s="161"/>
      <c r="I566" s="161"/>
      <c r="J566" s="161"/>
      <c r="K566" s="161"/>
      <c r="L566" s="161"/>
      <c r="M566" s="161"/>
      <c r="N566" s="149"/>
      <c r="O566" s="161"/>
      <c r="P566" s="161"/>
      <c r="S566" s="149"/>
      <c r="T566" s="149"/>
      <c r="V566" s="166"/>
      <c r="W566" s="166"/>
      <c r="X566" s="166"/>
      <c r="Y566" s="166"/>
    </row>
    <row r="567" ht="22.5" customHeight="1">
      <c r="A567" s="161"/>
      <c r="B567" s="162"/>
      <c r="C567" s="161"/>
      <c r="D567" s="194"/>
      <c r="E567" s="194"/>
      <c r="F567" s="162"/>
      <c r="G567" s="149"/>
      <c r="H567" s="161"/>
      <c r="I567" s="161"/>
      <c r="J567" s="161"/>
      <c r="K567" s="161"/>
      <c r="L567" s="161"/>
      <c r="M567" s="161"/>
      <c r="N567" s="149"/>
      <c r="O567" s="161"/>
      <c r="P567" s="161"/>
      <c r="S567" s="149"/>
      <c r="T567" s="149"/>
      <c r="V567" s="166"/>
      <c r="W567" s="166"/>
      <c r="X567" s="166"/>
      <c r="Y567" s="166"/>
    </row>
    <row r="568" ht="22.5" customHeight="1">
      <c r="A568" s="161"/>
      <c r="B568" s="162"/>
      <c r="C568" s="161"/>
      <c r="D568" s="194"/>
      <c r="E568" s="194"/>
      <c r="F568" s="162"/>
      <c r="G568" s="149"/>
      <c r="H568" s="161"/>
      <c r="I568" s="161"/>
      <c r="J568" s="161"/>
      <c r="K568" s="161"/>
      <c r="L568" s="161"/>
      <c r="M568" s="161"/>
      <c r="N568" s="149"/>
      <c r="O568" s="161"/>
      <c r="P568" s="161"/>
      <c r="S568" s="149"/>
      <c r="T568" s="149"/>
      <c r="V568" s="166"/>
      <c r="W568" s="166"/>
      <c r="X568" s="166"/>
      <c r="Y568" s="166"/>
    </row>
    <row r="569" ht="22.5" customHeight="1">
      <c r="A569" s="161"/>
      <c r="B569" s="162"/>
      <c r="C569" s="161"/>
      <c r="D569" s="194"/>
      <c r="E569" s="194"/>
      <c r="F569" s="162"/>
      <c r="G569" s="149"/>
      <c r="H569" s="161"/>
      <c r="I569" s="161"/>
      <c r="J569" s="161"/>
      <c r="K569" s="161"/>
      <c r="L569" s="161"/>
      <c r="M569" s="161"/>
      <c r="N569" s="149"/>
      <c r="O569" s="161"/>
      <c r="P569" s="161"/>
      <c r="S569" s="149"/>
      <c r="T569" s="149"/>
      <c r="V569" s="166"/>
      <c r="W569" s="166"/>
      <c r="X569" s="166"/>
      <c r="Y569" s="166"/>
    </row>
    <row r="570" ht="22.5" customHeight="1">
      <c r="A570" s="161"/>
      <c r="B570" s="162"/>
      <c r="C570" s="161"/>
      <c r="D570" s="194"/>
      <c r="E570" s="194"/>
      <c r="F570" s="162"/>
      <c r="G570" s="149"/>
      <c r="H570" s="161"/>
      <c r="I570" s="161"/>
      <c r="J570" s="161"/>
      <c r="K570" s="161"/>
      <c r="L570" s="161"/>
      <c r="M570" s="161"/>
      <c r="N570" s="149"/>
      <c r="O570" s="161"/>
      <c r="P570" s="161"/>
      <c r="S570" s="149"/>
      <c r="T570" s="149"/>
      <c r="V570" s="166"/>
      <c r="W570" s="166"/>
      <c r="X570" s="166"/>
      <c r="Y570" s="166"/>
    </row>
    <row r="571" ht="22.5" customHeight="1">
      <c r="A571" s="161"/>
      <c r="B571" s="162"/>
      <c r="C571" s="161"/>
      <c r="D571" s="194"/>
      <c r="E571" s="194"/>
      <c r="F571" s="162"/>
      <c r="G571" s="149"/>
      <c r="H571" s="161"/>
      <c r="I571" s="161"/>
      <c r="J571" s="161"/>
      <c r="K571" s="161"/>
      <c r="L571" s="161"/>
      <c r="M571" s="161"/>
      <c r="N571" s="149"/>
      <c r="O571" s="161"/>
      <c r="P571" s="161"/>
      <c r="S571" s="149"/>
      <c r="T571" s="149"/>
      <c r="V571" s="166"/>
      <c r="W571" s="166"/>
      <c r="X571" s="166"/>
      <c r="Y571" s="166"/>
    </row>
    <row r="572" ht="22.5" customHeight="1">
      <c r="A572" s="161"/>
      <c r="B572" s="162"/>
      <c r="C572" s="161"/>
      <c r="D572" s="194"/>
      <c r="E572" s="194"/>
      <c r="F572" s="162"/>
      <c r="G572" s="149"/>
      <c r="H572" s="161"/>
      <c r="I572" s="161"/>
      <c r="J572" s="161"/>
      <c r="K572" s="161"/>
      <c r="L572" s="161"/>
      <c r="M572" s="161"/>
      <c r="N572" s="149"/>
      <c r="O572" s="161"/>
      <c r="P572" s="161"/>
      <c r="S572" s="149"/>
      <c r="T572" s="149"/>
      <c r="V572" s="166"/>
      <c r="W572" s="166"/>
      <c r="X572" s="166"/>
      <c r="Y572" s="166"/>
    </row>
    <row r="573" ht="22.5" customHeight="1">
      <c r="A573" s="161"/>
      <c r="B573" s="162"/>
      <c r="C573" s="161"/>
      <c r="D573" s="194"/>
      <c r="E573" s="194"/>
      <c r="F573" s="162"/>
      <c r="G573" s="149"/>
      <c r="H573" s="161"/>
      <c r="I573" s="161"/>
      <c r="J573" s="161"/>
      <c r="K573" s="161"/>
      <c r="L573" s="161"/>
      <c r="M573" s="161"/>
      <c r="N573" s="149"/>
      <c r="O573" s="161"/>
      <c r="P573" s="161"/>
      <c r="S573" s="149"/>
      <c r="T573" s="149"/>
      <c r="V573" s="166"/>
      <c r="W573" s="166"/>
      <c r="X573" s="166"/>
      <c r="Y573" s="166"/>
    </row>
    <row r="574" ht="22.5" customHeight="1">
      <c r="A574" s="161"/>
      <c r="B574" s="162"/>
      <c r="C574" s="161"/>
      <c r="D574" s="194"/>
      <c r="E574" s="194"/>
      <c r="F574" s="162"/>
      <c r="G574" s="149"/>
      <c r="H574" s="161"/>
      <c r="I574" s="161"/>
      <c r="J574" s="161"/>
      <c r="K574" s="161"/>
      <c r="L574" s="161"/>
      <c r="M574" s="161"/>
      <c r="N574" s="149"/>
      <c r="O574" s="161"/>
      <c r="P574" s="161"/>
      <c r="S574" s="149"/>
      <c r="T574" s="149"/>
      <c r="V574" s="166"/>
      <c r="W574" s="166"/>
      <c r="X574" s="166"/>
      <c r="Y574" s="166"/>
    </row>
    <row r="575" ht="22.5" customHeight="1">
      <c r="A575" s="161"/>
      <c r="B575" s="162"/>
      <c r="C575" s="161"/>
      <c r="D575" s="194"/>
      <c r="E575" s="194"/>
      <c r="F575" s="162"/>
      <c r="G575" s="149"/>
      <c r="H575" s="161"/>
      <c r="I575" s="161"/>
      <c r="J575" s="161"/>
      <c r="K575" s="161"/>
      <c r="L575" s="161"/>
      <c r="M575" s="161"/>
      <c r="N575" s="149"/>
      <c r="O575" s="161"/>
      <c r="P575" s="161"/>
      <c r="S575" s="149"/>
      <c r="T575" s="149"/>
      <c r="V575" s="166"/>
      <c r="W575" s="166"/>
      <c r="X575" s="166"/>
      <c r="Y575" s="166"/>
    </row>
    <row r="576" ht="22.5" customHeight="1">
      <c r="A576" s="161"/>
      <c r="B576" s="162"/>
      <c r="C576" s="161"/>
      <c r="D576" s="194"/>
      <c r="E576" s="194"/>
      <c r="F576" s="162"/>
      <c r="G576" s="149"/>
      <c r="H576" s="161"/>
      <c r="I576" s="161"/>
      <c r="J576" s="161"/>
      <c r="K576" s="161"/>
      <c r="L576" s="161"/>
      <c r="M576" s="161"/>
      <c r="N576" s="149"/>
      <c r="O576" s="161"/>
      <c r="P576" s="161"/>
      <c r="S576" s="149"/>
      <c r="T576" s="149"/>
      <c r="V576" s="166"/>
      <c r="W576" s="166"/>
      <c r="X576" s="166"/>
      <c r="Y576" s="166"/>
    </row>
    <row r="577" ht="22.5" customHeight="1">
      <c r="A577" s="161"/>
      <c r="B577" s="162"/>
      <c r="C577" s="161"/>
      <c r="D577" s="194"/>
      <c r="E577" s="194"/>
      <c r="F577" s="162"/>
      <c r="G577" s="149"/>
      <c r="H577" s="161"/>
      <c r="I577" s="161"/>
      <c r="J577" s="161"/>
      <c r="K577" s="161"/>
      <c r="L577" s="161"/>
      <c r="M577" s="161"/>
      <c r="N577" s="149"/>
      <c r="O577" s="161"/>
      <c r="P577" s="161"/>
      <c r="S577" s="149"/>
      <c r="T577" s="149"/>
      <c r="V577" s="166"/>
      <c r="W577" s="166"/>
      <c r="X577" s="166"/>
      <c r="Y577" s="166"/>
    </row>
    <row r="578" ht="22.5" customHeight="1">
      <c r="A578" s="161"/>
      <c r="B578" s="162"/>
      <c r="C578" s="161"/>
      <c r="D578" s="194"/>
      <c r="E578" s="194"/>
      <c r="F578" s="162"/>
      <c r="G578" s="149"/>
      <c r="H578" s="161"/>
      <c r="I578" s="161"/>
      <c r="J578" s="161"/>
      <c r="K578" s="161"/>
      <c r="L578" s="161"/>
      <c r="M578" s="161"/>
      <c r="N578" s="149"/>
      <c r="O578" s="161"/>
      <c r="P578" s="161"/>
      <c r="S578" s="149"/>
      <c r="T578" s="149"/>
      <c r="V578" s="166"/>
      <c r="W578" s="166"/>
      <c r="X578" s="166"/>
      <c r="Y578" s="166"/>
    </row>
    <row r="579" ht="22.5" customHeight="1">
      <c r="A579" s="161"/>
      <c r="B579" s="162"/>
      <c r="C579" s="161"/>
      <c r="D579" s="194"/>
      <c r="E579" s="194"/>
      <c r="F579" s="162"/>
      <c r="G579" s="149"/>
      <c r="H579" s="161"/>
      <c r="I579" s="161"/>
      <c r="J579" s="161"/>
      <c r="K579" s="161"/>
      <c r="L579" s="161"/>
      <c r="M579" s="161"/>
      <c r="N579" s="149"/>
      <c r="O579" s="161"/>
      <c r="P579" s="161"/>
      <c r="S579" s="149"/>
      <c r="T579" s="149"/>
      <c r="V579" s="166"/>
      <c r="W579" s="166"/>
      <c r="X579" s="166"/>
      <c r="Y579" s="166"/>
    </row>
    <row r="580" ht="22.5" customHeight="1">
      <c r="A580" s="161"/>
      <c r="B580" s="162"/>
      <c r="C580" s="161"/>
      <c r="D580" s="194"/>
      <c r="E580" s="194"/>
      <c r="F580" s="162"/>
      <c r="G580" s="149"/>
      <c r="H580" s="161"/>
      <c r="I580" s="161"/>
      <c r="J580" s="161"/>
      <c r="K580" s="161"/>
      <c r="L580" s="161"/>
      <c r="M580" s="161"/>
      <c r="N580" s="149"/>
      <c r="O580" s="161"/>
      <c r="P580" s="161"/>
      <c r="S580" s="149"/>
      <c r="T580" s="149"/>
      <c r="V580" s="166"/>
      <c r="W580" s="166"/>
      <c r="X580" s="166"/>
      <c r="Y580" s="166"/>
    </row>
    <row r="581" ht="22.5" customHeight="1">
      <c r="A581" s="161"/>
      <c r="B581" s="162"/>
      <c r="C581" s="161"/>
      <c r="D581" s="194"/>
      <c r="E581" s="194"/>
      <c r="F581" s="162"/>
      <c r="G581" s="149"/>
      <c r="H581" s="161"/>
      <c r="I581" s="161"/>
      <c r="J581" s="161"/>
      <c r="K581" s="161"/>
      <c r="L581" s="161"/>
      <c r="M581" s="161"/>
      <c r="N581" s="149"/>
      <c r="O581" s="161"/>
      <c r="P581" s="161"/>
      <c r="S581" s="149"/>
      <c r="T581" s="149"/>
      <c r="V581" s="166"/>
      <c r="W581" s="166"/>
      <c r="X581" s="166"/>
      <c r="Y581" s="166"/>
    </row>
    <row r="582" ht="22.5" customHeight="1">
      <c r="A582" s="161"/>
      <c r="B582" s="162"/>
      <c r="C582" s="161"/>
      <c r="D582" s="194"/>
      <c r="E582" s="194"/>
      <c r="F582" s="162"/>
      <c r="G582" s="149"/>
      <c r="H582" s="161"/>
      <c r="I582" s="161"/>
      <c r="J582" s="161"/>
      <c r="K582" s="161"/>
      <c r="L582" s="161"/>
      <c r="M582" s="161"/>
      <c r="N582" s="149"/>
      <c r="O582" s="161"/>
      <c r="P582" s="161"/>
      <c r="S582" s="149"/>
      <c r="T582" s="149"/>
      <c r="V582" s="166"/>
      <c r="W582" s="166"/>
      <c r="X582" s="166"/>
      <c r="Y582" s="166"/>
    </row>
    <row r="583" ht="22.5" customHeight="1">
      <c r="A583" s="161"/>
      <c r="B583" s="162"/>
      <c r="C583" s="161"/>
      <c r="D583" s="194"/>
      <c r="E583" s="194"/>
      <c r="F583" s="162"/>
      <c r="G583" s="149"/>
      <c r="H583" s="161"/>
      <c r="I583" s="161"/>
      <c r="J583" s="161"/>
      <c r="K583" s="161"/>
      <c r="L583" s="161"/>
      <c r="M583" s="161"/>
      <c r="N583" s="149"/>
      <c r="O583" s="161"/>
      <c r="P583" s="161"/>
      <c r="S583" s="149"/>
      <c r="T583" s="149"/>
      <c r="V583" s="166"/>
      <c r="W583" s="166"/>
      <c r="X583" s="166"/>
      <c r="Y583" s="166"/>
    </row>
    <row r="584" ht="22.5" customHeight="1">
      <c r="A584" s="161"/>
      <c r="B584" s="162"/>
      <c r="C584" s="161"/>
      <c r="D584" s="194"/>
      <c r="E584" s="194"/>
      <c r="F584" s="162"/>
      <c r="G584" s="149"/>
      <c r="H584" s="161"/>
      <c r="I584" s="161"/>
      <c r="J584" s="161"/>
      <c r="K584" s="161"/>
      <c r="L584" s="161"/>
      <c r="M584" s="161"/>
      <c r="N584" s="149"/>
      <c r="O584" s="161"/>
      <c r="P584" s="161"/>
      <c r="S584" s="149"/>
      <c r="T584" s="149"/>
      <c r="V584" s="166"/>
      <c r="W584" s="166"/>
      <c r="X584" s="166"/>
      <c r="Y584" s="166"/>
    </row>
    <row r="585" ht="22.5" customHeight="1">
      <c r="A585" s="161"/>
      <c r="B585" s="162"/>
      <c r="C585" s="161"/>
      <c r="D585" s="194"/>
      <c r="E585" s="194"/>
      <c r="F585" s="162"/>
      <c r="G585" s="149"/>
      <c r="H585" s="161"/>
      <c r="I585" s="161"/>
      <c r="J585" s="161"/>
      <c r="K585" s="161"/>
      <c r="L585" s="161"/>
      <c r="M585" s="161"/>
      <c r="N585" s="149"/>
      <c r="O585" s="161"/>
      <c r="P585" s="161"/>
      <c r="S585" s="149"/>
      <c r="T585" s="149"/>
      <c r="V585" s="166"/>
      <c r="W585" s="166"/>
      <c r="X585" s="166"/>
      <c r="Y585" s="166"/>
    </row>
    <row r="586" ht="22.5" customHeight="1">
      <c r="A586" s="161"/>
      <c r="B586" s="162"/>
      <c r="C586" s="161"/>
      <c r="D586" s="194"/>
      <c r="E586" s="194"/>
      <c r="F586" s="162"/>
      <c r="G586" s="149"/>
      <c r="H586" s="161"/>
      <c r="I586" s="161"/>
      <c r="J586" s="161"/>
      <c r="K586" s="161"/>
      <c r="L586" s="161"/>
      <c r="M586" s="161"/>
      <c r="N586" s="149"/>
      <c r="O586" s="161"/>
      <c r="P586" s="161"/>
      <c r="S586" s="149"/>
      <c r="T586" s="149"/>
      <c r="V586" s="166"/>
      <c r="W586" s="166"/>
      <c r="X586" s="166"/>
      <c r="Y586" s="166"/>
    </row>
    <row r="587" ht="22.5" customHeight="1">
      <c r="A587" s="161"/>
      <c r="B587" s="162"/>
      <c r="C587" s="161"/>
      <c r="D587" s="194"/>
      <c r="E587" s="194"/>
      <c r="F587" s="162"/>
      <c r="G587" s="149"/>
      <c r="H587" s="161"/>
      <c r="I587" s="161"/>
      <c r="J587" s="161"/>
      <c r="K587" s="161"/>
      <c r="L587" s="161"/>
      <c r="M587" s="161"/>
      <c r="N587" s="149"/>
      <c r="O587" s="161"/>
      <c r="P587" s="161"/>
      <c r="S587" s="149"/>
      <c r="T587" s="149"/>
      <c r="V587" s="166"/>
      <c r="W587" s="166"/>
      <c r="X587" s="166"/>
      <c r="Y587" s="166"/>
    </row>
    <row r="588" ht="22.5" customHeight="1">
      <c r="A588" s="161"/>
      <c r="B588" s="162"/>
      <c r="C588" s="161"/>
      <c r="D588" s="194"/>
      <c r="E588" s="194"/>
      <c r="F588" s="162"/>
      <c r="G588" s="149"/>
      <c r="H588" s="161"/>
      <c r="I588" s="161"/>
      <c r="J588" s="161"/>
      <c r="K588" s="161"/>
      <c r="L588" s="161"/>
      <c r="M588" s="161"/>
      <c r="N588" s="149"/>
      <c r="O588" s="161"/>
      <c r="P588" s="161"/>
      <c r="S588" s="149"/>
      <c r="T588" s="149"/>
      <c r="V588" s="166"/>
      <c r="W588" s="166"/>
      <c r="X588" s="166"/>
      <c r="Y588" s="166"/>
    </row>
    <row r="589" ht="22.5" customHeight="1">
      <c r="A589" s="161"/>
      <c r="B589" s="162"/>
      <c r="C589" s="161"/>
      <c r="D589" s="194"/>
      <c r="E589" s="194"/>
      <c r="F589" s="162"/>
      <c r="G589" s="149"/>
      <c r="H589" s="161"/>
      <c r="I589" s="161"/>
      <c r="J589" s="161"/>
      <c r="K589" s="161"/>
      <c r="L589" s="161"/>
      <c r="M589" s="161"/>
      <c r="N589" s="149"/>
      <c r="O589" s="161"/>
      <c r="P589" s="161"/>
      <c r="S589" s="149"/>
      <c r="T589" s="149"/>
      <c r="V589" s="166"/>
      <c r="W589" s="166"/>
      <c r="X589" s="166"/>
      <c r="Y589" s="166"/>
    </row>
    <row r="590" ht="22.5" customHeight="1">
      <c r="A590" s="161"/>
      <c r="B590" s="162"/>
      <c r="C590" s="161"/>
      <c r="D590" s="194"/>
      <c r="E590" s="194"/>
      <c r="F590" s="162"/>
      <c r="G590" s="149"/>
      <c r="H590" s="161"/>
      <c r="I590" s="161"/>
      <c r="J590" s="161"/>
      <c r="K590" s="161"/>
      <c r="L590" s="161"/>
      <c r="M590" s="161"/>
      <c r="N590" s="149"/>
      <c r="O590" s="161"/>
      <c r="P590" s="161"/>
      <c r="S590" s="149"/>
      <c r="T590" s="149"/>
      <c r="V590" s="166"/>
      <c r="W590" s="166"/>
      <c r="X590" s="166"/>
      <c r="Y590" s="166"/>
    </row>
    <row r="591" ht="22.5" customHeight="1">
      <c r="A591" s="161"/>
      <c r="B591" s="162"/>
      <c r="C591" s="161"/>
      <c r="D591" s="194"/>
      <c r="E591" s="194"/>
      <c r="F591" s="162"/>
      <c r="G591" s="149"/>
      <c r="H591" s="161"/>
      <c r="I591" s="161"/>
      <c r="J591" s="161"/>
      <c r="K591" s="161"/>
      <c r="L591" s="161"/>
      <c r="M591" s="161"/>
      <c r="N591" s="149"/>
      <c r="O591" s="161"/>
      <c r="P591" s="161"/>
      <c r="S591" s="149"/>
      <c r="T591" s="149"/>
      <c r="V591" s="166"/>
      <c r="W591" s="166"/>
      <c r="X591" s="166"/>
      <c r="Y591" s="166"/>
    </row>
    <row r="592" ht="22.5" customHeight="1">
      <c r="A592" s="161"/>
      <c r="B592" s="162"/>
      <c r="C592" s="161"/>
      <c r="D592" s="194"/>
      <c r="E592" s="194"/>
      <c r="F592" s="162"/>
      <c r="G592" s="149"/>
      <c r="H592" s="161"/>
      <c r="I592" s="161"/>
      <c r="J592" s="161"/>
      <c r="K592" s="161"/>
      <c r="L592" s="161"/>
      <c r="M592" s="161"/>
      <c r="N592" s="149"/>
      <c r="O592" s="161"/>
      <c r="P592" s="161"/>
      <c r="S592" s="149"/>
      <c r="T592" s="149"/>
      <c r="V592" s="166"/>
      <c r="W592" s="166"/>
      <c r="X592" s="166"/>
      <c r="Y592" s="166"/>
    </row>
    <row r="593" ht="22.5" customHeight="1">
      <c r="A593" s="161"/>
      <c r="B593" s="162"/>
      <c r="C593" s="161"/>
      <c r="D593" s="194"/>
      <c r="E593" s="194"/>
      <c r="F593" s="162"/>
      <c r="G593" s="149"/>
      <c r="H593" s="161"/>
      <c r="I593" s="161"/>
      <c r="J593" s="161"/>
      <c r="K593" s="161"/>
      <c r="L593" s="161"/>
      <c r="M593" s="161"/>
      <c r="N593" s="149"/>
      <c r="O593" s="161"/>
      <c r="P593" s="161"/>
      <c r="S593" s="149"/>
      <c r="T593" s="149"/>
      <c r="V593" s="166"/>
      <c r="W593" s="166"/>
      <c r="X593" s="166"/>
      <c r="Y593" s="166"/>
    </row>
    <row r="594" ht="22.5" customHeight="1">
      <c r="A594" s="161"/>
      <c r="B594" s="162"/>
      <c r="C594" s="161"/>
      <c r="D594" s="194"/>
      <c r="E594" s="194"/>
      <c r="F594" s="162"/>
      <c r="G594" s="149"/>
      <c r="H594" s="161"/>
      <c r="I594" s="161"/>
      <c r="J594" s="161"/>
      <c r="K594" s="161"/>
      <c r="L594" s="161"/>
      <c r="M594" s="161"/>
      <c r="N594" s="149"/>
      <c r="O594" s="161"/>
      <c r="P594" s="161"/>
      <c r="S594" s="149"/>
      <c r="T594" s="149"/>
      <c r="V594" s="166"/>
      <c r="W594" s="166"/>
      <c r="X594" s="166"/>
      <c r="Y594" s="166"/>
    </row>
    <row r="595" ht="22.5" customHeight="1">
      <c r="A595" s="161"/>
      <c r="B595" s="162"/>
      <c r="C595" s="161"/>
      <c r="D595" s="194"/>
      <c r="E595" s="194"/>
      <c r="F595" s="162"/>
      <c r="G595" s="149"/>
      <c r="H595" s="161"/>
      <c r="I595" s="161"/>
      <c r="J595" s="161"/>
      <c r="K595" s="161"/>
      <c r="L595" s="161"/>
      <c r="M595" s="161"/>
      <c r="N595" s="149"/>
      <c r="O595" s="161"/>
      <c r="P595" s="161"/>
      <c r="S595" s="149"/>
      <c r="T595" s="149"/>
      <c r="V595" s="166"/>
      <c r="W595" s="166"/>
      <c r="X595" s="166"/>
      <c r="Y595" s="166"/>
    </row>
    <row r="596" ht="22.5" customHeight="1">
      <c r="A596" s="161"/>
      <c r="B596" s="162"/>
      <c r="C596" s="161"/>
      <c r="D596" s="194"/>
      <c r="E596" s="194"/>
      <c r="F596" s="162"/>
      <c r="G596" s="149"/>
      <c r="H596" s="161"/>
      <c r="I596" s="161"/>
      <c r="J596" s="161"/>
      <c r="K596" s="161"/>
      <c r="L596" s="161"/>
      <c r="M596" s="161"/>
      <c r="N596" s="149"/>
      <c r="O596" s="161"/>
      <c r="P596" s="161"/>
      <c r="S596" s="149"/>
      <c r="T596" s="149"/>
      <c r="V596" s="166"/>
      <c r="W596" s="166"/>
      <c r="X596" s="166"/>
      <c r="Y596" s="166"/>
    </row>
    <row r="597" ht="22.5" customHeight="1">
      <c r="A597" s="161"/>
      <c r="B597" s="162"/>
      <c r="C597" s="161"/>
      <c r="D597" s="194"/>
      <c r="E597" s="194"/>
      <c r="F597" s="162"/>
      <c r="G597" s="149"/>
      <c r="H597" s="161"/>
      <c r="I597" s="161"/>
      <c r="J597" s="161"/>
      <c r="K597" s="161"/>
      <c r="L597" s="161"/>
      <c r="M597" s="161"/>
      <c r="N597" s="149"/>
      <c r="O597" s="161"/>
      <c r="P597" s="161"/>
      <c r="S597" s="149"/>
      <c r="T597" s="149"/>
      <c r="V597" s="166"/>
      <c r="W597" s="166"/>
      <c r="X597" s="166"/>
      <c r="Y597" s="166"/>
    </row>
    <row r="598" ht="22.5" customHeight="1">
      <c r="A598" s="161"/>
      <c r="B598" s="162"/>
      <c r="C598" s="161"/>
      <c r="D598" s="194"/>
      <c r="E598" s="194"/>
      <c r="F598" s="162"/>
      <c r="G598" s="149"/>
      <c r="H598" s="161"/>
      <c r="I598" s="161"/>
      <c r="J598" s="161"/>
      <c r="K598" s="161"/>
      <c r="L598" s="161"/>
      <c r="M598" s="161"/>
      <c r="N598" s="149"/>
      <c r="O598" s="161"/>
      <c r="P598" s="161"/>
      <c r="S598" s="149"/>
      <c r="T598" s="149"/>
      <c r="V598" s="166"/>
      <c r="W598" s="166"/>
      <c r="X598" s="166"/>
      <c r="Y598" s="166"/>
    </row>
    <row r="599" ht="22.5" customHeight="1">
      <c r="A599" s="161"/>
      <c r="B599" s="162"/>
      <c r="C599" s="161"/>
      <c r="D599" s="194"/>
      <c r="E599" s="194"/>
      <c r="F599" s="162"/>
      <c r="G599" s="149"/>
      <c r="H599" s="161"/>
      <c r="I599" s="161"/>
      <c r="J599" s="161"/>
      <c r="K599" s="161"/>
      <c r="L599" s="161"/>
      <c r="M599" s="161"/>
      <c r="N599" s="149"/>
      <c r="O599" s="161"/>
      <c r="P599" s="161"/>
      <c r="S599" s="149"/>
      <c r="T599" s="149"/>
      <c r="V599" s="166"/>
      <c r="W599" s="166"/>
      <c r="X599" s="166"/>
      <c r="Y599" s="166"/>
    </row>
    <row r="600" ht="22.5" customHeight="1">
      <c r="A600" s="161"/>
      <c r="B600" s="162"/>
      <c r="C600" s="161"/>
      <c r="D600" s="194"/>
      <c r="E600" s="194"/>
      <c r="F600" s="162"/>
      <c r="G600" s="149"/>
      <c r="H600" s="161"/>
      <c r="I600" s="161"/>
      <c r="J600" s="161"/>
      <c r="K600" s="161"/>
      <c r="L600" s="161"/>
      <c r="M600" s="161"/>
      <c r="N600" s="149"/>
      <c r="O600" s="161"/>
      <c r="P600" s="161"/>
      <c r="S600" s="149"/>
      <c r="T600" s="149"/>
      <c r="V600" s="166"/>
      <c r="W600" s="166"/>
      <c r="X600" s="166"/>
      <c r="Y600" s="166"/>
    </row>
    <row r="601" ht="22.5" customHeight="1">
      <c r="A601" s="161"/>
      <c r="B601" s="162"/>
      <c r="C601" s="161"/>
      <c r="D601" s="194"/>
      <c r="E601" s="194"/>
      <c r="F601" s="162"/>
      <c r="G601" s="149"/>
      <c r="H601" s="161"/>
      <c r="I601" s="161"/>
      <c r="J601" s="161"/>
      <c r="K601" s="161"/>
      <c r="L601" s="161"/>
      <c r="M601" s="161"/>
      <c r="N601" s="149"/>
      <c r="O601" s="161"/>
      <c r="P601" s="161"/>
      <c r="S601" s="149"/>
      <c r="T601" s="149"/>
      <c r="V601" s="166"/>
      <c r="W601" s="166"/>
      <c r="X601" s="166"/>
      <c r="Y601" s="166"/>
    </row>
    <row r="602" ht="22.5" customHeight="1">
      <c r="A602" s="161"/>
      <c r="B602" s="162"/>
      <c r="C602" s="161"/>
      <c r="D602" s="194"/>
      <c r="E602" s="194"/>
      <c r="F602" s="162"/>
      <c r="G602" s="149"/>
      <c r="H602" s="161"/>
      <c r="I602" s="161"/>
      <c r="J602" s="161"/>
      <c r="K602" s="161"/>
      <c r="L602" s="161"/>
      <c r="M602" s="161"/>
      <c r="N602" s="149"/>
      <c r="O602" s="161"/>
      <c r="P602" s="161"/>
      <c r="S602" s="149"/>
      <c r="T602" s="149"/>
      <c r="V602" s="166"/>
      <c r="W602" s="166"/>
      <c r="X602" s="166"/>
      <c r="Y602" s="166"/>
    </row>
    <row r="603" ht="22.5" customHeight="1">
      <c r="A603" s="161"/>
      <c r="B603" s="162"/>
      <c r="C603" s="161"/>
      <c r="D603" s="194"/>
      <c r="E603" s="194"/>
      <c r="F603" s="162"/>
      <c r="G603" s="149"/>
      <c r="H603" s="161"/>
      <c r="I603" s="161"/>
      <c r="J603" s="161"/>
      <c r="K603" s="161"/>
      <c r="L603" s="161"/>
      <c r="M603" s="161"/>
      <c r="N603" s="149"/>
      <c r="O603" s="161"/>
      <c r="P603" s="161"/>
      <c r="S603" s="149"/>
      <c r="T603" s="149"/>
      <c r="V603" s="166"/>
      <c r="W603" s="166"/>
      <c r="X603" s="166"/>
      <c r="Y603" s="166"/>
    </row>
    <row r="604" ht="22.5" customHeight="1">
      <c r="A604" s="161"/>
      <c r="B604" s="162"/>
      <c r="C604" s="161"/>
      <c r="D604" s="194"/>
      <c r="E604" s="194"/>
      <c r="F604" s="162"/>
      <c r="G604" s="149"/>
      <c r="H604" s="161"/>
      <c r="I604" s="161"/>
      <c r="J604" s="161"/>
      <c r="K604" s="161"/>
      <c r="L604" s="161"/>
      <c r="M604" s="161"/>
      <c r="N604" s="149"/>
      <c r="O604" s="161"/>
      <c r="P604" s="161"/>
      <c r="S604" s="149"/>
      <c r="T604" s="149"/>
      <c r="V604" s="166"/>
      <c r="W604" s="166"/>
      <c r="X604" s="166"/>
      <c r="Y604" s="166"/>
    </row>
    <row r="605" ht="22.5" customHeight="1">
      <c r="A605" s="161"/>
      <c r="B605" s="162"/>
      <c r="C605" s="161"/>
      <c r="D605" s="194"/>
      <c r="E605" s="194"/>
      <c r="F605" s="162"/>
      <c r="G605" s="149"/>
      <c r="H605" s="161"/>
      <c r="I605" s="161"/>
      <c r="J605" s="161"/>
      <c r="K605" s="161"/>
      <c r="L605" s="161"/>
      <c r="M605" s="161"/>
      <c r="N605" s="149"/>
      <c r="O605" s="161"/>
      <c r="P605" s="161"/>
      <c r="S605" s="149"/>
      <c r="T605" s="149"/>
      <c r="V605" s="166"/>
      <c r="W605" s="166"/>
      <c r="X605" s="166"/>
      <c r="Y605" s="166"/>
    </row>
    <row r="606" ht="22.5" customHeight="1">
      <c r="A606" s="161"/>
      <c r="B606" s="162"/>
      <c r="C606" s="161"/>
      <c r="D606" s="194"/>
      <c r="E606" s="194"/>
      <c r="F606" s="162"/>
      <c r="G606" s="149"/>
      <c r="H606" s="161"/>
      <c r="I606" s="161"/>
      <c r="J606" s="161"/>
      <c r="K606" s="161"/>
      <c r="L606" s="161"/>
      <c r="M606" s="161"/>
      <c r="N606" s="149"/>
      <c r="O606" s="161"/>
      <c r="P606" s="161"/>
      <c r="S606" s="149"/>
      <c r="T606" s="149"/>
      <c r="V606" s="166"/>
      <c r="W606" s="166"/>
      <c r="X606" s="166"/>
      <c r="Y606" s="166"/>
    </row>
    <row r="607" ht="22.5" customHeight="1">
      <c r="A607" s="161"/>
      <c r="B607" s="162"/>
      <c r="C607" s="161"/>
      <c r="D607" s="194"/>
      <c r="E607" s="194"/>
      <c r="F607" s="162"/>
      <c r="G607" s="149"/>
      <c r="H607" s="161"/>
      <c r="I607" s="161"/>
      <c r="J607" s="161"/>
      <c r="K607" s="161"/>
      <c r="L607" s="161"/>
      <c r="M607" s="161"/>
      <c r="N607" s="149"/>
      <c r="O607" s="161"/>
      <c r="P607" s="161"/>
      <c r="S607" s="149"/>
      <c r="T607" s="149"/>
      <c r="V607" s="166"/>
      <c r="W607" s="166"/>
      <c r="X607" s="166"/>
      <c r="Y607" s="166"/>
    </row>
    <row r="608" ht="22.5" customHeight="1">
      <c r="A608" s="161"/>
      <c r="B608" s="162"/>
      <c r="C608" s="161"/>
      <c r="D608" s="194"/>
      <c r="E608" s="194"/>
      <c r="F608" s="162"/>
      <c r="G608" s="149"/>
      <c r="H608" s="161"/>
      <c r="I608" s="161"/>
      <c r="J608" s="161"/>
      <c r="K608" s="161"/>
      <c r="L608" s="161"/>
      <c r="M608" s="161"/>
      <c r="N608" s="149"/>
      <c r="O608" s="161"/>
      <c r="P608" s="161"/>
      <c r="S608" s="149"/>
      <c r="T608" s="149"/>
      <c r="V608" s="166"/>
      <c r="W608" s="166"/>
      <c r="X608" s="166"/>
      <c r="Y608" s="166"/>
    </row>
    <row r="609" ht="22.5" customHeight="1">
      <c r="A609" s="161"/>
      <c r="B609" s="162"/>
      <c r="C609" s="161"/>
      <c r="D609" s="194"/>
      <c r="E609" s="194"/>
      <c r="F609" s="162"/>
      <c r="G609" s="149"/>
      <c r="H609" s="161"/>
      <c r="I609" s="161"/>
      <c r="J609" s="161"/>
      <c r="K609" s="161"/>
      <c r="L609" s="161"/>
      <c r="M609" s="161"/>
      <c r="N609" s="149"/>
      <c r="O609" s="161"/>
      <c r="P609" s="161"/>
      <c r="S609" s="149"/>
      <c r="T609" s="149"/>
      <c r="V609" s="166"/>
      <c r="W609" s="166"/>
      <c r="X609" s="166"/>
      <c r="Y609" s="166"/>
    </row>
    <row r="610" ht="22.5" customHeight="1">
      <c r="A610" s="161"/>
      <c r="B610" s="162"/>
      <c r="C610" s="161"/>
      <c r="D610" s="194"/>
      <c r="E610" s="194"/>
      <c r="F610" s="162"/>
      <c r="G610" s="149"/>
      <c r="H610" s="161"/>
      <c r="I610" s="161"/>
      <c r="J610" s="161"/>
      <c r="K610" s="161"/>
      <c r="L610" s="161"/>
      <c r="M610" s="161"/>
      <c r="N610" s="149"/>
      <c r="O610" s="161"/>
      <c r="P610" s="161"/>
      <c r="S610" s="149"/>
      <c r="T610" s="149"/>
      <c r="V610" s="166"/>
      <c r="W610" s="166"/>
      <c r="X610" s="166"/>
      <c r="Y610" s="166"/>
    </row>
    <row r="611" ht="22.5" customHeight="1">
      <c r="A611" s="161"/>
      <c r="B611" s="162"/>
      <c r="C611" s="161"/>
      <c r="D611" s="194"/>
      <c r="E611" s="194"/>
      <c r="F611" s="162"/>
      <c r="G611" s="149"/>
      <c r="H611" s="161"/>
      <c r="I611" s="161"/>
      <c r="J611" s="161"/>
      <c r="K611" s="161"/>
      <c r="L611" s="161"/>
      <c r="M611" s="161"/>
      <c r="N611" s="149"/>
      <c r="O611" s="161"/>
      <c r="P611" s="161"/>
      <c r="S611" s="149"/>
      <c r="T611" s="149"/>
      <c r="V611" s="166"/>
      <c r="W611" s="166"/>
      <c r="X611" s="166"/>
      <c r="Y611" s="166"/>
    </row>
    <row r="612" ht="22.5" customHeight="1">
      <c r="A612" s="161"/>
      <c r="B612" s="162"/>
      <c r="C612" s="161"/>
      <c r="D612" s="194"/>
      <c r="E612" s="194"/>
      <c r="F612" s="162"/>
      <c r="G612" s="149"/>
      <c r="H612" s="161"/>
      <c r="I612" s="161"/>
      <c r="J612" s="161"/>
      <c r="K612" s="161"/>
      <c r="L612" s="161"/>
      <c r="M612" s="161"/>
      <c r="N612" s="149"/>
      <c r="O612" s="161"/>
      <c r="P612" s="161"/>
      <c r="S612" s="149"/>
      <c r="T612" s="149"/>
      <c r="V612" s="166"/>
      <c r="W612" s="166"/>
      <c r="X612" s="166"/>
      <c r="Y612" s="166"/>
    </row>
    <row r="613" ht="22.5" customHeight="1">
      <c r="A613" s="161"/>
      <c r="B613" s="162"/>
      <c r="C613" s="161"/>
      <c r="D613" s="194"/>
      <c r="E613" s="194"/>
      <c r="F613" s="162"/>
      <c r="G613" s="149"/>
      <c r="H613" s="161"/>
      <c r="I613" s="161"/>
      <c r="J613" s="161"/>
      <c r="K613" s="161"/>
      <c r="L613" s="161"/>
      <c r="M613" s="161"/>
      <c r="N613" s="149"/>
      <c r="O613" s="161"/>
      <c r="P613" s="161"/>
      <c r="S613" s="149"/>
      <c r="T613" s="149"/>
      <c r="V613" s="166"/>
      <c r="W613" s="166"/>
      <c r="X613" s="166"/>
      <c r="Y613" s="166"/>
    </row>
    <row r="614" ht="22.5" customHeight="1">
      <c r="A614" s="161"/>
      <c r="B614" s="162"/>
      <c r="C614" s="161"/>
      <c r="D614" s="194"/>
      <c r="E614" s="194"/>
      <c r="F614" s="162"/>
      <c r="G614" s="149"/>
      <c r="H614" s="161"/>
      <c r="I614" s="161"/>
      <c r="J614" s="161"/>
      <c r="K614" s="161"/>
      <c r="L614" s="161"/>
      <c r="M614" s="161"/>
      <c r="N614" s="149"/>
      <c r="O614" s="161"/>
      <c r="P614" s="161"/>
      <c r="S614" s="149"/>
      <c r="T614" s="149"/>
      <c r="V614" s="166"/>
      <c r="W614" s="166"/>
      <c r="X614" s="166"/>
      <c r="Y614" s="166"/>
    </row>
    <row r="615" ht="22.5" customHeight="1">
      <c r="A615" s="161"/>
      <c r="B615" s="162"/>
      <c r="C615" s="161"/>
      <c r="D615" s="194"/>
      <c r="E615" s="194"/>
      <c r="F615" s="162"/>
      <c r="G615" s="149"/>
      <c r="H615" s="161"/>
      <c r="I615" s="161"/>
      <c r="J615" s="161"/>
      <c r="K615" s="161"/>
      <c r="L615" s="161"/>
      <c r="M615" s="161"/>
      <c r="N615" s="149"/>
      <c r="O615" s="161"/>
      <c r="P615" s="161"/>
      <c r="S615" s="149"/>
      <c r="T615" s="149"/>
      <c r="V615" s="166"/>
      <c r="W615" s="166"/>
      <c r="X615" s="166"/>
      <c r="Y615" s="166"/>
    </row>
    <row r="616" ht="22.5" customHeight="1">
      <c r="A616" s="161"/>
      <c r="B616" s="162"/>
      <c r="C616" s="161"/>
      <c r="D616" s="194"/>
      <c r="E616" s="194"/>
      <c r="F616" s="162"/>
      <c r="G616" s="149"/>
      <c r="H616" s="161"/>
      <c r="I616" s="161"/>
      <c r="J616" s="161"/>
      <c r="K616" s="161"/>
      <c r="L616" s="161"/>
      <c r="M616" s="161"/>
      <c r="N616" s="149"/>
      <c r="O616" s="161"/>
      <c r="P616" s="161"/>
      <c r="S616" s="149"/>
      <c r="T616" s="149"/>
      <c r="V616" s="166"/>
      <c r="W616" s="166"/>
      <c r="X616" s="166"/>
      <c r="Y616" s="166"/>
    </row>
    <row r="617" ht="22.5" customHeight="1">
      <c r="A617" s="161"/>
      <c r="B617" s="162"/>
      <c r="C617" s="161"/>
      <c r="D617" s="194"/>
      <c r="E617" s="194"/>
      <c r="F617" s="162"/>
      <c r="G617" s="149"/>
      <c r="H617" s="161"/>
      <c r="I617" s="161"/>
      <c r="J617" s="161"/>
      <c r="K617" s="161"/>
      <c r="L617" s="161"/>
      <c r="M617" s="161"/>
      <c r="N617" s="149"/>
      <c r="O617" s="161"/>
      <c r="P617" s="161"/>
      <c r="S617" s="149"/>
      <c r="T617" s="149"/>
      <c r="V617" s="166"/>
      <c r="W617" s="166"/>
      <c r="X617" s="166"/>
      <c r="Y617" s="166"/>
    </row>
    <row r="618" ht="22.5" customHeight="1">
      <c r="A618" s="161"/>
      <c r="B618" s="162"/>
      <c r="C618" s="161"/>
      <c r="D618" s="194"/>
      <c r="E618" s="194"/>
      <c r="F618" s="162"/>
      <c r="G618" s="149"/>
      <c r="H618" s="161"/>
      <c r="I618" s="161"/>
      <c r="J618" s="161"/>
      <c r="K618" s="161"/>
      <c r="L618" s="161"/>
      <c r="M618" s="161"/>
      <c r="N618" s="149"/>
      <c r="O618" s="161"/>
      <c r="P618" s="161"/>
      <c r="S618" s="149"/>
      <c r="T618" s="149"/>
      <c r="V618" s="166"/>
      <c r="W618" s="166"/>
      <c r="X618" s="166"/>
      <c r="Y618" s="166"/>
    </row>
    <row r="619" ht="22.5" customHeight="1">
      <c r="A619" s="161"/>
      <c r="B619" s="162"/>
      <c r="C619" s="161"/>
      <c r="D619" s="194"/>
      <c r="E619" s="194"/>
      <c r="F619" s="162"/>
      <c r="G619" s="149"/>
      <c r="H619" s="161"/>
      <c r="I619" s="161"/>
      <c r="J619" s="161"/>
      <c r="K619" s="161"/>
      <c r="L619" s="161"/>
      <c r="M619" s="161"/>
      <c r="N619" s="149"/>
      <c r="O619" s="161"/>
      <c r="P619" s="161"/>
      <c r="S619" s="149"/>
      <c r="T619" s="149"/>
      <c r="V619" s="166"/>
      <c r="W619" s="166"/>
      <c r="X619" s="166"/>
      <c r="Y619" s="166"/>
    </row>
    <row r="620" ht="22.5" customHeight="1">
      <c r="A620" s="161"/>
      <c r="B620" s="162"/>
      <c r="C620" s="161"/>
      <c r="D620" s="194"/>
      <c r="E620" s="194"/>
      <c r="F620" s="162"/>
      <c r="G620" s="149"/>
      <c r="H620" s="161"/>
      <c r="I620" s="161"/>
      <c r="J620" s="161"/>
      <c r="K620" s="161"/>
      <c r="L620" s="161"/>
      <c r="M620" s="161"/>
      <c r="N620" s="149"/>
      <c r="O620" s="161"/>
      <c r="P620" s="161"/>
      <c r="S620" s="149"/>
      <c r="T620" s="149"/>
      <c r="V620" s="166"/>
      <c r="W620" s="166"/>
      <c r="X620" s="166"/>
      <c r="Y620" s="166"/>
    </row>
    <row r="621" ht="22.5" customHeight="1">
      <c r="A621" s="161"/>
      <c r="B621" s="162"/>
      <c r="C621" s="161"/>
      <c r="D621" s="194"/>
      <c r="E621" s="194"/>
      <c r="F621" s="162"/>
      <c r="G621" s="149"/>
      <c r="H621" s="161"/>
      <c r="I621" s="161"/>
      <c r="J621" s="161"/>
      <c r="K621" s="161"/>
      <c r="L621" s="161"/>
      <c r="M621" s="161"/>
      <c r="N621" s="149"/>
      <c r="O621" s="161"/>
      <c r="P621" s="161"/>
      <c r="S621" s="149"/>
      <c r="T621" s="149"/>
      <c r="V621" s="166"/>
      <c r="W621" s="166"/>
      <c r="X621" s="166"/>
      <c r="Y621" s="166"/>
    </row>
    <row r="622" ht="22.5" customHeight="1">
      <c r="A622" s="161"/>
      <c r="B622" s="162"/>
      <c r="C622" s="161"/>
      <c r="D622" s="194"/>
      <c r="E622" s="194"/>
      <c r="F622" s="162"/>
      <c r="G622" s="149"/>
      <c r="H622" s="161"/>
      <c r="I622" s="161"/>
      <c r="J622" s="161"/>
      <c r="K622" s="161"/>
      <c r="L622" s="161"/>
      <c r="M622" s="161"/>
      <c r="N622" s="149"/>
      <c r="O622" s="161"/>
      <c r="P622" s="161"/>
      <c r="S622" s="149"/>
      <c r="T622" s="149"/>
      <c r="V622" s="166"/>
      <c r="W622" s="166"/>
      <c r="X622" s="166"/>
      <c r="Y622" s="166"/>
    </row>
    <row r="623" ht="22.5" customHeight="1">
      <c r="A623" s="161"/>
      <c r="B623" s="162"/>
      <c r="C623" s="161"/>
      <c r="D623" s="194"/>
      <c r="E623" s="194"/>
      <c r="F623" s="162"/>
      <c r="G623" s="149"/>
      <c r="H623" s="161"/>
      <c r="I623" s="161"/>
      <c r="J623" s="161"/>
      <c r="K623" s="161"/>
      <c r="L623" s="161"/>
      <c r="M623" s="161"/>
      <c r="N623" s="149"/>
      <c r="O623" s="161"/>
      <c r="P623" s="161"/>
      <c r="S623" s="149"/>
      <c r="T623" s="149"/>
      <c r="V623" s="166"/>
      <c r="W623" s="166"/>
      <c r="X623" s="166"/>
      <c r="Y623" s="166"/>
    </row>
    <row r="624" ht="22.5" customHeight="1">
      <c r="A624" s="161"/>
      <c r="B624" s="162"/>
      <c r="C624" s="161"/>
      <c r="D624" s="194"/>
      <c r="E624" s="194"/>
      <c r="F624" s="162"/>
      <c r="G624" s="149"/>
      <c r="H624" s="161"/>
      <c r="I624" s="161"/>
      <c r="J624" s="161"/>
      <c r="K624" s="161"/>
      <c r="L624" s="161"/>
      <c r="M624" s="161"/>
      <c r="N624" s="149"/>
      <c r="O624" s="161"/>
      <c r="P624" s="161"/>
      <c r="S624" s="149"/>
      <c r="T624" s="149"/>
      <c r="V624" s="166"/>
      <c r="W624" s="166"/>
      <c r="X624" s="166"/>
      <c r="Y624" s="166"/>
    </row>
    <row r="625" ht="22.5" customHeight="1">
      <c r="A625" s="161"/>
      <c r="B625" s="162"/>
      <c r="C625" s="161"/>
      <c r="D625" s="194"/>
      <c r="E625" s="194"/>
      <c r="F625" s="162"/>
      <c r="G625" s="149"/>
      <c r="H625" s="161"/>
      <c r="I625" s="161"/>
      <c r="J625" s="161"/>
      <c r="K625" s="161"/>
      <c r="L625" s="161"/>
      <c r="M625" s="161"/>
      <c r="N625" s="149"/>
      <c r="O625" s="161"/>
      <c r="P625" s="161"/>
      <c r="S625" s="149"/>
      <c r="T625" s="149"/>
      <c r="V625" s="166"/>
      <c r="W625" s="166"/>
      <c r="X625" s="166"/>
      <c r="Y625" s="166"/>
    </row>
    <row r="626" ht="22.5" customHeight="1">
      <c r="A626" s="161"/>
      <c r="B626" s="162"/>
      <c r="C626" s="161"/>
      <c r="D626" s="194"/>
      <c r="E626" s="194"/>
      <c r="F626" s="162"/>
      <c r="G626" s="149"/>
      <c r="H626" s="161"/>
      <c r="I626" s="161"/>
      <c r="J626" s="161"/>
      <c r="K626" s="161"/>
      <c r="L626" s="161"/>
      <c r="M626" s="161"/>
      <c r="N626" s="149"/>
      <c r="O626" s="161"/>
      <c r="P626" s="161"/>
      <c r="S626" s="149"/>
      <c r="T626" s="149"/>
      <c r="V626" s="166"/>
      <c r="W626" s="166"/>
      <c r="X626" s="166"/>
      <c r="Y626" s="166"/>
    </row>
    <row r="627" ht="22.5" customHeight="1">
      <c r="A627" s="161"/>
      <c r="B627" s="162"/>
      <c r="C627" s="161"/>
      <c r="D627" s="194"/>
      <c r="E627" s="194"/>
      <c r="F627" s="162"/>
      <c r="G627" s="149"/>
      <c r="H627" s="161"/>
      <c r="I627" s="161"/>
      <c r="J627" s="161"/>
      <c r="K627" s="161"/>
      <c r="L627" s="161"/>
      <c r="M627" s="161"/>
      <c r="N627" s="149"/>
      <c r="O627" s="161"/>
      <c r="P627" s="161"/>
      <c r="S627" s="149"/>
      <c r="T627" s="149"/>
      <c r="V627" s="166"/>
      <c r="W627" s="166"/>
      <c r="X627" s="166"/>
      <c r="Y627" s="166"/>
    </row>
    <row r="628" ht="22.5" customHeight="1">
      <c r="A628" s="161"/>
      <c r="B628" s="162"/>
      <c r="C628" s="161"/>
      <c r="D628" s="194"/>
      <c r="E628" s="194"/>
      <c r="F628" s="162"/>
      <c r="G628" s="149"/>
      <c r="H628" s="161"/>
      <c r="I628" s="161"/>
      <c r="J628" s="161"/>
      <c r="K628" s="161"/>
      <c r="L628" s="161"/>
      <c r="M628" s="161"/>
      <c r="N628" s="149"/>
      <c r="O628" s="161"/>
      <c r="P628" s="161"/>
      <c r="S628" s="149"/>
      <c r="T628" s="149"/>
      <c r="V628" s="166"/>
      <c r="W628" s="166"/>
      <c r="X628" s="166"/>
      <c r="Y628" s="166"/>
    </row>
    <row r="629" ht="22.5" customHeight="1">
      <c r="A629" s="161"/>
      <c r="B629" s="162"/>
      <c r="C629" s="161"/>
      <c r="D629" s="194"/>
      <c r="E629" s="194"/>
      <c r="F629" s="162"/>
      <c r="G629" s="149"/>
      <c r="H629" s="161"/>
      <c r="I629" s="161"/>
      <c r="J629" s="161"/>
      <c r="K629" s="161"/>
      <c r="L629" s="161"/>
      <c r="M629" s="161"/>
      <c r="N629" s="149"/>
      <c r="O629" s="161"/>
      <c r="P629" s="161"/>
      <c r="S629" s="149"/>
      <c r="T629" s="149"/>
      <c r="V629" s="166"/>
      <c r="W629" s="166"/>
      <c r="X629" s="166"/>
      <c r="Y629" s="166"/>
    </row>
    <row r="630" ht="22.5" customHeight="1">
      <c r="A630" s="161"/>
      <c r="B630" s="162"/>
      <c r="C630" s="161"/>
      <c r="D630" s="194"/>
      <c r="E630" s="194"/>
      <c r="F630" s="162"/>
      <c r="G630" s="149"/>
      <c r="H630" s="161"/>
      <c r="I630" s="161"/>
      <c r="J630" s="161"/>
      <c r="K630" s="161"/>
      <c r="L630" s="161"/>
      <c r="M630" s="161"/>
      <c r="N630" s="149"/>
      <c r="O630" s="161"/>
      <c r="P630" s="161"/>
      <c r="S630" s="149"/>
      <c r="T630" s="149"/>
      <c r="V630" s="166"/>
      <c r="W630" s="166"/>
      <c r="X630" s="166"/>
      <c r="Y630" s="166"/>
    </row>
    <row r="631" ht="22.5" customHeight="1">
      <c r="A631" s="161"/>
      <c r="B631" s="162"/>
      <c r="C631" s="161"/>
      <c r="D631" s="194"/>
      <c r="E631" s="194"/>
      <c r="F631" s="162"/>
      <c r="G631" s="149"/>
      <c r="H631" s="161"/>
      <c r="I631" s="161"/>
      <c r="J631" s="161"/>
      <c r="K631" s="161"/>
      <c r="L631" s="161"/>
      <c r="M631" s="161"/>
      <c r="N631" s="149"/>
      <c r="O631" s="161"/>
      <c r="P631" s="161"/>
      <c r="S631" s="149"/>
      <c r="T631" s="149"/>
      <c r="V631" s="166"/>
      <c r="W631" s="166"/>
      <c r="X631" s="166"/>
      <c r="Y631" s="166"/>
    </row>
    <row r="632" ht="22.5" customHeight="1">
      <c r="A632" s="161"/>
      <c r="B632" s="162"/>
      <c r="C632" s="161"/>
      <c r="D632" s="194"/>
      <c r="E632" s="194"/>
      <c r="F632" s="162"/>
      <c r="G632" s="149"/>
      <c r="H632" s="161"/>
      <c r="I632" s="161"/>
      <c r="J632" s="161"/>
      <c r="K632" s="161"/>
      <c r="L632" s="161"/>
      <c r="M632" s="161"/>
      <c r="N632" s="149"/>
      <c r="O632" s="161"/>
      <c r="P632" s="161"/>
      <c r="S632" s="149"/>
      <c r="T632" s="149"/>
      <c r="V632" s="166"/>
      <c r="W632" s="166"/>
      <c r="X632" s="166"/>
      <c r="Y632" s="166"/>
    </row>
    <row r="633" ht="22.5" customHeight="1">
      <c r="A633" s="161"/>
      <c r="B633" s="162"/>
      <c r="C633" s="161"/>
      <c r="D633" s="194"/>
      <c r="E633" s="194"/>
      <c r="F633" s="162"/>
      <c r="G633" s="149"/>
      <c r="H633" s="161"/>
      <c r="I633" s="161"/>
      <c r="J633" s="161"/>
      <c r="K633" s="161"/>
      <c r="L633" s="161"/>
      <c r="M633" s="161"/>
      <c r="N633" s="149"/>
      <c r="O633" s="161"/>
      <c r="P633" s="161"/>
      <c r="S633" s="149"/>
      <c r="T633" s="149"/>
      <c r="V633" s="166"/>
      <c r="W633" s="166"/>
      <c r="X633" s="166"/>
      <c r="Y633" s="166"/>
    </row>
    <row r="634" ht="22.5" customHeight="1">
      <c r="A634" s="161"/>
      <c r="B634" s="162"/>
      <c r="C634" s="161"/>
      <c r="D634" s="194"/>
      <c r="E634" s="194"/>
      <c r="F634" s="162"/>
      <c r="G634" s="149"/>
      <c r="H634" s="161"/>
      <c r="I634" s="161"/>
      <c r="J634" s="161"/>
      <c r="K634" s="161"/>
      <c r="L634" s="161"/>
      <c r="M634" s="161"/>
      <c r="N634" s="149"/>
      <c r="O634" s="161"/>
      <c r="P634" s="161"/>
      <c r="S634" s="149"/>
      <c r="T634" s="149"/>
      <c r="V634" s="166"/>
      <c r="W634" s="166"/>
      <c r="X634" s="166"/>
      <c r="Y634" s="166"/>
    </row>
    <row r="635" ht="22.5" customHeight="1">
      <c r="A635" s="161"/>
      <c r="B635" s="162"/>
      <c r="C635" s="161"/>
      <c r="D635" s="194"/>
      <c r="E635" s="194"/>
      <c r="F635" s="162"/>
      <c r="G635" s="149"/>
      <c r="H635" s="161"/>
      <c r="I635" s="161"/>
      <c r="J635" s="161"/>
      <c r="K635" s="161"/>
      <c r="L635" s="161"/>
      <c r="M635" s="161"/>
      <c r="N635" s="149"/>
      <c r="O635" s="161"/>
      <c r="P635" s="161"/>
      <c r="S635" s="149"/>
      <c r="T635" s="149"/>
      <c r="V635" s="166"/>
      <c r="W635" s="166"/>
      <c r="X635" s="166"/>
      <c r="Y635" s="166"/>
    </row>
    <row r="636" ht="22.5" customHeight="1">
      <c r="A636" s="161"/>
      <c r="B636" s="162"/>
      <c r="C636" s="161"/>
      <c r="D636" s="194"/>
      <c r="E636" s="194"/>
      <c r="F636" s="162"/>
      <c r="G636" s="149"/>
      <c r="H636" s="161"/>
      <c r="I636" s="161"/>
      <c r="J636" s="161"/>
      <c r="K636" s="161"/>
      <c r="L636" s="161"/>
      <c r="M636" s="161"/>
      <c r="N636" s="149"/>
      <c r="O636" s="161"/>
      <c r="P636" s="161"/>
      <c r="S636" s="149"/>
      <c r="T636" s="149"/>
      <c r="V636" s="166"/>
      <c r="W636" s="166"/>
      <c r="X636" s="166"/>
      <c r="Y636" s="166"/>
    </row>
    <row r="637" ht="22.5" customHeight="1">
      <c r="A637" s="161"/>
      <c r="B637" s="162"/>
      <c r="C637" s="161"/>
      <c r="D637" s="194"/>
      <c r="E637" s="194"/>
      <c r="F637" s="162"/>
      <c r="G637" s="149"/>
      <c r="H637" s="161"/>
      <c r="I637" s="161"/>
      <c r="J637" s="161"/>
      <c r="K637" s="161"/>
      <c r="L637" s="161"/>
      <c r="M637" s="161"/>
      <c r="N637" s="149"/>
      <c r="O637" s="161"/>
      <c r="P637" s="161"/>
      <c r="S637" s="149"/>
      <c r="T637" s="149"/>
      <c r="V637" s="166"/>
      <c r="W637" s="166"/>
      <c r="X637" s="166"/>
      <c r="Y637" s="166"/>
    </row>
    <row r="638" ht="22.5" customHeight="1">
      <c r="A638" s="161"/>
      <c r="B638" s="162"/>
      <c r="C638" s="161"/>
      <c r="D638" s="194"/>
      <c r="E638" s="194"/>
      <c r="F638" s="162"/>
      <c r="G638" s="149"/>
      <c r="H638" s="161"/>
      <c r="I638" s="161"/>
      <c r="J638" s="161"/>
      <c r="K638" s="161"/>
      <c r="L638" s="161"/>
      <c r="M638" s="161"/>
      <c r="N638" s="149"/>
      <c r="O638" s="161"/>
      <c r="P638" s="161"/>
      <c r="S638" s="149"/>
      <c r="T638" s="149"/>
      <c r="V638" s="166"/>
      <c r="W638" s="166"/>
      <c r="X638" s="166"/>
      <c r="Y638" s="166"/>
    </row>
    <row r="639" ht="22.5" customHeight="1">
      <c r="A639" s="161"/>
      <c r="B639" s="162"/>
      <c r="C639" s="161"/>
      <c r="D639" s="194"/>
      <c r="E639" s="194"/>
      <c r="F639" s="162"/>
      <c r="G639" s="149"/>
      <c r="H639" s="161"/>
      <c r="I639" s="161"/>
      <c r="J639" s="161"/>
      <c r="K639" s="161"/>
      <c r="L639" s="161"/>
      <c r="M639" s="161"/>
      <c r="N639" s="149"/>
      <c r="O639" s="161"/>
      <c r="P639" s="161"/>
      <c r="S639" s="149"/>
      <c r="T639" s="149"/>
      <c r="V639" s="166"/>
      <c r="W639" s="166"/>
      <c r="X639" s="166"/>
      <c r="Y639" s="166"/>
    </row>
    <row r="640" ht="22.5" customHeight="1">
      <c r="A640" s="161"/>
      <c r="B640" s="162"/>
      <c r="C640" s="161"/>
      <c r="D640" s="194"/>
      <c r="E640" s="194"/>
      <c r="F640" s="162"/>
      <c r="G640" s="149"/>
      <c r="H640" s="161"/>
      <c r="I640" s="161"/>
      <c r="J640" s="161"/>
      <c r="K640" s="161"/>
      <c r="L640" s="161"/>
      <c r="M640" s="161"/>
      <c r="N640" s="149"/>
      <c r="O640" s="161"/>
      <c r="P640" s="161"/>
      <c r="S640" s="149"/>
      <c r="T640" s="149"/>
      <c r="V640" s="166"/>
      <c r="W640" s="166"/>
      <c r="X640" s="166"/>
      <c r="Y640" s="166"/>
    </row>
    <row r="641" ht="22.5" customHeight="1">
      <c r="A641" s="161"/>
      <c r="B641" s="162"/>
      <c r="C641" s="161"/>
      <c r="D641" s="194"/>
      <c r="E641" s="194"/>
      <c r="F641" s="162"/>
      <c r="G641" s="149"/>
      <c r="H641" s="161"/>
      <c r="I641" s="161"/>
      <c r="J641" s="161"/>
      <c r="K641" s="161"/>
      <c r="L641" s="161"/>
      <c r="M641" s="161"/>
      <c r="N641" s="149"/>
      <c r="O641" s="161"/>
      <c r="P641" s="161"/>
      <c r="S641" s="149"/>
      <c r="T641" s="149"/>
      <c r="V641" s="166"/>
      <c r="W641" s="166"/>
      <c r="X641" s="166"/>
      <c r="Y641" s="166"/>
    </row>
    <row r="642" ht="22.5" customHeight="1">
      <c r="A642" s="161"/>
      <c r="B642" s="162"/>
      <c r="C642" s="161"/>
      <c r="D642" s="194"/>
      <c r="E642" s="194"/>
      <c r="F642" s="162"/>
      <c r="G642" s="149"/>
      <c r="H642" s="161"/>
      <c r="I642" s="161"/>
      <c r="J642" s="161"/>
      <c r="K642" s="161"/>
      <c r="L642" s="161"/>
      <c r="M642" s="161"/>
      <c r="N642" s="149"/>
      <c r="O642" s="161"/>
      <c r="P642" s="161"/>
      <c r="S642" s="149"/>
      <c r="T642" s="149"/>
      <c r="V642" s="166"/>
      <c r="W642" s="166"/>
      <c r="X642" s="166"/>
      <c r="Y642" s="166"/>
    </row>
    <row r="643" ht="22.5" customHeight="1">
      <c r="A643" s="161"/>
      <c r="B643" s="162"/>
      <c r="C643" s="161"/>
      <c r="D643" s="194"/>
      <c r="E643" s="194"/>
      <c r="F643" s="162"/>
      <c r="G643" s="149"/>
      <c r="H643" s="161"/>
      <c r="I643" s="161"/>
      <c r="J643" s="161"/>
      <c r="K643" s="161"/>
      <c r="L643" s="161"/>
      <c r="M643" s="161"/>
      <c r="N643" s="149"/>
      <c r="O643" s="161"/>
      <c r="P643" s="161"/>
      <c r="S643" s="149"/>
      <c r="T643" s="149"/>
      <c r="V643" s="166"/>
      <c r="W643" s="166"/>
      <c r="X643" s="166"/>
      <c r="Y643" s="166"/>
    </row>
    <row r="644" ht="22.5" customHeight="1">
      <c r="A644" s="161"/>
      <c r="B644" s="162"/>
      <c r="C644" s="161"/>
      <c r="D644" s="194"/>
      <c r="E644" s="194"/>
      <c r="F644" s="162"/>
      <c r="G644" s="149"/>
      <c r="H644" s="161"/>
      <c r="I644" s="161"/>
      <c r="J644" s="161"/>
      <c r="K644" s="161"/>
      <c r="L644" s="161"/>
      <c r="M644" s="161"/>
      <c r="N644" s="149"/>
      <c r="O644" s="161"/>
      <c r="P644" s="161"/>
      <c r="S644" s="149"/>
      <c r="T644" s="149"/>
      <c r="V644" s="166"/>
      <c r="W644" s="166"/>
      <c r="X644" s="166"/>
      <c r="Y644" s="166"/>
    </row>
    <row r="645" ht="22.5" customHeight="1">
      <c r="A645" s="161"/>
      <c r="B645" s="162"/>
      <c r="C645" s="161"/>
      <c r="D645" s="194"/>
      <c r="E645" s="194"/>
      <c r="F645" s="162"/>
      <c r="G645" s="149"/>
      <c r="H645" s="161"/>
      <c r="I645" s="161"/>
      <c r="J645" s="161"/>
      <c r="K645" s="161"/>
      <c r="L645" s="161"/>
      <c r="M645" s="161"/>
      <c r="N645" s="149"/>
      <c r="O645" s="161"/>
      <c r="P645" s="161"/>
      <c r="S645" s="149"/>
      <c r="T645" s="149"/>
      <c r="V645" s="166"/>
      <c r="W645" s="166"/>
      <c r="X645" s="166"/>
      <c r="Y645" s="166"/>
    </row>
    <row r="646" ht="22.5" customHeight="1">
      <c r="A646" s="161"/>
      <c r="B646" s="162"/>
      <c r="C646" s="161"/>
      <c r="D646" s="194"/>
      <c r="E646" s="194"/>
      <c r="F646" s="162"/>
      <c r="G646" s="149"/>
      <c r="H646" s="161"/>
      <c r="I646" s="161"/>
      <c r="J646" s="161"/>
      <c r="K646" s="161"/>
      <c r="L646" s="161"/>
      <c r="M646" s="161"/>
      <c r="N646" s="149"/>
      <c r="O646" s="161"/>
      <c r="P646" s="161"/>
      <c r="S646" s="149"/>
      <c r="T646" s="149"/>
      <c r="V646" s="166"/>
      <c r="W646" s="166"/>
      <c r="X646" s="166"/>
      <c r="Y646" s="166"/>
    </row>
    <row r="647" ht="22.5" customHeight="1">
      <c r="A647" s="161"/>
      <c r="B647" s="162"/>
      <c r="C647" s="161"/>
      <c r="D647" s="194"/>
      <c r="E647" s="194"/>
      <c r="F647" s="162"/>
      <c r="G647" s="149"/>
      <c r="H647" s="161"/>
      <c r="I647" s="161"/>
      <c r="J647" s="161"/>
      <c r="K647" s="161"/>
      <c r="L647" s="161"/>
      <c r="M647" s="161"/>
      <c r="N647" s="149"/>
      <c r="O647" s="161"/>
      <c r="P647" s="161"/>
      <c r="S647" s="149"/>
      <c r="T647" s="149"/>
      <c r="V647" s="166"/>
      <c r="W647" s="166"/>
      <c r="X647" s="166"/>
      <c r="Y647" s="166"/>
    </row>
    <row r="648" ht="22.5" customHeight="1">
      <c r="A648" s="161"/>
      <c r="B648" s="162"/>
      <c r="C648" s="161"/>
      <c r="D648" s="194"/>
      <c r="E648" s="194"/>
      <c r="F648" s="162"/>
      <c r="G648" s="149"/>
      <c r="H648" s="161"/>
      <c r="I648" s="161"/>
      <c r="J648" s="161"/>
      <c r="K648" s="161"/>
      <c r="L648" s="161"/>
      <c r="M648" s="161"/>
      <c r="N648" s="149"/>
      <c r="O648" s="161"/>
      <c r="P648" s="161"/>
      <c r="S648" s="149"/>
      <c r="T648" s="149"/>
      <c r="V648" s="166"/>
      <c r="W648" s="166"/>
      <c r="X648" s="166"/>
      <c r="Y648" s="166"/>
    </row>
    <row r="649" ht="22.5" customHeight="1">
      <c r="A649" s="161"/>
      <c r="B649" s="162"/>
      <c r="C649" s="161"/>
      <c r="D649" s="194"/>
      <c r="E649" s="194"/>
      <c r="F649" s="162"/>
      <c r="G649" s="149"/>
      <c r="H649" s="161"/>
      <c r="I649" s="161"/>
      <c r="J649" s="161"/>
      <c r="K649" s="161"/>
      <c r="L649" s="161"/>
      <c r="M649" s="161"/>
      <c r="N649" s="149"/>
      <c r="O649" s="161"/>
      <c r="P649" s="161"/>
      <c r="S649" s="149"/>
      <c r="T649" s="149"/>
      <c r="V649" s="166"/>
      <c r="W649" s="166"/>
      <c r="X649" s="166"/>
      <c r="Y649" s="166"/>
    </row>
    <row r="650" ht="22.5" customHeight="1">
      <c r="A650" s="161"/>
      <c r="B650" s="162"/>
      <c r="C650" s="161"/>
      <c r="D650" s="194"/>
      <c r="E650" s="194"/>
      <c r="F650" s="162"/>
      <c r="G650" s="149"/>
      <c r="H650" s="161"/>
      <c r="I650" s="161"/>
      <c r="J650" s="161"/>
      <c r="K650" s="161"/>
      <c r="L650" s="161"/>
      <c r="M650" s="161"/>
      <c r="N650" s="149"/>
      <c r="O650" s="161"/>
      <c r="P650" s="161"/>
      <c r="S650" s="149"/>
      <c r="T650" s="149"/>
      <c r="V650" s="166"/>
      <c r="W650" s="166"/>
      <c r="X650" s="166"/>
      <c r="Y650" s="166"/>
    </row>
    <row r="651" ht="22.5" customHeight="1">
      <c r="A651" s="161"/>
      <c r="B651" s="162"/>
      <c r="C651" s="161"/>
      <c r="D651" s="194"/>
      <c r="E651" s="194"/>
      <c r="F651" s="162"/>
      <c r="G651" s="149"/>
      <c r="H651" s="161"/>
      <c r="I651" s="161"/>
      <c r="J651" s="161"/>
      <c r="K651" s="161"/>
      <c r="L651" s="161"/>
      <c r="M651" s="161"/>
      <c r="N651" s="149"/>
      <c r="O651" s="161"/>
      <c r="P651" s="161"/>
      <c r="S651" s="149"/>
      <c r="T651" s="149"/>
      <c r="V651" s="166"/>
      <c r="W651" s="166"/>
      <c r="X651" s="166"/>
      <c r="Y651" s="166"/>
    </row>
    <row r="652" ht="22.5" customHeight="1">
      <c r="A652" s="161"/>
      <c r="B652" s="162"/>
      <c r="C652" s="161"/>
      <c r="D652" s="194"/>
      <c r="E652" s="194"/>
      <c r="F652" s="162"/>
      <c r="G652" s="149"/>
      <c r="H652" s="161"/>
      <c r="I652" s="161"/>
      <c r="J652" s="161"/>
      <c r="K652" s="161"/>
      <c r="L652" s="161"/>
      <c r="M652" s="161"/>
      <c r="N652" s="149"/>
      <c r="O652" s="161"/>
      <c r="P652" s="161"/>
      <c r="S652" s="149"/>
      <c r="T652" s="149"/>
      <c r="V652" s="166"/>
      <c r="W652" s="166"/>
      <c r="X652" s="166"/>
      <c r="Y652" s="166"/>
    </row>
    <row r="653" ht="22.5" customHeight="1">
      <c r="A653" s="161"/>
      <c r="B653" s="162"/>
      <c r="C653" s="161"/>
      <c r="D653" s="194"/>
      <c r="E653" s="194"/>
      <c r="F653" s="162"/>
      <c r="G653" s="149"/>
      <c r="H653" s="161"/>
      <c r="I653" s="161"/>
      <c r="J653" s="161"/>
      <c r="K653" s="161"/>
      <c r="L653" s="161"/>
      <c r="M653" s="161"/>
      <c r="N653" s="149"/>
      <c r="O653" s="161"/>
      <c r="P653" s="161"/>
      <c r="S653" s="149"/>
      <c r="T653" s="149"/>
      <c r="V653" s="166"/>
      <c r="W653" s="166"/>
      <c r="X653" s="166"/>
      <c r="Y653" s="166"/>
    </row>
    <row r="654" ht="22.5" customHeight="1">
      <c r="A654" s="161"/>
      <c r="B654" s="162"/>
      <c r="C654" s="161"/>
      <c r="D654" s="194"/>
      <c r="E654" s="194"/>
      <c r="F654" s="162"/>
      <c r="G654" s="149"/>
      <c r="H654" s="161"/>
      <c r="I654" s="161"/>
      <c r="J654" s="161"/>
      <c r="K654" s="161"/>
      <c r="L654" s="161"/>
      <c r="M654" s="161"/>
      <c r="N654" s="149"/>
      <c r="O654" s="161"/>
      <c r="P654" s="161"/>
      <c r="S654" s="149"/>
      <c r="T654" s="149"/>
      <c r="V654" s="166"/>
      <c r="W654" s="166"/>
      <c r="X654" s="166"/>
      <c r="Y654" s="166"/>
    </row>
    <row r="655" ht="22.5" customHeight="1">
      <c r="A655" s="161"/>
      <c r="B655" s="162"/>
      <c r="C655" s="161"/>
      <c r="D655" s="194"/>
      <c r="E655" s="194"/>
      <c r="F655" s="162"/>
      <c r="G655" s="149"/>
      <c r="H655" s="161"/>
      <c r="I655" s="161"/>
      <c r="J655" s="161"/>
      <c r="K655" s="161"/>
      <c r="L655" s="161"/>
      <c r="M655" s="161"/>
      <c r="N655" s="149"/>
      <c r="O655" s="161"/>
      <c r="P655" s="161"/>
      <c r="S655" s="149"/>
      <c r="T655" s="149"/>
      <c r="V655" s="166"/>
      <c r="W655" s="166"/>
      <c r="X655" s="166"/>
      <c r="Y655" s="166"/>
    </row>
    <row r="656" ht="22.5" customHeight="1">
      <c r="A656" s="161"/>
      <c r="B656" s="162"/>
      <c r="C656" s="161"/>
      <c r="D656" s="194"/>
      <c r="E656" s="194"/>
      <c r="F656" s="162"/>
      <c r="G656" s="149"/>
      <c r="H656" s="161"/>
      <c r="I656" s="161"/>
      <c r="J656" s="161"/>
      <c r="K656" s="161"/>
      <c r="L656" s="161"/>
      <c r="M656" s="161"/>
      <c r="N656" s="149"/>
      <c r="O656" s="161"/>
      <c r="P656" s="161"/>
      <c r="S656" s="149"/>
      <c r="T656" s="149"/>
      <c r="V656" s="166"/>
      <c r="W656" s="166"/>
      <c r="X656" s="166"/>
      <c r="Y656" s="166"/>
    </row>
    <row r="657" ht="22.5" customHeight="1">
      <c r="A657" s="161"/>
      <c r="B657" s="162"/>
      <c r="C657" s="161"/>
      <c r="D657" s="194"/>
      <c r="E657" s="194"/>
      <c r="F657" s="162"/>
      <c r="G657" s="149"/>
      <c r="H657" s="161"/>
      <c r="I657" s="161"/>
      <c r="J657" s="161"/>
      <c r="K657" s="161"/>
      <c r="L657" s="161"/>
      <c r="M657" s="161"/>
      <c r="N657" s="149"/>
      <c r="O657" s="161"/>
      <c r="P657" s="161"/>
      <c r="S657" s="149"/>
      <c r="T657" s="149"/>
      <c r="V657" s="166"/>
      <c r="W657" s="166"/>
      <c r="X657" s="166"/>
      <c r="Y657" s="166"/>
    </row>
    <row r="658" ht="22.5" customHeight="1">
      <c r="A658" s="161"/>
      <c r="B658" s="162"/>
      <c r="C658" s="161"/>
      <c r="D658" s="194"/>
      <c r="E658" s="194"/>
      <c r="F658" s="162"/>
      <c r="G658" s="149"/>
      <c r="H658" s="161"/>
      <c r="I658" s="161"/>
      <c r="J658" s="161"/>
      <c r="K658" s="161"/>
      <c r="L658" s="161"/>
      <c r="M658" s="161"/>
      <c r="N658" s="149"/>
      <c r="O658" s="161"/>
      <c r="P658" s="161"/>
      <c r="S658" s="149"/>
      <c r="T658" s="149"/>
      <c r="V658" s="166"/>
      <c r="W658" s="166"/>
      <c r="X658" s="166"/>
      <c r="Y658" s="166"/>
    </row>
    <row r="659" ht="22.5" customHeight="1">
      <c r="A659" s="161"/>
      <c r="B659" s="162"/>
      <c r="C659" s="161"/>
      <c r="D659" s="194"/>
      <c r="E659" s="194"/>
      <c r="F659" s="162"/>
      <c r="G659" s="149"/>
      <c r="H659" s="161"/>
      <c r="I659" s="161"/>
      <c r="J659" s="161"/>
      <c r="K659" s="161"/>
      <c r="L659" s="161"/>
      <c r="M659" s="161"/>
      <c r="N659" s="149"/>
      <c r="O659" s="161"/>
      <c r="P659" s="161"/>
      <c r="S659" s="149"/>
      <c r="T659" s="149"/>
      <c r="V659" s="166"/>
      <c r="W659" s="166"/>
      <c r="X659" s="166"/>
      <c r="Y659" s="166"/>
    </row>
    <row r="660" ht="22.5" customHeight="1">
      <c r="A660" s="161"/>
      <c r="B660" s="162"/>
      <c r="C660" s="161"/>
      <c r="D660" s="194"/>
      <c r="E660" s="194"/>
      <c r="F660" s="162"/>
      <c r="G660" s="149"/>
      <c r="H660" s="161"/>
      <c r="I660" s="161"/>
      <c r="J660" s="161"/>
      <c r="K660" s="161"/>
      <c r="L660" s="161"/>
      <c r="M660" s="161"/>
      <c r="N660" s="149"/>
      <c r="O660" s="161"/>
      <c r="P660" s="161"/>
      <c r="S660" s="149"/>
      <c r="T660" s="149"/>
      <c r="V660" s="166"/>
      <c r="W660" s="166"/>
      <c r="X660" s="166"/>
      <c r="Y660" s="166"/>
    </row>
    <row r="661" ht="22.5" customHeight="1">
      <c r="A661" s="161"/>
      <c r="B661" s="162"/>
      <c r="C661" s="161"/>
      <c r="D661" s="194"/>
      <c r="E661" s="194"/>
      <c r="F661" s="162"/>
      <c r="G661" s="149"/>
      <c r="H661" s="161"/>
      <c r="I661" s="161"/>
      <c r="J661" s="161"/>
      <c r="K661" s="161"/>
      <c r="L661" s="161"/>
      <c r="M661" s="161"/>
      <c r="N661" s="149"/>
      <c r="O661" s="161"/>
      <c r="P661" s="161"/>
      <c r="S661" s="149"/>
      <c r="T661" s="149"/>
      <c r="V661" s="166"/>
      <c r="W661" s="166"/>
      <c r="X661" s="166"/>
      <c r="Y661" s="166"/>
    </row>
    <row r="662" ht="22.5" customHeight="1">
      <c r="A662" s="161"/>
      <c r="B662" s="162"/>
      <c r="C662" s="161"/>
      <c r="D662" s="194"/>
      <c r="E662" s="194"/>
      <c r="F662" s="162"/>
      <c r="G662" s="149"/>
      <c r="H662" s="161"/>
      <c r="I662" s="161"/>
      <c r="J662" s="161"/>
      <c r="K662" s="161"/>
      <c r="L662" s="161"/>
      <c r="M662" s="161"/>
      <c r="N662" s="149"/>
      <c r="O662" s="161"/>
      <c r="P662" s="161"/>
      <c r="S662" s="149"/>
      <c r="T662" s="149"/>
      <c r="V662" s="166"/>
      <c r="W662" s="166"/>
      <c r="X662" s="166"/>
      <c r="Y662" s="166"/>
    </row>
    <row r="663" ht="22.5" customHeight="1">
      <c r="A663" s="161"/>
      <c r="B663" s="162"/>
      <c r="C663" s="161"/>
      <c r="D663" s="194"/>
      <c r="E663" s="194"/>
      <c r="F663" s="162"/>
      <c r="G663" s="149"/>
      <c r="H663" s="161"/>
      <c r="I663" s="161"/>
      <c r="J663" s="161"/>
      <c r="K663" s="161"/>
      <c r="L663" s="161"/>
      <c r="M663" s="161"/>
      <c r="N663" s="149"/>
      <c r="O663" s="161"/>
      <c r="P663" s="161"/>
      <c r="S663" s="149"/>
      <c r="T663" s="149"/>
      <c r="V663" s="166"/>
      <c r="W663" s="166"/>
      <c r="X663" s="166"/>
      <c r="Y663" s="166"/>
    </row>
    <row r="664" ht="22.5" customHeight="1">
      <c r="A664" s="161"/>
      <c r="B664" s="162"/>
      <c r="C664" s="161"/>
      <c r="D664" s="194"/>
      <c r="E664" s="194"/>
      <c r="F664" s="162"/>
      <c r="G664" s="149"/>
      <c r="H664" s="161"/>
      <c r="I664" s="161"/>
      <c r="J664" s="161"/>
      <c r="K664" s="161"/>
      <c r="L664" s="161"/>
      <c r="M664" s="161"/>
      <c r="N664" s="149"/>
      <c r="O664" s="161"/>
      <c r="P664" s="161"/>
      <c r="S664" s="149"/>
      <c r="T664" s="149"/>
      <c r="V664" s="166"/>
      <c r="W664" s="166"/>
      <c r="X664" s="166"/>
      <c r="Y664" s="166"/>
    </row>
    <row r="665" ht="22.5" customHeight="1">
      <c r="A665" s="161"/>
      <c r="B665" s="162"/>
      <c r="C665" s="161"/>
      <c r="D665" s="194"/>
      <c r="E665" s="194"/>
      <c r="F665" s="162"/>
      <c r="G665" s="149"/>
      <c r="H665" s="161"/>
      <c r="I665" s="161"/>
      <c r="J665" s="161"/>
      <c r="K665" s="161"/>
      <c r="L665" s="161"/>
      <c r="M665" s="161"/>
      <c r="N665" s="149"/>
      <c r="O665" s="161"/>
      <c r="P665" s="161"/>
      <c r="S665" s="149"/>
      <c r="T665" s="149"/>
      <c r="V665" s="166"/>
      <c r="W665" s="166"/>
      <c r="X665" s="166"/>
      <c r="Y665" s="166"/>
    </row>
    <row r="666" ht="22.5" customHeight="1">
      <c r="A666" s="161"/>
      <c r="B666" s="162"/>
      <c r="C666" s="161"/>
      <c r="D666" s="194"/>
      <c r="E666" s="194"/>
      <c r="F666" s="162"/>
      <c r="G666" s="149"/>
      <c r="H666" s="161"/>
      <c r="I666" s="161"/>
      <c r="J666" s="161"/>
      <c r="K666" s="161"/>
      <c r="L666" s="161"/>
      <c r="M666" s="161"/>
      <c r="N666" s="149"/>
      <c r="O666" s="161"/>
      <c r="P666" s="161"/>
      <c r="S666" s="149"/>
      <c r="T666" s="149"/>
      <c r="V666" s="166"/>
      <c r="W666" s="166"/>
      <c r="X666" s="166"/>
      <c r="Y666" s="166"/>
    </row>
    <row r="667" ht="22.5" customHeight="1">
      <c r="A667" s="161"/>
      <c r="B667" s="162"/>
      <c r="C667" s="161"/>
      <c r="D667" s="194"/>
      <c r="E667" s="194"/>
      <c r="F667" s="162"/>
      <c r="G667" s="149"/>
      <c r="H667" s="161"/>
      <c r="I667" s="161"/>
      <c r="J667" s="161"/>
      <c r="K667" s="161"/>
      <c r="L667" s="161"/>
      <c r="M667" s="161"/>
      <c r="N667" s="149"/>
      <c r="O667" s="161"/>
      <c r="P667" s="161"/>
      <c r="S667" s="149"/>
      <c r="T667" s="149"/>
      <c r="V667" s="166"/>
      <c r="W667" s="166"/>
      <c r="X667" s="166"/>
      <c r="Y667" s="166"/>
    </row>
    <row r="668" ht="22.5" customHeight="1">
      <c r="A668" s="161"/>
      <c r="B668" s="162"/>
      <c r="C668" s="161"/>
      <c r="D668" s="194"/>
      <c r="E668" s="194"/>
      <c r="F668" s="162"/>
      <c r="G668" s="149"/>
      <c r="H668" s="161"/>
      <c r="I668" s="161"/>
      <c r="J668" s="161"/>
      <c r="K668" s="161"/>
      <c r="L668" s="161"/>
      <c r="M668" s="161"/>
      <c r="N668" s="149"/>
      <c r="O668" s="161"/>
      <c r="P668" s="161"/>
      <c r="S668" s="149"/>
      <c r="T668" s="149"/>
      <c r="V668" s="166"/>
      <c r="W668" s="166"/>
      <c r="X668" s="166"/>
      <c r="Y668" s="166"/>
    </row>
    <row r="669" ht="22.5" customHeight="1">
      <c r="A669" s="161"/>
      <c r="B669" s="162"/>
      <c r="C669" s="161"/>
      <c r="D669" s="194"/>
      <c r="E669" s="194"/>
      <c r="F669" s="162"/>
      <c r="G669" s="149"/>
      <c r="H669" s="161"/>
      <c r="I669" s="161"/>
      <c r="J669" s="161"/>
      <c r="K669" s="161"/>
      <c r="L669" s="161"/>
      <c r="M669" s="161"/>
      <c r="N669" s="149"/>
      <c r="O669" s="161"/>
      <c r="P669" s="161"/>
      <c r="S669" s="149"/>
      <c r="T669" s="149"/>
      <c r="V669" s="166"/>
      <c r="W669" s="166"/>
      <c r="X669" s="166"/>
      <c r="Y669" s="166"/>
    </row>
    <row r="670" ht="22.5" customHeight="1">
      <c r="A670" s="161"/>
      <c r="B670" s="162"/>
      <c r="C670" s="161"/>
      <c r="D670" s="194"/>
      <c r="E670" s="194"/>
      <c r="F670" s="162"/>
      <c r="G670" s="149"/>
      <c r="H670" s="161"/>
      <c r="I670" s="161"/>
      <c r="J670" s="161"/>
      <c r="K670" s="161"/>
      <c r="L670" s="161"/>
      <c r="M670" s="161"/>
      <c r="N670" s="149"/>
      <c r="O670" s="161"/>
      <c r="P670" s="161"/>
      <c r="S670" s="149"/>
      <c r="T670" s="149"/>
      <c r="V670" s="166"/>
      <c r="W670" s="166"/>
      <c r="X670" s="166"/>
      <c r="Y670" s="166"/>
    </row>
    <row r="671" ht="22.5" customHeight="1">
      <c r="A671" s="161"/>
      <c r="B671" s="162"/>
      <c r="C671" s="161"/>
      <c r="D671" s="194"/>
      <c r="E671" s="194"/>
      <c r="F671" s="162"/>
      <c r="G671" s="149"/>
      <c r="H671" s="161"/>
      <c r="I671" s="161"/>
      <c r="J671" s="161"/>
      <c r="K671" s="161"/>
      <c r="L671" s="161"/>
      <c r="M671" s="161"/>
      <c r="N671" s="149"/>
      <c r="O671" s="161"/>
      <c r="P671" s="161"/>
      <c r="S671" s="149"/>
      <c r="T671" s="149"/>
      <c r="V671" s="166"/>
      <c r="W671" s="166"/>
      <c r="X671" s="166"/>
      <c r="Y671" s="166"/>
    </row>
    <row r="672" ht="22.5" customHeight="1">
      <c r="A672" s="161"/>
      <c r="B672" s="162"/>
      <c r="C672" s="161"/>
      <c r="D672" s="194"/>
      <c r="E672" s="194"/>
      <c r="F672" s="162"/>
      <c r="G672" s="149"/>
      <c r="H672" s="161"/>
      <c r="I672" s="161"/>
      <c r="J672" s="161"/>
      <c r="K672" s="161"/>
      <c r="L672" s="161"/>
      <c r="M672" s="161"/>
      <c r="N672" s="149"/>
      <c r="O672" s="161"/>
      <c r="P672" s="161"/>
      <c r="S672" s="149"/>
      <c r="T672" s="149"/>
      <c r="V672" s="166"/>
      <c r="W672" s="166"/>
      <c r="X672" s="166"/>
      <c r="Y672" s="166"/>
    </row>
    <row r="673" ht="22.5" customHeight="1">
      <c r="A673" s="161"/>
      <c r="B673" s="162"/>
      <c r="C673" s="161"/>
      <c r="D673" s="194"/>
      <c r="E673" s="194"/>
      <c r="F673" s="162"/>
      <c r="G673" s="149"/>
      <c r="H673" s="161"/>
      <c r="I673" s="161"/>
      <c r="J673" s="161"/>
      <c r="K673" s="161"/>
      <c r="L673" s="161"/>
      <c r="M673" s="161"/>
      <c r="N673" s="149"/>
      <c r="O673" s="161"/>
      <c r="P673" s="161"/>
      <c r="S673" s="149"/>
      <c r="T673" s="149"/>
      <c r="V673" s="166"/>
      <c r="W673" s="166"/>
      <c r="X673" s="166"/>
      <c r="Y673" s="166"/>
    </row>
    <row r="674" ht="22.5" customHeight="1">
      <c r="A674" s="161"/>
      <c r="B674" s="162"/>
      <c r="C674" s="161"/>
      <c r="D674" s="194"/>
      <c r="E674" s="194"/>
      <c r="F674" s="162"/>
      <c r="G674" s="149"/>
      <c r="H674" s="161"/>
      <c r="I674" s="161"/>
      <c r="J674" s="161"/>
      <c r="K674" s="161"/>
      <c r="L674" s="161"/>
      <c r="M674" s="161"/>
      <c r="N674" s="149"/>
      <c r="O674" s="161"/>
      <c r="P674" s="161"/>
      <c r="S674" s="149"/>
      <c r="T674" s="149"/>
      <c r="V674" s="166"/>
      <c r="W674" s="166"/>
      <c r="X674" s="166"/>
      <c r="Y674" s="166"/>
    </row>
    <row r="675" ht="22.5" customHeight="1">
      <c r="A675" s="161"/>
      <c r="B675" s="162"/>
      <c r="C675" s="161"/>
      <c r="D675" s="194"/>
      <c r="E675" s="194"/>
      <c r="F675" s="162"/>
      <c r="G675" s="149"/>
      <c r="H675" s="161"/>
      <c r="I675" s="161"/>
      <c r="J675" s="161"/>
      <c r="K675" s="161"/>
      <c r="L675" s="161"/>
      <c r="M675" s="161"/>
      <c r="N675" s="149"/>
      <c r="O675" s="161"/>
      <c r="P675" s="161"/>
      <c r="S675" s="149"/>
      <c r="T675" s="149"/>
      <c r="V675" s="166"/>
      <c r="W675" s="166"/>
      <c r="X675" s="166"/>
      <c r="Y675" s="166"/>
    </row>
    <row r="676" ht="22.5" customHeight="1">
      <c r="A676" s="161"/>
      <c r="B676" s="162"/>
      <c r="C676" s="161"/>
      <c r="D676" s="194"/>
      <c r="E676" s="194"/>
      <c r="F676" s="162"/>
      <c r="G676" s="149"/>
      <c r="H676" s="161"/>
      <c r="I676" s="161"/>
      <c r="J676" s="161"/>
      <c r="K676" s="161"/>
      <c r="L676" s="161"/>
      <c r="M676" s="161"/>
      <c r="N676" s="149"/>
      <c r="O676" s="161"/>
      <c r="P676" s="161"/>
      <c r="S676" s="149"/>
      <c r="T676" s="149"/>
      <c r="V676" s="166"/>
      <c r="W676" s="166"/>
      <c r="X676" s="166"/>
      <c r="Y676" s="166"/>
    </row>
    <row r="677" ht="22.5" customHeight="1">
      <c r="A677" s="161"/>
      <c r="B677" s="162"/>
      <c r="C677" s="161"/>
      <c r="D677" s="194"/>
      <c r="E677" s="194"/>
      <c r="F677" s="162"/>
      <c r="G677" s="149"/>
      <c r="H677" s="161"/>
      <c r="I677" s="161"/>
      <c r="J677" s="161"/>
      <c r="K677" s="161"/>
      <c r="L677" s="161"/>
      <c r="M677" s="161"/>
      <c r="N677" s="149"/>
      <c r="O677" s="161"/>
      <c r="P677" s="161"/>
      <c r="S677" s="149"/>
      <c r="T677" s="149"/>
      <c r="V677" s="166"/>
      <c r="W677" s="166"/>
      <c r="X677" s="166"/>
      <c r="Y677" s="166"/>
    </row>
    <row r="678" ht="22.5" customHeight="1">
      <c r="A678" s="161"/>
      <c r="B678" s="162"/>
      <c r="C678" s="161"/>
      <c r="D678" s="194"/>
      <c r="E678" s="194"/>
      <c r="F678" s="162"/>
      <c r="G678" s="149"/>
      <c r="H678" s="161"/>
      <c r="I678" s="161"/>
      <c r="J678" s="161"/>
      <c r="K678" s="161"/>
      <c r="L678" s="161"/>
      <c r="M678" s="161"/>
      <c r="N678" s="149"/>
      <c r="O678" s="161"/>
      <c r="P678" s="161"/>
      <c r="S678" s="149"/>
      <c r="T678" s="149"/>
      <c r="V678" s="166"/>
      <c r="W678" s="166"/>
      <c r="X678" s="166"/>
      <c r="Y678" s="166"/>
    </row>
    <row r="679" ht="22.5" customHeight="1">
      <c r="A679" s="161"/>
      <c r="B679" s="162"/>
      <c r="C679" s="161"/>
      <c r="D679" s="194"/>
      <c r="E679" s="194"/>
      <c r="F679" s="162"/>
      <c r="G679" s="149"/>
      <c r="H679" s="161"/>
      <c r="I679" s="161"/>
      <c r="J679" s="161"/>
      <c r="K679" s="161"/>
      <c r="L679" s="161"/>
      <c r="M679" s="161"/>
      <c r="N679" s="149"/>
      <c r="O679" s="161"/>
      <c r="P679" s="161"/>
      <c r="S679" s="149"/>
      <c r="T679" s="149"/>
      <c r="V679" s="166"/>
      <c r="W679" s="166"/>
      <c r="X679" s="166"/>
      <c r="Y679" s="166"/>
    </row>
    <row r="680" ht="22.5" customHeight="1">
      <c r="A680" s="161"/>
      <c r="B680" s="162"/>
      <c r="C680" s="161"/>
      <c r="D680" s="194"/>
      <c r="E680" s="194"/>
      <c r="F680" s="162"/>
      <c r="G680" s="149"/>
      <c r="H680" s="161"/>
      <c r="I680" s="161"/>
      <c r="J680" s="161"/>
      <c r="K680" s="161"/>
      <c r="L680" s="161"/>
      <c r="M680" s="161"/>
      <c r="N680" s="149"/>
      <c r="O680" s="161"/>
      <c r="P680" s="161"/>
      <c r="S680" s="149"/>
      <c r="T680" s="149"/>
      <c r="V680" s="166"/>
      <c r="W680" s="166"/>
      <c r="X680" s="166"/>
      <c r="Y680" s="166"/>
    </row>
    <row r="681" ht="22.5" customHeight="1">
      <c r="A681" s="161"/>
      <c r="B681" s="162"/>
      <c r="C681" s="161"/>
      <c r="D681" s="194"/>
      <c r="E681" s="194"/>
      <c r="F681" s="162"/>
      <c r="G681" s="149"/>
      <c r="H681" s="161"/>
      <c r="I681" s="161"/>
      <c r="J681" s="161"/>
      <c r="K681" s="161"/>
      <c r="L681" s="161"/>
      <c r="M681" s="161"/>
      <c r="N681" s="149"/>
      <c r="O681" s="161"/>
      <c r="P681" s="161"/>
      <c r="S681" s="149"/>
      <c r="T681" s="149"/>
      <c r="V681" s="166"/>
      <c r="W681" s="166"/>
      <c r="X681" s="166"/>
      <c r="Y681" s="166"/>
    </row>
    <row r="682" ht="22.5" customHeight="1">
      <c r="A682" s="161"/>
      <c r="B682" s="162"/>
      <c r="C682" s="161"/>
      <c r="D682" s="194"/>
      <c r="E682" s="194"/>
      <c r="F682" s="162"/>
      <c r="G682" s="149"/>
      <c r="H682" s="161"/>
      <c r="I682" s="161"/>
      <c r="J682" s="161"/>
      <c r="K682" s="161"/>
      <c r="L682" s="161"/>
      <c r="M682" s="161"/>
      <c r="N682" s="149"/>
      <c r="O682" s="161"/>
      <c r="P682" s="161"/>
      <c r="S682" s="149"/>
      <c r="T682" s="149"/>
      <c r="V682" s="166"/>
      <c r="W682" s="166"/>
      <c r="X682" s="166"/>
      <c r="Y682" s="166"/>
    </row>
    <row r="683" ht="22.5" customHeight="1">
      <c r="A683" s="161"/>
      <c r="B683" s="162"/>
      <c r="C683" s="161"/>
      <c r="D683" s="194"/>
      <c r="E683" s="194"/>
      <c r="F683" s="162"/>
      <c r="G683" s="149"/>
      <c r="H683" s="161"/>
      <c r="I683" s="161"/>
      <c r="J683" s="161"/>
      <c r="K683" s="161"/>
      <c r="L683" s="161"/>
      <c r="M683" s="161"/>
      <c r="N683" s="149"/>
      <c r="O683" s="161"/>
      <c r="P683" s="161"/>
      <c r="S683" s="149"/>
      <c r="T683" s="149"/>
      <c r="V683" s="166"/>
      <c r="W683" s="166"/>
      <c r="X683" s="166"/>
      <c r="Y683" s="166"/>
    </row>
    <row r="684" ht="22.5" customHeight="1">
      <c r="A684" s="161"/>
      <c r="B684" s="162"/>
      <c r="C684" s="161"/>
      <c r="D684" s="194"/>
      <c r="E684" s="194"/>
      <c r="F684" s="162"/>
      <c r="G684" s="149"/>
      <c r="H684" s="161"/>
      <c r="I684" s="161"/>
      <c r="J684" s="161"/>
      <c r="K684" s="161"/>
      <c r="L684" s="161"/>
      <c r="M684" s="161"/>
      <c r="N684" s="149"/>
      <c r="O684" s="161"/>
      <c r="P684" s="161"/>
      <c r="S684" s="149"/>
      <c r="T684" s="149"/>
      <c r="V684" s="166"/>
      <c r="W684" s="166"/>
      <c r="X684" s="166"/>
      <c r="Y684" s="166"/>
    </row>
    <row r="685" ht="22.5" customHeight="1">
      <c r="A685" s="161"/>
      <c r="B685" s="162"/>
      <c r="C685" s="161"/>
      <c r="D685" s="194"/>
      <c r="E685" s="194"/>
      <c r="F685" s="162"/>
      <c r="G685" s="149"/>
      <c r="H685" s="161"/>
      <c r="I685" s="161"/>
      <c r="J685" s="161"/>
      <c r="K685" s="161"/>
      <c r="L685" s="161"/>
      <c r="M685" s="161"/>
      <c r="N685" s="149"/>
      <c r="O685" s="161"/>
      <c r="P685" s="161"/>
      <c r="S685" s="149"/>
      <c r="T685" s="149"/>
      <c r="V685" s="166"/>
      <c r="W685" s="166"/>
      <c r="X685" s="166"/>
      <c r="Y685" s="166"/>
    </row>
    <row r="686" ht="22.5" customHeight="1">
      <c r="A686" s="161"/>
      <c r="B686" s="162"/>
      <c r="C686" s="161"/>
      <c r="D686" s="194"/>
      <c r="E686" s="194"/>
      <c r="F686" s="162"/>
      <c r="G686" s="149"/>
      <c r="H686" s="161"/>
      <c r="I686" s="161"/>
      <c r="J686" s="161"/>
      <c r="K686" s="161"/>
      <c r="L686" s="161"/>
      <c r="M686" s="161"/>
      <c r="N686" s="149"/>
      <c r="O686" s="161"/>
      <c r="P686" s="161"/>
      <c r="S686" s="149"/>
      <c r="T686" s="149"/>
      <c r="V686" s="166"/>
      <c r="W686" s="166"/>
      <c r="X686" s="166"/>
      <c r="Y686" s="166"/>
    </row>
    <row r="687" ht="22.5" customHeight="1">
      <c r="A687" s="161"/>
      <c r="B687" s="162"/>
      <c r="C687" s="161"/>
      <c r="D687" s="194"/>
      <c r="E687" s="194"/>
      <c r="F687" s="162"/>
      <c r="G687" s="149"/>
      <c r="H687" s="161"/>
      <c r="I687" s="161"/>
      <c r="J687" s="161"/>
      <c r="K687" s="161"/>
      <c r="L687" s="161"/>
      <c r="M687" s="161"/>
      <c r="N687" s="149"/>
      <c r="O687" s="161"/>
      <c r="P687" s="161"/>
      <c r="S687" s="149"/>
      <c r="T687" s="149"/>
      <c r="V687" s="166"/>
      <c r="W687" s="166"/>
      <c r="X687" s="166"/>
      <c r="Y687" s="166"/>
    </row>
    <row r="688" ht="22.5" customHeight="1">
      <c r="A688" s="161"/>
      <c r="B688" s="162"/>
      <c r="C688" s="161"/>
      <c r="D688" s="194"/>
      <c r="E688" s="194"/>
      <c r="F688" s="162"/>
      <c r="G688" s="149"/>
      <c r="H688" s="161"/>
      <c r="I688" s="161"/>
      <c r="J688" s="161"/>
      <c r="K688" s="161"/>
      <c r="L688" s="161"/>
      <c r="M688" s="161"/>
      <c r="N688" s="149"/>
      <c r="O688" s="161"/>
      <c r="P688" s="161"/>
      <c r="S688" s="149"/>
      <c r="T688" s="149"/>
      <c r="V688" s="166"/>
      <c r="W688" s="166"/>
      <c r="X688" s="166"/>
      <c r="Y688" s="166"/>
    </row>
    <row r="689" ht="22.5" customHeight="1">
      <c r="A689" s="161"/>
      <c r="B689" s="162"/>
      <c r="C689" s="161"/>
      <c r="D689" s="194"/>
      <c r="E689" s="194"/>
      <c r="F689" s="162"/>
      <c r="G689" s="149"/>
      <c r="H689" s="161"/>
      <c r="I689" s="161"/>
      <c r="J689" s="161"/>
      <c r="K689" s="161"/>
      <c r="L689" s="161"/>
      <c r="M689" s="161"/>
      <c r="N689" s="149"/>
      <c r="O689" s="161"/>
      <c r="P689" s="161"/>
      <c r="S689" s="149"/>
      <c r="T689" s="149"/>
      <c r="V689" s="166"/>
      <c r="W689" s="166"/>
      <c r="X689" s="166"/>
      <c r="Y689" s="166"/>
    </row>
    <row r="690" ht="22.5" customHeight="1">
      <c r="A690" s="161"/>
      <c r="B690" s="162"/>
      <c r="C690" s="161"/>
      <c r="D690" s="194"/>
      <c r="E690" s="194"/>
      <c r="F690" s="162"/>
      <c r="G690" s="149"/>
      <c r="H690" s="161"/>
      <c r="I690" s="161"/>
      <c r="J690" s="161"/>
      <c r="K690" s="161"/>
      <c r="L690" s="161"/>
      <c r="M690" s="161"/>
      <c r="N690" s="149"/>
      <c r="O690" s="161"/>
      <c r="P690" s="161"/>
      <c r="S690" s="149"/>
      <c r="T690" s="149"/>
      <c r="V690" s="166"/>
      <c r="W690" s="166"/>
      <c r="X690" s="166"/>
      <c r="Y690" s="166"/>
    </row>
    <row r="691" ht="22.5" customHeight="1">
      <c r="A691" s="161"/>
      <c r="B691" s="162"/>
      <c r="C691" s="161"/>
      <c r="D691" s="194"/>
      <c r="E691" s="194"/>
      <c r="F691" s="162"/>
      <c r="G691" s="149"/>
      <c r="H691" s="161"/>
      <c r="I691" s="161"/>
      <c r="J691" s="161"/>
      <c r="K691" s="161"/>
      <c r="L691" s="161"/>
      <c r="M691" s="161"/>
      <c r="N691" s="149"/>
      <c r="O691" s="161"/>
      <c r="P691" s="161"/>
      <c r="S691" s="149"/>
      <c r="T691" s="149"/>
      <c r="V691" s="166"/>
      <c r="W691" s="166"/>
      <c r="X691" s="166"/>
      <c r="Y691" s="166"/>
    </row>
    <row r="692" ht="22.5" customHeight="1">
      <c r="A692" s="161"/>
      <c r="B692" s="162"/>
      <c r="C692" s="161"/>
      <c r="D692" s="194"/>
      <c r="E692" s="194"/>
      <c r="F692" s="162"/>
      <c r="G692" s="149"/>
      <c r="H692" s="161"/>
      <c r="I692" s="161"/>
      <c r="J692" s="161"/>
      <c r="K692" s="161"/>
      <c r="L692" s="161"/>
      <c r="M692" s="161"/>
      <c r="N692" s="149"/>
      <c r="O692" s="161"/>
      <c r="P692" s="161"/>
      <c r="S692" s="149"/>
      <c r="T692" s="149"/>
      <c r="V692" s="166"/>
      <c r="W692" s="166"/>
      <c r="X692" s="166"/>
      <c r="Y692" s="166"/>
    </row>
    <row r="693" ht="22.5" customHeight="1">
      <c r="A693" s="161"/>
      <c r="B693" s="162"/>
      <c r="C693" s="161"/>
      <c r="D693" s="194"/>
      <c r="E693" s="194"/>
      <c r="F693" s="162"/>
      <c r="G693" s="149"/>
      <c r="H693" s="161"/>
      <c r="I693" s="161"/>
      <c r="J693" s="161"/>
      <c r="K693" s="161"/>
      <c r="L693" s="161"/>
      <c r="M693" s="161"/>
      <c r="N693" s="149"/>
      <c r="O693" s="161"/>
      <c r="P693" s="161"/>
      <c r="S693" s="149"/>
      <c r="T693" s="149"/>
      <c r="V693" s="166"/>
      <c r="W693" s="166"/>
      <c r="X693" s="166"/>
      <c r="Y693" s="166"/>
    </row>
    <row r="694" ht="22.5" customHeight="1">
      <c r="A694" s="161"/>
      <c r="B694" s="162"/>
      <c r="C694" s="161"/>
      <c r="D694" s="194"/>
      <c r="E694" s="194"/>
      <c r="F694" s="162"/>
      <c r="G694" s="149"/>
      <c r="H694" s="161"/>
      <c r="I694" s="161"/>
      <c r="J694" s="161"/>
      <c r="K694" s="161"/>
      <c r="L694" s="161"/>
      <c r="M694" s="161"/>
      <c r="N694" s="149"/>
      <c r="O694" s="161"/>
      <c r="P694" s="161"/>
      <c r="S694" s="149"/>
      <c r="T694" s="149"/>
      <c r="V694" s="166"/>
      <c r="W694" s="166"/>
      <c r="X694" s="166"/>
      <c r="Y694" s="166"/>
    </row>
    <row r="695" ht="22.5" customHeight="1">
      <c r="A695" s="161"/>
      <c r="B695" s="162"/>
      <c r="C695" s="161"/>
      <c r="D695" s="194"/>
      <c r="E695" s="194"/>
      <c r="F695" s="162"/>
      <c r="G695" s="149"/>
      <c r="H695" s="161"/>
      <c r="I695" s="161"/>
      <c r="J695" s="161"/>
      <c r="K695" s="161"/>
      <c r="L695" s="161"/>
      <c r="M695" s="161"/>
      <c r="N695" s="149"/>
      <c r="O695" s="161"/>
      <c r="P695" s="161"/>
      <c r="S695" s="149"/>
      <c r="T695" s="149"/>
      <c r="V695" s="166"/>
      <c r="W695" s="166"/>
      <c r="X695" s="166"/>
      <c r="Y695" s="166"/>
    </row>
    <row r="696" ht="22.5" customHeight="1">
      <c r="A696" s="161"/>
      <c r="B696" s="162"/>
      <c r="C696" s="161"/>
      <c r="D696" s="194"/>
      <c r="E696" s="194"/>
      <c r="F696" s="162"/>
      <c r="G696" s="149"/>
      <c r="H696" s="161"/>
      <c r="I696" s="161"/>
      <c r="J696" s="161"/>
      <c r="K696" s="161"/>
      <c r="L696" s="161"/>
      <c r="M696" s="161"/>
      <c r="N696" s="149"/>
      <c r="O696" s="161"/>
      <c r="P696" s="161"/>
      <c r="S696" s="149"/>
      <c r="T696" s="149"/>
      <c r="V696" s="166"/>
      <c r="W696" s="166"/>
      <c r="X696" s="166"/>
      <c r="Y696" s="166"/>
    </row>
    <row r="697" ht="22.5" customHeight="1">
      <c r="A697" s="161"/>
      <c r="B697" s="162"/>
      <c r="C697" s="161"/>
      <c r="D697" s="194"/>
      <c r="E697" s="194"/>
      <c r="F697" s="162"/>
      <c r="G697" s="149"/>
      <c r="H697" s="161"/>
      <c r="I697" s="161"/>
      <c r="J697" s="161"/>
      <c r="K697" s="161"/>
      <c r="L697" s="161"/>
      <c r="M697" s="161"/>
      <c r="N697" s="149"/>
      <c r="O697" s="161"/>
      <c r="P697" s="161"/>
      <c r="S697" s="149"/>
      <c r="T697" s="149"/>
      <c r="V697" s="166"/>
      <c r="W697" s="166"/>
      <c r="X697" s="166"/>
      <c r="Y697" s="166"/>
    </row>
    <row r="698" ht="22.5" customHeight="1">
      <c r="A698" s="161"/>
      <c r="B698" s="162"/>
      <c r="C698" s="161"/>
      <c r="D698" s="194"/>
      <c r="E698" s="194"/>
      <c r="F698" s="162"/>
      <c r="G698" s="149"/>
      <c r="H698" s="161"/>
      <c r="I698" s="161"/>
      <c r="J698" s="161"/>
      <c r="K698" s="161"/>
      <c r="L698" s="161"/>
      <c r="M698" s="161"/>
      <c r="N698" s="149"/>
      <c r="O698" s="161"/>
      <c r="P698" s="161"/>
      <c r="S698" s="149"/>
      <c r="T698" s="149"/>
      <c r="V698" s="166"/>
      <c r="W698" s="166"/>
      <c r="X698" s="166"/>
      <c r="Y698" s="166"/>
    </row>
    <row r="699" ht="22.5" customHeight="1">
      <c r="A699" s="161"/>
      <c r="B699" s="162"/>
      <c r="C699" s="161"/>
      <c r="D699" s="194"/>
      <c r="E699" s="194"/>
      <c r="F699" s="162"/>
      <c r="G699" s="149"/>
      <c r="H699" s="161"/>
      <c r="I699" s="161"/>
      <c r="J699" s="161"/>
      <c r="K699" s="161"/>
      <c r="L699" s="161"/>
      <c r="M699" s="161"/>
      <c r="N699" s="149"/>
      <c r="O699" s="161"/>
      <c r="P699" s="161"/>
      <c r="S699" s="149"/>
      <c r="T699" s="149"/>
      <c r="V699" s="166"/>
      <c r="W699" s="166"/>
      <c r="X699" s="166"/>
      <c r="Y699" s="166"/>
    </row>
    <row r="700" ht="22.5" customHeight="1">
      <c r="A700" s="161"/>
      <c r="B700" s="162"/>
      <c r="C700" s="161"/>
      <c r="D700" s="194"/>
      <c r="E700" s="194"/>
      <c r="F700" s="162"/>
      <c r="G700" s="149"/>
      <c r="H700" s="161"/>
      <c r="I700" s="161"/>
      <c r="J700" s="161"/>
      <c r="K700" s="161"/>
      <c r="L700" s="161"/>
      <c r="M700" s="161"/>
      <c r="N700" s="149"/>
      <c r="O700" s="161"/>
      <c r="P700" s="161"/>
      <c r="S700" s="149"/>
      <c r="T700" s="149"/>
      <c r="V700" s="166"/>
      <c r="W700" s="166"/>
      <c r="X700" s="166"/>
      <c r="Y700" s="166"/>
    </row>
    <row r="701" ht="22.5" customHeight="1">
      <c r="A701" s="161"/>
      <c r="B701" s="162"/>
      <c r="C701" s="161"/>
      <c r="D701" s="194"/>
      <c r="E701" s="194"/>
      <c r="F701" s="162"/>
      <c r="G701" s="149"/>
      <c r="H701" s="161"/>
      <c r="I701" s="161"/>
      <c r="J701" s="161"/>
      <c r="K701" s="161"/>
      <c r="L701" s="161"/>
      <c r="M701" s="161"/>
      <c r="N701" s="149"/>
      <c r="O701" s="161"/>
      <c r="P701" s="161"/>
      <c r="S701" s="149"/>
      <c r="T701" s="149"/>
      <c r="V701" s="166"/>
      <c r="W701" s="166"/>
      <c r="X701" s="166"/>
      <c r="Y701" s="166"/>
    </row>
    <row r="702" ht="22.5" customHeight="1">
      <c r="A702" s="161"/>
      <c r="B702" s="162"/>
      <c r="C702" s="161"/>
      <c r="D702" s="194"/>
      <c r="E702" s="194"/>
      <c r="F702" s="162"/>
      <c r="G702" s="149"/>
      <c r="H702" s="161"/>
      <c r="I702" s="161"/>
      <c r="J702" s="161"/>
      <c r="K702" s="161"/>
      <c r="L702" s="161"/>
      <c r="M702" s="161"/>
      <c r="N702" s="149"/>
      <c r="O702" s="161"/>
      <c r="P702" s="161"/>
      <c r="S702" s="149"/>
      <c r="T702" s="149"/>
      <c r="V702" s="166"/>
      <c r="W702" s="166"/>
      <c r="X702" s="166"/>
      <c r="Y702" s="166"/>
    </row>
    <row r="703" ht="22.5" customHeight="1">
      <c r="A703" s="161"/>
      <c r="B703" s="162"/>
      <c r="C703" s="161"/>
      <c r="D703" s="194"/>
      <c r="E703" s="194"/>
      <c r="F703" s="162"/>
      <c r="G703" s="149"/>
      <c r="H703" s="161"/>
      <c r="I703" s="161"/>
      <c r="J703" s="161"/>
      <c r="K703" s="161"/>
      <c r="L703" s="161"/>
      <c r="M703" s="161"/>
      <c r="N703" s="149"/>
      <c r="O703" s="161"/>
      <c r="P703" s="161"/>
      <c r="S703" s="149"/>
      <c r="T703" s="149"/>
      <c r="V703" s="166"/>
      <c r="W703" s="166"/>
      <c r="X703" s="166"/>
      <c r="Y703" s="166"/>
    </row>
    <row r="704" ht="22.5" customHeight="1">
      <c r="A704" s="161"/>
      <c r="B704" s="162"/>
      <c r="C704" s="161"/>
      <c r="D704" s="194"/>
      <c r="E704" s="194"/>
      <c r="F704" s="162"/>
      <c r="G704" s="149"/>
      <c r="H704" s="161"/>
      <c r="I704" s="161"/>
      <c r="J704" s="161"/>
      <c r="K704" s="161"/>
      <c r="L704" s="161"/>
      <c r="M704" s="161"/>
      <c r="N704" s="149"/>
      <c r="O704" s="161"/>
      <c r="P704" s="161"/>
      <c r="S704" s="149"/>
      <c r="T704" s="149"/>
      <c r="V704" s="166"/>
      <c r="W704" s="166"/>
      <c r="X704" s="166"/>
      <c r="Y704" s="166"/>
    </row>
    <row r="705" ht="22.5" customHeight="1">
      <c r="A705" s="161"/>
      <c r="B705" s="162"/>
      <c r="C705" s="161"/>
      <c r="D705" s="194"/>
      <c r="E705" s="194"/>
      <c r="F705" s="162"/>
      <c r="G705" s="149"/>
      <c r="H705" s="161"/>
      <c r="I705" s="161"/>
      <c r="J705" s="161"/>
      <c r="K705" s="161"/>
      <c r="L705" s="161"/>
      <c r="M705" s="161"/>
      <c r="N705" s="149"/>
      <c r="O705" s="161"/>
      <c r="P705" s="161"/>
      <c r="S705" s="149"/>
      <c r="T705" s="149"/>
      <c r="V705" s="166"/>
      <c r="W705" s="166"/>
      <c r="X705" s="166"/>
      <c r="Y705" s="166"/>
    </row>
    <row r="706" ht="22.5" customHeight="1">
      <c r="A706" s="161"/>
      <c r="B706" s="162"/>
      <c r="C706" s="161"/>
      <c r="D706" s="194"/>
      <c r="E706" s="194"/>
      <c r="F706" s="162"/>
      <c r="G706" s="149"/>
      <c r="H706" s="161"/>
      <c r="I706" s="161"/>
      <c r="J706" s="161"/>
      <c r="K706" s="161"/>
      <c r="L706" s="161"/>
      <c r="M706" s="161"/>
      <c r="N706" s="149"/>
      <c r="O706" s="161"/>
      <c r="P706" s="161"/>
      <c r="S706" s="149"/>
      <c r="T706" s="149"/>
      <c r="V706" s="166"/>
      <c r="W706" s="166"/>
      <c r="X706" s="166"/>
      <c r="Y706" s="166"/>
    </row>
    <row r="707" ht="22.5" customHeight="1">
      <c r="A707" s="161"/>
      <c r="B707" s="162"/>
      <c r="C707" s="161"/>
      <c r="D707" s="194"/>
      <c r="E707" s="194"/>
      <c r="F707" s="162"/>
      <c r="G707" s="149"/>
      <c r="H707" s="161"/>
      <c r="I707" s="161"/>
      <c r="J707" s="161"/>
      <c r="K707" s="161"/>
      <c r="L707" s="161"/>
      <c r="M707" s="161"/>
      <c r="N707" s="149"/>
      <c r="O707" s="161"/>
      <c r="P707" s="161"/>
      <c r="S707" s="149"/>
      <c r="T707" s="149"/>
      <c r="V707" s="166"/>
      <c r="W707" s="166"/>
      <c r="X707" s="166"/>
      <c r="Y707" s="166"/>
    </row>
    <row r="708" ht="22.5" customHeight="1">
      <c r="A708" s="161"/>
      <c r="B708" s="162"/>
      <c r="C708" s="161"/>
      <c r="D708" s="194"/>
      <c r="E708" s="194"/>
      <c r="F708" s="162"/>
      <c r="G708" s="149"/>
      <c r="H708" s="161"/>
      <c r="I708" s="161"/>
      <c r="J708" s="161"/>
      <c r="K708" s="161"/>
      <c r="L708" s="161"/>
      <c r="M708" s="161"/>
      <c r="N708" s="149"/>
      <c r="O708" s="161"/>
      <c r="P708" s="161"/>
      <c r="S708" s="149"/>
      <c r="T708" s="149"/>
      <c r="V708" s="166"/>
      <c r="W708" s="166"/>
      <c r="X708" s="166"/>
      <c r="Y708" s="166"/>
    </row>
    <row r="709" ht="22.5" customHeight="1">
      <c r="A709" s="161"/>
      <c r="B709" s="162"/>
      <c r="C709" s="161"/>
      <c r="D709" s="194"/>
      <c r="E709" s="194"/>
      <c r="F709" s="162"/>
      <c r="G709" s="149"/>
      <c r="H709" s="161"/>
      <c r="I709" s="161"/>
      <c r="J709" s="161"/>
      <c r="K709" s="161"/>
      <c r="L709" s="161"/>
      <c r="M709" s="161"/>
      <c r="N709" s="149"/>
      <c r="O709" s="161"/>
      <c r="P709" s="161"/>
      <c r="S709" s="149"/>
      <c r="T709" s="149"/>
      <c r="V709" s="166"/>
      <c r="W709" s="166"/>
      <c r="X709" s="166"/>
      <c r="Y709" s="166"/>
    </row>
    <row r="710" ht="22.5" customHeight="1">
      <c r="A710" s="161"/>
      <c r="B710" s="162"/>
      <c r="C710" s="161"/>
      <c r="D710" s="194"/>
      <c r="E710" s="194"/>
      <c r="F710" s="162"/>
      <c r="G710" s="149"/>
      <c r="H710" s="161"/>
      <c r="I710" s="161"/>
      <c r="J710" s="161"/>
      <c r="K710" s="161"/>
      <c r="L710" s="161"/>
      <c r="M710" s="161"/>
      <c r="N710" s="149"/>
      <c r="O710" s="161"/>
      <c r="P710" s="161"/>
      <c r="S710" s="149"/>
      <c r="T710" s="149"/>
      <c r="V710" s="166"/>
      <c r="W710" s="166"/>
      <c r="X710" s="166"/>
      <c r="Y710" s="166"/>
    </row>
    <row r="711" ht="22.5" customHeight="1">
      <c r="A711" s="161"/>
      <c r="B711" s="162"/>
      <c r="C711" s="161"/>
      <c r="D711" s="194"/>
      <c r="E711" s="194"/>
      <c r="F711" s="162"/>
      <c r="G711" s="149"/>
      <c r="H711" s="161"/>
      <c r="I711" s="161"/>
      <c r="J711" s="161"/>
      <c r="K711" s="161"/>
      <c r="L711" s="161"/>
      <c r="M711" s="161"/>
      <c r="N711" s="149"/>
      <c r="O711" s="161"/>
      <c r="P711" s="161"/>
      <c r="S711" s="149"/>
      <c r="T711" s="149"/>
      <c r="V711" s="166"/>
      <c r="W711" s="166"/>
      <c r="X711" s="166"/>
      <c r="Y711" s="166"/>
    </row>
    <row r="712" ht="22.5" customHeight="1">
      <c r="A712" s="161"/>
      <c r="B712" s="162"/>
      <c r="C712" s="161"/>
      <c r="D712" s="194"/>
      <c r="E712" s="194"/>
      <c r="F712" s="162"/>
      <c r="G712" s="149"/>
      <c r="H712" s="161"/>
      <c r="I712" s="161"/>
      <c r="J712" s="161"/>
      <c r="K712" s="161"/>
      <c r="L712" s="161"/>
      <c r="M712" s="161"/>
      <c r="N712" s="149"/>
      <c r="O712" s="161"/>
      <c r="P712" s="161"/>
      <c r="S712" s="149"/>
      <c r="T712" s="149"/>
      <c r="V712" s="166"/>
      <c r="W712" s="166"/>
      <c r="X712" s="166"/>
      <c r="Y712" s="166"/>
    </row>
    <row r="713" ht="22.5" customHeight="1">
      <c r="A713" s="161"/>
      <c r="B713" s="162"/>
      <c r="C713" s="161"/>
      <c r="D713" s="194"/>
      <c r="E713" s="194"/>
      <c r="F713" s="162"/>
      <c r="G713" s="149"/>
      <c r="H713" s="161"/>
      <c r="I713" s="161"/>
      <c r="J713" s="161"/>
      <c r="K713" s="161"/>
      <c r="L713" s="161"/>
      <c r="M713" s="161"/>
      <c r="N713" s="149"/>
      <c r="O713" s="161"/>
      <c r="P713" s="161"/>
      <c r="S713" s="149"/>
      <c r="T713" s="149"/>
      <c r="V713" s="166"/>
      <c r="W713" s="166"/>
      <c r="X713" s="166"/>
      <c r="Y713" s="166"/>
    </row>
    <row r="714" ht="22.5" customHeight="1">
      <c r="A714" s="161"/>
      <c r="B714" s="162"/>
      <c r="C714" s="161"/>
      <c r="D714" s="194"/>
      <c r="E714" s="194"/>
      <c r="F714" s="162"/>
      <c r="G714" s="149"/>
      <c r="H714" s="161"/>
      <c r="I714" s="161"/>
      <c r="J714" s="161"/>
      <c r="K714" s="161"/>
      <c r="L714" s="161"/>
      <c r="M714" s="161"/>
      <c r="N714" s="149"/>
      <c r="O714" s="161"/>
      <c r="P714" s="161"/>
      <c r="S714" s="149"/>
      <c r="T714" s="149"/>
      <c r="V714" s="166"/>
      <c r="W714" s="166"/>
      <c r="X714" s="166"/>
      <c r="Y714" s="166"/>
    </row>
    <row r="715" ht="22.5" customHeight="1">
      <c r="A715" s="161"/>
      <c r="B715" s="162"/>
      <c r="C715" s="161"/>
      <c r="D715" s="194"/>
      <c r="E715" s="194"/>
      <c r="F715" s="162"/>
      <c r="G715" s="149"/>
      <c r="H715" s="161"/>
      <c r="I715" s="161"/>
      <c r="J715" s="161"/>
      <c r="K715" s="161"/>
      <c r="L715" s="161"/>
      <c r="M715" s="161"/>
      <c r="N715" s="149"/>
      <c r="O715" s="161"/>
      <c r="P715" s="161"/>
      <c r="S715" s="149"/>
      <c r="T715" s="149"/>
      <c r="V715" s="166"/>
      <c r="W715" s="166"/>
      <c r="X715" s="166"/>
      <c r="Y715" s="166"/>
    </row>
    <row r="716" ht="22.5" customHeight="1">
      <c r="A716" s="161"/>
      <c r="B716" s="162"/>
      <c r="C716" s="161"/>
      <c r="D716" s="194"/>
      <c r="E716" s="194"/>
      <c r="F716" s="162"/>
      <c r="G716" s="149"/>
      <c r="H716" s="161"/>
      <c r="I716" s="161"/>
      <c r="J716" s="161"/>
      <c r="K716" s="161"/>
      <c r="L716" s="161"/>
      <c r="M716" s="161"/>
      <c r="N716" s="149"/>
      <c r="O716" s="161"/>
      <c r="P716" s="161"/>
      <c r="S716" s="149"/>
      <c r="T716" s="149"/>
      <c r="V716" s="166"/>
      <c r="W716" s="166"/>
      <c r="X716" s="166"/>
      <c r="Y716" s="166"/>
    </row>
    <row r="717" ht="22.5" customHeight="1">
      <c r="A717" s="161"/>
      <c r="B717" s="162"/>
      <c r="C717" s="161"/>
      <c r="D717" s="194"/>
      <c r="E717" s="194"/>
      <c r="F717" s="162"/>
      <c r="G717" s="149"/>
      <c r="H717" s="161"/>
      <c r="I717" s="161"/>
      <c r="J717" s="161"/>
      <c r="K717" s="161"/>
      <c r="L717" s="161"/>
      <c r="M717" s="161"/>
      <c r="N717" s="149"/>
      <c r="O717" s="161"/>
      <c r="P717" s="161"/>
      <c r="S717" s="149"/>
      <c r="T717" s="149"/>
      <c r="V717" s="166"/>
      <c r="W717" s="166"/>
      <c r="X717" s="166"/>
      <c r="Y717" s="166"/>
    </row>
    <row r="718" ht="22.5" customHeight="1">
      <c r="A718" s="161"/>
      <c r="B718" s="162"/>
      <c r="C718" s="161"/>
      <c r="D718" s="194"/>
      <c r="E718" s="194"/>
      <c r="F718" s="162"/>
      <c r="G718" s="149"/>
      <c r="H718" s="161"/>
      <c r="I718" s="161"/>
      <c r="J718" s="161"/>
      <c r="K718" s="161"/>
      <c r="L718" s="161"/>
      <c r="M718" s="161"/>
      <c r="N718" s="149"/>
      <c r="O718" s="161"/>
      <c r="P718" s="161"/>
      <c r="S718" s="149"/>
      <c r="T718" s="149"/>
      <c r="V718" s="166"/>
      <c r="W718" s="166"/>
      <c r="X718" s="166"/>
      <c r="Y718" s="166"/>
    </row>
    <row r="719" ht="22.5" customHeight="1">
      <c r="A719" s="161"/>
      <c r="B719" s="162"/>
      <c r="C719" s="161"/>
      <c r="D719" s="194"/>
      <c r="E719" s="194"/>
      <c r="F719" s="162"/>
      <c r="G719" s="149"/>
      <c r="H719" s="161"/>
      <c r="I719" s="161"/>
      <c r="J719" s="161"/>
      <c r="K719" s="161"/>
      <c r="L719" s="161"/>
      <c r="M719" s="161"/>
      <c r="N719" s="149"/>
      <c r="O719" s="161"/>
      <c r="P719" s="161"/>
      <c r="S719" s="149"/>
      <c r="T719" s="149"/>
      <c r="V719" s="166"/>
      <c r="W719" s="166"/>
      <c r="X719" s="166"/>
      <c r="Y719" s="166"/>
    </row>
    <row r="720" ht="22.5" customHeight="1">
      <c r="A720" s="161"/>
      <c r="B720" s="162"/>
      <c r="C720" s="161"/>
      <c r="D720" s="194"/>
      <c r="E720" s="194"/>
      <c r="F720" s="162"/>
      <c r="G720" s="149"/>
      <c r="H720" s="161"/>
      <c r="I720" s="161"/>
      <c r="J720" s="161"/>
      <c r="K720" s="161"/>
      <c r="L720" s="161"/>
      <c r="M720" s="161"/>
      <c r="N720" s="149"/>
      <c r="O720" s="161"/>
      <c r="P720" s="161"/>
      <c r="S720" s="149"/>
      <c r="T720" s="149"/>
      <c r="V720" s="166"/>
      <c r="W720" s="166"/>
      <c r="X720" s="166"/>
      <c r="Y720" s="166"/>
    </row>
    <row r="721" ht="22.5" customHeight="1">
      <c r="A721" s="161"/>
      <c r="B721" s="162"/>
      <c r="C721" s="161"/>
      <c r="D721" s="194"/>
      <c r="E721" s="194"/>
      <c r="F721" s="162"/>
      <c r="G721" s="149"/>
      <c r="H721" s="161"/>
      <c r="I721" s="161"/>
      <c r="J721" s="161"/>
      <c r="K721" s="161"/>
      <c r="L721" s="161"/>
      <c r="M721" s="161"/>
      <c r="N721" s="149"/>
      <c r="O721" s="161"/>
      <c r="P721" s="161"/>
      <c r="S721" s="149"/>
      <c r="T721" s="149"/>
      <c r="V721" s="166"/>
      <c r="W721" s="166"/>
      <c r="X721" s="166"/>
      <c r="Y721" s="166"/>
    </row>
    <row r="722" ht="22.5" customHeight="1">
      <c r="A722" s="161"/>
      <c r="B722" s="162"/>
      <c r="C722" s="161"/>
      <c r="D722" s="194"/>
      <c r="E722" s="194"/>
      <c r="F722" s="162"/>
      <c r="G722" s="149"/>
      <c r="H722" s="161"/>
      <c r="I722" s="161"/>
      <c r="J722" s="161"/>
      <c r="K722" s="161"/>
      <c r="L722" s="161"/>
      <c r="M722" s="161"/>
      <c r="N722" s="149"/>
      <c r="O722" s="161"/>
      <c r="P722" s="161"/>
      <c r="S722" s="149"/>
      <c r="T722" s="149"/>
      <c r="V722" s="166"/>
      <c r="W722" s="166"/>
      <c r="X722" s="166"/>
      <c r="Y722" s="166"/>
    </row>
    <row r="723" ht="22.5" customHeight="1">
      <c r="A723" s="161"/>
      <c r="B723" s="162"/>
      <c r="C723" s="161"/>
      <c r="D723" s="194"/>
      <c r="E723" s="194"/>
      <c r="F723" s="162"/>
      <c r="G723" s="149"/>
      <c r="H723" s="161"/>
      <c r="I723" s="161"/>
      <c r="J723" s="161"/>
      <c r="K723" s="161"/>
      <c r="L723" s="161"/>
      <c r="M723" s="161"/>
      <c r="N723" s="149"/>
      <c r="O723" s="161"/>
      <c r="P723" s="161"/>
      <c r="S723" s="149"/>
      <c r="T723" s="149"/>
      <c r="V723" s="166"/>
      <c r="W723" s="166"/>
      <c r="X723" s="166"/>
      <c r="Y723" s="166"/>
    </row>
    <row r="724" ht="22.5" customHeight="1">
      <c r="A724" s="161"/>
      <c r="B724" s="162"/>
      <c r="C724" s="161"/>
      <c r="D724" s="194"/>
      <c r="E724" s="194"/>
      <c r="F724" s="162"/>
      <c r="G724" s="149"/>
      <c r="H724" s="161"/>
      <c r="I724" s="161"/>
      <c r="J724" s="161"/>
      <c r="K724" s="161"/>
      <c r="L724" s="161"/>
      <c r="M724" s="161"/>
      <c r="N724" s="149"/>
      <c r="O724" s="161"/>
      <c r="P724" s="161"/>
      <c r="S724" s="149"/>
      <c r="T724" s="149"/>
      <c r="V724" s="166"/>
      <c r="W724" s="166"/>
      <c r="X724" s="166"/>
      <c r="Y724" s="166"/>
    </row>
    <row r="725" ht="22.5" customHeight="1">
      <c r="A725" s="161"/>
      <c r="B725" s="162"/>
      <c r="C725" s="161"/>
      <c r="D725" s="194"/>
      <c r="E725" s="194"/>
      <c r="F725" s="162"/>
      <c r="G725" s="149"/>
      <c r="H725" s="161"/>
      <c r="I725" s="161"/>
      <c r="J725" s="161"/>
      <c r="K725" s="161"/>
      <c r="L725" s="161"/>
      <c r="M725" s="161"/>
      <c r="N725" s="149"/>
      <c r="O725" s="161"/>
      <c r="P725" s="161"/>
      <c r="S725" s="149"/>
      <c r="T725" s="149"/>
      <c r="V725" s="166"/>
      <c r="W725" s="166"/>
      <c r="X725" s="166"/>
      <c r="Y725" s="166"/>
    </row>
    <row r="726" ht="22.5" customHeight="1">
      <c r="A726" s="161"/>
      <c r="B726" s="162"/>
      <c r="C726" s="161"/>
      <c r="D726" s="194"/>
      <c r="E726" s="194"/>
      <c r="F726" s="162"/>
      <c r="G726" s="149"/>
      <c r="H726" s="161"/>
      <c r="I726" s="161"/>
      <c r="J726" s="161"/>
      <c r="K726" s="161"/>
      <c r="L726" s="161"/>
      <c r="M726" s="161"/>
      <c r="N726" s="149"/>
      <c r="O726" s="161"/>
      <c r="P726" s="161"/>
      <c r="S726" s="149"/>
      <c r="T726" s="149"/>
      <c r="V726" s="166"/>
      <c r="W726" s="166"/>
      <c r="X726" s="166"/>
      <c r="Y726" s="166"/>
    </row>
    <row r="727" ht="22.5" customHeight="1">
      <c r="A727" s="161"/>
      <c r="B727" s="162"/>
      <c r="C727" s="161"/>
      <c r="D727" s="194"/>
      <c r="E727" s="194"/>
      <c r="F727" s="162"/>
      <c r="G727" s="149"/>
      <c r="H727" s="161"/>
      <c r="I727" s="161"/>
      <c r="J727" s="161"/>
      <c r="K727" s="161"/>
      <c r="L727" s="161"/>
      <c r="M727" s="161"/>
      <c r="N727" s="149"/>
      <c r="O727" s="161"/>
      <c r="P727" s="161"/>
      <c r="S727" s="149"/>
      <c r="T727" s="149"/>
      <c r="V727" s="166"/>
      <c r="W727" s="166"/>
      <c r="X727" s="166"/>
      <c r="Y727" s="166"/>
    </row>
    <row r="728" ht="22.5" customHeight="1">
      <c r="A728" s="161"/>
      <c r="B728" s="162"/>
      <c r="C728" s="161"/>
      <c r="D728" s="194"/>
      <c r="E728" s="194"/>
      <c r="F728" s="162"/>
      <c r="G728" s="149"/>
      <c r="H728" s="161"/>
      <c r="I728" s="161"/>
      <c r="J728" s="161"/>
      <c r="K728" s="161"/>
      <c r="L728" s="161"/>
      <c r="M728" s="161"/>
      <c r="N728" s="149"/>
      <c r="O728" s="161"/>
      <c r="P728" s="161"/>
      <c r="S728" s="149"/>
      <c r="T728" s="149"/>
      <c r="V728" s="166"/>
      <c r="W728" s="166"/>
      <c r="X728" s="166"/>
      <c r="Y728" s="166"/>
    </row>
    <row r="729" ht="22.5" customHeight="1">
      <c r="A729" s="161"/>
      <c r="B729" s="162"/>
      <c r="C729" s="161"/>
      <c r="D729" s="194"/>
      <c r="E729" s="194"/>
      <c r="F729" s="162"/>
      <c r="G729" s="149"/>
      <c r="H729" s="161"/>
      <c r="I729" s="161"/>
      <c r="J729" s="161"/>
      <c r="K729" s="161"/>
      <c r="L729" s="161"/>
      <c r="M729" s="161"/>
      <c r="N729" s="149"/>
      <c r="O729" s="161"/>
      <c r="P729" s="161"/>
      <c r="S729" s="149"/>
      <c r="T729" s="149"/>
      <c r="V729" s="166"/>
      <c r="W729" s="166"/>
      <c r="X729" s="166"/>
      <c r="Y729" s="166"/>
    </row>
    <row r="730" ht="22.5" customHeight="1">
      <c r="A730" s="161"/>
      <c r="B730" s="162"/>
      <c r="C730" s="161"/>
      <c r="D730" s="194"/>
      <c r="E730" s="194"/>
      <c r="F730" s="162"/>
      <c r="G730" s="149"/>
      <c r="H730" s="161"/>
      <c r="I730" s="161"/>
      <c r="J730" s="161"/>
      <c r="K730" s="161"/>
      <c r="L730" s="161"/>
      <c r="M730" s="161"/>
      <c r="N730" s="149"/>
      <c r="O730" s="161"/>
      <c r="P730" s="161"/>
      <c r="S730" s="149"/>
      <c r="T730" s="149"/>
      <c r="V730" s="166"/>
      <c r="W730" s="166"/>
      <c r="X730" s="166"/>
      <c r="Y730" s="166"/>
    </row>
    <row r="731" ht="22.5" customHeight="1">
      <c r="A731" s="161"/>
      <c r="B731" s="162"/>
      <c r="C731" s="161"/>
      <c r="D731" s="194"/>
      <c r="E731" s="194"/>
      <c r="F731" s="162"/>
      <c r="G731" s="149"/>
      <c r="H731" s="161"/>
      <c r="I731" s="161"/>
      <c r="J731" s="161"/>
      <c r="K731" s="161"/>
      <c r="L731" s="161"/>
      <c r="M731" s="161"/>
      <c r="N731" s="149"/>
      <c r="O731" s="161"/>
      <c r="P731" s="161"/>
      <c r="S731" s="149"/>
      <c r="T731" s="149"/>
      <c r="V731" s="166"/>
      <c r="W731" s="166"/>
      <c r="X731" s="166"/>
      <c r="Y731" s="166"/>
    </row>
    <row r="732" ht="22.5" customHeight="1">
      <c r="A732" s="161"/>
      <c r="B732" s="162"/>
      <c r="C732" s="161"/>
      <c r="D732" s="194"/>
      <c r="E732" s="194"/>
      <c r="F732" s="162"/>
      <c r="G732" s="149"/>
      <c r="H732" s="161"/>
      <c r="I732" s="161"/>
      <c r="J732" s="161"/>
      <c r="K732" s="161"/>
      <c r="L732" s="161"/>
      <c r="M732" s="161"/>
      <c r="N732" s="149"/>
      <c r="O732" s="161"/>
      <c r="P732" s="161"/>
      <c r="S732" s="149"/>
      <c r="T732" s="149"/>
      <c r="V732" s="166"/>
      <c r="W732" s="166"/>
      <c r="X732" s="166"/>
      <c r="Y732" s="166"/>
    </row>
    <row r="733" ht="22.5" customHeight="1">
      <c r="A733" s="161"/>
      <c r="B733" s="162"/>
      <c r="C733" s="161"/>
      <c r="D733" s="194"/>
      <c r="E733" s="194"/>
      <c r="F733" s="162"/>
      <c r="G733" s="149"/>
      <c r="H733" s="161"/>
      <c r="I733" s="161"/>
      <c r="J733" s="161"/>
      <c r="K733" s="161"/>
      <c r="L733" s="161"/>
      <c r="M733" s="161"/>
      <c r="N733" s="149"/>
      <c r="O733" s="161"/>
      <c r="P733" s="161"/>
      <c r="S733" s="149"/>
      <c r="T733" s="149"/>
      <c r="V733" s="166"/>
      <c r="W733" s="166"/>
      <c r="X733" s="166"/>
      <c r="Y733" s="166"/>
    </row>
    <row r="734" ht="22.5" customHeight="1">
      <c r="A734" s="161"/>
      <c r="B734" s="162"/>
      <c r="C734" s="161"/>
      <c r="D734" s="194"/>
      <c r="E734" s="194"/>
      <c r="F734" s="162"/>
      <c r="G734" s="149"/>
      <c r="H734" s="161"/>
      <c r="I734" s="161"/>
      <c r="J734" s="161"/>
      <c r="K734" s="161"/>
      <c r="L734" s="161"/>
      <c r="M734" s="161"/>
      <c r="N734" s="149"/>
      <c r="O734" s="161"/>
      <c r="P734" s="161"/>
      <c r="S734" s="149"/>
      <c r="T734" s="149"/>
      <c r="V734" s="166"/>
      <c r="W734" s="166"/>
      <c r="X734" s="166"/>
      <c r="Y734" s="166"/>
    </row>
    <row r="735" ht="22.5" customHeight="1">
      <c r="A735" s="161"/>
      <c r="B735" s="162"/>
      <c r="C735" s="161"/>
      <c r="D735" s="194"/>
      <c r="E735" s="194"/>
      <c r="F735" s="162"/>
      <c r="G735" s="149"/>
      <c r="H735" s="161"/>
      <c r="I735" s="161"/>
      <c r="J735" s="161"/>
      <c r="K735" s="161"/>
      <c r="L735" s="161"/>
      <c r="M735" s="161"/>
      <c r="N735" s="149"/>
      <c r="O735" s="161"/>
      <c r="P735" s="161"/>
      <c r="S735" s="149"/>
      <c r="T735" s="149"/>
      <c r="V735" s="166"/>
      <c r="W735" s="166"/>
      <c r="X735" s="166"/>
      <c r="Y735" s="166"/>
    </row>
    <row r="736" ht="22.5" customHeight="1">
      <c r="A736" s="161"/>
      <c r="B736" s="162"/>
      <c r="C736" s="161"/>
      <c r="D736" s="194"/>
      <c r="E736" s="194"/>
      <c r="F736" s="162"/>
      <c r="G736" s="149"/>
      <c r="H736" s="161"/>
      <c r="I736" s="161"/>
      <c r="J736" s="161"/>
      <c r="K736" s="161"/>
      <c r="L736" s="161"/>
      <c r="M736" s="161"/>
      <c r="N736" s="149"/>
      <c r="O736" s="161"/>
      <c r="P736" s="161"/>
      <c r="S736" s="149"/>
      <c r="T736" s="149"/>
      <c r="V736" s="166"/>
      <c r="W736" s="166"/>
      <c r="X736" s="166"/>
      <c r="Y736" s="166"/>
    </row>
    <row r="737" ht="22.5" customHeight="1">
      <c r="A737" s="161"/>
      <c r="B737" s="162"/>
      <c r="C737" s="161"/>
      <c r="D737" s="194"/>
      <c r="E737" s="194"/>
      <c r="F737" s="162"/>
      <c r="G737" s="149"/>
      <c r="H737" s="161"/>
      <c r="I737" s="161"/>
      <c r="J737" s="161"/>
      <c r="K737" s="161"/>
      <c r="L737" s="161"/>
      <c r="M737" s="161"/>
      <c r="N737" s="149"/>
      <c r="O737" s="161"/>
      <c r="P737" s="161"/>
      <c r="S737" s="149"/>
      <c r="T737" s="149"/>
      <c r="V737" s="166"/>
      <c r="W737" s="166"/>
      <c r="X737" s="166"/>
      <c r="Y737" s="166"/>
    </row>
    <row r="738" ht="22.5" customHeight="1">
      <c r="A738" s="161"/>
      <c r="B738" s="162"/>
      <c r="C738" s="161"/>
      <c r="D738" s="194"/>
      <c r="E738" s="194"/>
      <c r="F738" s="162"/>
      <c r="G738" s="149"/>
      <c r="H738" s="161"/>
      <c r="I738" s="161"/>
      <c r="J738" s="161"/>
      <c r="K738" s="161"/>
      <c r="L738" s="161"/>
      <c r="M738" s="161"/>
      <c r="N738" s="149"/>
      <c r="O738" s="161"/>
      <c r="P738" s="161"/>
      <c r="S738" s="149"/>
      <c r="T738" s="149"/>
      <c r="V738" s="166"/>
      <c r="W738" s="166"/>
      <c r="X738" s="166"/>
      <c r="Y738" s="166"/>
    </row>
    <row r="739" ht="22.5" customHeight="1">
      <c r="A739" s="161"/>
      <c r="B739" s="162"/>
      <c r="C739" s="161"/>
      <c r="D739" s="194"/>
      <c r="E739" s="194"/>
      <c r="F739" s="162"/>
      <c r="G739" s="149"/>
      <c r="H739" s="161"/>
      <c r="I739" s="161"/>
      <c r="J739" s="161"/>
      <c r="K739" s="161"/>
      <c r="L739" s="161"/>
      <c r="M739" s="161"/>
      <c r="N739" s="149"/>
      <c r="O739" s="161"/>
      <c r="P739" s="161"/>
      <c r="S739" s="149"/>
      <c r="T739" s="149"/>
      <c r="V739" s="166"/>
      <c r="W739" s="166"/>
      <c r="X739" s="166"/>
      <c r="Y739" s="166"/>
    </row>
    <row r="740" ht="22.5" customHeight="1">
      <c r="A740" s="161"/>
      <c r="B740" s="162"/>
      <c r="C740" s="161"/>
      <c r="D740" s="194"/>
      <c r="E740" s="194"/>
      <c r="F740" s="162"/>
      <c r="G740" s="149"/>
      <c r="H740" s="161"/>
      <c r="I740" s="161"/>
      <c r="J740" s="161"/>
      <c r="K740" s="161"/>
      <c r="L740" s="161"/>
      <c r="M740" s="161"/>
      <c r="N740" s="149"/>
      <c r="O740" s="161"/>
      <c r="P740" s="161"/>
      <c r="S740" s="149"/>
      <c r="T740" s="149"/>
      <c r="V740" s="166"/>
      <c r="W740" s="166"/>
      <c r="X740" s="166"/>
      <c r="Y740" s="166"/>
    </row>
    <row r="741" ht="22.5" customHeight="1">
      <c r="A741" s="161"/>
      <c r="B741" s="162"/>
      <c r="C741" s="161"/>
      <c r="D741" s="194"/>
      <c r="E741" s="194"/>
      <c r="F741" s="162"/>
      <c r="G741" s="149"/>
      <c r="H741" s="161"/>
      <c r="I741" s="161"/>
      <c r="J741" s="161"/>
      <c r="K741" s="161"/>
      <c r="L741" s="161"/>
      <c r="M741" s="161"/>
      <c r="N741" s="149"/>
      <c r="O741" s="161"/>
      <c r="P741" s="161"/>
      <c r="S741" s="149"/>
      <c r="T741" s="149"/>
      <c r="V741" s="166"/>
      <c r="W741" s="166"/>
      <c r="X741" s="166"/>
      <c r="Y741" s="166"/>
    </row>
    <row r="742" ht="22.5" customHeight="1">
      <c r="A742" s="161"/>
      <c r="B742" s="162"/>
      <c r="C742" s="161"/>
      <c r="D742" s="194"/>
      <c r="E742" s="194"/>
      <c r="F742" s="162"/>
      <c r="G742" s="149"/>
      <c r="H742" s="161"/>
      <c r="I742" s="161"/>
      <c r="J742" s="161"/>
      <c r="K742" s="161"/>
      <c r="L742" s="161"/>
      <c r="M742" s="161"/>
      <c r="N742" s="149"/>
      <c r="O742" s="161"/>
      <c r="P742" s="161"/>
      <c r="S742" s="149"/>
      <c r="T742" s="149"/>
      <c r="V742" s="166"/>
      <c r="W742" s="166"/>
      <c r="X742" s="166"/>
      <c r="Y742" s="166"/>
    </row>
    <row r="743" ht="22.5" customHeight="1">
      <c r="A743" s="161"/>
      <c r="B743" s="162"/>
      <c r="C743" s="161"/>
      <c r="D743" s="194"/>
      <c r="E743" s="194"/>
      <c r="F743" s="162"/>
      <c r="G743" s="149"/>
      <c r="H743" s="161"/>
      <c r="I743" s="161"/>
      <c r="J743" s="161"/>
      <c r="K743" s="161"/>
      <c r="L743" s="161"/>
      <c r="M743" s="161"/>
      <c r="N743" s="149"/>
      <c r="O743" s="161"/>
      <c r="P743" s="161"/>
      <c r="S743" s="149"/>
      <c r="T743" s="149"/>
      <c r="V743" s="166"/>
      <c r="W743" s="166"/>
      <c r="X743" s="166"/>
      <c r="Y743" s="166"/>
    </row>
    <row r="744" ht="22.5" customHeight="1">
      <c r="A744" s="161"/>
      <c r="B744" s="162"/>
      <c r="C744" s="161"/>
      <c r="D744" s="194"/>
      <c r="E744" s="194"/>
      <c r="F744" s="162"/>
      <c r="G744" s="149"/>
      <c r="H744" s="161"/>
      <c r="I744" s="161"/>
      <c r="J744" s="161"/>
      <c r="K744" s="161"/>
      <c r="L744" s="161"/>
      <c r="M744" s="161"/>
      <c r="N744" s="149"/>
      <c r="O744" s="161"/>
      <c r="P744" s="161"/>
      <c r="S744" s="149"/>
      <c r="T744" s="149"/>
      <c r="V744" s="166"/>
      <c r="W744" s="166"/>
      <c r="X744" s="166"/>
      <c r="Y744" s="166"/>
    </row>
    <row r="745" ht="22.5" customHeight="1">
      <c r="A745" s="161"/>
      <c r="B745" s="162"/>
      <c r="C745" s="161"/>
      <c r="D745" s="194"/>
      <c r="E745" s="194"/>
      <c r="F745" s="162"/>
      <c r="G745" s="149"/>
      <c r="H745" s="161"/>
      <c r="I745" s="161"/>
      <c r="J745" s="161"/>
      <c r="K745" s="161"/>
      <c r="L745" s="161"/>
      <c r="M745" s="161"/>
      <c r="N745" s="149"/>
      <c r="O745" s="161"/>
      <c r="P745" s="161"/>
      <c r="S745" s="149"/>
      <c r="T745" s="149"/>
      <c r="V745" s="166"/>
      <c r="W745" s="166"/>
      <c r="X745" s="166"/>
      <c r="Y745" s="166"/>
    </row>
    <row r="746" ht="22.5" customHeight="1">
      <c r="A746" s="161"/>
      <c r="B746" s="162"/>
      <c r="C746" s="161"/>
      <c r="D746" s="194"/>
      <c r="E746" s="194"/>
      <c r="F746" s="162"/>
      <c r="G746" s="149"/>
      <c r="H746" s="161"/>
      <c r="I746" s="161"/>
      <c r="J746" s="161"/>
      <c r="K746" s="161"/>
      <c r="L746" s="161"/>
      <c r="M746" s="161"/>
      <c r="N746" s="149"/>
      <c r="O746" s="161"/>
      <c r="P746" s="161"/>
      <c r="S746" s="149"/>
      <c r="T746" s="149"/>
      <c r="V746" s="166"/>
      <c r="W746" s="166"/>
      <c r="X746" s="166"/>
      <c r="Y746" s="166"/>
    </row>
    <row r="747" ht="22.5" customHeight="1">
      <c r="A747" s="161"/>
      <c r="B747" s="162"/>
      <c r="C747" s="161"/>
      <c r="D747" s="194"/>
      <c r="E747" s="194"/>
      <c r="F747" s="162"/>
      <c r="G747" s="149"/>
      <c r="H747" s="161"/>
      <c r="I747" s="161"/>
      <c r="J747" s="161"/>
      <c r="K747" s="161"/>
      <c r="L747" s="161"/>
      <c r="M747" s="161"/>
      <c r="N747" s="149"/>
      <c r="O747" s="161"/>
      <c r="P747" s="161"/>
      <c r="S747" s="149"/>
      <c r="T747" s="149"/>
      <c r="V747" s="166"/>
      <c r="W747" s="166"/>
      <c r="X747" s="166"/>
      <c r="Y747" s="166"/>
    </row>
    <row r="748" ht="22.5" customHeight="1">
      <c r="A748" s="161"/>
      <c r="B748" s="162"/>
      <c r="C748" s="161"/>
      <c r="D748" s="194"/>
      <c r="E748" s="194"/>
      <c r="F748" s="162"/>
      <c r="G748" s="149"/>
      <c r="H748" s="161"/>
      <c r="I748" s="161"/>
      <c r="J748" s="161"/>
      <c r="K748" s="161"/>
      <c r="L748" s="161"/>
      <c r="M748" s="161"/>
      <c r="N748" s="149"/>
      <c r="O748" s="161"/>
      <c r="P748" s="161"/>
      <c r="S748" s="149"/>
      <c r="T748" s="149"/>
      <c r="V748" s="166"/>
      <c r="W748" s="166"/>
      <c r="X748" s="166"/>
      <c r="Y748" s="166"/>
    </row>
    <row r="749" ht="22.5" customHeight="1">
      <c r="A749" s="161"/>
      <c r="B749" s="162"/>
      <c r="C749" s="161"/>
      <c r="D749" s="194"/>
      <c r="E749" s="194"/>
      <c r="F749" s="162"/>
      <c r="G749" s="149"/>
      <c r="H749" s="161"/>
      <c r="I749" s="161"/>
      <c r="J749" s="161"/>
      <c r="K749" s="161"/>
      <c r="L749" s="161"/>
      <c r="M749" s="161"/>
      <c r="N749" s="149"/>
      <c r="O749" s="161"/>
      <c r="P749" s="161"/>
      <c r="S749" s="149"/>
      <c r="T749" s="149"/>
      <c r="V749" s="166"/>
      <c r="W749" s="166"/>
      <c r="X749" s="166"/>
      <c r="Y749" s="166"/>
    </row>
    <row r="750" ht="22.5" customHeight="1">
      <c r="A750" s="161"/>
      <c r="B750" s="162"/>
      <c r="C750" s="161"/>
      <c r="D750" s="194"/>
      <c r="E750" s="194"/>
      <c r="F750" s="162"/>
      <c r="G750" s="149"/>
      <c r="H750" s="161"/>
      <c r="I750" s="161"/>
      <c r="J750" s="161"/>
      <c r="K750" s="161"/>
      <c r="L750" s="161"/>
      <c r="M750" s="161"/>
      <c r="N750" s="149"/>
      <c r="O750" s="161"/>
      <c r="P750" s="161"/>
      <c r="S750" s="149"/>
      <c r="T750" s="149"/>
      <c r="V750" s="166"/>
      <c r="W750" s="166"/>
      <c r="X750" s="166"/>
      <c r="Y750" s="166"/>
    </row>
    <row r="751" ht="22.5" customHeight="1">
      <c r="A751" s="161"/>
      <c r="B751" s="162"/>
      <c r="C751" s="161"/>
      <c r="D751" s="194"/>
      <c r="E751" s="194"/>
      <c r="F751" s="162"/>
      <c r="G751" s="149"/>
      <c r="H751" s="161"/>
      <c r="I751" s="161"/>
      <c r="J751" s="161"/>
      <c r="K751" s="161"/>
      <c r="L751" s="161"/>
      <c r="M751" s="161"/>
      <c r="N751" s="149"/>
      <c r="O751" s="161"/>
      <c r="P751" s="161"/>
      <c r="S751" s="149"/>
      <c r="T751" s="149"/>
      <c r="V751" s="166"/>
      <c r="W751" s="166"/>
      <c r="X751" s="166"/>
      <c r="Y751" s="166"/>
    </row>
    <row r="752" ht="22.5" customHeight="1">
      <c r="A752" s="161"/>
      <c r="B752" s="162"/>
      <c r="C752" s="161"/>
      <c r="D752" s="194"/>
      <c r="E752" s="194"/>
      <c r="F752" s="162"/>
      <c r="G752" s="149"/>
      <c r="H752" s="161"/>
      <c r="I752" s="161"/>
      <c r="J752" s="161"/>
      <c r="K752" s="161"/>
      <c r="L752" s="161"/>
      <c r="M752" s="161"/>
      <c r="N752" s="149"/>
      <c r="O752" s="161"/>
      <c r="P752" s="161"/>
      <c r="S752" s="149"/>
      <c r="T752" s="149"/>
      <c r="V752" s="166"/>
      <c r="W752" s="166"/>
      <c r="X752" s="166"/>
      <c r="Y752" s="166"/>
    </row>
    <row r="753" ht="22.5" customHeight="1">
      <c r="A753" s="161"/>
      <c r="B753" s="162"/>
      <c r="C753" s="161"/>
      <c r="D753" s="194"/>
      <c r="E753" s="194"/>
      <c r="F753" s="162"/>
      <c r="G753" s="149"/>
      <c r="H753" s="161"/>
      <c r="I753" s="161"/>
      <c r="J753" s="161"/>
      <c r="K753" s="161"/>
      <c r="L753" s="161"/>
      <c r="M753" s="161"/>
      <c r="N753" s="149"/>
      <c r="O753" s="161"/>
      <c r="P753" s="161"/>
      <c r="S753" s="149"/>
      <c r="T753" s="149"/>
      <c r="V753" s="166"/>
      <c r="W753" s="166"/>
      <c r="X753" s="166"/>
      <c r="Y753" s="166"/>
    </row>
    <row r="754" ht="22.5" customHeight="1">
      <c r="A754" s="161"/>
      <c r="B754" s="162"/>
      <c r="C754" s="161"/>
      <c r="D754" s="194"/>
      <c r="E754" s="194"/>
      <c r="F754" s="162"/>
      <c r="G754" s="149"/>
      <c r="H754" s="161"/>
      <c r="I754" s="161"/>
      <c r="J754" s="161"/>
      <c r="K754" s="161"/>
      <c r="L754" s="161"/>
      <c r="M754" s="161"/>
      <c r="N754" s="149"/>
      <c r="O754" s="161"/>
      <c r="P754" s="161"/>
      <c r="S754" s="149"/>
      <c r="T754" s="149"/>
      <c r="V754" s="166"/>
      <c r="W754" s="166"/>
      <c r="X754" s="166"/>
      <c r="Y754" s="166"/>
    </row>
    <row r="755" ht="22.5" customHeight="1">
      <c r="A755" s="161"/>
      <c r="B755" s="162"/>
      <c r="C755" s="161"/>
      <c r="D755" s="194"/>
      <c r="E755" s="194"/>
      <c r="F755" s="162"/>
      <c r="G755" s="149"/>
      <c r="H755" s="161"/>
      <c r="I755" s="161"/>
      <c r="J755" s="161"/>
      <c r="K755" s="161"/>
      <c r="L755" s="161"/>
      <c r="M755" s="161"/>
      <c r="N755" s="149"/>
      <c r="O755" s="161"/>
      <c r="P755" s="161"/>
      <c r="S755" s="149"/>
      <c r="T755" s="149"/>
      <c r="V755" s="166"/>
      <c r="W755" s="166"/>
      <c r="X755" s="166"/>
      <c r="Y755" s="166"/>
    </row>
    <row r="756" ht="22.5" customHeight="1">
      <c r="A756" s="161"/>
      <c r="B756" s="162"/>
      <c r="C756" s="161"/>
      <c r="D756" s="194"/>
      <c r="E756" s="194"/>
      <c r="F756" s="162"/>
      <c r="G756" s="149"/>
      <c r="H756" s="161"/>
      <c r="I756" s="161"/>
      <c r="J756" s="161"/>
      <c r="K756" s="161"/>
      <c r="L756" s="161"/>
      <c r="M756" s="161"/>
      <c r="N756" s="149"/>
      <c r="O756" s="161"/>
      <c r="P756" s="161"/>
      <c r="S756" s="149"/>
      <c r="T756" s="149"/>
      <c r="V756" s="166"/>
      <c r="W756" s="166"/>
      <c r="X756" s="166"/>
      <c r="Y756" s="166"/>
    </row>
    <row r="757" ht="22.5" customHeight="1">
      <c r="A757" s="161"/>
      <c r="B757" s="162"/>
      <c r="C757" s="161"/>
      <c r="D757" s="194"/>
      <c r="E757" s="194"/>
      <c r="F757" s="162"/>
      <c r="G757" s="149"/>
      <c r="H757" s="161"/>
      <c r="I757" s="161"/>
      <c r="J757" s="161"/>
      <c r="K757" s="161"/>
      <c r="L757" s="161"/>
      <c r="M757" s="161"/>
      <c r="N757" s="149"/>
      <c r="O757" s="161"/>
      <c r="P757" s="161"/>
      <c r="S757" s="149"/>
      <c r="T757" s="149"/>
      <c r="V757" s="166"/>
      <c r="W757" s="166"/>
      <c r="X757" s="166"/>
      <c r="Y757" s="166"/>
    </row>
    <row r="758" ht="22.5" customHeight="1">
      <c r="A758" s="161"/>
      <c r="B758" s="162"/>
      <c r="C758" s="161"/>
      <c r="D758" s="194"/>
      <c r="E758" s="194"/>
      <c r="F758" s="162"/>
      <c r="G758" s="149"/>
      <c r="H758" s="161"/>
      <c r="I758" s="161"/>
      <c r="J758" s="161"/>
      <c r="K758" s="161"/>
      <c r="L758" s="161"/>
      <c r="M758" s="161"/>
      <c r="N758" s="149"/>
      <c r="O758" s="161"/>
      <c r="P758" s="161"/>
      <c r="S758" s="149"/>
      <c r="T758" s="149"/>
      <c r="V758" s="166"/>
      <c r="W758" s="166"/>
      <c r="X758" s="166"/>
      <c r="Y758" s="166"/>
    </row>
    <row r="759" ht="22.5" customHeight="1">
      <c r="A759" s="161"/>
      <c r="B759" s="162"/>
      <c r="C759" s="161"/>
      <c r="D759" s="194"/>
      <c r="E759" s="194"/>
      <c r="F759" s="162"/>
      <c r="G759" s="149"/>
      <c r="H759" s="161"/>
      <c r="I759" s="161"/>
      <c r="J759" s="161"/>
      <c r="K759" s="161"/>
      <c r="L759" s="161"/>
      <c r="M759" s="161"/>
      <c r="N759" s="149"/>
      <c r="O759" s="161"/>
      <c r="P759" s="161"/>
      <c r="S759" s="149"/>
      <c r="T759" s="149"/>
      <c r="V759" s="166"/>
      <c r="W759" s="166"/>
      <c r="X759" s="166"/>
      <c r="Y759" s="166"/>
    </row>
    <row r="760" ht="22.5" customHeight="1">
      <c r="A760" s="161"/>
      <c r="B760" s="162"/>
      <c r="C760" s="161"/>
      <c r="D760" s="194"/>
      <c r="E760" s="194"/>
      <c r="F760" s="162"/>
      <c r="G760" s="149"/>
      <c r="H760" s="161"/>
      <c r="I760" s="161"/>
      <c r="J760" s="161"/>
      <c r="K760" s="161"/>
      <c r="L760" s="161"/>
      <c r="M760" s="161"/>
      <c r="N760" s="149"/>
      <c r="O760" s="161"/>
      <c r="P760" s="161"/>
      <c r="S760" s="149"/>
      <c r="T760" s="149"/>
      <c r="V760" s="166"/>
      <c r="W760" s="166"/>
      <c r="X760" s="166"/>
      <c r="Y760" s="166"/>
    </row>
    <row r="761" ht="22.5" customHeight="1">
      <c r="A761" s="161"/>
      <c r="B761" s="162"/>
      <c r="C761" s="161"/>
      <c r="D761" s="194"/>
      <c r="E761" s="194"/>
      <c r="F761" s="162"/>
      <c r="G761" s="149"/>
      <c r="H761" s="161"/>
      <c r="I761" s="161"/>
      <c r="J761" s="161"/>
      <c r="K761" s="161"/>
      <c r="L761" s="161"/>
      <c r="M761" s="161"/>
      <c r="N761" s="149"/>
      <c r="O761" s="161"/>
      <c r="P761" s="161"/>
      <c r="S761" s="149"/>
      <c r="T761" s="149"/>
      <c r="V761" s="166"/>
      <c r="W761" s="166"/>
      <c r="X761" s="166"/>
      <c r="Y761" s="166"/>
    </row>
    <row r="762" ht="22.5" customHeight="1">
      <c r="A762" s="161"/>
      <c r="B762" s="162"/>
      <c r="C762" s="161"/>
      <c r="D762" s="194"/>
      <c r="E762" s="194"/>
      <c r="F762" s="162"/>
      <c r="G762" s="149"/>
      <c r="H762" s="161"/>
      <c r="I762" s="161"/>
      <c r="J762" s="161"/>
      <c r="K762" s="161"/>
      <c r="L762" s="161"/>
      <c r="M762" s="161"/>
      <c r="N762" s="149"/>
      <c r="O762" s="161"/>
      <c r="P762" s="161"/>
      <c r="S762" s="149"/>
      <c r="T762" s="149"/>
      <c r="V762" s="166"/>
      <c r="W762" s="166"/>
      <c r="X762" s="166"/>
      <c r="Y762" s="166"/>
    </row>
    <row r="763" ht="22.5" customHeight="1">
      <c r="A763" s="161"/>
      <c r="B763" s="162"/>
      <c r="C763" s="161"/>
      <c r="D763" s="194"/>
      <c r="E763" s="194"/>
      <c r="F763" s="162"/>
      <c r="G763" s="149"/>
      <c r="H763" s="161"/>
      <c r="I763" s="161"/>
      <c r="J763" s="161"/>
      <c r="K763" s="161"/>
      <c r="L763" s="161"/>
      <c r="M763" s="161"/>
      <c r="N763" s="149"/>
      <c r="O763" s="161"/>
      <c r="P763" s="161"/>
      <c r="S763" s="149"/>
      <c r="T763" s="149"/>
      <c r="V763" s="166"/>
      <c r="W763" s="166"/>
      <c r="X763" s="166"/>
      <c r="Y763" s="166"/>
    </row>
    <row r="764" ht="22.5" customHeight="1">
      <c r="A764" s="161"/>
      <c r="B764" s="162"/>
      <c r="C764" s="161"/>
      <c r="D764" s="194"/>
      <c r="E764" s="194"/>
      <c r="F764" s="162"/>
      <c r="G764" s="149"/>
      <c r="H764" s="161"/>
      <c r="I764" s="161"/>
      <c r="J764" s="161"/>
      <c r="K764" s="161"/>
      <c r="L764" s="161"/>
      <c r="M764" s="161"/>
      <c r="N764" s="149"/>
      <c r="O764" s="161"/>
      <c r="P764" s="161"/>
      <c r="S764" s="149"/>
      <c r="T764" s="149"/>
      <c r="V764" s="166"/>
      <c r="W764" s="166"/>
      <c r="X764" s="166"/>
      <c r="Y764" s="166"/>
    </row>
    <row r="765" ht="22.5" customHeight="1">
      <c r="A765" s="161"/>
      <c r="B765" s="162"/>
      <c r="C765" s="161"/>
      <c r="D765" s="194"/>
      <c r="E765" s="194"/>
      <c r="F765" s="162"/>
      <c r="G765" s="149"/>
      <c r="H765" s="161"/>
      <c r="I765" s="161"/>
      <c r="J765" s="161"/>
      <c r="K765" s="161"/>
      <c r="L765" s="161"/>
      <c r="M765" s="161"/>
      <c r="N765" s="149"/>
      <c r="O765" s="161"/>
      <c r="P765" s="161"/>
      <c r="S765" s="149"/>
      <c r="T765" s="149"/>
      <c r="V765" s="166"/>
      <c r="W765" s="166"/>
      <c r="X765" s="166"/>
      <c r="Y765" s="166"/>
    </row>
    <row r="766" ht="22.5" customHeight="1">
      <c r="A766" s="161"/>
      <c r="B766" s="162"/>
      <c r="C766" s="161"/>
      <c r="D766" s="194"/>
      <c r="E766" s="194"/>
      <c r="F766" s="162"/>
      <c r="G766" s="149"/>
      <c r="H766" s="161"/>
      <c r="I766" s="161"/>
      <c r="J766" s="161"/>
      <c r="K766" s="161"/>
      <c r="L766" s="161"/>
      <c r="M766" s="161"/>
      <c r="N766" s="149"/>
      <c r="O766" s="161"/>
      <c r="P766" s="161"/>
      <c r="S766" s="149"/>
      <c r="T766" s="149"/>
      <c r="V766" s="166"/>
      <c r="W766" s="166"/>
      <c r="X766" s="166"/>
      <c r="Y766" s="166"/>
    </row>
    <row r="767" ht="22.5" customHeight="1">
      <c r="A767" s="161"/>
      <c r="B767" s="162"/>
      <c r="C767" s="161"/>
      <c r="D767" s="194"/>
      <c r="E767" s="194"/>
      <c r="F767" s="162"/>
      <c r="G767" s="149"/>
      <c r="H767" s="161"/>
      <c r="I767" s="161"/>
      <c r="J767" s="161"/>
      <c r="K767" s="161"/>
      <c r="L767" s="161"/>
      <c r="M767" s="161"/>
      <c r="N767" s="149"/>
      <c r="O767" s="161"/>
      <c r="P767" s="161"/>
      <c r="S767" s="149"/>
      <c r="T767" s="149"/>
      <c r="V767" s="166"/>
      <c r="W767" s="166"/>
      <c r="X767" s="166"/>
      <c r="Y767" s="166"/>
    </row>
    <row r="768" ht="22.5" customHeight="1">
      <c r="A768" s="161"/>
      <c r="B768" s="162"/>
      <c r="C768" s="161"/>
      <c r="D768" s="194"/>
      <c r="E768" s="194"/>
      <c r="F768" s="162"/>
      <c r="G768" s="149"/>
      <c r="H768" s="161"/>
      <c r="I768" s="161"/>
      <c r="J768" s="161"/>
      <c r="K768" s="161"/>
      <c r="L768" s="161"/>
      <c r="M768" s="161"/>
      <c r="N768" s="149"/>
      <c r="O768" s="161"/>
      <c r="P768" s="161"/>
      <c r="S768" s="149"/>
      <c r="T768" s="149"/>
      <c r="V768" s="166"/>
      <c r="W768" s="166"/>
      <c r="X768" s="166"/>
      <c r="Y768" s="166"/>
    </row>
    <row r="769" ht="22.5" customHeight="1">
      <c r="A769" s="161"/>
      <c r="B769" s="162"/>
      <c r="C769" s="161"/>
      <c r="D769" s="194"/>
      <c r="E769" s="194"/>
      <c r="F769" s="162"/>
      <c r="G769" s="149"/>
      <c r="H769" s="161"/>
      <c r="I769" s="161"/>
      <c r="J769" s="161"/>
      <c r="K769" s="161"/>
      <c r="L769" s="161"/>
      <c r="M769" s="161"/>
      <c r="N769" s="149"/>
      <c r="O769" s="161"/>
      <c r="P769" s="161"/>
      <c r="S769" s="149"/>
      <c r="T769" s="149"/>
      <c r="V769" s="166"/>
      <c r="W769" s="166"/>
      <c r="X769" s="166"/>
      <c r="Y769" s="166"/>
    </row>
    <row r="770" ht="22.5" customHeight="1">
      <c r="A770" s="161"/>
      <c r="B770" s="162"/>
      <c r="C770" s="161"/>
      <c r="D770" s="194"/>
      <c r="E770" s="194"/>
      <c r="F770" s="162"/>
      <c r="G770" s="149"/>
      <c r="H770" s="161"/>
      <c r="I770" s="161"/>
      <c r="J770" s="161"/>
      <c r="K770" s="161"/>
      <c r="L770" s="161"/>
      <c r="M770" s="161"/>
      <c r="N770" s="149"/>
      <c r="O770" s="161"/>
      <c r="P770" s="161"/>
      <c r="S770" s="149"/>
      <c r="T770" s="149"/>
      <c r="V770" s="166"/>
      <c r="W770" s="166"/>
      <c r="X770" s="166"/>
      <c r="Y770" s="166"/>
    </row>
    <row r="771" ht="22.5" customHeight="1">
      <c r="A771" s="161"/>
      <c r="B771" s="162"/>
      <c r="C771" s="161"/>
      <c r="D771" s="194"/>
      <c r="E771" s="194"/>
      <c r="F771" s="162"/>
      <c r="G771" s="149"/>
      <c r="H771" s="161"/>
      <c r="I771" s="161"/>
      <c r="J771" s="161"/>
      <c r="K771" s="161"/>
      <c r="L771" s="161"/>
      <c r="M771" s="161"/>
      <c r="N771" s="149"/>
      <c r="O771" s="161"/>
      <c r="P771" s="161"/>
      <c r="S771" s="149"/>
      <c r="T771" s="149"/>
      <c r="V771" s="166"/>
      <c r="W771" s="166"/>
      <c r="X771" s="166"/>
      <c r="Y771" s="166"/>
    </row>
    <row r="772" ht="22.5" customHeight="1">
      <c r="A772" s="161"/>
      <c r="B772" s="162"/>
      <c r="C772" s="161"/>
      <c r="D772" s="194"/>
      <c r="E772" s="194"/>
      <c r="F772" s="162"/>
      <c r="G772" s="149"/>
      <c r="H772" s="161"/>
      <c r="I772" s="161"/>
      <c r="J772" s="161"/>
      <c r="K772" s="161"/>
      <c r="L772" s="161"/>
      <c r="M772" s="161"/>
      <c r="N772" s="149"/>
      <c r="O772" s="161"/>
      <c r="P772" s="161"/>
      <c r="S772" s="149"/>
      <c r="T772" s="149"/>
      <c r="V772" s="166"/>
      <c r="W772" s="166"/>
      <c r="X772" s="166"/>
      <c r="Y772" s="166"/>
    </row>
    <row r="773" ht="22.5" customHeight="1">
      <c r="A773" s="161"/>
      <c r="B773" s="162"/>
      <c r="C773" s="161"/>
      <c r="D773" s="194"/>
      <c r="E773" s="194"/>
      <c r="F773" s="162"/>
      <c r="G773" s="149"/>
      <c r="H773" s="161"/>
      <c r="I773" s="161"/>
      <c r="J773" s="161"/>
      <c r="K773" s="161"/>
      <c r="L773" s="161"/>
      <c r="M773" s="161"/>
      <c r="N773" s="149"/>
      <c r="O773" s="161"/>
      <c r="P773" s="161"/>
      <c r="S773" s="149"/>
      <c r="T773" s="149"/>
      <c r="V773" s="166"/>
      <c r="W773" s="166"/>
      <c r="X773" s="166"/>
      <c r="Y773" s="166"/>
    </row>
    <row r="774" ht="22.5" customHeight="1">
      <c r="A774" s="161"/>
      <c r="B774" s="162"/>
      <c r="C774" s="161"/>
      <c r="D774" s="194"/>
      <c r="E774" s="194"/>
      <c r="F774" s="162"/>
      <c r="G774" s="149"/>
      <c r="H774" s="161"/>
      <c r="I774" s="161"/>
      <c r="J774" s="161"/>
      <c r="K774" s="161"/>
      <c r="L774" s="161"/>
      <c r="M774" s="161"/>
      <c r="N774" s="149"/>
      <c r="O774" s="161"/>
      <c r="P774" s="161"/>
      <c r="S774" s="149"/>
      <c r="T774" s="149"/>
      <c r="V774" s="166"/>
      <c r="W774" s="166"/>
      <c r="X774" s="166"/>
      <c r="Y774" s="166"/>
    </row>
    <row r="775" ht="22.5" customHeight="1">
      <c r="A775" s="161"/>
      <c r="B775" s="162"/>
      <c r="C775" s="161"/>
      <c r="D775" s="194"/>
      <c r="E775" s="194"/>
      <c r="F775" s="162"/>
      <c r="G775" s="149"/>
      <c r="H775" s="161"/>
      <c r="I775" s="161"/>
      <c r="J775" s="161"/>
      <c r="K775" s="161"/>
      <c r="L775" s="161"/>
      <c r="M775" s="161"/>
      <c r="N775" s="149"/>
      <c r="O775" s="161"/>
      <c r="P775" s="161"/>
      <c r="S775" s="149"/>
      <c r="T775" s="149"/>
      <c r="V775" s="166"/>
      <c r="W775" s="166"/>
      <c r="X775" s="166"/>
      <c r="Y775" s="166"/>
    </row>
    <row r="776" ht="22.5" customHeight="1">
      <c r="A776" s="161"/>
      <c r="B776" s="162"/>
      <c r="C776" s="161"/>
      <c r="D776" s="194"/>
      <c r="E776" s="194"/>
      <c r="F776" s="162"/>
      <c r="G776" s="149"/>
      <c r="H776" s="161"/>
      <c r="I776" s="161"/>
      <c r="J776" s="161"/>
      <c r="K776" s="161"/>
      <c r="L776" s="161"/>
      <c r="M776" s="161"/>
      <c r="N776" s="149"/>
      <c r="O776" s="161"/>
      <c r="P776" s="161"/>
      <c r="S776" s="149"/>
      <c r="T776" s="149"/>
      <c r="V776" s="166"/>
      <c r="W776" s="166"/>
      <c r="X776" s="166"/>
      <c r="Y776" s="166"/>
    </row>
    <row r="777" ht="22.5" customHeight="1">
      <c r="A777" s="161"/>
      <c r="B777" s="162"/>
      <c r="C777" s="161"/>
      <c r="D777" s="194"/>
      <c r="E777" s="194"/>
      <c r="F777" s="162"/>
      <c r="G777" s="149"/>
      <c r="H777" s="161"/>
      <c r="I777" s="161"/>
      <c r="J777" s="161"/>
      <c r="K777" s="161"/>
      <c r="L777" s="161"/>
      <c r="M777" s="161"/>
      <c r="N777" s="149"/>
      <c r="O777" s="161"/>
      <c r="P777" s="161"/>
      <c r="S777" s="149"/>
      <c r="T777" s="149"/>
      <c r="V777" s="166"/>
      <c r="W777" s="166"/>
      <c r="X777" s="166"/>
      <c r="Y777" s="166"/>
    </row>
    <row r="778" ht="22.5" customHeight="1">
      <c r="A778" s="161"/>
      <c r="B778" s="162"/>
      <c r="C778" s="161"/>
      <c r="D778" s="194"/>
      <c r="E778" s="194"/>
      <c r="F778" s="162"/>
      <c r="G778" s="149"/>
      <c r="H778" s="161"/>
      <c r="I778" s="161"/>
      <c r="J778" s="161"/>
      <c r="K778" s="161"/>
      <c r="L778" s="161"/>
      <c r="M778" s="161"/>
      <c r="N778" s="149"/>
      <c r="O778" s="161"/>
      <c r="P778" s="161"/>
      <c r="S778" s="149"/>
      <c r="T778" s="149"/>
      <c r="V778" s="166"/>
      <c r="W778" s="166"/>
      <c r="X778" s="166"/>
      <c r="Y778" s="166"/>
    </row>
    <row r="779" ht="22.5" customHeight="1">
      <c r="A779" s="161"/>
      <c r="B779" s="162"/>
      <c r="C779" s="161"/>
      <c r="D779" s="194"/>
      <c r="E779" s="194"/>
      <c r="F779" s="162"/>
      <c r="G779" s="149"/>
      <c r="H779" s="161"/>
      <c r="I779" s="161"/>
      <c r="J779" s="161"/>
      <c r="K779" s="161"/>
      <c r="L779" s="161"/>
      <c r="M779" s="161"/>
      <c r="N779" s="149"/>
      <c r="O779" s="161"/>
      <c r="P779" s="161"/>
      <c r="S779" s="149"/>
      <c r="T779" s="149"/>
      <c r="V779" s="166"/>
      <c r="W779" s="166"/>
      <c r="X779" s="166"/>
      <c r="Y779" s="166"/>
    </row>
    <row r="780" ht="22.5" customHeight="1">
      <c r="A780" s="161"/>
      <c r="B780" s="162"/>
      <c r="C780" s="161"/>
      <c r="D780" s="194"/>
      <c r="E780" s="194"/>
      <c r="F780" s="162"/>
      <c r="G780" s="149"/>
      <c r="H780" s="161"/>
      <c r="I780" s="161"/>
      <c r="J780" s="161"/>
      <c r="K780" s="161"/>
      <c r="L780" s="161"/>
      <c r="M780" s="161"/>
      <c r="N780" s="149"/>
      <c r="O780" s="161"/>
      <c r="P780" s="161"/>
      <c r="S780" s="149"/>
      <c r="T780" s="149"/>
      <c r="V780" s="166"/>
      <c r="W780" s="166"/>
      <c r="X780" s="166"/>
      <c r="Y780" s="166"/>
    </row>
    <row r="781" ht="22.5" customHeight="1">
      <c r="A781" s="161"/>
      <c r="B781" s="162"/>
      <c r="C781" s="161"/>
      <c r="D781" s="194"/>
      <c r="E781" s="194"/>
      <c r="F781" s="162"/>
      <c r="G781" s="149"/>
      <c r="H781" s="161"/>
      <c r="I781" s="161"/>
      <c r="J781" s="161"/>
      <c r="K781" s="161"/>
      <c r="L781" s="161"/>
      <c r="M781" s="161"/>
      <c r="N781" s="149"/>
      <c r="O781" s="161"/>
      <c r="P781" s="161"/>
      <c r="S781" s="149"/>
      <c r="T781" s="149"/>
      <c r="V781" s="166"/>
      <c r="W781" s="166"/>
      <c r="X781" s="166"/>
      <c r="Y781" s="166"/>
    </row>
    <row r="782" ht="22.5" customHeight="1">
      <c r="A782" s="161"/>
      <c r="B782" s="162"/>
      <c r="C782" s="161"/>
      <c r="D782" s="194"/>
      <c r="E782" s="194"/>
      <c r="F782" s="162"/>
      <c r="G782" s="149"/>
      <c r="H782" s="161"/>
      <c r="I782" s="161"/>
      <c r="J782" s="161"/>
      <c r="K782" s="161"/>
      <c r="L782" s="161"/>
      <c r="M782" s="161"/>
      <c r="N782" s="149"/>
      <c r="O782" s="161"/>
      <c r="P782" s="161"/>
      <c r="S782" s="149"/>
      <c r="T782" s="149"/>
      <c r="V782" s="166"/>
      <c r="W782" s="166"/>
      <c r="X782" s="166"/>
      <c r="Y782" s="166"/>
    </row>
    <row r="783" ht="22.5" customHeight="1">
      <c r="A783" s="161"/>
      <c r="B783" s="162"/>
      <c r="C783" s="161"/>
      <c r="D783" s="194"/>
      <c r="E783" s="194"/>
      <c r="F783" s="162"/>
      <c r="G783" s="149"/>
      <c r="H783" s="161"/>
      <c r="I783" s="161"/>
      <c r="J783" s="161"/>
      <c r="K783" s="161"/>
      <c r="L783" s="161"/>
      <c r="M783" s="161"/>
      <c r="N783" s="149"/>
      <c r="O783" s="161"/>
      <c r="P783" s="161"/>
      <c r="S783" s="149"/>
      <c r="T783" s="149"/>
      <c r="V783" s="166"/>
      <c r="W783" s="166"/>
      <c r="X783" s="166"/>
      <c r="Y783" s="166"/>
    </row>
    <row r="784" ht="22.5" customHeight="1">
      <c r="A784" s="161"/>
      <c r="B784" s="162"/>
      <c r="C784" s="161"/>
      <c r="D784" s="194"/>
      <c r="E784" s="194"/>
      <c r="F784" s="162"/>
      <c r="G784" s="149"/>
      <c r="H784" s="161"/>
      <c r="I784" s="161"/>
      <c r="J784" s="161"/>
      <c r="K784" s="161"/>
      <c r="L784" s="161"/>
      <c r="M784" s="161"/>
      <c r="N784" s="149"/>
      <c r="O784" s="161"/>
      <c r="P784" s="161"/>
      <c r="S784" s="149"/>
      <c r="T784" s="149"/>
      <c r="V784" s="166"/>
      <c r="W784" s="166"/>
      <c r="X784" s="166"/>
      <c r="Y784" s="166"/>
    </row>
    <row r="785" ht="22.5" customHeight="1">
      <c r="A785" s="161"/>
      <c r="B785" s="162"/>
      <c r="C785" s="161"/>
      <c r="D785" s="194"/>
      <c r="E785" s="194"/>
      <c r="F785" s="162"/>
      <c r="G785" s="149"/>
      <c r="H785" s="161"/>
      <c r="I785" s="161"/>
      <c r="J785" s="161"/>
      <c r="K785" s="161"/>
      <c r="L785" s="161"/>
      <c r="M785" s="161"/>
      <c r="N785" s="149"/>
      <c r="O785" s="161"/>
      <c r="P785" s="161"/>
      <c r="S785" s="149"/>
      <c r="T785" s="149"/>
      <c r="V785" s="166"/>
      <c r="W785" s="166"/>
      <c r="X785" s="166"/>
      <c r="Y785" s="166"/>
    </row>
    <row r="786" ht="22.5" customHeight="1">
      <c r="A786" s="161"/>
      <c r="B786" s="162"/>
      <c r="C786" s="161"/>
      <c r="D786" s="194"/>
      <c r="E786" s="194"/>
      <c r="F786" s="162"/>
      <c r="G786" s="149"/>
      <c r="H786" s="161"/>
      <c r="I786" s="161"/>
      <c r="J786" s="161"/>
      <c r="K786" s="161"/>
      <c r="L786" s="161"/>
      <c r="M786" s="161"/>
      <c r="N786" s="149"/>
      <c r="O786" s="161"/>
      <c r="P786" s="161"/>
      <c r="S786" s="149"/>
      <c r="T786" s="149"/>
      <c r="V786" s="166"/>
      <c r="W786" s="166"/>
      <c r="X786" s="166"/>
      <c r="Y786" s="166"/>
    </row>
    <row r="787" ht="22.5" customHeight="1">
      <c r="A787" s="161"/>
      <c r="B787" s="162"/>
      <c r="C787" s="161"/>
      <c r="D787" s="194"/>
      <c r="E787" s="194"/>
      <c r="F787" s="162"/>
      <c r="G787" s="149"/>
      <c r="H787" s="161"/>
      <c r="I787" s="161"/>
      <c r="J787" s="161"/>
      <c r="K787" s="161"/>
      <c r="L787" s="161"/>
      <c r="M787" s="161"/>
      <c r="N787" s="149"/>
      <c r="O787" s="161"/>
      <c r="P787" s="161"/>
      <c r="S787" s="149"/>
      <c r="T787" s="149"/>
      <c r="V787" s="166"/>
      <c r="W787" s="166"/>
      <c r="X787" s="166"/>
      <c r="Y787" s="166"/>
    </row>
    <row r="788" ht="22.5" customHeight="1">
      <c r="A788" s="161"/>
      <c r="B788" s="162"/>
      <c r="C788" s="161"/>
      <c r="D788" s="194"/>
      <c r="E788" s="194"/>
      <c r="F788" s="162"/>
      <c r="G788" s="149"/>
      <c r="H788" s="161"/>
      <c r="I788" s="161"/>
      <c r="J788" s="161"/>
      <c r="K788" s="161"/>
      <c r="L788" s="161"/>
      <c r="M788" s="161"/>
      <c r="N788" s="149"/>
      <c r="O788" s="161"/>
      <c r="P788" s="161"/>
      <c r="S788" s="149"/>
      <c r="T788" s="149"/>
      <c r="V788" s="166"/>
      <c r="W788" s="166"/>
      <c r="X788" s="166"/>
      <c r="Y788" s="166"/>
    </row>
    <row r="789" ht="22.5" customHeight="1">
      <c r="A789" s="161"/>
      <c r="B789" s="162"/>
      <c r="C789" s="161"/>
      <c r="D789" s="194"/>
      <c r="E789" s="194"/>
      <c r="F789" s="162"/>
      <c r="G789" s="149"/>
      <c r="H789" s="161"/>
      <c r="I789" s="161"/>
      <c r="J789" s="161"/>
      <c r="K789" s="161"/>
      <c r="L789" s="161"/>
      <c r="M789" s="161"/>
      <c r="N789" s="149"/>
      <c r="O789" s="161"/>
      <c r="P789" s="161"/>
      <c r="S789" s="149"/>
      <c r="T789" s="149"/>
      <c r="V789" s="166"/>
      <c r="W789" s="166"/>
      <c r="X789" s="166"/>
      <c r="Y789" s="166"/>
    </row>
    <row r="790" ht="22.5" customHeight="1">
      <c r="A790" s="161"/>
      <c r="B790" s="162"/>
      <c r="C790" s="161"/>
      <c r="D790" s="194"/>
      <c r="E790" s="194"/>
      <c r="F790" s="162"/>
      <c r="G790" s="149"/>
      <c r="H790" s="161"/>
      <c r="I790" s="161"/>
      <c r="J790" s="161"/>
      <c r="K790" s="161"/>
      <c r="L790" s="161"/>
      <c r="M790" s="161"/>
      <c r="N790" s="149"/>
      <c r="O790" s="161"/>
      <c r="P790" s="161"/>
      <c r="S790" s="149"/>
      <c r="T790" s="149"/>
      <c r="V790" s="166"/>
      <c r="W790" s="166"/>
      <c r="X790" s="166"/>
      <c r="Y790" s="166"/>
    </row>
    <row r="791" ht="22.5" customHeight="1">
      <c r="A791" s="161"/>
      <c r="B791" s="162"/>
      <c r="C791" s="161"/>
      <c r="D791" s="194"/>
      <c r="E791" s="194"/>
      <c r="F791" s="162"/>
      <c r="G791" s="149"/>
      <c r="H791" s="161"/>
      <c r="I791" s="161"/>
      <c r="J791" s="161"/>
      <c r="K791" s="161"/>
      <c r="L791" s="161"/>
      <c r="M791" s="161"/>
      <c r="N791" s="149"/>
      <c r="O791" s="161"/>
      <c r="P791" s="161"/>
      <c r="S791" s="149"/>
      <c r="T791" s="149"/>
      <c r="V791" s="166"/>
      <c r="W791" s="166"/>
      <c r="X791" s="166"/>
      <c r="Y791" s="166"/>
    </row>
    <row r="792" ht="22.5" customHeight="1">
      <c r="A792" s="161"/>
      <c r="B792" s="162"/>
      <c r="C792" s="161"/>
      <c r="D792" s="194"/>
      <c r="E792" s="194"/>
      <c r="F792" s="162"/>
      <c r="G792" s="149"/>
      <c r="H792" s="161"/>
      <c r="I792" s="161"/>
      <c r="J792" s="161"/>
      <c r="K792" s="161"/>
      <c r="L792" s="161"/>
      <c r="M792" s="161"/>
      <c r="N792" s="149"/>
      <c r="O792" s="161"/>
      <c r="P792" s="161"/>
      <c r="S792" s="149"/>
      <c r="T792" s="149"/>
      <c r="V792" s="166"/>
      <c r="W792" s="166"/>
      <c r="X792" s="166"/>
      <c r="Y792" s="166"/>
    </row>
    <row r="793" ht="22.5" customHeight="1">
      <c r="A793" s="161"/>
      <c r="B793" s="162"/>
      <c r="C793" s="161"/>
      <c r="D793" s="194"/>
      <c r="E793" s="194"/>
      <c r="F793" s="162"/>
      <c r="G793" s="149"/>
      <c r="H793" s="161"/>
      <c r="I793" s="161"/>
      <c r="J793" s="161"/>
      <c r="K793" s="161"/>
      <c r="L793" s="161"/>
      <c r="M793" s="161"/>
      <c r="N793" s="149"/>
      <c r="O793" s="161"/>
      <c r="P793" s="161"/>
      <c r="S793" s="149"/>
      <c r="T793" s="149"/>
      <c r="V793" s="166"/>
      <c r="W793" s="166"/>
      <c r="X793" s="166"/>
      <c r="Y793" s="166"/>
    </row>
    <row r="794" ht="22.5" customHeight="1">
      <c r="A794" s="161"/>
      <c r="B794" s="162"/>
      <c r="C794" s="161"/>
      <c r="D794" s="194"/>
      <c r="E794" s="194"/>
      <c r="F794" s="162"/>
      <c r="G794" s="149"/>
      <c r="H794" s="161"/>
      <c r="I794" s="161"/>
      <c r="J794" s="161"/>
      <c r="K794" s="161"/>
      <c r="L794" s="161"/>
      <c r="M794" s="161"/>
      <c r="N794" s="149"/>
      <c r="O794" s="161"/>
      <c r="P794" s="161"/>
      <c r="S794" s="149"/>
      <c r="T794" s="149"/>
      <c r="V794" s="166"/>
      <c r="W794" s="166"/>
      <c r="X794" s="166"/>
      <c r="Y794" s="166"/>
    </row>
    <row r="795" ht="22.5" customHeight="1">
      <c r="A795" s="161"/>
      <c r="B795" s="162"/>
      <c r="C795" s="161"/>
      <c r="D795" s="194"/>
      <c r="E795" s="194"/>
      <c r="F795" s="162"/>
      <c r="G795" s="149"/>
      <c r="H795" s="161"/>
      <c r="I795" s="161"/>
      <c r="J795" s="161"/>
      <c r="K795" s="161"/>
      <c r="L795" s="161"/>
      <c r="M795" s="161"/>
      <c r="N795" s="149"/>
      <c r="O795" s="161"/>
      <c r="P795" s="161"/>
      <c r="S795" s="149"/>
      <c r="T795" s="149"/>
      <c r="V795" s="166"/>
      <c r="W795" s="166"/>
      <c r="X795" s="166"/>
      <c r="Y795" s="166"/>
    </row>
    <row r="796" ht="22.5" customHeight="1">
      <c r="A796" s="161"/>
      <c r="B796" s="162"/>
      <c r="C796" s="161"/>
      <c r="D796" s="194"/>
      <c r="E796" s="194"/>
      <c r="F796" s="162"/>
      <c r="G796" s="149"/>
      <c r="H796" s="161"/>
      <c r="I796" s="161"/>
      <c r="J796" s="161"/>
      <c r="K796" s="161"/>
      <c r="L796" s="161"/>
      <c r="M796" s="161"/>
      <c r="N796" s="149"/>
      <c r="O796" s="161"/>
      <c r="P796" s="161"/>
      <c r="S796" s="149"/>
      <c r="T796" s="149"/>
      <c r="V796" s="166"/>
      <c r="W796" s="166"/>
      <c r="X796" s="166"/>
      <c r="Y796" s="166"/>
    </row>
    <row r="797" ht="22.5" customHeight="1">
      <c r="A797" s="161"/>
      <c r="B797" s="162"/>
      <c r="C797" s="161"/>
      <c r="D797" s="194"/>
      <c r="E797" s="194"/>
      <c r="F797" s="162"/>
      <c r="G797" s="149"/>
      <c r="H797" s="161"/>
      <c r="I797" s="161"/>
      <c r="J797" s="161"/>
      <c r="K797" s="161"/>
      <c r="L797" s="161"/>
      <c r="M797" s="161"/>
      <c r="N797" s="149"/>
      <c r="O797" s="161"/>
      <c r="P797" s="161"/>
      <c r="S797" s="149"/>
      <c r="T797" s="149"/>
      <c r="V797" s="166"/>
      <c r="W797" s="166"/>
      <c r="X797" s="166"/>
      <c r="Y797" s="166"/>
    </row>
    <row r="798" ht="22.5" customHeight="1">
      <c r="A798" s="161"/>
      <c r="B798" s="162"/>
      <c r="C798" s="161"/>
      <c r="D798" s="194"/>
      <c r="E798" s="194"/>
      <c r="F798" s="162"/>
      <c r="G798" s="149"/>
      <c r="H798" s="161"/>
      <c r="I798" s="161"/>
      <c r="J798" s="161"/>
      <c r="K798" s="161"/>
      <c r="L798" s="161"/>
      <c r="M798" s="161"/>
      <c r="N798" s="149"/>
      <c r="O798" s="161"/>
      <c r="P798" s="161"/>
      <c r="S798" s="149"/>
      <c r="T798" s="149"/>
      <c r="V798" s="166"/>
      <c r="W798" s="166"/>
      <c r="X798" s="166"/>
      <c r="Y798" s="166"/>
    </row>
    <row r="799" ht="22.5" customHeight="1">
      <c r="A799" s="161"/>
      <c r="B799" s="162"/>
      <c r="C799" s="161"/>
      <c r="D799" s="194"/>
      <c r="E799" s="194"/>
      <c r="F799" s="162"/>
      <c r="G799" s="149"/>
      <c r="H799" s="161"/>
      <c r="I799" s="161"/>
      <c r="J799" s="161"/>
      <c r="K799" s="161"/>
      <c r="L799" s="161"/>
      <c r="M799" s="161"/>
      <c r="N799" s="149"/>
      <c r="O799" s="161"/>
      <c r="P799" s="161"/>
      <c r="S799" s="149"/>
      <c r="T799" s="149"/>
      <c r="V799" s="166"/>
      <c r="W799" s="166"/>
      <c r="X799" s="166"/>
      <c r="Y799" s="166"/>
    </row>
    <row r="800" ht="22.5" customHeight="1">
      <c r="A800" s="161"/>
      <c r="B800" s="162"/>
      <c r="C800" s="161"/>
      <c r="D800" s="194"/>
      <c r="E800" s="194"/>
      <c r="F800" s="162"/>
      <c r="G800" s="149"/>
      <c r="H800" s="161"/>
      <c r="I800" s="161"/>
      <c r="J800" s="161"/>
      <c r="K800" s="161"/>
      <c r="L800" s="161"/>
      <c r="M800" s="161"/>
      <c r="N800" s="149"/>
      <c r="O800" s="161"/>
      <c r="P800" s="161"/>
      <c r="S800" s="149"/>
      <c r="T800" s="149"/>
      <c r="V800" s="166"/>
      <c r="W800" s="166"/>
      <c r="X800" s="166"/>
      <c r="Y800" s="166"/>
    </row>
    <row r="801" ht="22.5" customHeight="1">
      <c r="A801" s="161"/>
      <c r="B801" s="162"/>
      <c r="C801" s="161"/>
      <c r="D801" s="194"/>
      <c r="E801" s="194"/>
      <c r="F801" s="162"/>
      <c r="G801" s="149"/>
      <c r="H801" s="161"/>
      <c r="I801" s="161"/>
      <c r="J801" s="161"/>
      <c r="K801" s="161"/>
      <c r="L801" s="161"/>
      <c r="M801" s="161"/>
      <c r="N801" s="149"/>
      <c r="O801" s="161"/>
      <c r="P801" s="161"/>
      <c r="S801" s="149"/>
      <c r="T801" s="149"/>
      <c r="V801" s="166"/>
      <c r="W801" s="166"/>
      <c r="X801" s="166"/>
      <c r="Y801" s="166"/>
    </row>
    <row r="802" ht="22.5" customHeight="1">
      <c r="A802" s="161"/>
      <c r="B802" s="162"/>
      <c r="C802" s="161"/>
      <c r="D802" s="194"/>
      <c r="E802" s="194"/>
      <c r="F802" s="162"/>
      <c r="G802" s="149"/>
      <c r="H802" s="161"/>
      <c r="I802" s="161"/>
      <c r="J802" s="161"/>
      <c r="K802" s="161"/>
      <c r="L802" s="161"/>
      <c r="M802" s="161"/>
      <c r="N802" s="149"/>
      <c r="O802" s="161"/>
      <c r="P802" s="161"/>
      <c r="S802" s="149"/>
      <c r="T802" s="149"/>
      <c r="V802" s="166"/>
      <c r="W802" s="166"/>
      <c r="X802" s="166"/>
      <c r="Y802" s="166"/>
    </row>
    <row r="803" ht="22.5" customHeight="1">
      <c r="A803" s="161"/>
      <c r="B803" s="162"/>
      <c r="C803" s="161"/>
      <c r="D803" s="194"/>
      <c r="E803" s="194"/>
      <c r="F803" s="162"/>
      <c r="G803" s="149"/>
      <c r="H803" s="161"/>
      <c r="I803" s="161"/>
      <c r="J803" s="161"/>
      <c r="K803" s="161"/>
      <c r="L803" s="161"/>
      <c r="M803" s="161"/>
      <c r="N803" s="149"/>
      <c r="O803" s="161"/>
      <c r="P803" s="161"/>
      <c r="S803" s="149"/>
      <c r="T803" s="149"/>
      <c r="V803" s="166"/>
      <c r="W803" s="166"/>
      <c r="X803" s="166"/>
      <c r="Y803" s="166"/>
    </row>
    <row r="804" ht="22.5" customHeight="1">
      <c r="A804" s="161"/>
      <c r="B804" s="162"/>
      <c r="C804" s="161"/>
      <c r="D804" s="194"/>
      <c r="E804" s="194"/>
      <c r="F804" s="162"/>
      <c r="G804" s="149"/>
      <c r="H804" s="161"/>
      <c r="I804" s="161"/>
      <c r="J804" s="161"/>
      <c r="K804" s="161"/>
      <c r="L804" s="161"/>
      <c r="M804" s="161"/>
      <c r="N804" s="149"/>
      <c r="O804" s="161"/>
      <c r="P804" s="161"/>
      <c r="S804" s="149"/>
      <c r="T804" s="149"/>
      <c r="V804" s="166"/>
      <c r="W804" s="166"/>
      <c r="X804" s="166"/>
      <c r="Y804" s="166"/>
    </row>
    <row r="805" ht="22.5" customHeight="1">
      <c r="A805" s="161"/>
      <c r="B805" s="162"/>
      <c r="C805" s="161"/>
      <c r="D805" s="194"/>
      <c r="E805" s="194"/>
      <c r="F805" s="162"/>
      <c r="G805" s="149"/>
      <c r="H805" s="161"/>
      <c r="I805" s="161"/>
      <c r="J805" s="161"/>
      <c r="K805" s="161"/>
      <c r="L805" s="161"/>
      <c r="M805" s="161"/>
      <c r="N805" s="149"/>
      <c r="O805" s="161"/>
      <c r="P805" s="161"/>
      <c r="S805" s="149"/>
      <c r="T805" s="149"/>
      <c r="V805" s="166"/>
      <c r="W805" s="166"/>
      <c r="X805" s="166"/>
      <c r="Y805" s="166"/>
    </row>
    <row r="806" ht="22.5" customHeight="1">
      <c r="A806" s="161"/>
      <c r="B806" s="162"/>
      <c r="C806" s="161"/>
      <c r="D806" s="194"/>
      <c r="E806" s="194"/>
      <c r="F806" s="162"/>
      <c r="G806" s="149"/>
      <c r="H806" s="161"/>
      <c r="I806" s="161"/>
      <c r="J806" s="161"/>
      <c r="K806" s="161"/>
      <c r="L806" s="161"/>
      <c r="M806" s="161"/>
      <c r="N806" s="149"/>
      <c r="O806" s="161"/>
      <c r="P806" s="161"/>
      <c r="S806" s="149"/>
      <c r="T806" s="149"/>
      <c r="V806" s="166"/>
      <c r="W806" s="166"/>
      <c r="X806" s="166"/>
      <c r="Y806" s="166"/>
    </row>
    <row r="807" ht="22.5" customHeight="1">
      <c r="A807" s="161"/>
      <c r="B807" s="162"/>
      <c r="C807" s="161"/>
      <c r="D807" s="194"/>
      <c r="E807" s="194"/>
      <c r="F807" s="162"/>
      <c r="G807" s="149"/>
      <c r="H807" s="161"/>
      <c r="I807" s="161"/>
      <c r="J807" s="161"/>
      <c r="K807" s="161"/>
      <c r="L807" s="161"/>
      <c r="M807" s="161"/>
      <c r="N807" s="149"/>
      <c r="O807" s="161"/>
      <c r="P807" s="161"/>
      <c r="S807" s="149"/>
      <c r="T807" s="149"/>
      <c r="V807" s="166"/>
      <c r="W807" s="166"/>
      <c r="X807" s="166"/>
      <c r="Y807" s="166"/>
    </row>
    <row r="808" ht="22.5" customHeight="1">
      <c r="A808" s="161"/>
      <c r="B808" s="162"/>
      <c r="C808" s="161"/>
      <c r="D808" s="194"/>
      <c r="E808" s="194"/>
      <c r="F808" s="162"/>
      <c r="G808" s="149"/>
      <c r="H808" s="161"/>
      <c r="I808" s="161"/>
      <c r="J808" s="161"/>
      <c r="K808" s="161"/>
      <c r="L808" s="161"/>
      <c r="M808" s="161"/>
      <c r="N808" s="149"/>
      <c r="O808" s="161"/>
      <c r="P808" s="161"/>
      <c r="S808" s="149"/>
      <c r="T808" s="149"/>
      <c r="V808" s="166"/>
      <c r="W808" s="166"/>
      <c r="X808" s="166"/>
      <c r="Y808" s="166"/>
    </row>
    <row r="809" ht="22.5" customHeight="1">
      <c r="A809" s="161"/>
      <c r="B809" s="162"/>
      <c r="C809" s="161"/>
      <c r="D809" s="194"/>
      <c r="E809" s="194"/>
      <c r="F809" s="162"/>
      <c r="G809" s="149"/>
      <c r="H809" s="161"/>
      <c r="I809" s="161"/>
      <c r="J809" s="161"/>
      <c r="K809" s="161"/>
      <c r="L809" s="161"/>
      <c r="M809" s="161"/>
      <c r="N809" s="149"/>
      <c r="O809" s="161"/>
      <c r="P809" s="161"/>
      <c r="S809" s="149"/>
      <c r="T809" s="149"/>
      <c r="V809" s="166"/>
      <c r="W809" s="166"/>
      <c r="X809" s="166"/>
      <c r="Y809" s="166"/>
    </row>
    <row r="810" ht="22.5" customHeight="1">
      <c r="A810" s="161"/>
      <c r="B810" s="162"/>
      <c r="C810" s="161"/>
      <c r="D810" s="194"/>
      <c r="E810" s="194"/>
      <c r="F810" s="162"/>
      <c r="G810" s="149"/>
      <c r="H810" s="161"/>
      <c r="I810" s="161"/>
      <c r="J810" s="161"/>
      <c r="K810" s="161"/>
      <c r="L810" s="161"/>
      <c r="M810" s="161"/>
      <c r="N810" s="149"/>
      <c r="O810" s="161"/>
      <c r="P810" s="161"/>
      <c r="S810" s="149"/>
      <c r="T810" s="149"/>
      <c r="V810" s="166"/>
      <c r="W810" s="166"/>
      <c r="X810" s="166"/>
      <c r="Y810" s="166"/>
    </row>
    <row r="811" ht="22.5" customHeight="1">
      <c r="A811" s="161"/>
      <c r="B811" s="162"/>
      <c r="C811" s="161"/>
      <c r="D811" s="194"/>
      <c r="E811" s="194"/>
      <c r="F811" s="162"/>
      <c r="G811" s="149"/>
      <c r="H811" s="161"/>
      <c r="I811" s="161"/>
      <c r="J811" s="161"/>
      <c r="K811" s="161"/>
      <c r="L811" s="161"/>
      <c r="M811" s="161"/>
      <c r="N811" s="149"/>
      <c r="O811" s="161"/>
      <c r="P811" s="161"/>
      <c r="S811" s="149"/>
      <c r="T811" s="149"/>
      <c r="V811" s="166"/>
      <c r="W811" s="166"/>
      <c r="X811" s="166"/>
      <c r="Y811" s="166"/>
    </row>
    <row r="812" ht="22.5" customHeight="1">
      <c r="A812" s="161"/>
      <c r="B812" s="162"/>
      <c r="C812" s="161"/>
      <c r="D812" s="194"/>
      <c r="E812" s="194"/>
      <c r="F812" s="162"/>
      <c r="G812" s="149"/>
      <c r="H812" s="161"/>
      <c r="I812" s="161"/>
      <c r="J812" s="161"/>
      <c r="K812" s="161"/>
      <c r="L812" s="161"/>
      <c r="M812" s="161"/>
      <c r="N812" s="149"/>
      <c r="O812" s="161"/>
      <c r="P812" s="161"/>
      <c r="S812" s="149"/>
      <c r="T812" s="149"/>
      <c r="V812" s="166"/>
      <c r="W812" s="166"/>
      <c r="X812" s="166"/>
      <c r="Y812" s="166"/>
    </row>
    <row r="813" ht="22.5" customHeight="1">
      <c r="A813" s="161"/>
      <c r="B813" s="162"/>
      <c r="C813" s="161"/>
      <c r="D813" s="194"/>
      <c r="E813" s="194"/>
      <c r="F813" s="162"/>
      <c r="G813" s="149"/>
      <c r="H813" s="161"/>
      <c r="I813" s="161"/>
      <c r="J813" s="161"/>
      <c r="K813" s="161"/>
      <c r="L813" s="161"/>
      <c r="M813" s="161"/>
      <c r="N813" s="149"/>
      <c r="O813" s="161"/>
      <c r="P813" s="161"/>
      <c r="S813" s="149"/>
      <c r="T813" s="149"/>
      <c r="V813" s="166"/>
      <c r="W813" s="166"/>
      <c r="X813" s="166"/>
      <c r="Y813" s="166"/>
    </row>
    <row r="814" ht="22.5" customHeight="1">
      <c r="A814" s="161"/>
      <c r="B814" s="162"/>
      <c r="C814" s="161"/>
      <c r="D814" s="194"/>
      <c r="E814" s="194"/>
      <c r="F814" s="162"/>
      <c r="G814" s="149"/>
      <c r="H814" s="161"/>
      <c r="I814" s="161"/>
      <c r="J814" s="161"/>
      <c r="K814" s="161"/>
      <c r="L814" s="161"/>
      <c r="M814" s="161"/>
      <c r="N814" s="149"/>
      <c r="O814" s="161"/>
      <c r="P814" s="161"/>
      <c r="S814" s="149"/>
      <c r="T814" s="149"/>
      <c r="V814" s="166"/>
      <c r="W814" s="166"/>
      <c r="X814" s="166"/>
      <c r="Y814" s="166"/>
    </row>
    <row r="815" ht="22.5" customHeight="1">
      <c r="A815" s="161"/>
      <c r="B815" s="162"/>
      <c r="C815" s="161"/>
      <c r="D815" s="194"/>
      <c r="E815" s="194"/>
      <c r="F815" s="162"/>
      <c r="G815" s="149"/>
      <c r="H815" s="161"/>
      <c r="I815" s="161"/>
      <c r="J815" s="161"/>
      <c r="K815" s="161"/>
      <c r="L815" s="161"/>
      <c r="M815" s="161"/>
      <c r="N815" s="149"/>
      <c r="O815" s="161"/>
      <c r="P815" s="161"/>
      <c r="S815" s="149"/>
      <c r="T815" s="149"/>
      <c r="V815" s="166"/>
      <c r="W815" s="166"/>
      <c r="X815" s="166"/>
      <c r="Y815" s="166"/>
    </row>
    <row r="816" ht="22.5" customHeight="1">
      <c r="A816" s="161"/>
      <c r="B816" s="162"/>
      <c r="C816" s="161"/>
      <c r="D816" s="194"/>
      <c r="E816" s="194"/>
      <c r="F816" s="162"/>
      <c r="G816" s="149"/>
      <c r="H816" s="161"/>
      <c r="I816" s="161"/>
      <c r="J816" s="161"/>
      <c r="K816" s="161"/>
      <c r="L816" s="161"/>
      <c r="M816" s="161"/>
      <c r="N816" s="149"/>
      <c r="O816" s="161"/>
      <c r="P816" s="161"/>
      <c r="S816" s="149"/>
      <c r="T816" s="149"/>
      <c r="V816" s="166"/>
      <c r="W816" s="166"/>
      <c r="X816" s="166"/>
      <c r="Y816" s="166"/>
    </row>
    <row r="817" ht="22.5" customHeight="1">
      <c r="A817" s="161"/>
      <c r="B817" s="162"/>
      <c r="C817" s="161"/>
      <c r="D817" s="194"/>
      <c r="E817" s="194"/>
      <c r="F817" s="162"/>
      <c r="G817" s="149"/>
      <c r="H817" s="161"/>
      <c r="I817" s="161"/>
      <c r="J817" s="161"/>
      <c r="K817" s="161"/>
      <c r="L817" s="161"/>
      <c r="M817" s="161"/>
      <c r="N817" s="149"/>
      <c r="O817" s="161"/>
      <c r="P817" s="161"/>
      <c r="S817" s="149"/>
      <c r="T817" s="149"/>
      <c r="V817" s="166"/>
      <c r="W817" s="166"/>
      <c r="X817" s="166"/>
      <c r="Y817" s="166"/>
    </row>
    <row r="818" ht="22.5" customHeight="1">
      <c r="A818" s="161"/>
      <c r="B818" s="162"/>
      <c r="C818" s="161"/>
      <c r="D818" s="194"/>
      <c r="E818" s="194"/>
      <c r="F818" s="162"/>
      <c r="G818" s="149"/>
      <c r="H818" s="161"/>
      <c r="I818" s="161"/>
      <c r="J818" s="161"/>
      <c r="K818" s="161"/>
      <c r="L818" s="161"/>
      <c r="M818" s="161"/>
      <c r="N818" s="149"/>
      <c r="O818" s="161"/>
      <c r="P818" s="161"/>
      <c r="S818" s="149"/>
      <c r="T818" s="149"/>
      <c r="V818" s="166"/>
      <c r="W818" s="166"/>
      <c r="X818" s="166"/>
      <c r="Y818" s="166"/>
    </row>
    <row r="819" ht="22.5" customHeight="1">
      <c r="A819" s="161"/>
      <c r="B819" s="162"/>
      <c r="C819" s="161"/>
      <c r="D819" s="194"/>
      <c r="E819" s="194"/>
      <c r="F819" s="162"/>
      <c r="G819" s="149"/>
      <c r="H819" s="161"/>
      <c r="I819" s="161"/>
      <c r="J819" s="161"/>
      <c r="K819" s="161"/>
      <c r="L819" s="161"/>
      <c r="M819" s="161"/>
      <c r="N819" s="149"/>
      <c r="O819" s="161"/>
      <c r="P819" s="161"/>
      <c r="S819" s="149"/>
      <c r="T819" s="149"/>
      <c r="V819" s="166"/>
      <c r="W819" s="166"/>
      <c r="X819" s="166"/>
      <c r="Y819" s="166"/>
    </row>
    <row r="820" ht="22.5" customHeight="1">
      <c r="A820" s="161"/>
      <c r="B820" s="162"/>
      <c r="C820" s="161"/>
      <c r="D820" s="194"/>
      <c r="E820" s="194"/>
      <c r="F820" s="162"/>
      <c r="G820" s="149"/>
      <c r="H820" s="161"/>
      <c r="I820" s="161"/>
      <c r="J820" s="161"/>
      <c r="K820" s="161"/>
      <c r="L820" s="161"/>
      <c r="M820" s="161"/>
      <c r="N820" s="149"/>
      <c r="O820" s="161"/>
      <c r="P820" s="161"/>
      <c r="S820" s="149"/>
      <c r="T820" s="149"/>
      <c r="V820" s="166"/>
      <c r="W820" s="166"/>
      <c r="X820" s="166"/>
      <c r="Y820" s="166"/>
    </row>
    <row r="821" ht="22.5" customHeight="1">
      <c r="A821" s="161"/>
      <c r="B821" s="162"/>
      <c r="C821" s="161"/>
      <c r="D821" s="194"/>
      <c r="E821" s="194"/>
      <c r="F821" s="162"/>
      <c r="G821" s="149"/>
      <c r="H821" s="161"/>
      <c r="I821" s="161"/>
      <c r="J821" s="161"/>
      <c r="K821" s="161"/>
      <c r="L821" s="161"/>
      <c r="M821" s="161"/>
      <c r="N821" s="149"/>
      <c r="O821" s="161"/>
      <c r="P821" s="161"/>
      <c r="S821" s="149"/>
      <c r="T821" s="149"/>
      <c r="V821" s="166"/>
      <c r="W821" s="166"/>
      <c r="X821" s="166"/>
      <c r="Y821" s="166"/>
    </row>
    <row r="822" ht="22.5" customHeight="1">
      <c r="A822" s="161"/>
      <c r="B822" s="162"/>
      <c r="C822" s="161"/>
      <c r="D822" s="194"/>
      <c r="E822" s="194"/>
      <c r="F822" s="162"/>
      <c r="G822" s="149"/>
      <c r="H822" s="161"/>
      <c r="I822" s="161"/>
      <c r="J822" s="161"/>
      <c r="K822" s="161"/>
      <c r="L822" s="161"/>
      <c r="M822" s="161"/>
      <c r="N822" s="149"/>
      <c r="O822" s="161"/>
      <c r="P822" s="161"/>
      <c r="S822" s="149"/>
      <c r="T822" s="149"/>
      <c r="V822" s="166"/>
      <c r="W822" s="166"/>
      <c r="X822" s="166"/>
      <c r="Y822" s="166"/>
    </row>
    <row r="823" ht="22.5" customHeight="1">
      <c r="A823" s="161"/>
      <c r="B823" s="162"/>
      <c r="C823" s="161"/>
      <c r="D823" s="194"/>
      <c r="E823" s="194"/>
      <c r="F823" s="162"/>
      <c r="G823" s="149"/>
      <c r="H823" s="161"/>
      <c r="I823" s="161"/>
      <c r="J823" s="161"/>
      <c r="K823" s="161"/>
      <c r="L823" s="161"/>
      <c r="M823" s="161"/>
      <c r="N823" s="149"/>
      <c r="O823" s="161"/>
      <c r="P823" s="161"/>
      <c r="S823" s="149"/>
      <c r="T823" s="149"/>
      <c r="V823" s="166"/>
      <c r="W823" s="166"/>
      <c r="X823" s="166"/>
      <c r="Y823" s="166"/>
    </row>
    <row r="824" ht="22.5" customHeight="1">
      <c r="A824" s="161"/>
      <c r="B824" s="162"/>
      <c r="C824" s="161"/>
      <c r="D824" s="194"/>
      <c r="E824" s="194"/>
      <c r="F824" s="162"/>
      <c r="G824" s="149"/>
      <c r="H824" s="161"/>
      <c r="I824" s="161"/>
      <c r="J824" s="161"/>
      <c r="K824" s="161"/>
      <c r="L824" s="161"/>
      <c r="M824" s="161"/>
      <c r="N824" s="149"/>
      <c r="O824" s="161"/>
      <c r="P824" s="161"/>
      <c r="S824" s="149"/>
      <c r="T824" s="149"/>
      <c r="V824" s="166"/>
      <c r="W824" s="166"/>
      <c r="X824" s="166"/>
      <c r="Y824" s="166"/>
    </row>
    <row r="825" ht="22.5" customHeight="1">
      <c r="A825" s="161"/>
      <c r="B825" s="162"/>
      <c r="C825" s="161"/>
      <c r="D825" s="194"/>
      <c r="E825" s="194"/>
      <c r="F825" s="162"/>
      <c r="G825" s="149"/>
      <c r="H825" s="161"/>
      <c r="I825" s="161"/>
      <c r="J825" s="161"/>
      <c r="K825" s="161"/>
      <c r="L825" s="161"/>
      <c r="M825" s="161"/>
      <c r="N825" s="149"/>
      <c r="O825" s="161"/>
      <c r="P825" s="161"/>
      <c r="S825" s="149"/>
      <c r="T825" s="149"/>
      <c r="V825" s="166"/>
      <c r="W825" s="166"/>
      <c r="X825" s="166"/>
      <c r="Y825" s="166"/>
    </row>
    <row r="826" ht="22.5" customHeight="1">
      <c r="A826" s="161"/>
      <c r="B826" s="162"/>
      <c r="C826" s="161"/>
      <c r="D826" s="194"/>
      <c r="E826" s="194"/>
      <c r="F826" s="162"/>
      <c r="G826" s="149"/>
      <c r="H826" s="161"/>
      <c r="I826" s="161"/>
      <c r="J826" s="161"/>
      <c r="K826" s="161"/>
      <c r="L826" s="161"/>
      <c r="M826" s="161"/>
      <c r="N826" s="149"/>
      <c r="O826" s="161"/>
      <c r="P826" s="161"/>
      <c r="S826" s="149"/>
      <c r="T826" s="149"/>
      <c r="V826" s="166"/>
      <c r="W826" s="166"/>
      <c r="X826" s="166"/>
      <c r="Y826" s="166"/>
    </row>
    <row r="827" ht="22.5" customHeight="1">
      <c r="A827" s="161"/>
      <c r="B827" s="162"/>
      <c r="C827" s="161"/>
      <c r="D827" s="194"/>
      <c r="E827" s="194"/>
      <c r="F827" s="162"/>
      <c r="G827" s="149"/>
      <c r="H827" s="161"/>
      <c r="I827" s="161"/>
      <c r="J827" s="161"/>
      <c r="K827" s="161"/>
      <c r="L827" s="161"/>
      <c r="M827" s="161"/>
      <c r="N827" s="149"/>
      <c r="O827" s="161"/>
      <c r="P827" s="161"/>
      <c r="S827" s="149"/>
      <c r="T827" s="149"/>
      <c r="V827" s="166"/>
      <c r="W827" s="166"/>
      <c r="X827" s="166"/>
      <c r="Y827" s="166"/>
    </row>
    <row r="828" ht="22.5" customHeight="1">
      <c r="A828" s="161"/>
      <c r="B828" s="162"/>
      <c r="C828" s="161"/>
      <c r="D828" s="194"/>
      <c r="E828" s="194"/>
      <c r="F828" s="162"/>
      <c r="G828" s="149"/>
      <c r="H828" s="161"/>
      <c r="I828" s="161"/>
      <c r="J828" s="161"/>
      <c r="K828" s="161"/>
      <c r="L828" s="161"/>
      <c r="M828" s="161"/>
      <c r="N828" s="149"/>
      <c r="O828" s="161"/>
      <c r="P828" s="161"/>
      <c r="S828" s="149"/>
      <c r="T828" s="149"/>
      <c r="V828" s="166"/>
      <c r="W828" s="166"/>
      <c r="X828" s="166"/>
      <c r="Y828" s="166"/>
    </row>
    <row r="829" ht="22.5" customHeight="1">
      <c r="A829" s="161"/>
      <c r="B829" s="162"/>
      <c r="C829" s="161"/>
      <c r="D829" s="194"/>
      <c r="E829" s="194"/>
      <c r="F829" s="162"/>
      <c r="G829" s="149"/>
      <c r="H829" s="161"/>
      <c r="I829" s="161"/>
      <c r="J829" s="161"/>
      <c r="K829" s="161"/>
      <c r="L829" s="161"/>
      <c r="M829" s="161"/>
      <c r="N829" s="149"/>
      <c r="O829" s="161"/>
      <c r="P829" s="161"/>
      <c r="S829" s="149"/>
      <c r="T829" s="149"/>
      <c r="V829" s="166"/>
      <c r="W829" s="166"/>
      <c r="X829" s="166"/>
      <c r="Y829" s="166"/>
    </row>
    <row r="830" ht="22.5" customHeight="1">
      <c r="A830" s="161"/>
      <c r="B830" s="162"/>
      <c r="C830" s="161"/>
      <c r="D830" s="194"/>
      <c r="E830" s="194"/>
      <c r="F830" s="162"/>
      <c r="G830" s="149"/>
      <c r="H830" s="161"/>
      <c r="I830" s="161"/>
      <c r="J830" s="161"/>
      <c r="K830" s="161"/>
      <c r="L830" s="161"/>
      <c r="M830" s="161"/>
      <c r="N830" s="149"/>
      <c r="O830" s="161"/>
      <c r="P830" s="161"/>
      <c r="S830" s="149"/>
      <c r="T830" s="149"/>
      <c r="V830" s="166"/>
      <c r="W830" s="166"/>
      <c r="X830" s="166"/>
      <c r="Y830" s="166"/>
    </row>
    <row r="831" ht="22.5" customHeight="1">
      <c r="A831" s="161"/>
      <c r="B831" s="162"/>
      <c r="C831" s="161"/>
      <c r="D831" s="194"/>
      <c r="E831" s="194"/>
      <c r="F831" s="162"/>
      <c r="G831" s="149"/>
      <c r="H831" s="161"/>
      <c r="I831" s="161"/>
      <c r="J831" s="161"/>
      <c r="K831" s="161"/>
      <c r="L831" s="161"/>
      <c r="M831" s="161"/>
      <c r="N831" s="149"/>
      <c r="O831" s="161"/>
      <c r="P831" s="161"/>
      <c r="S831" s="149"/>
      <c r="T831" s="149"/>
      <c r="V831" s="166"/>
      <c r="W831" s="166"/>
      <c r="X831" s="166"/>
      <c r="Y831" s="166"/>
    </row>
    <row r="832" ht="22.5" customHeight="1">
      <c r="A832" s="161"/>
      <c r="B832" s="162"/>
      <c r="C832" s="161"/>
      <c r="D832" s="194"/>
      <c r="E832" s="194"/>
      <c r="F832" s="162"/>
      <c r="G832" s="149"/>
      <c r="H832" s="161"/>
      <c r="I832" s="161"/>
      <c r="J832" s="161"/>
      <c r="K832" s="161"/>
      <c r="L832" s="161"/>
      <c r="M832" s="161"/>
      <c r="N832" s="149"/>
      <c r="O832" s="161"/>
      <c r="P832" s="161"/>
      <c r="S832" s="149"/>
      <c r="T832" s="149"/>
      <c r="V832" s="166"/>
      <c r="W832" s="166"/>
      <c r="X832" s="166"/>
      <c r="Y832" s="166"/>
    </row>
    <row r="833" ht="22.5" customHeight="1">
      <c r="A833" s="161"/>
      <c r="B833" s="162"/>
      <c r="C833" s="161"/>
      <c r="D833" s="194"/>
      <c r="E833" s="194"/>
      <c r="F833" s="162"/>
      <c r="G833" s="149"/>
      <c r="H833" s="161"/>
      <c r="I833" s="161"/>
      <c r="J833" s="161"/>
      <c r="K833" s="161"/>
      <c r="L833" s="161"/>
      <c r="M833" s="161"/>
      <c r="N833" s="149"/>
      <c r="O833" s="161"/>
      <c r="P833" s="161"/>
      <c r="S833" s="149"/>
      <c r="T833" s="149"/>
      <c r="V833" s="166"/>
      <c r="W833" s="166"/>
      <c r="X833" s="166"/>
      <c r="Y833" s="166"/>
    </row>
    <row r="834" ht="22.5" customHeight="1">
      <c r="A834" s="161"/>
      <c r="B834" s="162"/>
      <c r="C834" s="161"/>
      <c r="D834" s="194"/>
      <c r="E834" s="194"/>
      <c r="F834" s="162"/>
      <c r="G834" s="149"/>
      <c r="H834" s="161"/>
      <c r="I834" s="161"/>
      <c r="J834" s="161"/>
      <c r="K834" s="161"/>
      <c r="L834" s="161"/>
      <c r="M834" s="161"/>
      <c r="N834" s="149"/>
      <c r="O834" s="161"/>
      <c r="P834" s="161"/>
      <c r="S834" s="149"/>
      <c r="T834" s="149"/>
      <c r="V834" s="166"/>
      <c r="W834" s="166"/>
      <c r="X834" s="166"/>
      <c r="Y834" s="166"/>
    </row>
    <row r="835" ht="22.5" customHeight="1">
      <c r="A835" s="161"/>
      <c r="B835" s="162"/>
      <c r="C835" s="161"/>
      <c r="D835" s="194"/>
      <c r="E835" s="194"/>
      <c r="F835" s="162"/>
      <c r="G835" s="149"/>
      <c r="H835" s="161"/>
      <c r="I835" s="161"/>
      <c r="J835" s="161"/>
      <c r="K835" s="161"/>
      <c r="L835" s="161"/>
      <c r="M835" s="161"/>
      <c r="N835" s="149"/>
      <c r="O835" s="161"/>
      <c r="P835" s="161"/>
      <c r="S835" s="149"/>
      <c r="T835" s="149"/>
      <c r="V835" s="166"/>
      <c r="W835" s="166"/>
      <c r="X835" s="166"/>
      <c r="Y835" s="166"/>
    </row>
    <row r="836" ht="22.5" customHeight="1">
      <c r="A836" s="161"/>
      <c r="B836" s="162"/>
      <c r="C836" s="161"/>
      <c r="D836" s="194"/>
      <c r="E836" s="194"/>
      <c r="F836" s="162"/>
      <c r="G836" s="149"/>
      <c r="H836" s="161"/>
      <c r="I836" s="161"/>
      <c r="J836" s="161"/>
      <c r="K836" s="161"/>
      <c r="L836" s="161"/>
      <c r="M836" s="161"/>
      <c r="N836" s="149"/>
      <c r="O836" s="161"/>
      <c r="P836" s="161"/>
      <c r="S836" s="149"/>
      <c r="T836" s="149"/>
      <c r="V836" s="166"/>
      <c r="W836" s="166"/>
      <c r="X836" s="166"/>
      <c r="Y836" s="166"/>
    </row>
    <row r="837" ht="22.5" customHeight="1">
      <c r="A837" s="161"/>
      <c r="B837" s="162"/>
      <c r="C837" s="161"/>
      <c r="D837" s="194"/>
      <c r="E837" s="194"/>
      <c r="F837" s="162"/>
      <c r="G837" s="149"/>
      <c r="H837" s="161"/>
      <c r="I837" s="161"/>
      <c r="J837" s="161"/>
      <c r="K837" s="161"/>
      <c r="L837" s="161"/>
      <c r="M837" s="161"/>
      <c r="N837" s="149"/>
      <c r="O837" s="161"/>
      <c r="P837" s="161"/>
      <c r="S837" s="149"/>
      <c r="T837" s="149"/>
      <c r="V837" s="166"/>
      <c r="W837" s="166"/>
      <c r="X837" s="166"/>
      <c r="Y837" s="166"/>
    </row>
    <row r="838" ht="22.5" customHeight="1">
      <c r="A838" s="161"/>
      <c r="B838" s="162"/>
      <c r="C838" s="161"/>
      <c r="D838" s="194"/>
      <c r="E838" s="194"/>
      <c r="F838" s="162"/>
      <c r="G838" s="149"/>
      <c r="H838" s="161"/>
      <c r="I838" s="161"/>
      <c r="J838" s="161"/>
      <c r="K838" s="161"/>
      <c r="L838" s="161"/>
      <c r="M838" s="161"/>
      <c r="N838" s="149"/>
      <c r="O838" s="161"/>
      <c r="P838" s="161"/>
      <c r="S838" s="149"/>
      <c r="T838" s="149"/>
      <c r="V838" s="166"/>
      <c r="W838" s="166"/>
      <c r="X838" s="166"/>
      <c r="Y838" s="166"/>
    </row>
    <row r="839" ht="22.5" customHeight="1">
      <c r="A839" s="161"/>
      <c r="B839" s="162"/>
      <c r="C839" s="161"/>
      <c r="D839" s="194"/>
      <c r="E839" s="194"/>
      <c r="F839" s="162"/>
      <c r="G839" s="149"/>
      <c r="H839" s="161"/>
      <c r="I839" s="161"/>
      <c r="J839" s="161"/>
      <c r="K839" s="161"/>
      <c r="L839" s="161"/>
      <c r="M839" s="161"/>
      <c r="N839" s="149"/>
      <c r="O839" s="161"/>
      <c r="P839" s="161"/>
      <c r="S839" s="149"/>
      <c r="T839" s="149"/>
      <c r="V839" s="166"/>
      <c r="W839" s="166"/>
      <c r="X839" s="166"/>
      <c r="Y839" s="166"/>
    </row>
    <row r="840" ht="22.5" customHeight="1">
      <c r="A840" s="161"/>
      <c r="B840" s="162"/>
      <c r="C840" s="161"/>
      <c r="D840" s="194"/>
      <c r="E840" s="194"/>
      <c r="F840" s="162"/>
      <c r="G840" s="149"/>
      <c r="H840" s="161"/>
      <c r="I840" s="161"/>
      <c r="J840" s="161"/>
      <c r="K840" s="161"/>
      <c r="L840" s="161"/>
      <c r="M840" s="161"/>
      <c r="N840" s="149"/>
      <c r="O840" s="161"/>
      <c r="P840" s="161"/>
      <c r="S840" s="149"/>
      <c r="T840" s="149"/>
      <c r="V840" s="166"/>
      <c r="W840" s="166"/>
      <c r="X840" s="166"/>
      <c r="Y840" s="166"/>
    </row>
    <row r="841" ht="22.5" customHeight="1">
      <c r="A841" s="161"/>
      <c r="B841" s="162"/>
      <c r="C841" s="161"/>
      <c r="D841" s="194"/>
      <c r="E841" s="194"/>
      <c r="F841" s="162"/>
      <c r="G841" s="149"/>
      <c r="H841" s="161"/>
      <c r="I841" s="161"/>
      <c r="J841" s="161"/>
      <c r="K841" s="161"/>
      <c r="L841" s="161"/>
      <c r="M841" s="161"/>
      <c r="N841" s="149"/>
      <c r="O841" s="161"/>
      <c r="P841" s="161"/>
      <c r="S841" s="149"/>
      <c r="T841" s="149"/>
      <c r="V841" s="166"/>
      <c r="W841" s="166"/>
      <c r="X841" s="166"/>
      <c r="Y841" s="166"/>
    </row>
    <row r="842" ht="22.5" customHeight="1">
      <c r="A842" s="161"/>
      <c r="B842" s="162"/>
      <c r="C842" s="161"/>
      <c r="D842" s="194"/>
      <c r="E842" s="194"/>
      <c r="F842" s="162"/>
      <c r="G842" s="149"/>
      <c r="H842" s="161"/>
      <c r="I842" s="161"/>
      <c r="J842" s="161"/>
      <c r="K842" s="161"/>
      <c r="L842" s="161"/>
      <c r="M842" s="161"/>
      <c r="N842" s="149"/>
      <c r="O842" s="161"/>
      <c r="P842" s="161"/>
      <c r="S842" s="149"/>
      <c r="T842" s="149"/>
      <c r="V842" s="166"/>
      <c r="W842" s="166"/>
      <c r="X842" s="166"/>
      <c r="Y842" s="166"/>
    </row>
    <row r="843" ht="22.5" customHeight="1">
      <c r="A843" s="161"/>
      <c r="B843" s="162"/>
      <c r="C843" s="161"/>
      <c r="D843" s="194"/>
      <c r="E843" s="194"/>
      <c r="F843" s="162"/>
      <c r="G843" s="149"/>
      <c r="H843" s="161"/>
      <c r="I843" s="161"/>
      <c r="J843" s="161"/>
      <c r="K843" s="161"/>
      <c r="L843" s="161"/>
      <c r="M843" s="161"/>
      <c r="N843" s="149"/>
      <c r="O843" s="161"/>
      <c r="P843" s="161"/>
      <c r="S843" s="149"/>
      <c r="T843" s="149"/>
      <c r="V843" s="166"/>
      <c r="W843" s="166"/>
      <c r="X843" s="166"/>
      <c r="Y843" s="166"/>
    </row>
    <row r="844" ht="22.5" customHeight="1">
      <c r="A844" s="161"/>
      <c r="B844" s="162"/>
      <c r="C844" s="161"/>
      <c r="D844" s="194"/>
      <c r="E844" s="194"/>
      <c r="F844" s="162"/>
      <c r="G844" s="149"/>
      <c r="H844" s="161"/>
      <c r="I844" s="161"/>
      <c r="J844" s="161"/>
      <c r="K844" s="161"/>
      <c r="L844" s="161"/>
      <c r="M844" s="161"/>
      <c r="N844" s="149"/>
      <c r="O844" s="161"/>
      <c r="P844" s="161"/>
      <c r="S844" s="149"/>
      <c r="T844" s="149"/>
      <c r="V844" s="166"/>
      <c r="W844" s="166"/>
      <c r="X844" s="166"/>
      <c r="Y844" s="166"/>
    </row>
    <row r="845" ht="22.5" customHeight="1">
      <c r="A845" s="161"/>
      <c r="B845" s="162"/>
      <c r="C845" s="161"/>
      <c r="D845" s="194"/>
      <c r="E845" s="194"/>
      <c r="F845" s="162"/>
      <c r="G845" s="149"/>
      <c r="H845" s="161"/>
      <c r="I845" s="161"/>
      <c r="J845" s="161"/>
      <c r="K845" s="161"/>
      <c r="L845" s="161"/>
      <c r="M845" s="161"/>
      <c r="N845" s="149"/>
      <c r="O845" s="161"/>
      <c r="P845" s="161"/>
      <c r="S845" s="149"/>
      <c r="T845" s="149"/>
      <c r="V845" s="166"/>
      <c r="W845" s="166"/>
      <c r="X845" s="166"/>
      <c r="Y845" s="166"/>
    </row>
    <row r="846" ht="22.5" customHeight="1">
      <c r="A846" s="161"/>
      <c r="B846" s="162"/>
      <c r="C846" s="161"/>
      <c r="D846" s="194"/>
      <c r="E846" s="194"/>
      <c r="F846" s="162"/>
      <c r="G846" s="149"/>
      <c r="H846" s="161"/>
      <c r="I846" s="161"/>
      <c r="J846" s="161"/>
      <c r="K846" s="161"/>
      <c r="L846" s="161"/>
      <c r="M846" s="161"/>
      <c r="N846" s="149"/>
      <c r="O846" s="161"/>
      <c r="P846" s="161"/>
      <c r="S846" s="149"/>
      <c r="T846" s="149"/>
      <c r="V846" s="166"/>
      <c r="W846" s="166"/>
      <c r="X846" s="166"/>
      <c r="Y846" s="166"/>
    </row>
    <row r="847" ht="22.5" customHeight="1">
      <c r="A847" s="161"/>
      <c r="B847" s="162"/>
      <c r="C847" s="161"/>
      <c r="D847" s="194"/>
      <c r="E847" s="194"/>
      <c r="F847" s="162"/>
      <c r="G847" s="149"/>
      <c r="H847" s="161"/>
      <c r="I847" s="161"/>
      <c r="J847" s="161"/>
      <c r="K847" s="161"/>
      <c r="L847" s="161"/>
      <c r="M847" s="161"/>
      <c r="N847" s="149"/>
      <c r="O847" s="161"/>
      <c r="P847" s="161"/>
      <c r="S847" s="149"/>
      <c r="T847" s="149"/>
      <c r="V847" s="166"/>
      <c r="W847" s="166"/>
      <c r="X847" s="166"/>
      <c r="Y847" s="166"/>
    </row>
    <row r="848" ht="22.5" customHeight="1">
      <c r="A848" s="161"/>
      <c r="B848" s="162"/>
      <c r="C848" s="161"/>
      <c r="D848" s="194"/>
      <c r="E848" s="194"/>
      <c r="F848" s="162"/>
      <c r="G848" s="149"/>
      <c r="H848" s="161"/>
      <c r="I848" s="161"/>
      <c r="J848" s="161"/>
      <c r="K848" s="161"/>
      <c r="L848" s="161"/>
      <c r="M848" s="161"/>
      <c r="N848" s="149"/>
      <c r="O848" s="161"/>
      <c r="P848" s="161"/>
      <c r="S848" s="149"/>
      <c r="T848" s="149"/>
      <c r="V848" s="166"/>
      <c r="W848" s="166"/>
      <c r="X848" s="166"/>
      <c r="Y848" s="166"/>
    </row>
    <row r="849" ht="22.5" customHeight="1">
      <c r="A849" s="161"/>
      <c r="B849" s="162"/>
      <c r="C849" s="161"/>
      <c r="D849" s="194"/>
      <c r="E849" s="194"/>
      <c r="F849" s="162"/>
      <c r="G849" s="149"/>
      <c r="H849" s="161"/>
      <c r="I849" s="161"/>
      <c r="J849" s="161"/>
      <c r="K849" s="161"/>
      <c r="L849" s="161"/>
      <c r="M849" s="161"/>
      <c r="N849" s="149"/>
      <c r="O849" s="161"/>
      <c r="P849" s="161"/>
      <c r="S849" s="149"/>
      <c r="T849" s="149"/>
      <c r="V849" s="166"/>
      <c r="W849" s="166"/>
      <c r="X849" s="166"/>
      <c r="Y849" s="166"/>
    </row>
    <row r="850" ht="22.5" customHeight="1">
      <c r="A850" s="161"/>
      <c r="B850" s="162"/>
      <c r="C850" s="161"/>
      <c r="D850" s="194"/>
      <c r="E850" s="194"/>
      <c r="F850" s="162"/>
      <c r="G850" s="149"/>
      <c r="H850" s="161"/>
      <c r="I850" s="161"/>
      <c r="J850" s="161"/>
      <c r="K850" s="161"/>
      <c r="L850" s="161"/>
      <c r="M850" s="161"/>
      <c r="N850" s="149"/>
      <c r="O850" s="161"/>
      <c r="P850" s="161"/>
      <c r="S850" s="149"/>
      <c r="T850" s="149"/>
      <c r="V850" s="166"/>
      <c r="W850" s="166"/>
      <c r="X850" s="166"/>
      <c r="Y850" s="166"/>
    </row>
    <row r="851" ht="22.5" customHeight="1">
      <c r="A851" s="161"/>
      <c r="B851" s="162"/>
      <c r="C851" s="161"/>
      <c r="D851" s="194"/>
      <c r="E851" s="194"/>
      <c r="F851" s="162"/>
      <c r="G851" s="149"/>
      <c r="H851" s="161"/>
      <c r="I851" s="161"/>
      <c r="J851" s="161"/>
      <c r="K851" s="161"/>
      <c r="L851" s="161"/>
      <c r="M851" s="161"/>
      <c r="N851" s="149"/>
      <c r="O851" s="161"/>
      <c r="P851" s="161"/>
      <c r="S851" s="149"/>
      <c r="T851" s="149"/>
      <c r="V851" s="166"/>
      <c r="W851" s="166"/>
      <c r="X851" s="166"/>
      <c r="Y851" s="166"/>
    </row>
    <row r="852" ht="22.5" customHeight="1">
      <c r="A852" s="161"/>
      <c r="B852" s="162"/>
      <c r="C852" s="161"/>
      <c r="D852" s="194"/>
      <c r="E852" s="194"/>
      <c r="F852" s="162"/>
      <c r="G852" s="149"/>
      <c r="H852" s="161"/>
      <c r="I852" s="161"/>
      <c r="J852" s="161"/>
      <c r="K852" s="161"/>
      <c r="L852" s="161"/>
      <c r="M852" s="161"/>
      <c r="N852" s="149"/>
      <c r="O852" s="161"/>
      <c r="P852" s="161"/>
      <c r="S852" s="149"/>
      <c r="T852" s="149"/>
      <c r="V852" s="166"/>
      <c r="W852" s="166"/>
      <c r="X852" s="166"/>
      <c r="Y852" s="166"/>
    </row>
    <row r="853" ht="22.5" customHeight="1">
      <c r="A853" s="161"/>
      <c r="B853" s="162"/>
      <c r="C853" s="161"/>
      <c r="D853" s="194"/>
      <c r="E853" s="194"/>
      <c r="F853" s="162"/>
      <c r="G853" s="149"/>
      <c r="H853" s="161"/>
      <c r="I853" s="161"/>
      <c r="J853" s="161"/>
      <c r="K853" s="161"/>
      <c r="L853" s="161"/>
      <c r="M853" s="161"/>
      <c r="N853" s="149"/>
      <c r="O853" s="161"/>
      <c r="P853" s="161"/>
      <c r="S853" s="149"/>
      <c r="T853" s="149"/>
      <c r="V853" s="166"/>
      <c r="W853" s="166"/>
      <c r="X853" s="166"/>
      <c r="Y853" s="166"/>
    </row>
    <row r="854" ht="22.5" customHeight="1">
      <c r="A854" s="161"/>
      <c r="B854" s="162"/>
      <c r="C854" s="161"/>
      <c r="D854" s="194"/>
      <c r="E854" s="194"/>
      <c r="F854" s="162"/>
      <c r="G854" s="149"/>
      <c r="H854" s="161"/>
      <c r="I854" s="161"/>
      <c r="J854" s="161"/>
      <c r="K854" s="161"/>
      <c r="L854" s="161"/>
      <c r="M854" s="161"/>
      <c r="N854" s="149"/>
      <c r="O854" s="161"/>
      <c r="P854" s="161"/>
      <c r="S854" s="149"/>
      <c r="T854" s="149"/>
      <c r="V854" s="166"/>
      <c r="W854" s="166"/>
      <c r="X854" s="166"/>
      <c r="Y854" s="166"/>
    </row>
    <row r="855" ht="22.5" customHeight="1">
      <c r="A855" s="161"/>
      <c r="B855" s="162"/>
      <c r="C855" s="161"/>
      <c r="D855" s="194"/>
      <c r="E855" s="194"/>
      <c r="F855" s="162"/>
      <c r="G855" s="149"/>
      <c r="H855" s="161"/>
      <c r="I855" s="161"/>
      <c r="J855" s="161"/>
      <c r="K855" s="161"/>
      <c r="L855" s="161"/>
      <c r="M855" s="161"/>
      <c r="N855" s="149"/>
      <c r="O855" s="161"/>
      <c r="P855" s="161"/>
      <c r="S855" s="149"/>
      <c r="T855" s="149"/>
      <c r="V855" s="166"/>
      <c r="W855" s="166"/>
      <c r="X855" s="166"/>
      <c r="Y855" s="166"/>
    </row>
    <row r="856" ht="22.5" customHeight="1">
      <c r="A856" s="161"/>
      <c r="B856" s="162"/>
      <c r="C856" s="161"/>
      <c r="D856" s="194"/>
      <c r="E856" s="194"/>
      <c r="F856" s="162"/>
      <c r="G856" s="149"/>
      <c r="H856" s="161"/>
      <c r="I856" s="161"/>
      <c r="J856" s="161"/>
      <c r="K856" s="161"/>
      <c r="L856" s="161"/>
      <c r="M856" s="161"/>
      <c r="N856" s="149"/>
      <c r="O856" s="161"/>
      <c r="P856" s="161"/>
      <c r="S856" s="149"/>
      <c r="T856" s="149"/>
      <c r="V856" s="166"/>
      <c r="W856" s="166"/>
      <c r="X856" s="166"/>
      <c r="Y856" s="166"/>
    </row>
    <row r="857" ht="22.5" customHeight="1">
      <c r="A857" s="161"/>
      <c r="B857" s="162"/>
      <c r="C857" s="161"/>
      <c r="D857" s="194"/>
      <c r="E857" s="194"/>
      <c r="F857" s="162"/>
      <c r="G857" s="149"/>
      <c r="H857" s="161"/>
      <c r="I857" s="161"/>
      <c r="J857" s="161"/>
      <c r="K857" s="161"/>
      <c r="L857" s="161"/>
      <c r="M857" s="161"/>
      <c r="N857" s="149"/>
      <c r="O857" s="161"/>
      <c r="P857" s="161"/>
      <c r="S857" s="149"/>
      <c r="T857" s="149"/>
      <c r="V857" s="166"/>
      <c r="W857" s="166"/>
      <c r="X857" s="166"/>
      <c r="Y857" s="166"/>
    </row>
    <row r="858" ht="22.5" customHeight="1">
      <c r="A858" s="161"/>
      <c r="B858" s="162"/>
      <c r="C858" s="161"/>
      <c r="D858" s="194"/>
      <c r="E858" s="194"/>
      <c r="F858" s="162"/>
      <c r="G858" s="149"/>
      <c r="H858" s="161"/>
      <c r="I858" s="161"/>
      <c r="J858" s="161"/>
      <c r="K858" s="161"/>
      <c r="L858" s="161"/>
      <c r="M858" s="161"/>
      <c r="N858" s="149"/>
      <c r="O858" s="161"/>
      <c r="P858" s="161"/>
      <c r="S858" s="149"/>
      <c r="T858" s="149"/>
      <c r="V858" s="166"/>
      <c r="W858" s="166"/>
      <c r="X858" s="166"/>
      <c r="Y858" s="166"/>
    </row>
    <row r="859" ht="22.5" customHeight="1">
      <c r="A859" s="161"/>
      <c r="B859" s="162"/>
      <c r="C859" s="161"/>
      <c r="D859" s="194"/>
      <c r="E859" s="194"/>
      <c r="F859" s="162"/>
      <c r="G859" s="149"/>
      <c r="H859" s="161"/>
      <c r="I859" s="161"/>
      <c r="J859" s="161"/>
      <c r="K859" s="161"/>
      <c r="L859" s="161"/>
      <c r="M859" s="161"/>
      <c r="N859" s="149"/>
      <c r="O859" s="161"/>
      <c r="P859" s="161"/>
      <c r="S859" s="149"/>
      <c r="T859" s="149"/>
      <c r="V859" s="166"/>
      <c r="W859" s="166"/>
      <c r="X859" s="166"/>
      <c r="Y859" s="166"/>
    </row>
    <row r="860" ht="22.5" customHeight="1">
      <c r="A860" s="161"/>
      <c r="B860" s="162"/>
      <c r="C860" s="161"/>
      <c r="D860" s="194"/>
      <c r="E860" s="194"/>
      <c r="F860" s="162"/>
      <c r="G860" s="149"/>
      <c r="H860" s="161"/>
      <c r="I860" s="161"/>
      <c r="J860" s="161"/>
      <c r="K860" s="161"/>
      <c r="L860" s="161"/>
      <c r="M860" s="161"/>
      <c r="N860" s="149"/>
      <c r="O860" s="161"/>
      <c r="P860" s="161"/>
      <c r="S860" s="149"/>
      <c r="T860" s="149"/>
      <c r="V860" s="166"/>
      <c r="W860" s="166"/>
      <c r="X860" s="166"/>
      <c r="Y860" s="166"/>
    </row>
    <row r="861" ht="22.5" customHeight="1">
      <c r="A861" s="161"/>
      <c r="B861" s="162"/>
      <c r="C861" s="161"/>
      <c r="D861" s="194"/>
      <c r="E861" s="194"/>
      <c r="F861" s="162"/>
      <c r="G861" s="149"/>
      <c r="H861" s="161"/>
      <c r="I861" s="161"/>
      <c r="J861" s="161"/>
      <c r="K861" s="161"/>
      <c r="L861" s="161"/>
      <c r="M861" s="161"/>
      <c r="N861" s="149"/>
      <c r="O861" s="161"/>
      <c r="P861" s="161"/>
      <c r="S861" s="149"/>
      <c r="T861" s="149"/>
      <c r="V861" s="166"/>
      <c r="W861" s="166"/>
      <c r="X861" s="166"/>
      <c r="Y861" s="166"/>
    </row>
    <row r="862" ht="22.5" customHeight="1">
      <c r="A862" s="161"/>
      <c r="B862" s="162"/>
      <c r="C862" s="161"/>
      <c r="D862" s="194"/>
      <c r="E862" s="194"/>
      <c r="F862" s="162"/>
      <c r="G862" s="149"/>
      <c r="H862" s="161"/>
      <c r="I862" s="161"/>
      <c r="J862" s="161"/>
      <c r="K862" s="161"/>
      <c r="L862" s="161"/>
      <c r="M862" s="161"/>
      <c r="N862" s="149"/>
      <c r="O862" s="161"/>
      <c r="P862" s="161"/>
      <c r="S862" s="149"/>
      <c r="T862" s="149"/>
      <c r="V862" s="166"/>
      <c r="W862" s="166"/>
      <c r="X862" s="166"/>
      <c r="Y862" s="166"/>
    </row>
    <row r="863" ht="22.5" customHeight="1">
      <c r="A863" s="161"/>
      <c r="B863" s="162"/>
      <c r="C863" s="161"/>
      <c r="D863" s="194"/>
      <c r="E863" s="194"/>
      <c r="F863" s="162"/>
      <c r="G863" s="149"/>
      <c r="H863" s="161"/>
      <c r="I863" s="161"/>
      <c r="J863" s="161"/>
      <c r="K863" s="161"/>
      <c r="L863" s="161"/>
      <c r="M863" s="161"/>
      <c r="N863" s="149"/>
      <c r="O863" s="161"/>
      <c r="P863" s="161"/>
      <c r="S863" s="149"/>
      <c r="T863" s="149"/>
      <c r="V863" s="166"/>
      <c r="W863" s="166"/>
      <c r="X863" s="166"/>
      <c r="Y863" s="166"/>
    </row>
    <row r="864" ht="22.5" customHeight="1">
      <c r="A864" s="161"/>
      <c r="B864" s="162"/>
      <c r="C864" s="161"/>
      <c r="D864" s="194"/>
      <c r="E864" s="194"/>
      <c r="F864" s="162"/>
      <c r="G864" s="149"/>
      <c r="H864" s="161"/>
      <c r="I864" s="161"/>
      <c r="J864" s="161"/>
      <c r="K864" s="161"/>
      <c r="L864" s="161"/>
      <c r="M864" s="161"/>
      <c r="N864" s="149"/>
      <c r="O864" s="161"/>
      <c r="P864" s="161"/>
      <c r="S864" s="149"/>
      <c r="T864" s="149"/>
      <c r="V864" s="166"/>
      <c r="W864" s="166"/>
      <c r="X864" s="166"/>
      <c r="Y864" s="166"/>
    </row>
    <row r="865" ht="22.5" customHeight="1">
      <c r="A865" s="161"/>
      <c r="B865" s="162"/>
      <c r="C865" s="161"/>
      <c r="D865" s="194"/>
      <c r="E865" s="194"/>
      <c r="F865" s="162"/>
      <c r="G865" s="149"/>
      <c r="H865" s="161"/>
      <c r="I865" s="161"/>
      <c r="J865" s="161"/>
      <c r="K865" s="161"/>
      <c r="L865" s="161"/>
      <c r="M865" s="161"/>
      <c r="N865" s="149"/>
      <c r="O865" s="161"/>
      <c r="P865" s="161"/>
      <c r="S865" s="149"/>
      <c r="T865" s="149"/>
      <c r="V865" s="166"/>
      <c r="W865" s="166"/>
      <c r="X865" s="166"/>
      <c r="Y865" s="166"/>
    </row>
    <row r="866" ht="22.5" customHeight="1">
      <c r="A866" s="161"/>
      <c r="B866" s="162"/>
      <c r="C866" s="161"/>
      <c r="D866" s="194"/>
      <c r="E866" s="194"/>
      <c r="F866" s="162"/>
      <c r="G866" s="149"/>
      <c r="H866" s="161"/>
      <c r="I866" s="161"/>
      <c r="J866" s="161"/>
      <c r="K866" s="161"/>
      <c r="L866" s="161"/>
      <c r="M866" s="161"/>
      <c r="N866" s="149"/>
      <c r="O866" s="161"/>
      <c r="P866" s="161"/>
      <c r="S866" s="149"/>
      <c r="T866" s="149"/>
      <c r="V866" s="166"/>
      <c r="W866" s="166"/>
      <c r="X866" s="166"/>
      <c r="Y866" s="166"/>
    </row>
    <row r="867" ht="22.5" customHeight="1">
      <c r="A867" s="161"/>
      <c r="B867" s="162"/>
      <c r="C867" s="161"/>
      <c r="D867" s="194"/>
      <c r="E867" s="194"/>
      <c r="F867" s="162"/>
      <c r="G867" s="149"/>
      <c r="H867" s="161"/>
      <c r="I867" s="161"/>
      <c r="J867" s="161"/>
      <c r="K867" s="161"/>
      <c r="L867" s="161"/>
      <c r="M867" s="161"/>
      <c r="N867" s="149"/>
      <c r="O867" s="161"/>
      <c r="P867" s="161"/>
      <c r="S867" s="149"/>
      <c r="T867" s="149"/>
      <c r="V867" s="166"/>
      <c r="W867" s="166"/>
      <c r="X867" s="166"/>
      <c r="Y867" s="166"/>
    </row>
    <row r="868" ht="22.5" customHeight="1">
      <c r="A868" s="161"/>
      <c r="B868" s="162"/>
      <c r="C868" s="161"/>
      <c r="D868" s="194"/>
      <c r="E868" s="194"/>
      <c r="F868" s="162"/>
      <c r="G868" s="149"/>
      <c r="H868" s="161"/>
      <c r="I868" s="161"/>
      <c r="J868" s="161"/>
      <c r="K868" s="161"/>
      <c r="L868" s="161"/>
      <c r="M868" s="161"/>
      <c r="N868" s="149"/>
      <c r="O868" s="161"/>
      <c r="P868" s="161"/>
      <c r="S868" s="149"/>
      <c r="T868" s="149"/>
      <c r="V868" s="166"/>
      <c r="W868" s="166"/>
      <c r="X868" s="166"/>
      <c r="Y868" s="166"/>
    </row>
    <row r="869" ht="22.5" customHeight="1">
      <c r="A869" s="161"/>
      <c r="B869" s="162"/>
      <c r="C869" s="161"/>
      <c r="D869" s="194"/>
      <c r="E869" s="194"/>
      <c r="F869" s="162"/>
      <c r="G869" s="149"/>
      <c r="H869" s="161"/>
      <c r="I869" s="161"/>
      <c r="J869" s="161"/>
      <c r="K869" s="161"/>
      <c r="L869" s="161"/>
      <c r="M869" s="161"/>
      <c r="N869" s="149"/>
      <c r="O869" s="161"/>
      <c r="P869" s="161"/>
      <c r="S869" s="149"/>
      <c r="T869" s="149"/>
      <c r="V869" s="166"/>
      <c r="W869" s="166"/>
      <c r="X869" s="166"/>
      <c r="Y869" s="166"/>
    </row>
    <row r="870" ht="22.5" customHeight="1">
      <c r="A870" s="161"/>
      <c r="B870" s="162"/>
      <c r="C870" s="161"/>
      <c r="D870" s="194"/>
      <c r="E870" s="194"/>
      <c r="F870" s="162"/>
      <c r="G870" s="149"/>
      <c r="H870" s="161"/>
      <c r="I870" s="161"/>
      <c r="J870" s="161"/>
      <c r="K870" s="161"/>
      <c r="L870" s="161"/>
      <c r="M870" s="161"/>
      <c r="N870" s="149"/>
      <c r="O870" s="161"/>
      <c r="P870" s="161"/>
      <c r="S870" s="149"/>
      <c r="T870" s="149"/>
      <c r="V870" s="166"/>
      <c r="W870" s="166"/>
      <c r="X870" s="166"/>
      <c r="Y870" s="166"/>
    </row>
    <row r="871" ht="22.5" customHeight="1">
      <c r="A871" s="161"/>
      <c r="B871" s="162"/>
      <c r="C871" s="161"/>
      <c r="D871" s="194"/>
      <c r="E871" s="194"/>
      <c r="F871" s="162"/>
      <c r="G871" s="149"/>
      <c r="H871" s="161"/>
      <c r="I871" s="161"/>
      <c r="J871" s="161"/>
      <c r="K871" s="161"/>
      <c r="L871" s="161"/>
      <c r="M871" s="161"/>
      <c r="N871" s="149"/>
      <c r="O871" s="161"/>
      <c r="P871" s="161"/>
      <c r="S871" s="149"/>
      <c r="T871" s="149"/>
      <c r="V871" s="166"/>
      <c r="W871" s="166"/>
      <c r="X871" s="166"/>
      <c r="Y871" s="166"/>
    </row>
    <row r="872" ht="22.5" customHeight="1">
      <c r="A872" s="161"/>
      <c r="B872" s="162"/>
      <c r="C872" s="161"/>
      <c r="D872" s="194"/>
      <c r="E872" s="194"/>
      <c r="F872" s="162"/>
      <c r="G872" s="149"/>
      <c r="H872" s="161"/>
      <c r="I872" s="161"/>
      <c r="J872" s="161"/>
      <c r="K872" s="161"/>
      <c r="L872" s="161"/>
      <c r="M872" s="161"/>
      <c r="N872" s="149"/>
      <c r="O872" s="161"/>
      <c r="P872" s="161"/>
      <c r="S872" s="149"/>
      <c r="T872" s="149"/>
      <c r="V872" s="166"/>
      <c r="W872" s="166"/>
      <c r="X872" s="166"/>
      <c r="Y872" s="166"/>
    </row>
    <row r="873" ht="22.5" customHeight="1">
      <c r="A873" s="161"/>
      <c r="B873" s="162"/>
      <c r="C873" s="161"/>
      <c r="D873" s="194"/>
      <c r="E873" s="194"/>
      <c r="F873" s="162"/>
      <c r="G873" s="149"/>
      <c r="H873" s="161"/>
      <c r="I873" s="161"/>
      <c r="J873" s="161"/>
      <c r="K873" s="161"/>
      <c r="L873" s="161"/>
      <c r="M873" s="161"/>
      <c r="N873" s="149"/>
      <c r="O873" s="161"/>
      <c r="P873" s="161"/>
      <c r="S873" s="149"/>
      <c r="T873" s="149"/>
      <c r="V873" s="166"/>
      <c r="W873" s="166"/>
      <c r="X873" s="166"/>
      <c r="Y873" s="166"/>
    </row>
    <row r="874" ht="22.5" customHeight="1">
      <c r="A874" s="161"/>
      <c r="B874" s="162"/>
      <c r="C874" s="161"/>
      <c r="D874" s="194"/>
      <c r="E874" s="194"/>
      <c r="F874" s="162"/>
      <c r="G874" s="149"/>
      <c r="H874" s="161"/>
      <c r="I874" s="161"/>
      <c r="J874" s="161"/>
      <c r="K874" s="161"/>
      <c r="L874" s="161"/>
      <c r="M874" s="161"/>
      <c r="N874" s="149"/>
      <c r="O874" s="161"/>
      <c r="P874" s="161"/>
      <c r="S874" s="149"/>
      <c r="T874" s="149"/>
      <c r="V874" s="166"/>
      <c r="W874" s="166"/>
      <c r="X874" s="166"/>
      <c r="Y874" s="166"/>
    </row>
    <row r="875" ht="22.5" customHeight="1">
      <c r="A875" s="161"/>
      <c r="B875" s="162"/>
      <c r="C875" s="161"/>
      <c r="D875" s="194"/>
      <c r="E875" s="194"/>
      <c r="F875" s="162"/>
      <c r="G875" s="149"/>
      <c r="H875" s="161"/>
      <c r="I875" s="161"/>
      <c r="J875" s="161"/>
      <c r="K875" s="161"/>
      <c r="L875" s="161"/>
      <c r="M875" s="161"/>
      <c r="N875" s="149"/>
      <c r="O875" s="161"/>
      <c r="P875" s="161"/>
      <c r="S875" s="149"/>
      <c r="T875" s="149"/>
      <c r="V875" s="166"/>
      <c r="W875" s="166"/>
      <c r="X875" s="166"/>
      <c r="Y875" s="166"/>
    </row>
    <row r="876" ht="22.5" customHeight="1">
      <c r="A876" s="161"/>
      <c r="B876" s="162"/>
      <c r="C876" s="161"/>
      <c r="D876" s="194"/>
      <c r="E876" s="194"/>
      <c r="F876" s="162"/>
      <c r="G876" s="149"/>
      <c r="H876" s="161"/>
      <c r="I876" s="161"/>
      <c r="J876" s="161"/>
      <c r="K876" s="161"/>
      <c r="L876" s="161"/>
      <c r="M876" s="161"/>
      <c r="N876" s="149"/>
      <c r="O876" s="161"/>
      <c r="P876" s="161"/>
      <c r="S876" s="149"/>
      <c r="T876" s="149"/>
      <c r="V876" s="166"/>
      <c r="W876" s="166"/>
      <c r="X876" s="166"/>
      <c r="Y876" s="166"/>
    </row>
    <row r="877" ht="22.5" customHeight="1">
      <c r="A877" s="161"/>
      <c r="B877" s="162"/>
      <c r="C877" s="161"/>
      <c r="D877" s="194"/>
      <c r="E877" s="194"/>
      <c r="F877" s="162"/>
      <c r="G877" s="149"/>
      <c r="H877" s="161"/>
      <c r="I877" s="161"/>
      <c r="J877" s="161"/>
      <c r="K877" s="161"/>
      <c r="L877" s="161"/>
      <c r="M877" s="161"/>
      <c r="N877" s="149"/>
      <c r="O877" s="161"/>
      <c r="P877" s="161"/>
      <c r="S877" s="149"/>
      <c r="T877" s="149"/>
      <c r="V877" s="166"/>
      <c r="W877" s="166"/>
      <c r="X877" s="166"/>
      <c r="Y877" s="166"/>
    </row>
    <row r="878" ht="22.5" customHeight="1">
      <c r="A878" s="161"/>
      <c r="B878" s="162"/>
      <c r="C878" s="161"/>
      <c r="D878" s="194"/>
      <c r="E878" s="194"/>
      <c r="F878" s="162"/>
      <c r="G878" s="149"/>
      <c r="H878" s="161"/>
      <c r="I878" s="161"/>
      <c r="J878" s="161"/>
      <c r="K878" s="161"/>
      <c r="L878" s="161"/>
      <c r="M878" s="161"/>
      <c r="N878" s="149"/>
      <c r="O878" s="161"/>
      <c r="P878" s="161"/>
      <c r="S878" s="149"/>
      <c r="T878" s="149"/>
      <c r="V878" s="166"/>
      <c r="W878" s="166"/>
      <c r="X878" s="166"/>
      <c r="Y878" s="166"/>
    </row>
    <row r="879" ht="22.5" customHeight="1">
      <c r="A879" s="161"/>
      <c r="B879" s="162"/>
      <c r="C879" s="161"/>
      <c r="D879" s="194"/>
      <c r="E879" s="194"/>
      <c r="F879" s="162"/>
      <c r="G879" s="149"/>
      <c r="H879" s="161"/>
      <c r="I879" s="161"/>
      <c r="J879" s="161"/>
      <c r="K879" s="161"/>
      <c r="L879" s="161"/>
      <c r="M879" s="161"/>
      <c r="N879" s="149"/>
      <c r="O879" s="161"/>
      <c r="P879" s="161"/>
      <c r="S879" s="149"/>
      <c r="T879" s="149"/>
      <c r="V879" s="166"/>
      <c r="W879" s="166"/>
      <c r="X879" s="166"/>
      <c r="Y879" s="166"/>
    </row>
    <row r="880" ht="22.5" customHeight="1">
      <c r="A880" s="161"/>
      <c r="B880" s="162"/>
      <c r="C880" s="161"/>
      <c r="D880" s="194"/>
      <c r="E880" s="194"/>
      <c r="F880" s="162"/>
      <c r="G880" s="149"/>
      <c r="H880" s="161"/>
      <c r="I880" s="161"/>
      <c r="J880" s="161"/>
      <c r="K880" s="161"/>
      <c r="L880" s="161"/>
      <c r="M880" s="161"/>
      <c r="N880" s="149"/>
      <c r="O880" s="161"/>
      <c r="P880" s="161"/>
      <c r="S880" s="149"/>
      <c r="T880" s="149"/>
      <c r="V880" s="166"/>
      <c r="W880" s="166"/>
      <c r="X880" s="166"/>
      <c r="Y880" s="166"/>
    </row>
    <row r="881" ht="22.5" customHeight="1">
      <c r="A881" s="161"/>
      <c r="B881" s="162"/>
      <c r="C881" s="161"/>
      <c r="D881" s="194"/>
      <c r="E881" s="194"/>
      <c r="F881" s="162"/>
      <c r="G881" s="149"/>
      <c r="H881" s="161"/>
      <c r="I881" s="161"/>
      <c r="J881" s="161"/>
      <c r="K881" s="161"/>
      <c r="L881" s="161"/>
      <c r="M881" s="161"/>
      <c r="N881" s="149"/>
      <c r="O881" s="161"/>
      <c r="P881" s="161"/>
      <c r="S881" s="149"/>
      <c r="T881" s="149"/>
      <c r="V881" s="166"/>
      <c r="W881" s="166"/>
      <c r="X881" s="166"/>
      <c r="Y881" s="166"/>
    </row>
    <row r="882" ht="22.5" customHeight="1">
      <c r="A882" s="161"/>
      <c r="B882" s="162"/>
      <c r="C882" s="161"/>
      <c r="D882" s="194"/>
      <c r="E882" s="194"/>
      <c r="F882" s="162"/>
      <c r="G882" s="149"/>
      <c r="H882" s="161"/>
      <c r="I882" s="161"/>
      <c r="J882" s="161"/>
      <c r="K882" s="161"/>
      <c r="L882" s="161"/>
      <c r="M882" s="161"/>
      <c r="N882" s="149"/>
      <c r="O882" s="161"/>
      <c r="P882" s="161"/>
      <c r="S882" s="149"/>
      <c r="T882" s="149"/>
      <c r="V882" s="166"/>
      <c r="W882" s="166"/>
      <c r="X882" s="166"/>
      <c r="Y882" s="166"/>
    </row>
    <row r="883" ht="22.5" customHeight="1">
      <c r="A883" s="161"/>
      <c r="B883" s="162"/>
      <c r="C883" s="161"/>
      <c r="D883" s="194"/>
      <c r="E883" s="194"/>
      <c r="F883" s="162"/>
      <c r="G883" s="149"/>
      <c r="H883" s="161"/>
      <c r="I883" s="161"/>
      <c r="J883" s="161"/>
      <c r="K883" s="161"/>
      <c r="L883" s="161"/>
      <c r="M883" s="161"/>
      <c r="N883" s="149"/>
      <c r="O883" s="161"/>
      <c r="P883" s="161"/>
      <c r="S883" s="149"/>
      <c r="T883" s="149"/>
      <c r="V883" s="166"/>
      <c r="W883" s="166"/>
      <c r="X883" s="166"/>
      <c r="Y883" s="166"/>
    </row>
    <row r="884" ht="22.5" customHeight="1">
      <c r="A884" s="161"/>
      <c r="B884" s="162"/>
      <c r="C884" s="161"/>
      <c r="D884" s="194"/>
      <c r="E884" s="194"/>
      <c r="F884" s="162"/>
      <c r="G884" s="149"/>
      <c r="H884" s="161"/>
      <c r="I884" s="161"/>
      <c r="J884" s="161"/>
      <c r="K884" s="161"/>
      <c r="L884" s="161"/>
      <c r="M884" s="161"/>
      <c r="N884" s="149"/>
      <c r="O884" s="161"/>
      <c r="P884" s="161"/>
      <c r="S884" s="149"/>
      <c r="T884" s="149"/>
      <c r="V884" s="166"/>
      <c r="W884" s="166"/>
      <c r="X884" s="166"/>
      <c r="Y884" s="166"/>
    </row>
    <row r="885" ht="22.5" customHeight="1">
      <c r="A885" s="161"/>
      <c r="B885" s="162"/>
      <c r="C885" s="161"/>
      <c r="D885" s="194"/>
      <c r="E885" s="194"/>
      <c r="F885" s="162"/>
      <c r="G885" s="149"/>
      <c r="H885" s="161"/>
      <c r="I885" s="161"/>
      <c r="J885" s="161"/>
      <c r="K885" s="161"/>
      <c r="L885" s="161"/>
      <c r="M885" s="161"/>
      <c r="N885" s="149"/>
      <c r="O885" s="161"/>
      <c r="P885" s="161"/>
      <c r="S885" s="149"/>
      <c r="T885" s="149"/>
      <c r="V885" s="166"/>
      <c r="W885" s="166"/>
      <c r="X885" s="166"/>
      <c r="Y885" s="166"/>
    </row>
    <row r="886" ht="22.5" customHeight="1">
      <c r="A886" s="161"/>
      <c r="B886" s="162"/>
      <c r="C886" s="161"/>
      <c r="D886" s="194"/>
      <c r="E886" s="194"/>
      <c r="F886" s="162"/>
      <c r="G886" s="149"/>
      <c r="H886" s="161"/>
      <c r="I886" s="161"/>
      <c r="J886" s="161"/>
      <c r="K886" s="161"/>
      <c r="L886" s="161"/>
      <c r="M886" s="161"/>
      <c r="N886" s="149"/>
      <c r="O886" s="161"/>
      <c r="P886" s="161"/>
      <c r="S886" s="149"/>
      <c r="T886" s="149"/>
      <c r="V886" s="166"/>
      <c r="W886" s="166"/>
      <c r="X886" s="166"/>
      <c r="Y886" s="166"/>
    </row>
    <row r="887" ht="22.5" customHeight="1">
      <c r="A887" s="161"/>
      <c r="B887" s="162"/>
      <c r="C887" s="161"/>
      <c r="D887" s="194"/>
      <c r="E887" s="194"/>
      <c r="F887" s="162"/>
      <c r="G887" s="149"/>
      <c r="H887" s="161"/>
      <c r="I887" s="161"/>
      <c r="J887" s="161"/>
      <c r="K887" s="161"/>
      <c r="L887" s="161"/>
      <c r="M887" s="161"/>
      <c r="N887" s="149"/>
      <c r="O887" s="161"/>
      <c r="P887" s="161"/>
      <c r="S887" s="149"/>
      <c r="T887" s="149"/>
      <c r="V887" s="166"/>
      <c r="W887" s="166"/>
      <c r="X887" s="166"/>
      <c r="Y887" s="166"/>
    </row>
    <row r="888" ht="22.5" customHeight="1">
      <c r="A888" s="161"/>
      <c r="B888" s="162"/>
      <c r="C888" s="161"/>
      <c r="D888" s="194"/>
      <c r="E888" s="194"/>
      <c r="F888" s="162"/>
      <c r="G888" s="149"/>
      <c r="H888" s="161"/>
      <c r="I888" s="161"/>
      <c r="J888" s="161"/>
      <c r="K888" s="161"/>
      <c r="L888" s="161"/>
      <c r="M888" s="161"/>
      <c r="N888" s="149"/>
      <c r="O888" s="161"/>
      <c r="P888" s="161"/>
      <c r="S888" s="149"/>
      <c r="T888" s="149"/>
      <c r="V888" s="166"/>
      <c r="W888" s="166"/>
      <c r="X888" s="166"/>
      <c r="Y888" s="166"/>
    </row>
    <row r="889" ht="22.5" customHeight="1">
      <c r="A889" s="161"/>
      <c r="B889" s="162"/>
      <c r="C889" s="161"/>
      <c r="D889" s="194"/>
      <c r="E889" s="194"/>
      <c r="F889" s="162"/>
      <c r="G889" s="149"/>
      <c r="H889" s="161"/>
      <c r="I889" s="161"/>
      <c r="J889" s="161"/>
      <c r="K889" s="161"/>
      <c r="L889" s="161"/>
      <c r="M889" s="161"/>
      <c r="N889" s="149"/>
      <c r="O889" s="161"/>
      <c r="P889" s="161"/>
      <c r="S889" s="149"/>
      <c r="T889" s="149"/>
      <c r="V889" s="166"/>
      <c r="W889" s="166"/>
      <c r="X889" s="166"/>
      <c r="Y889" s="166"/>
    </row>
    <row r="890" ht="22.5" customHeight="1">
      <c r="A890" s="161"/>
      <c r="B890" s="162"/>
      <c r="C890" s="161"/>
      <c r="D890" s="194"/>
      <c r="E890" s="194"/>
      <c r="F890" s="162"/>
      <c r="G890" s="149"/>
      <c r="H890" s="161"/>
      <c r="I890" s="161"/>
      <c r="J890" s="161"/>
      <c r="K890" s="161"/>
      <c r="L890" s="161"/>
      <c r="M890" s="161"/>
      <c r="N890" s="149"/>
      <c r="O890" s="161"/>
      <c r="P890" s="161"/>
      <c r="S890" s="149"/>
      <c r="T890" s="149"/>
      <c r="V890" s="166"/>
      <c r="W890" s="166"/>
      <c r="X890" s="166"/>
      <c r="Y890" s="166"/>
    </row>
    <row r="891" ht="22.5" customHeight="1">
      <c r="A891" s="161"/>
      <c r="B891" s="162"/>
      <c r="C891" s="161"/>
      <c r="D891" s="194"/>
      <c r="E891" s="194"/>
      <c r="F891" s="162"/>
      <c r="G891" s="149"/>
      <c r="H891" s="161"/>
      <c r="I891" s="161"/>
      <c r="J891" s="161"/>
      <c r="K891" s="161"/>
      <c r="L891" s="161"/>
      <c r="M891" s="161"/>
      <c r="N891" s="149"/>
      <c r="O891" s="161"/>
      <c r="P891" s="161"/>
      <c r="S891" s="149"/>
      <c r="T891" s="149"/>
      <c r="V891" s="166"/>
      <c r="W891" s="166"/>
      <c r="X891" s="166"/>
      <c r="Y891" s="166"/>
    </row>
    <row r="892" ht="22.5" customHeight="1">
      <c r="A892" s="161"/>
      <c r="B892" s="162"/>
      <c r="C892" s="161"/>
      <c r="D892" s="194"/>
      <c r="E892" s="194"/>
      <c r="F892" s="162"/>
      <c r="G892" s="149"/>
      <c r="H892" s="161"/>
      <c r="I892" s="161"/>
      <c r="J892" s="161"/>
      <c r="K892" s="161"/>
      <c r="L892" s="161"/>
      <c r="M892" s="161"/>
      <c r="N892" s="149"/>
      <c r="O892" s="161"/>
      <c r="P892" s="161"/>
      <c r="S892" s="149"/>
      <c r="T892" s="149"/>
      <c r="V892" s="166"/>
      <c r="W892" s="166"/>
      <c r="X892" s="166"/>
      <c r="Y892" s="166"/>
    </row>
    <row r="893" ht="22.5" customHeight="1">
      <c r="A893" s="161"/>
      <c r="B893" s="162"/>
      <c r="C893" s="161"/>
      <c r="D893" s="194"/>
      <c r="E893" s="194"/>
      <c r="F893" s="162"/>
      <c r="G893" s="149"/>
      <c r="H893" s="161"/>
      <c r="I893" s="161"/>
      <c r="J893" s="161"/>
      <c r="K893" s="161"/>
      <c r="L893" s="161"/>
      <c r="M893" s="161"/>
      <c r="N893" s="149"/>
      <c r="O893" s="161"/>
      <c r="P893" s="161"/>
      <c r="S893" s="149"/>
      <c r="T893" s="149"/>
      <c r="V893" s="166"/>
      <c r="W893" s="166"/>
      <c r="X893" s="166"/>
      <c r="Y893" s="166"/>
    </row>
    <row r="894" ht="22.5" customHeight="1">
      <c r="A894" s="161"/>
      <c r="B894" s="162"/>
      <c r="C894" s="161"/>
      <c r="D894" s="194"/>
      <c r="E894" s="194"/>
      <c r="F894" s="162"/>
      <c r="G894" s="149"/>
      <c r="H894" s="161"/>
      <c r="I894" s="161"/>
      <c r="J894" s="161"/>
      <c r="K894" s="161"/>
      <c r="L894" s="161"/>
      <c r="M894" s="161"/>
      <c r="N894" s="149"/>
      <c r="O894" s="161"/>
      <c r="P894" s="161"/>
      <c r="S894" s="149"/>
      <c r="T894" s="149"/>
      <c r="V894" s="166"/>
      <c r="W894" s="166"/>
      <c r="X894" s="166"/>
      <c r="Y894" s="166"/>
    </row>
    <row r="895" ht="22.5" customHeight="1">
      <c r="A895" s="161"/>
      <c r="B895" s="162"/>
      <c r="C895" s="161"/>
      <c r="D895" s="194"/>
      <c r="E895" s="194"/>
      <c r="F895" s="162"/>
      <c r="G895" s="149"/>
      <c r="H895" s="161"/>
      <c r="I895" s="161"/>
      <c r="J895" s="161"/>
      <c r="K895" s="161"/>
      <c r="L895" s="161"/>
      <c r="M895" s="161"/>
      <c r="N895" s="149"/>
      <c r="O895" s="161"/>
      <c r="P895" s="161"/>
      <c r="S895" s="149"/>
      <c r="T895" s="149"/>
      <c r="V895" s="166"/>
      <c r="W895" s="166"/>
      <c r="X895" s="166"/>
      <c r="Y895" s="166"/>
    </row>
    <row r="896" ht="22.5" customHeight="1">
      <c r="A896" s="161"/>
      <c r="B896" s="162"/>
      <c r="C896" s="161"/>
      <c r="D896" s="194"/>
      <c r="E896" s="194"/>
      <c r="F896" s="162"/>
      <c r="G896" s="149"/>
      <c r="H896" s="161"/>
      <c r="I896" s="161"/>
      <c r="J896" s="161"/>
      <c r="K896" s="161"/>
      <c r="L896" s="161"/>
      <c r="M896" s="161"/>
      <c r="N896" s="149"/>
      <c r="O896" s="161"/>
      <c r="P896" s="161"/>
      <c r="S896" s="149"/>
      <c r="T896" s="149"/>
      <c r="V896" s="166"/>
      <c r="W896" s="166"/>
      <c r="X896" s="166"/>
      <c r="Y896" s="166"/>
    </row>
    <row r="897" ht="22.5" customHeight="1">
      <c r="A897" s="161"/>
      <c r="B897" s="162"/>
      <c r="C897" s="161"/>
      <c r="D897" s="194"/>
      <c r="E897" s="194"/>
      <c r="F897" s="162"/>
      <c r="G897" s="149"/>
      <c r="H897" s="161"/>
      <c r="I897" s="161"/>
      <c r="J897" s="161"/>
      <c r="K897" s="161"/>
      <c r="L897" s="161"/>
      <c r="M897" s="161"/>
      <c r="N897" s="149"/>
      <c r="O897" s="161"/>
      <c r="P897" s="161"/>
      <c r="S897" s="149"/>
      <c r="T897" s="149"/>
      <c r="V897" s="166"/>
      <c r="W897" s="166"/>
      <c r="X897" s="166"/>
      <c r="Y897" s="166"/>
    </row>
    <row r="898" ht="22.5" customHeight="1">
      <c r="A898" s="161"/>
      <c r="B898" s="162"/>
      <c r="C898" s="161"/>
      <c r="D898" s="194"/>
      <c r="E898" s="194"/>
      <c r="F898" s="162"/>
      <c r="G898" s="149"/>
      <c r="H898" s="161"/>
      <c r="I898" s="161"/>
      <c r="J898" s="161"/>
      <c r="K898" s="161"/>
      <c r="L898" s="161"/>
      <c r="M898" s="161"/>
      <c r="N898" s="149"/>
      <c r="O898" s="161"/>
      <c r="P898" s="161"/>
      <c r="S898" s="149"/>
      <c r="T898" s="149"/>
      <c r="V898" s="166"/>
      <c r="W898" s="166"/>
      <c r="X898" s="166"/>
      <c r="Y898" s="166"/>
    </row>
    <row r="899" ht="22.5" customHeight="1">
      <c r="A899" s="161"/>
      <c r="B899" s="162"/>
      <c r="C899" s="161"/>
      <c r="D899" s="194"/>
      <c r="E899" s="194"/>
      <c r="F899" s="162"/>
      <c r="G899" s="149"/>
      <c r="H899" s="161"/>
      <c r="I899" s="161"/>
      <c r="J899" s="161"/>
      <c r="K899" s="161"/>
      <c r="L899" s="161"/>
      <c r="M899" s="161"/>
      <c r="N899" s="149"/>
      <c r="O899" s="161"/>
      <c r="P899" s="161"/>
      <c r="S899" s="149"/>
      <c r="T899" s="149"/>
      <c r="V899" s="166"/>
      <c r="W899" s="166"/>
      <c r="X899" s="166"/>
      <c r="Y899" s="166"/>
    </row>
    <row r="900" ht="22.5" customHeight="1">
      <c r="A900" s="161"/>
      <c r="B900" s="162"/>
      <c r="C900" s="161"/>
      <c r="D900" s="194"/>
      <c r="E900" s="194"/>
      <c r="F900" s="162"/>
      <c r="G900" s="149"/>
      <c r="H900" s="161"/>
      <c r="I900" s="161"/>
      <c r="J900" s="161"/>
      <c r="K900" s="161"/>
      <c r="L900" s="161"/>
      <c r="M900" s="161"/>
      <c r="N900" s="149"/>
      <c r="O900" s="161"/>
      <c r="P900" s="161"/>
      <c r="S900" s="149"/>
      <c r="T900" s="149"/>
      <c r="V900" s="166"/>
      <c r="W900" s="166"/>
      <c r="X900" s="166"/>
      <c r="Y900" s="166"/>
    </row>
    <row r="901" ht="22.5" customHeight="1">
      <c r="A901" s="161"/>
      <c r="B901" s="162"/>
      <c r="C901" s="161"/>
      <c r="D901" s="194"/>
      <c r="E901" s="194"/>
      <c r="F901" s="162"/>
      <c r="G901" s="149"/>
      <c r="H901" s="161"/>
      <c r="I901" s="161"/>
      <c r="J901" s="161"/>
      <c r="K901" s="161"/>
      <c r="L901" s="161"/>
      <c r="M901" s="161"/>
      <c r="N901" s="149"/>
      <c r="O901" s="161"/>
      <c r="P901" s="161"/>
      <c r="S901" s="149"/>
      <c r="T901" s="149"/>
      <c r="V901" s="166"/>
      <c r="W901" s="166"/>
      <c r="X901" s="166"/>
      <c r="Y901" s="166"/>
    </row>
    <row r="902" ht="22.5" customHeight="1">
      <c r="A902" s="161"/>
      <c r="B902" s="162"/>
      <c r="C902" s="161"/>
      <c r="D902" s="194"/>
      <c r="E902" s="194"/>
      <c r="F902" s="162"/>
      <c r="G902" s="149"/>
      <c r="H902" s="161"/>
      <c r="I902" s="161"/>
      <c r="J902" s="161"/>
      <c r="K902" s="161"/>
      <c r="L902" s="161"/>
      <c r="M902" s="161"/>
      <c r="N902" s="149"/>
      <c r="O902" s="161"/>
      <c r="P902" s="161"/>
      <c r="S902" s="149"/>
      <c r="T902" s="149"/>
      <c r="V902" s="166"/>
      <c r="W902" s="166"/>
      <c r="X902" s="166"/>
      <c r="Y902" s="166"/>
    </row>
    <row r="903" ht="22.5" customHeight="1">
      <c r="A903" s="161"/>
      <c r="B903" s="162"/>
      <c r="C903" s="161"/>
      <c r="D903" s="194"/>
      <c r="E903" s="194"/>
      <c r="F903" s="162"/>
      <c r="G903" s="149"/>
      <c r="H903" s="161"/>
      <c r="I903" s="161"/>
      <c r="J903" s="161"/>
      <c r="K903" s="161"/>
      <c r="L903" s="161"/>
      <c r="M903" s="161"/>
      <c r="N903" s="149"/>
      <c r="O903" s="161"/>
      <c r="P903" s="161"/>
      <c r="S903" s="149"/>
      <c r="T903" s="149"/>
      <c r="V903" s="166"/>
      <c r="W903" s="166"/>
      <c r="X903" s="166"/>
      <c r="Y903" s="166"/>
    </row>
    <row r="904" ht="22.5" customHeight="1">
      <c r="A904" s="161"/>
      <c r="B904" s="162"/>
      <c r="C904" s="161"/>
      <c r="D904" s="194"/>
      <c r="E904" s="194"/>
      <c r="F904" s="162"/>
      <c r="G904" s="149"/>
      <c r="H904" s="161"/>
      <c r="I904" s="161"/>
      <c r="J904" s="161"/>
      <c r="K904" s="161"/>
      <c r="L904" s="161"/>
      <c r="M904" s="161"/>
      <c r="N904" s="149"/>
      <c r="O904" s="161"/>
      <c r="P904" s="161"/>
      <c r="S904" s="149"/>
      <c r="T904" s="149"/>
      <c r="V904" s="166"/>
      <c r="W904" s="166"/>
      <c r="X904" s="166"/>
      <c r="Y904" s="166"/>
    </row>
    <row r="905" ht="22.5" customHeight="1">
      <c r="A905" s="161"/>
      <c r="B905" s="162"/>
      <c r="C905" s="161"/>
      <c r="D905" s="194"/>
      <c r="E905" s="194"/>
      <c r="F905" s="162"/>
      <c r="G905" s="149"/>
      <c r="H905" s="161"/>
      <c r="I905" s="161"/>
      <c r="J905" s="161"/>
      <c r="K905" s="161"/>
      <c r="L905" s="161"/>
      <c r="M905" s="161"/>
      <c r="N905" s="149"/>
      <c r="O905" s="161"/>
      <c r="P905" s="161"/>
      <c r="S905" s="149"/>
      <c r="T905" s="149"/>
      <c r="V905" s="166"/>
      <c r="W905" s="166"/>
      <c r="X905" s="166"/>
      <c r="Y905" s="166"/>
    </row>
    <row r="906" ht="22.5" customHeight="1">
      <c r="A906" s="161"/>
      <c r="B906" s="162"/>
      <c r="C906" s="161"/>
      <c r="D906" s="194"/>
      <c r="E906" s="194"/>
      <c r="F906" s="162"/>
      <c r="G906" s="149"/>
      <c r="H906" s="161"/>
      <c r="I906" s="161"/>
      <c r="J906" s="161"/>
      <c r="K906" s="161"/>
      <c r="L906" s="161"/>
      <c r="M906" s="161"/>
      <c r="N906" s="149"/>
      <c r="O906" s="161"/>
      <c r="P906" s="161"/>
      <c r="S906" s="149"/>
      <c r="T906" s="149"/>
      <c r="V906" s="166"/>
      <c r="W906" s="166"/>
      <c r="X906" s="166"/>
      <c r="Y906" s="166"/>
    </row>
    <row r="907" ht="22.5" customHeight="1">
      <c r="A907" s="161"/>
      <c r="B907" s="162"/>
      <c r="C907" s="161"/>
      <c r="D907" s="194"/>
      <c r="E907" s="194"/>
      <c r="F907" s="162"/>
      <c r="G907" s="149"/>
      <c r="H907" s="161"/>
      <c r="I907" s="161"/>
      <c r="J907" s="161"/>
      <c r="K907" s="161"/>
      <c r="L907" s="161"/>
      <c r="M907" s="161"/>
      <c r="N907" s="149"/>
      <c r="O907" s="161"/>
      <c r="P907" s="161"/>
      <c r="S907" s="149"/>
      <c r="T907" s="149"/>
      <c r="V907" s="166"/>
      <c r="W907" s="166"/>
      <c r="X907" s="166"/>
      <c r="Y907" s="166"/>
    </row>
    <row r="908" ht="22.5" customHeight="1">
      <c r="A908" s="161"/>
      <c r="B908" s="162"/>
      <c r="C908" s="161"/>
      <c r="D908" s="194"/>
      <c r="E908" s="194"/>
      <c r="F908" s="162"/>
      <c r="G908" s="149"/>
      <c r="H908" s="161"/>
      <c r="I908" s="161"/>
      <c r="J908" s="161"/>
      <c r="K908" s="161"/>
      <c r="L908" s="161"/>
      <c r="M908" s="161"/>
      <c r="N908" s="149"/>
      <c r="O908" s="161"/>
      <c r="P908" s="161"/>
      <c r="S908" s="149"/>
      <c r="T908" s="149"/>
      <c r="V908" s="166"/>
      <c r="W908" s="166"/>
      <c r="X908" s="166"/>
      <c r="Y908" s="166"/>
    </row>
    <row r="909" ht="22.5" customHeight="1">
      <c r="A909" s="161"/>
      <c r="B909" s="162"/>
      <c r="C909" s="161"/>
      <c r="D909" s="194"/>
      <c r="E909" s="194"/>
      <c r="F909" s="162"/>
      <c r="G909" s="149"/>
      <c r="H909" s="161"/>
      <c r="I909" s="161"/>
      <c r="J909" s="161"/>
      <c r="K909" s="161"/>
      <c r="L909" s="161"/>
      <c r="M909" s="161"/>
      <c r="N909" s="149"/>
      <c r="O909" s="161"/>
      <c r="P909" s="161"/>
      <c r="S909" s="149"/>
      <c r="T909" s="149"/>
      <c r="V909" s="166"/>
      <c r="W909" s="166"/>
      <c r="X909" s="166"/>
      <c r="Y909" s="166"/>
    </row>
    <row r="910" ht="22.5" customHeight="1">
      <c r="A910" s="161"/>
      <c r="B910" s="162"/>
      <c r="C910" s="161"/>
      <c r="D910" s="194"/>
      <c r="E910" s="194"/>
      <c r="F910" s="162"/>
      <c r="G910" s="149"/>
      <c r="H910" s="161"/>
      <c r="I910" s="161"/>
      <c r="J910" s="161"/>
      <c r="K910" s="161"/>
      <c r="L910" s="161"/>
      <c r="M910" s="161"/>
      <c r="N910" s="149"/>
      <c r="O910" s="161"/>
      <c r="P910" s="161"/>
      <c r="S910" s="149"/>
      <c r="T910" s="149"/>
      <c r="V910" s="166"/>
      <c r="W910" s="166"/>
      <c r="X910" s="166"/>
      <c r="Y910" s="166"/>
    </row>
    <row r="911" ht="22.5" customHeight="1">
      <c r="A911" s="161"/>
      <c r="B911" s="162"/>
      <c r="C911" s="161"/>
      <c r="D911" s="194"/>
      <c r="E911" s="194"/>
      <c r="F911" s="162"/>
      <c r="G911" s="149"/>
      <c r="H911" s="161"/>
      <c r="I911" s="161"/>
      <c r="J911" s="161"/>
      <c r="K911" s="161"/>
      <c r="L911" s="161"/>
      <c r="M911" s="161"/>
      <c r="N911" s="149"/>
      <c r="O911" s="161"/>
      <c r="P911" s="161"/>
      <c r="S911" s="149"/>
      <c r="T911" s="149"/>
      <c r="V911" s="166"/>
      <c r="W911" s="166"/>
      <c r="X911" s="166"/>
      <c r="Y911" s="166"/>
    </row>
    <row r="912" ht="22.5" customHeight="1">
      <c r="A912" s="161"/>
      <c r="B912" s="162"/>
      <c r="C912" s="161"/>
      <c r="D912" s="194"/>
      <c r="E912" s="194"/>
      <c r="F912" s="162"/>
      <c r="G912" s="149"/>
      <c r="H912" s="161"/>
      <c r="I912" s="161"/>
      <c r="J912" s="161"/>
      <c r="K912" s="161"/>
      <c r="L912" s="161"/>
      <c r="M912" s="161"/>
      <c r="N912" s="149"/>
      <c r="O912" s="161"/>
      <c r="P912" s="161"/>
      <c r="S912" s="149"/>
      <c r="T912" s="149"/>
      <c r="V912" s="166"/>
      <c r="W912" s="166"/>
      <c r="X912" s="166"/>
      <c r="Y912" s="166"/>
    </row>
    <row r="913" ht="22.5" customHeight="1">
      <c r="A913" s="161"/>
      <c r="B913" s="162"/>
      <c r="C913" s="161"/>
      <c r="D913" s="194"/>
      <c r="E913" s="194"/>
      <c r="F913" s="162"/>
      <c r="G913" s="149"/>
      <c r="H913" s="161"/>
      <c r="I913" s="161"/>
      <c r="J913" s="161"/>
      <c r="K913" s="161"/>
      <c r="L913" s="161"/>
      <c r="M913" s="161"/>
      <c r="N913" s="149"/>
      <c r="O913" s="161"/>
      <c r="P913" s="161"/>
      <c r="S913" s="149"/>
      <c r="T913" s="149"/>
      <c r="V913" s="166"/>
      <c r="W913" s="166"/>
      <c r="X913" s="166"/>
      <c r="Y913" s="166"/>
    </row>
    <row r="914" ht="22.5" customHeight="1">
      <c r="A914" s="161"/>
      <c r="B914" s="162"/>
      <c r="C914" s="161"/>
      <c r="D914" s="194"/>
      <c r="E914" s="194"/>
      <c r="F914" s="162"/>
      <c r="G914" s="149"/>
      <c r="H914" s="161"/>
      <c r="I914" s="161"/>
      <c r="J914" s="161"/>
      <c r="K914" s="161"/>
      <c r="L914" s="161"/>
      <c r="M914" s="161"/>
      <c r="N914" s="149"/>
      <c r="O914" s="161"/>
      <c r="P914" s="161"/>
      <c r="S914" s="149"/>
      <c r="T914" s="149"/>
      <c r="V914" s="166"/>
      <c r="W914" s="166"/>
      <c r="X914" s="166"/>
      <c r="Y914" s="166"/>
    </row>
    <row r="915" ht="22.5" customHeight="1">
      <c r="A915" s="161"/>
      <c r="B915" s="162"/>
      <c r="C915" s="161"/>
      <c r="D915" s="194"/>
      <c r="E915" s="194"/>
      <c r="F915" s="162"/>
      <c r="G915" s="149"/>
      <c r="H915" s="161"/>
      <c r="I915" s="161"/>
      <c r="J915" s="161"/>
      <c r="K915" s="161"/>
      <c r="L915" s="161"/>
      <c r="M915" s="161"/>
      <c r="N915" s="149"/>
      <c r="O915" s="161"/>
      <c r="P915" s="161"/>
      <c r="S915" s="149"/>
      <c r="T915" s="149"/>
      <c r="V915" s="166"/>
      <c r="W915" s="166"/>
      <c r="X915" s="166"/>
      <c r="Y915" s="166"/>
    </row>
    <row r="916" ht="22.5" customHeight="1">
      <c r="A916" s="161"/>
      <c r="B916" s="162"/>
      <c r="C916" s="161"/>
      <c r="D916" s="194"/>
      <c r="E916" s="194"/>
      <c r="F916" s="162"/>
      <c r="G916" s="149"/>
      <c r="H916" s="161"/>
      <c r="I916" s="161"/>
      <c r="J916" s="161"/>
      <c r="K916" s="161"/>
      <c r="L916" s="161"/>
      <c r="M916" s="161"/>
      <c r="N916" s="149"/>
      <c r="O916" s="161"/>
      <c r="P916" s="161"/>
      <c r="S916" s="149"/>
      <c r="T916" s="149"/>
      <c r="V916" s="166"/>
      <c r="W916" s="166"/>
      <c r="X916" s="166"/>
      <c r="Y916" s="166"/>
    </row>
    <row r="917" ht="22.5" customHeight="1">
      <c r="A917" s="161"/>
      <c r="B917" s="162"/>
      <c r="C917" s="161"/>
      <c r="D917" s="194"/>
      <c r="E917" s="194"/>
      <c r="F917" s="162"/>
      <c r="G917" s="149"/>
      <c r="H917" s="161"/>
      <c r="I917" s="161"/>
      <c r="J917" s="161"/>
      <c r="K917" s="161"/>
      <c r="L917" s="161"/>
      <c r="M917" s="161"/>
      <c r="N917" s="149"/>
      <c r="O917" s="161"/>
      <c r="P917" s="161"/>
      <c r="S917" s="149"/>
      <c r="T917" s="149"/>
      <c r="V917" s="166"/>
      <c r="W917" s="166"/>
      <c r="X917" s="166"/>
      <c r="Y917" s="166"/>
    </row>
    <row r="918" ht="22.5" customHeight="1">
      <c r="A918" s="161"/>
      <c r="B918" s="162"/>
      <c r="C918" s="161"/>
      <c r="D918" s="194"/>
      <c r="E918" s="194"/>
      <c r="F918" s="162"/>
      <c r="G918" s="149"/>
      <c r="H918" s="161"/>
      <c r="I918" s="161"/>
      <c r="J918" s="161"/>
      <c r="K918" s="161"/>
      <c r="L918" s="161"/>
      <c r="M918" s="161"/>
      <c r="N918" s="149"/>
      <c r="O918" s="161"/>
      <c r="P918" s="161"/>
      <c r="S918" s="149"/>
      <c r="T918" s="149"/>
      <c r="V918" s="166"/>
      <c r="W918" s="166"/>
      <c r="X918" s="166"/>
      <c r="Y918" s="166"/>
    </row>
    <row r="919" ht="22.5" customHeight="1">
      <c r="A919" s="161"/>
      <c r="B919" s="162"/>
      <c r="C919" s="161"/>
      <c r="D919" s="194"/>
      <c r="E919" s="194"/>
      <c r="F919" s="162"/>
      <c r="G919" s="149"/>
      <c r="H919" s="161"/>
      <c r="I919" s="161"/>
      <c r="J919" s="161"/>
      <c r="K919" s="161"/>
      <c r="L919" s="161"/>
      <c r="M919" s="161"/>
      <c r="N919" s="149"/>
      <c r="O919" s="161"/>
      <c r="P919" s="161"/>
      <c r="S919" s="149"/>
      <c r="T919" s="149"/>
      <c r="V919" s="166"/>
      <c r="W919" s="166"/>
      <c r="X919" s="166"/>
      <c r="Y919" s="166"/>
    </row>
    <row r="920" ht="22.5" customHeight="1">
      <c r="A920" s="161"/>
      <c r="B920" s="162"/>
      <c r="C920" s="161"/>
      <c r="D920" s="194"/>
      <c r="E920" s="194"/>
      <c r="F920" s="162"/>
      <c r="G920" s="149"/>
      <c r="H920" s="161"/>
      <c r="I920" s="161"/>
      <c r="J920" s="161"/>
      <c r="K920" s="161"/>
      <c r="L920" s="161"/>
      <c r="M920" s="161"/>
      <c r="N920" s="149"/>
      <c r="O920" s="161"/>
      <c r="P920" s="161"/>
      <c r="S920" s="149"/>
      <c r="T920" s="149"/>
      <c r="V920" s="166"/>
      <c r="W920" s="166"/>
      <c r="X920" s="166"/>
      <c r="Y920" s="166"/>
    </row>
    <row r="921" ht="22.5" customHeight="1">
      <c r="A921" s="161"/>
      <c r="B921" s="162"/>
      <c r="C921" s="161"/>
      <c r="D921" s="194"/>
      <c r="E921" s="194"/>
      <c r="F921" s="162"/>
      <c r="G921" s="149"/>
      <c r="H921" s="161"/>
      <c r="I921" s="161"/>
      <c r="J921" s="161"/>
      <c r="K921" s="161"/>
      <c r="L921" s="161"/>
      <c r="M921" s="161"/>
      <c r="N921" s="149"/>
      <c r="O921" s="161"/>
      <c r="P921" s="161"/>
      <c r="S921" s="149"/>
      <c r="T921" s="149"/>
      <c r="V921" s="166"/>
      <c r="W921" s="166"/>
      <c r="X921" s="166"/>
      <c r="Y921" s="166"/>
    </row>
    <row r="922" ht="22.5" customHeight="1">
      <c r="A922" s="161"/>
      <c r="B922" s="162"/>
      <c r="C922" s="161"/>
      <c r="D922" s="194"/>
      <c r="E922" s="194"/>
      <c r="F922" s="162"/>
      <c r="G922" s="149"/>
      <c r="H922" s="161"/>
      <c r="I922" s="161"/>
      <c r="J922" s="161"/>
      <c r="K922" s="161"/>
      <c r="L922" s="161"/>
      <c r="M922" s="161"/>
      <c r="N922" s="149"/>
      <c r="O922" s="161"/>
      <c r="P922" s="161"/>
      <c r="S922" s="149"/>
      <c r="T922" s="149"/>
      <c r="V922" s="166"/>
      <c r="W922" s="166"/>
      <c r="X922" s="166"/>
      <c r="Y922" s="166"/>
    </row>
    <row r="923" ht="22.5" customHeight="1">
      <c r="A923" s="161"/>
      <c r="B923" s="162"/>
      <c r="C923" s="161"/>
      <c r="D923" s="194"/>
      <c r="E923" s="194"/>
      <c r="F923" s="162"/>
      <c r="G923" s="149"/>
      <c r="H923" s="161"/>
      <c r="I923" s="161"/>
      <c r="J923" s="161"/>
      <c r="K923" s="161"/>
      <c r="L923" s="161"/>
      <c r="M923" s="161"/>
      <c r="N923" s="149"/>
      <c r="O923" s="161"/>
      <c r="P923" s="161"/>
      <c r="S923" s="149"/>
      <c r="T923" s="149"/>
      <c r="V923" s="166"/>
      <c r="W923" s="166"/>
      <c r="X923" s="166"/>
      <c r="Y923" s="166"/>
    </row>
    <row r="924" ht="22.5" customHeight="1">
      <c r="A924" s="161"/>
      <c r="B924" s="162"/>
      <c r="C924" s="161"/>
      <c r="D924" s="194"/>
      <c r="E924" s="194"/>
      <c r="F924" s="162"/>
      <c r="G924" s="149"/>
      <c r="H924" s="161"/>
      <c r="I924" s="161"/>
      <c r="J924" s="161"/>
      <c r="K924" s="161"/>
      <c r="L924" s="161"/>
      <c r="M924" s="161"/>
      <c r="N924" s="149"/>
      <c r="O924" s="161"/>
      <c r="P924" s="161"/>
      <c r="S924" s="149"/>
      <c r="T924" s="149"/>
      <c r="V924" s="166"/>
      <c r="W924" s="166"/>
      <c r="X924" s="166"/>
      <c r="Y924" s="166"/>
    </row>
    <row r="925" ht="22.5" customHeight="1">
      <c r="A925" s="161"/>
      <c r="B925" s="162"/>
      <c r="C925" s="161"/>
      <c r="D925" s="194"/>
      <c r="E925" s="194"/>
      <c r="F925" s="162"/>
      <c r="G925" s="149"/>
      <c r="H925" s="161"/>
      <c r="I925" s="161"/>
      <c r="J925" s="161"/>
      <c r="K925" s="161"/>
      <c r="L925" s="161"/>
      <c r="M925" s="161"/>
      <c r="N925" s="149"/>
      <c r="O925" s="161"/>
      <c r="P925" s="161"/>
      <c r="S925" s="149"/>
      <c r="T925" s="149"/>
      <c r="V925" s="166"/>
      <c r="W925" s="166"/>
      <c r="X925" s="166"/>
      <c r="Y925" s="166"/>
    </row>
    <row r="926" ht="22.5" customHeight="1">
      <c r="A926" s="161"/>
      <c r="B926" s="162"/>
      <c r="C926" s="161"/>
      <c r="D926" s="194"/>
      <c r="E926" s="194"/>
      <c r="F926" s="162"/>
      <c r="G926" s="149"/>
      <c r="H926" s="161"/>
      <c r="I926" s="161"/>
      <c r="J926" s="161"/>
      <c r="K926" s="161"/>
      <c r="L926" s="161"/>
      <c r="M926" s="161"/>
      <c r="N926" s="149"/>
      <c r="O926" s="161"/>
      <c r="P926" s="161"/>
      <c r="S926" s="149"/>
      <c r="T926" s="149"/>
      <c r="V926" s="166"/>
      <c r="W926" s="166"/>
      <c r="X926" s="166"/>
      <c r="Y926" s="166"/>
    </row>
    <row r="927" ht="22.5" customHeight="1">
      <c r="A927" s="161"/>
      <c r="B927" s="162"/>
      <c r="C927" s="161"/>
      <c r="D927" s="194"/>
      <c r="E927" s="194"/>
      <c r="F927" s="162"/>
      <c r="G927" s="149"/>
      <c r="H927" s="161"/>
      <c r="I927" s="161"/>
      <c r="J927" s="161"/>
      <c r="K927" s="161"/>
      <c r="L927" s="161"/>
      <c r="M927" s="161"/>
      <c r="N927" s="149"/>
      <c r="O927" s="161"/>
      <c r="P927" s="161"/>
      <c r="S927" s="149"/>
      <c r="T927" s="149"/>
      <c r="V927" s="166"/>
      <c r="W927" s="166"/>
      <c r="X927" s="166"/>
      <c r="Y927" s="166"/>
    </row>
    <row r="928" ht="22.5" customHeight="1">
      <c r="A928" s="161"/>
      <c r="B928" s="162"/>
      <c r="C928" s="161"/>
      <c r="D928" s="194"/>
      <c r="E928" s="194"/>
      <c r="F928" s="162"/>
      <c r="G928" s="149"/>
      <c r="H928" s="161"/>
      <c r="I928" s="161"/>
      <c r="J928" s="161"/>
      <c r="K928" s="161"/>
      <c r="L928" s="161"/>
      <c r="M928" s="161"/>
      <c r="N928" s="149"/>
      <c r="O928" s="161"/>
      <c r="P928" s="161"/>
      <c r="S928" s="149"/>
      <c r="T928" s="149"/>
      <c r="V928" s="166"/>
      <c r="W928" s="166"/>
      <c r="X928" s="166"/>
      <c r="Y928" s="166"/>
    </row>
    <row r="929" ht="22.5" customHeight="1">
      <c r="A929" s="161"/>
      <c r="B929" s="162"/>
      <c r="C929" s="161"/>
      <c r="D929" s="194"/>
      <c r="E929" s="194"/>
      <c r="F929" s="162"/>
      <c r="G929" s="149"/>
      <c r="H929" s="161"/>
      <c r="I929" s="161"/>
      <c r="J929" s="161"/>
      <c r="K929" s="161"/>
      <c r="L929" s="161"/>
      <c r="M929" s="161"/>
      <c r="N929" s="149"/>
      <c r="O929" s="161"/>
      <c r="P929" s="161"/>
      <c r="S929" s="149"/>
      <c r="T929" s="149"/>
      <c r="V929" s="166"/>
      <c r="W929" s="166"/>
      <c r="X929" s="166"/>
      <c r="Y929" s="166"/>
    </row>
    <row r="930" ht="22.5" customHeight="1">
      <c r="A930" s="161"/>
      <c r="B930" s="162"/>
      <c r="C930" s="161"/>
      <c r="D930" s="194"/>
      <c r="E930" s="194"/>
      <c r="F930" s="162"/>
      <c r="G930" s="149"/>
      <c r="H930" s="161"/>
      <c r="I930" s="161"/>
      <c r="J930" s="161"/>
      <c r="K930" s="161"/>
      <c r="L930" s="161"/>
      <c r="M930" s="161"/>
      <c r="N930" s="149"/>
      <c r="O930" s="161"/>
      <c r="P930" s="161"/>
      <c r="S930" s="149"/>
      <c r="T930" s="149"/>
      <c r="V930" s="166"/>
      <c r="W930" s="166"/>
      <c r="X930" s="166"/>
      <c r="Y930" s="166"/>
    </row>
    <row r="931" ht="22.5" customHeight="1">
      <c r="A931" s="161"/>
      <c r="B931" s="162"/>
      <c r="C931" s="161"/>
      <c r="D931" s="194"/>
      <c r="E931" s="194"/>
      <c r="F931" s="162"/>
      <c r="G931" s="149"/>
      <c r="H931" s="161"/>
      <c r="I931" s="161"/>
      <c r="J931" s="161"/>
      <c r="K931" s="161"/>
      <c r="L931" s="161"/>
      <c r="M931" s="161"/>
      <c r="N931" s="149"/>
      <c r="O931" s="161"/>
      <c r="P931" s="161"/>
      <c r="S931" s="149"/>
      <c r="T931" s="149"/>
      <c r="V931" s="166"/>
      <c r="W931" s="166"/>
      <c r="X931" s="166"/>
      <c r="Y931" s="166"/>
    </row>
    <row r="932" ht="22.5" customHeight="1">
      <c r="A932" s="161"/>
      <c r="B932" s="162"/>
      <c r="C932" s="161"/>
      <c r="D932" s="194"/>
      <c r="E932" s="194"/>
      <c r="F932" s="162"/>
      <c r="G932" s="149"/>
      <c r="H932" s="161"/>
      <c r="I932" s="161"/>
      <c r="J932" s="161"/>
      <c r="K932" s="161"/>
      <c r="L932" s="161"/>
      <c r="M932" s="161"/>
      <c r="N932" s="149"/>
      <c r="O932" s="161"/>
      <c r="P932" s="161"/>
      <c r="S932" s="149"/>
      <c r="T932" s="149"/>
      <c r="V932" s="166"/>
      <c r="W932" s="166"/>
      <c r="X932" s="166"/>
      <c r="Y932" s="166"/>
    </row>
    <row r="933" ht="22.5" customHeight="1">
      <c r="A933" s="161"/>
      <c r="B933" s="162"/>
      <c r="C933" s="161"/>
      <c r="D933" s="194"/>
      <c r="E933" s="194"/>
      <c r="F933" s="162"/>
      <c r="G933" s="149"/>
      <c r="H933" s="161"/>
      <c r="I933" s="161"/>
      <c r="J933" s="161"/>
      <c r="K933" s="161"/>
      <c r="L933" s="161"/>
      <c r="M933" s="161"/>
      <c r="N933" s="149"/>
      <c r="O933" s="161"/>
      <c r="P933" s="161"/>
      <c r="S933" s="149"/>
      <c r="T933" s="149"/>
      <c r="V933" s="166"/>
      <c r="W933" s="166"/>
      <c r="X933" s="166"/>
      <c r="Y933" s="166"/>
    </row>
    <row r="934" ht="22.5" customHeight="1">
      <c r="A934" s="161"/>
      <c r="B934" s="162"/>
      <c r="C934" s="161"/>
      <c r="D934" s="194"/>
      <c r="E934" s="194"/>
      <c r="F934" s="162"/>
      <c r="G934" s="149"/>
      <c r="H934" s="161"/>
      <c r="I934" s="161"/>
      <c r="J934" s="161"/>
      <c r="K934" s="161"/>
      <c r="L934" s="161"/>
      <c r="M934" s="161"/>
      <c r="N934" s="149"/>
      <c r="O934" s="161"/>
      <c r="P934" s="161"/>
      <c r="S934" s="149"/>
      <c r="T934" s="149"/>
      <c r="V934" s="166"/>
      <c r="W934" s="166"/>
      <c r="X934" s="166"/>
      <c r="Y934" s="166"/>
    </row>
    <row r="935" ht="22.5" customHeight="1">
      <c r="A935" s="161"/>
      <c r="B935" s="162"/>
      <c r="C935" s="161"/>
      <c r="D935" s="194"/>
      <c r="E935" s="194"/>
      <c r="F935" s="162"/>
      <c r="G935" s="149"/>
      <c r="H935" s="161"/>
      <c r="I935" s="161"/>
      <c r="J935" s="161"/>
      <c r="K935" s="161"/>
      <c r="L935" s="161"/>
      <c r="M935" s="161"/>
      <c r="N935" s="149"/>
      <c r="O935" s="161"/>
      <c r="P935" s="161"/>
      <c r="S935" s="149"/>
      <c r="T935" s="149"/>
      <c r="V935" s="166"/>
      <c r="W935" s="166"/>
      <c r="X935" s="166"/>
      <c r="Y935" s="166"/>
    </row>
    <row r="936" ht="22.5" customHeight="1">
      <c r="A936" s="161"/>
      <c r="B936" s="162"/>
      <c r="C936" s="161"/>
      <c r="D936" s="194"/>
      <c r="E936" s="194"/>
      <c r="F936" s="162"/>
      <c r="G936" s="149"/>
      <c r="H936" s="161"/>
      <c r="I936" s="161"/>
      <c r="J936" s="161"/>
      <c r="K936" s="161"/>
      <c r="L936" s="161"/>
      <c r="M936" s="161"/>
      <c r="N936" s="149"/>
      <c r="O936" s="161"/>
      <c r="P936" s="161"/>
      <c r="S936" s="149"/>
      <c r="T936" s="149"/>
      <c r="V936" s="166"/>
      <c r="W936" s="166"/>
      <c r="X936" s="166"/>
      <c r="Y936" s="166"/>
    </row>
    <row r="937" ht="22.5" customHeight="1">
      <c r="A937" s="161"/>
      <c r="B937" s="162"/>
      <c r="C937" s="161"/>
      <c r="D937" s="194"/>
      <c r="E937" s="194"/>
      <c r="F937" s="162"/>
      <c r="G937" s="149"/>
      <c r="H937" s="161"/>
      <c r="I937" s="161"/>
      <c r="J937" s="161"/>
      <c r="K937" s="161"/>
      <c r="L937" s="161"/>
      <c r="M937" s="161"/>
      <c r="N937" s="149"/>
      <c r="O937" s="161"/>
      <c r="P937" s="161"/>
      <c r="S937" s="149"/>
      <c r="T937" s="149"/>
      <c r="V937" s="166"/>
      <c r="W937" s="166"/>
      <c r="X937" s="166"/>
      <c r="Y937" s="166"/>
    </row>
    <row r="938" ht="22.5" customHeight="1">
      <c r="A938" s="161"/>
      <c r="B938" s="162"/>
      <c r="C938" s="161"/>
      <c r="D938" s="194"/>
      <c r="E938" s="194"/>
      <c r="F938" s="162"/>
      <c r="G938" s="149"/>
      <c r="H938" s="161"/>
      <c r="I938" s="161"/>
      <c r="J938" s="161"/>
      <c r="K938" s="161"/>
      <c r="L938" s="161"/>
      <c r="M938" s="161"/>
      <c r="N938" s="149"/>
      <c r="O938" s="161"/>
      <c r="P938" s="161"/>
      <c r="S938" s="149"/>
      <c r="T938" s="149"/>
      <c r="V938" s="166"/>
      <c r="W938" s="166"/>
      <c r="X938" s="166"/>
      <c r="Y938" s="166"/>
    </row>
    <row r="939" ht="22.5" customHeight="1">
      <c r="A939" s="161"/>
      <c r="B939" s="162"/>
      <c r="C939" s="161"/>
      <c r="D939" s="194"/>
      <c r="E939" s="194"/>
      <c r="F939" s="162"/>
      <c r="G939" s="149"/>
      <c r="H939" s="161"/>
      <c r="I939" s="161"/>
      <c r="J939" s="161"/>
      <c r="K939" s="161"/>
      <c r="L939" s="161"/>
      <c r="M939" s="161"/>
      <c r="N939" s="149"/>
      <c r="O939" s="161"/>
      <c r="P939" s="161"/>
      <c r="S939" s="149"/>
      <c r="T939" s="149"/>
      <c r="V939" s="166"/>
      <c r="W939" s="166"/>
      <c r="X939" s="166"/>
      <c r="Y939" s="166"/>
    </row>
    <row r="940" ht="22.5" customHeight="1">
      <c r="A940" s="161"/>
      <c r="B940" s="162"/>
      <c r="C940" s="161"/>
      <c r="D940" s="194"/>
      <c r="E940" s="194"/>
      <c r="F940" s="162"/>
      <c r="G940" s="149"/>
      <c r="H940" s="161"/>
      <c r="I940" s="161"/>
      <c r="J940" s="161"/>
      <c r="K940" s="161"/>
      <c r="L940" s="161"/>
      <c r="M940" s="161"/>
      <c r="N940" s="149"/>
      <c r="O940" s="161"/>
      <c r="P940" s="161"/>
      <c r="S940" s="149"/>
      <c r="T940" s="149"/>
      <c r="V940" s="166"/>
      <c r="W940" s="166"/>
      <c r="X940" s="166"/>
      <c r="Y940" s="166"/>
    </row>
    <row r="941" ht="22.5" customHeight="1">
      <c r="A941" s="161"/>
      <c r="B941" s="162"/>
      <c r="C941" s="161"/>
      <c r="D941" s="194"/>
      <c r="E941" s="194"/>
      <c r="F941" s="162"/>
      <c r="G941" s="149"/>
      <c r="H941" s="161"/>
      <c r="I941" s="161"/>
      <c r="J941" s="161"/>
      <c r="K941" s="161"/>
      <c r="L941" s="161"/>
      <c r="M941" s="161"/>
      <c r="N941" s="149"/>
      <c r="O941" s="161"/>
      <c r="P941" s="161"/>
      <c r="S941" s="149"/>
      <c r="T941" s="149"/>
      <c r="V941" s="166"/>
      <c r="W941" s="166"/>
      <c r="X941" s="166"/>
      <c r="Y941" s="166"/>
    </row>
    <row r="942" ht="22.5" customHeight="1">
      <c r="A942" s="161"/>
      <c r="B942" s="162"/>
      <c r="C942" s="161"/>
      <c r="D942" s="194"/>
      <c r="E942" s="194"/>
      <c r="F942" s="162"/>
      <c r="G942" s="149"/>
      <c r="H942" s="161"/>
      <c r="I942" s="161"/>
      <c r="J942" s="161"/>
      <c r="K942" s="161"/>
      <c r="L942" s="161"/>
      <c r="M942" s="161"/>
      <c r="N942" s="149"/>
      <c r="O942" s="161"/>
      <c r="P942" s="161"/>
      <c r="S942" s="149"/>
      <c r="T942" s="149"/>
      <c r="V942" s="166"/>
      <c r="W942" s="166"/>
      <c r="X942" s="166"/>
      <c r="Y942" s="166"/>
    </row>
    <row r="943" ht="22.5" customHeight="1">
      <c r="A943" s="161"/>
      <c r="B943" s="162"/>
      <c r="C943" s="161"/>
      <c r="D943" s="194"/>
      <c r="E943" s="194"/>
      <c r="F943" s="162"/>
      <c r="G943" s="149"/>
      <c r="H943" s="161"/>
      <c r="I943" s="161"/>
      <c r="J943" s="161"/>
      <c r="K943" s="161"/>
      <c r="L943" s="161"/>
      <c r="M943" s="161"/>
      <c r="N943" s="149"/>
      <c r="O943" s="161"/>
      <c r="P943" s="161"/>
      <c r="S943" s="149"/>
      <c r="T943" s="149"/>
      <c r="V943" s="166"/>
      <c r="W943" s="166"/>
      <c r="X943" s="166"/>
      <c r="Y943" s="166"/>
    </row>
    <row r="944" ht="22.5" customHeight="1">
      <c r="A944" s="161"/>
      <c r="B944" s="162"/>
      <c r="C944" s="161"/>
      <c r="D944" s="194"/>
      <c r="E944" s="194"/>
      <c r="F944" s="162"/>
      <c r="G944" s="149"/>
      <c r="H944" s="161"/>
      <c r="I944" s="161"/>
      <c r="J944" s="161"/>
      <c r="K944" s="161"/>
      <c r="L944" s="161"/>
      <c r="M944" s="161"/>
      <c r="N944" s="149"/>
      <c r="O944" s="161"/>
      <c r="P944" s="161"/>
      <c r="S944" s="149"/>
      <c r="T944" s="149"/>
      <c r="V944" s="166"/>
      <c r="W944" s="166"/>
      <c r="X944" s="166"/>
      <c r="Y944" s="166"/>
    </row>
    <row r="945" ht="22.5" customHeight="1">
      <c r="A945" s="161"/>
      <c r="B945" s="162"/>
      <c r="C945" s="161"/>
      <c r="D945" s="194"/>
      <c r="E945" s="194"/>
      <c r="F945" s="162"/>
      <c r="G945" s="149"/>
      <c r="H945" s="161"/>
      <c r="I945" s="161"/>
      <c r="J945" s="161"/>
      <c r="K945" s="161"/>
      <c r="L945" s="161"/>
      <c r="M945" s="161"/>
      <c r="N945" s="149"/>
      <c r="O945" s="161"/>
      <c r="P945" s="161"/>
      <c r="S945" s="149"/>
      <c r="T945" s="149"/>
      <c r="V945" s="166"/>
      <c r="W945" s="166"/>
      <c r="X945" s="166"/>
      <c r="Y945" s="166"/>
    </row>
    <row r="946" ht="22.5" customHeight="1">
      <c r="A946" s="161"/>
      <c r="B946" s="162"/>
      <c r="C946" s="161"/>
      <c r="D946" s="194"/>
      <c r="E946" s="194"/>
      <c r="F946" s="162"/>
      <c r="G946" s="149"/>
      <c r="H946" s="161"/>
      <c r="I946" s="161"/>
      <c r="J946" s="161"/>
      <c r="K946" s="161"/>
      <c r="L946" s="161"/>
      <c r="M946" s="161"/>
      <c r="N946" s="149"/>
      <c r="O946" s="161"/>
      <c r="P946" s="161"/>
      <c r="S946" s="149"/>
      <c r="T946" s="149"/>
      <c r="V946" s="166"/>
      <c r="W946" s="166"/>
      <c r="X946" s="166"/>
      <c r="Y946" s="166"/>
    </row>
    <row r="947" ht="22.5" customHeight="1">
      <c r="A947" s="161"/>
      <c r="B947" s="162"/>
      <c r="C947" s="161"/>
      <c r="D947" s="194"/>
      <c r="E947" s="194"/>
      <c r="F947" s="162"/>
      <c r="G947" s="149"/>
      <c r="H947" s="161"/>
      <c r="I947" s="161"/>
      <c r="J947" s="161"/>
      <c r="K947" s="161"/>
      <c r="L947" s="161"/>
      <c r="M947" s="161"/>
      <c r="N947" s="149"/>
      <c r="O947" s="161"/>
      <c r="P947" s="161"/>
      <c r="S947" s="149"/>
      <c r="T947" s="149"/>
      <c r="V947" s="166"/>
      <c r="W947" s="166"/>
      <c r="X947" s="166"/>
      <c r="Y947" s="166"/>
    </row>
    <row r="948" ht="22.5" customHeight="1">
      <c r="A948" s="161"/>
      <c r="B948" s="162"/>
      <c r="C948" s="161"/>
      <c r="D948" s="194"/>
      <c r="E948" s="194"/>
      <c r="F948" s="162"/>
      <c r="G948" s="149"/>
      <c r="H948" s="161"/>
      <c r="I948" s="161"/>
      <c r="J948" s="161"/>
      <c r="K948" s="161"/>
      <c r="L948" s="161"/>
      <c r="M948" s="161"/>
      <c r="N948" s="149"/>
      <c r="O948" s="161"/>
      <c r="P948" s="161"/>
      <c r="S948" s="149"/>
      <c r="T948" s="149"/>
      <c r="V948" s="166"/>
      <c r="W948" s="166"/>
      <c r="X948" s="166"/>
      <c r="Y948" s="166"/>
    </row>
    <row r="949" ht="22.5" customHeight="1">
      <c r="A949" s="161"/>
      <c r="B949" s="162"/>
      <c r="C949" s="161"/>
      <c r="D949" s="194"/>
      <c r="E949" s="194"/>
      <c r="F949" s="162"/>
      <c r="G949" s="149"/>
      <c r="H949" s="161"/>
      <c r="I949" s="161"/>
      <c r="J949" s="161"/>
      <c r="K949" s="161"/>
      <c r="L949" s="161"/>
      <c r="M949" s="161"/>
      <c r="N949" s="149"/>
      <c r="O949" s="161"/>
      <c r="P949" s="161"/>
      <c r="S949" s="149"/>
      <c r="T949" s="149"/>
      <c r="V949" s="166"/>
      <c r="W949" s="166"/>
      <c r="X949" s="166"/>
      <c r="Y949" s="166"/>
    </row>
    <row r="950" ht="22.5" customHeight="1">
      <c r="A950" s="161"/>
      <c r="B950" s="162"/>
      <c r="C950" s="161"/>
      <c r="D950" s="194"/>
      <c r="E950" s="194"/>
      <c r="F950" s="162"/>
      <c r="G950" s="149"/>
      <c r="H950" s="161"/>
      <c r="I950" s="161"/>
      <c r="J950" s="161"/>
      <c r="K950" s="161"/>
      <c r="L950" s="161"/>
      <c r="M950" s="161"/>
      <c r="N950" s="149"/>
      <c r="O950" s="161"/>
      <c r="P950" s="161"/>
      <c r="S950" s="149"/>
      <c r="T950" s="149"/>
      <c r="V950" s="166"/>
      <c r="W950" s="166"/>
      <c r="X950" s="166"/>
      <c r="Y950" s="166"/>
    </row>
    <row r="951" ht="22.5" customHeight="1">
      <c r="A951" s="161"/>
      <c r="B951" s="162"/>
      <c r="C951" s="161"/>
      <c r="D951" s="194"/>
      <c r="E951" s="194"/>
      <c r="F951" s="162"/>
      <c r="G951" s="149"/>
      <c r="H951" s="161"/>
      <c r="I951" s="161"/>
      <c r="J951" s="161"/>
      <c r="K951" s="161"/>
      <c r="L951" s="161"/>
      <c r="M951" s="161"/>
      <c r="N951" s="149"/>
      <c r="O951" s="161"/>
      <c r="P951" s="161"/>
      <c r="S951" s="149"/>
      <c r="T951" s="149"/>
      <c r="V951" s="166"/>
      <c r="W951" s="166"/>
      <c r="X951" s="166"/>
      <c r="Y951" s="166"/>
    </row>
    <row r="952" ht="22.5" customHeight="1">
      <c r="A952" s="161"/>
      <c r="B952" s="162"/>
      <c r="C952" s="161"/>
      <c r="D952" s="194"/>
      <c r="E952" s="194"/>
      <c r="F952" s="162"/>
      <c r="G952" s="149"/>
      <c r="H952" s="161"/>
      <c r="I952" s="161"/>
      <c r="J952" s="161"/>
      <c r="K952" s="161"/>
      <c r="L952" s="161"/>
      <c r="M952" s="161"/>
      <c r="N952" s="149"/>
      <c r="O952" s="161"/>
      <c r="P952" s="161"/>
      <c r="S952" s="149"/>
      <c r="T952" s="149"/>
      <c r="V952" s="166"/>
      <c r="W952" s="166"/>
      <c r="X952" s="166"/>
      <c r="Y952" s="166"/>
    </row>
    <row r="953" ht="22.5" customHeight="1">
      <c r="A953" s="161"/>
      <c r="B953" s="162"/>
      <c r="C953" s="161"/>
      <c r="D953" s="194"/>
      <c r="E953" s="194"/>
      <c r="F953" s="162"/>
      <c r="G953" s="149"/>
      <c r="H953" s="161"/>
      <c r="I953" s="161"/>
      <c r="J953" s="161"/>
      <c r="K953" s="161"/>
      <c r="L953" s="161"/>
      <c r="M953" s="161"/>
      <c r="N953" s="149"/>
      <c r="O953" s="161"/>
      <c r="P953" s="161"/>
      <c r="S953" s="149"/>
      <c r="T953" s="149"/>
      <c r="V953" s="166"/>
      <c r="W953" s="166"/>
      <c r="X953" s="166"/>
      <c r="Y953" s="166"/>
    </row>
    <row r="954" ht="22.5" customHeight="1">
      <c r="A954" s="161"/>
      <c r="B954" s="162"/>
      <c r="C954" s="161"/>
      <c r="D954" s="194"/>
      <c r="E954" s="194"/>
      <c r="F954" s="162"/>
      <c r="G954" s="149"/>
      <c r="H954" s="161"/>
      <c r="I954" s="161"/>
      <c r="J954" s="161"/>
      <c r="K954" s="161"/>
      <c r="L954" s="161"/>
      <c r="M954" s="161"/>
      <c r="N954" s="149"/>
      <c r="O954" s="161"/>
      <c r="P954" s="161"/>
      <c r="S954" s="149"/>
      <c r="T954" s="149"/>
      <c r="V954" s="166"/>
      <c r="W954" s="166"/>
      <c r="X954" s="166"/>
      <c r="Y954" s="166"/>
    </row>
    <row r="955" ht="22.5" customHeight="1">
      <c r="A955" s="161"/>
      <c r="B955" s="162"/>
      <c r="C955" s="161"/>
      <c r="D955" s="194"/>
      <c r="E955" s="194"/>
      <c r="F955" s="162"/>
      <c r="G955" s="149"/>
      <c r="H955" s="161"/>
      <c r="I955" s="161"/>
      <c r="J955" s="161"/>
      <c r="K955" s="161"/>
      <c r="L955" s="161"/>
      <c r="M955" s="161"/>
      <c r="N955" s="149"/>
      <c r="O955" s="161"/>
      <c r="P955" s="161"/>
      <c r="S955" s="149"/>
      <c r="T955" s="149"/>
      <c r="V955" s="166"/>
      <c r="W955" s="166"/>
      <c r="X955" s="166"/>
      <c r="Y955" s="166"/>
    </row>
    <row r="956" ht="22.5" customHeight="1">
      <c r="A956" s="161"/>
      <c r="B956" s="162"/>
      <c r="C956" s="161"/>
      <c r="D956" s="194"/>
      <c r="E956" s="194"/>
      <c r="F956" s="162"/>
      <c r="G956" s="149"/>
      <c r="H956" s="161"/>
      <c r="I956" s="161"/>
      <c r="J956" s="161"/>
      <c r="K956" s="161"/>
      <c r="L956" s="161"/>
      <c r="M956" s="161"/>
      <c r="N956" s="149"/>
      <c r="O956" s="161"/>
      <c r="P956" s="161"/>
      <c r="S956" s="149"/>
      <c r="T956" s="149"/>
      <c r="V956" s="166"/>
      <c r="W956" s="166"/>
      <c r="X956" s="166"/>
      <c r="Y956" s="166"/>
    </row>
    <row r="957" ht="22.5" customHeight="1">
      <c r="A957" s="161"/>
      <c r="B957" s="162"/>
      <c r="C957" s="161"/>
      <c r="D957" s="194"/>
      <c r="E957" s="194"/>
      <c r="F957" s="162"/>
      <c r="G957" s="149"/>
      <c r="H957" s="161"/>
      <c r="I957" s="161"/>
      <c r="J957" s="161"/>
      <c r="K957" s="161"/>
      <c r="L957" s="161"/>
      <c r="M957" s="161"/>
      <c r="N957" s="149"/>
      <c r="O957" s="161"/>
      <c r="P957" s="161"/>
      <c r="S957" s="149"/>
      <c r="T957" s="149"/>
      <c r="V957" s="166"/>
      <c r="W957" s="166"/>
      <c r="X957" s="166"/>
      <c r="Y957" s="166"/>
    </row>
    <row r="958" ht="22.5" customHeight="1">
      <c r="A958" s="161"/>
      <c r="B958" s="162"/>
      <c r="C958" s="161"/>
      <c r="D958" s="194"/>
      <c r="E958" s="194"/>
      <c r="F958" s="162"/>
      <c r="G958" s="149"/>
      <c r="H958" s="161"/>
      <c r="I958" s="161"/>
      <c r="J958" s="161"/>
      <c r="K958" s="161"/>
      <c r="L958" s="161"/>
      <c r="M958" s="161"/>
      <c r="N958" s="149"/>
      <c r="O958" s="161"/>
      <c r="P958" s="161"/>
      <c r="S958" s="149"/>
      <c r="T958" s="149"/>
      <c r="V958" s="166"/>
      <c r="W958" s="166"/>
      <c r="X958" s="166"/>
      <c r="Y958" s="166"/>
    </row>
    <row r="959" ht="22.5" customHeight="1">
      <c r="A959" s="161"/>
      <c r="B959" s="162"/>
      <c r="C959" s="161"/>
      <c r="D959" s="194"/>
      <c r="E959" s="194"/>
      <c r="F959" s="162"/>
      <c r="G959" s="149"/>
      <c r="H959" s="161"/>
      <c r="I959" s="161"/>
      <c r="J959" s="161"/>
      <c r="K959" s="161"/>
      <c r="L959" s="161"/>
      <c r="M959" s="161"/>
      <c r="N959" s="149"/>
      <c r="O959" s="161"/>
      <c r="P959" s="161"/>
      <c r="S959" s="149"/>
      <c r="T959" s="149"/>
      <c r="V959" s="166"/>
      <c r="W959" s="166"/>
      <c r="X959" s="166"/>
      <c r="Y959" s="166"/>
    </row>
    <row r="960" ht="22.5" customHeight="1">
      <c r="A960" s="161"/>
      <c r="B960" s="162"/>
      <c r="C960" s="161"/>
      <c r="D960" s="194"/>
      <c r="E960" s="194"/>
      <c r="F960" s="162"/>
      <c r="G960" s="149"/>
      <c r="H960" s="161"/>
      <c r="I960" s="161"/>
      <c r="J960" s="161"/>
      <c r="K960" s="161"/>
      <c r="L960" s="161"/>
      <c r="M960" s="161"/>
      <c r="N960" s="149"/>
      <c r="O960" s="161"/>
      <c r="P960" s="161"/>
      <c r="S960" s="149"/>
      <c r="T960" s="149"/>
      <c r="V960" s="166"/>
      <c r="W960" s="166"/>
      <c r="X960" s="166"/>
      <c r="Y960" s="166"/>
    </row>
    <row r="961" ht="22.5" customHeight="1">
      <c r="A961" s="161"/>
      <c r="B961" s="162"/>
      <c r="C961" s="161"/>
      <c r="D961" s="194"/>
      <c r="E961" s="194"/>
      <c r="F961" s="162"/>
      <c r="G961" s="149"/>
      <c r="H961" s="161"/>
      <c r="I961" s="161"/>
      <c r="J961" s="161"/>
      <c r="K961" s="161"/>
      <c r="L961" s="161"/>
      <c r="M961" s="161"/>
      <c r="N961" s="149"/>
      <c r="O961" s="161"/>
      <c r="P961" s="161"/>
      <c r="S961" s="149"/>
      <c r="T961" s="149"/>
      <c r="V961" s="166"/>
      <c r="W961" s="166"/>
      <c r="X961" s="166"/>
      <c r="Y961" s="166"/>
    </row>
    <row r="962" ht="22.5" customHeight="1">
      <c r="A962" s="161"/>
      <c r="B962" s="162"/>
      <c r="C962" s="161"/>
      <c r="D962" s="194"/>
      <c r="E962" s="194"/>
      <c r="F962" s="162"/>
      <c r="G962" s="149"/>
      <c r="H962" s="161"/>
      <c r="I962" s="161"/>
      <c r="J962" s="161"/>
      <c r="K962" s="161"/>
      <c r="L962" s="161"/>
      <c r="M962" s="161"/>
      <c r="N962" s="149"/>
      <c r="O962" s="161"/>
      <c r="P962" s="161"/>
      <c r="S962" s="149"/>
      <c r="T962" s="149"/>
      <c r="V962" s="166"/>
      <c r="W962" s="166"/>
      <c r="X962" s="166"/>
      <c r="Y962" s="166"/>
    </row>
    <row r="963" ht="22.5" customHeight="1">
      <c r="A963" s="161"/>
      <c r="B963" s="162"/>
      <c r="C963" s="161"/>
      <c r="D963" s="194"/>
      <c r="E963" s="194"/>
      <c r="F963" s="162"/>
      <c r="G963" s="149"/>
      <c r="H963" s="161"/>
      <c r="I963" s="161"/>
      <c r="J963" s="161"/>
      <c r="K963" s="161"/>
      <c r="L963" s="161"/>
      <c r="M963" s="161"/>
      <c r="N963" s="149"/>
      <c r="O963" s="161"/>
      <c r="P963" s="161"/>
      <c r="S963" s="149"/>
      <c r="T963" s="149"/>
      <c r="V963" s="166"/>
      <c r="W963" s="166"/>
      <c r="X963" s="166"/>
      <c r="Y963" s="166"/>
    </row>
    <row r="964" ht="22.5" customHeight="1">
      <c r="A964" s="161"/>
      <c r="B964" s="162"/>
      <c r="C964" s="161"/>
      <c r="D964" s="194"/>
      <c r="E964" s="194"/>
      <c r="F964" s="162"/>
      <c r="G964" s="149"/>
      <c r="H964" s="161"/>
      <c r="I964" s="161"/>
      <c r="J964" s="161"/>
      <c r="K964" s="161"/>
      <c r="L964" s="161"/>
      <c r="M964" s="161"/>
      <c r="N964" s="149"/>
      <c r="O964" s="161"/>
      <c r="P964" s="161"/>
      <c r="S964" s="149"/>
      <c r="T964" s="149"/>
      <c r="V964" s="166"/>
      <c r="W964" s="166"/>
      <c r="X964" s="166"/>
      <c r="Y964" s="166"/>
    </row>
    <row r="965" ht="22.5" customHeight="1">
      <c r="A965" s="161"/>
      <c r="B965" s="162"/>
      <c r="C965" s="161"/>
      <c r="D965" s="194"/>
      <c r="E965" s="194"/>
      <c r="F965" s="162"/>
      <c r="G965" s="149"/>
      <c r="H965" s="161"/>
      <c r="I965" s="161"/>
      <c r="J965" s="161"/>
      <c r="K965" s="161"/>
      <c r="L965" s="161"/>
      <c r="M965" s="161"/>
      <c r="N965" s="149"/>
      <c r="O965" s="161"/>
      <c r="P965" s="161"/>
      <c r="S965" s="149"/>
      <c r="T965" s="149"/>
      <c r="V965" s="166"/>
      <c r="W965" s="166"/>
      <c r="X965" s="166"/>
      <c r="Y965" s="166"/>
    </row>
    <row r="966" ht="22.5" customHeight="1">
      <c r="A966" s="161"/>
      <c r="B966" s="162"/>
      <c r="C966" s="161"/>
      <c r="D966" s="194"/>
      <c r="E966" s="194"/>
      <c r="F966" s="162"/>
      <c r="G966" s="149"/>
      <c r="H966" s="161"/>
      <c r="I966" s="161"/>
      <c r="J966" s="161"/>
      <c r="K966" s="161"/>
      <c r="L966" s="161"/>
      <c r="M966" s="161"/>
      <c r="N966" s="149"/>
      <c r="O966" s="161"/>
      <c r="P966" s="161"/>
      <c r="S966" s="149"/>
      <c r="T966" s="149"/>
      <c r="V966" s="166"/>
      <c r="W966" s="166"/>
      <c r="X966" s="166"/>
      <c r="Y966" s="166"/>
    </row>
    <row r="967" ht="22.5" customHeight="1">
      <c r="A967" s="161"/>
      <c r="B967" s="162"/>
      <c r="C967" s="161"/>
      <c r="D967" s="194"/>
      <c r="E967" s="194"/>
      <c r="F967" s="162"/>
      <c r="G967" s="149"/>
      <c r="H967" s="161"/>
      <c r="I967" s="161"/>
      <c r="J967" s="161"/>
      <c r="K967" s="161"/>
      <c r="L967" s="161"/>
      <c r="M967" s="161"/>
      <c r="N967" s="149"/>
      <c r="O967" s="161"/>
      <c r="P967" s="161"/>
      <c r="S967" s="149"/>
      <c r="T967" s="149"/>
      <c r="V967" s="166"/>
      <c r="W967" s="166"/>
      <c r="X967" s="166"/>
      <c r="Y967" s="166"/>
    </row>
    <row r="968" ht="22.5" customHeight="1">
      <c r="A968" s="161"/>
      <c r="B968" s="162"/>
      <c r="C968" s="161"/>
      <c r="D968" s="194"/>
      <c r="E968" s="194"/>
      <c r="F968" s="162"/>
      <c r="G968" s="149"/>
      <c r="H968" s="161"/>
      <c r="I968" s="161"/>
      <c r="J968" s="161"/>
      <c r="K968" s="161"/>
      <c r="L968" s="161"/>
      <c r="M968" s="161"/>
      <c r="N968" s="149"/>
      <c r="O968" s="161"/>
      <c r="P968" s="161"/>
      <c r="S968" s="149"/>
      <c r="T968" s="149"/>
      <c r="V968" s="166"/>
      <c r="W968" s="166"/>
      <c r="X968" s="166"/>
      <c r="Y968" s="166"/>
    </row>
    <row r="969" ht="22.5" customHeight="1">
      <c r="A969" s="161"/>
      <c r="B969" s="162"/>
      <c r="C969" s="161"/>
      <c r="D969" s="194"/>
      <c r="E969" s="194"/>
      <c r="F969" s="162"/>
      <c r="G969" s="149"/>
      <c r="H969" s="161"/>
      <c r="I969" s="161"/>
      <c r="J969" s="161"/>
      <c r="K969" s="161"/>
      <c r="L969" s="161"/>
      <c r="M969" s="161"/>
      <c r="N969" s="149"/>
      <c r="O969" s="161"/>
      <c r="P969" s="161"/>
      <c r="S969" s="149"/>
      <c r="T969" s="149"/>
      <c r="V969" s="166"/>
      <c r="W969" s="166"/>
      <c r="X969" s="166"/>
      <c r="Y969" s="166"/>
    </row>
    <row r="970" ht="22.5" customHeight="1">
      <c r="A970" s="161"/>
      <c r="B970" s="162"/>
      <c r="C970" s="161"/>
      <c r="D970" s="194"/>
      <c r="E970" s="194"/>
      <c r="F970" s="162"/>
      <c r="G970" s="149"/>
      <c r="H970" s="161"/>
      <c r="I970" s="161"/>
      <c r="J970" s="161"/>
      <c r="K970" s="161"/>
      <c r="L970" s="161"/>
      <c r="M970" s="161"/>
      <c r="N970" s="149"/>
      <c r="O970" s="161"/>
      <c r="P970" s="161"/>
      <c r="S970" s="149"/>
      <c r="T970" s="149"/>
      <c r="V970" s="166"/>
      <c r="W970" s="166"/>
      <c r="X970" s="166"/>
      <c r="Y970" s="166"/>
    </row>
    <row r="971" ht="22.5" customHeight="1">
      <c r="A971" s="161"/>
      <c r="B971" s="162"/>
      <c r="C971" s="161"/>
      <c r="D971" s="194"/>
      <c r="E971" s="194"/>
      <c r="F971" s="162"/>
      <c r="G971" s="149"/>
      <c r="H971" s="161"/>
      <c r="I971" s="161"/>
      <c r="J971" s="161"/>
      <c r="K971" s="161"/>
      <c r="L971" s="161"/>
      <c r="M971" s="161"/>
      <c r="N971" s="149"/>
      <c r="O971" s="161"/>
      <c r="P971" s="161"/>
      <c r="S971" s="149"/>
      <c r="T971" s="149"/>
      <c r="V971" s="166"/>
      <c r="W971" s="166"/>
      <c r="X971" s="166"/>
      <c r="Y971" s="166"/>
    </row>
    <row r="972" ht="22.5" customHeight="1">
      <c r="A972" s="161"/>
      <c r="B972" s="162"/>
      <c r="C972" s="161"/>
      <c r="D972" s="194"/>
      <c r="E972" s="194"/>
      <c r="F972" s="162"/>
      <c r="G972" s="149"/>
      <c r="H972" s="161"/>
      <c r="I972" s="161"/>
      <c r="J972" s="161"/>
      <c r="K972" s="161"/>
      <c r="L972" s="161"/>
      <c r="M972" s="161"/>
      <c r="N972" s="149"/>
      <c r="O972" s="161"/>
      <c r="P972" s="161"/>
      <c r="S972" s="149"/>
      <c r="T972" s="149"/>
      <c r="V972" s="166"/>
      <c r="W972" s="166"/>
      <c r="X972" s="166"/>
      <c r="Y972" s="166"/>
    </row>
    <row r="973" ht="22.5" customHeight="1">
      <c r="A973" s="161"/>
      <c r="B973" s="162"/>
      <c r="C973" s="161"/>
      <c r="D973" s="194"/>
      <c r="E973" s="194"/>
      <c r="F973" s="162"/>
      <c r="G973" s="149"/>
      <c r="H973" s="161"/>
      <c r="I973" s="161"/>
      <c r="J973" s="161"/>
      <c r="K973" s="161"/>
      <c r="L973" s="161"/>
      <c r="M973" s="161"/>
      <c r="N973" s="149"/>
      <c r="O973" s="161"/>
      <c r="P973" s="161"/>
      <c r="S973" s="149"/>
      <c r="T973" s="149"/>
      <c r="V973" s="166"/>
      <c r="W973" s="166"/>
      <c r="X973" s="166"/>
      <c r="Y973" s="166"/>
    </row>
    <row r="974" ht="22.5" customHeight="1">
      <c r="A974" s="161"/>
      <c r="B974" s="162"/>
      <c r="C974" s="161"/>
      <c r="D974" s="194"/>
      <c r="E974" s="194"/>
      <c r="F974" s="162"/>
      <c r="G974" s="149"/>
      <c r="H974" s="161"/>
      <c r="I974" s="161"/>
      <c r="J974" s="161"/>
      <c r="K974" s="161"/>
      <c r="L974" s="161"/>
      <c r="M974" s="161"/>
      <c r="N974" s="149"/>
      <c r="O974" s="161"/>
      <c r="P974" s="161"/>
      <c r="S974" s="149"/>
      <c r="T974" s="149"/>
      <c r="V974" s="166"/>
      <c r="W974" s="166"/>
      <c r="X974" s="166"/>
      <c r="Y974" s="166"/>
    </row>
    <row r="975" ht="22.5" customHeight="1">
      <c r="A975" s="161"/>
      <c r="B975" s="162"/>
      <c r="C975" s="161"/>
      <c r="D975" s="194"/>
      <c r="E975" s="194"/>
      <c r="F975" s="162"/>
      <c r="G975" s="149"/>
      <c r="H975" s="161"/>
      <c r="I975" s="161"/>
      <c r="J975" s="161"/>
      <c r="K975" s="161"/>
      <c r="L975" s="161"/>
      <c r="M975" s="161"/>
      <c r="N975" s="149"/>
      <c r="O975" s="161"/>
      <c r="P975" s="161"/>
      <c r="S975" s="149"/>
      <c r="T975" s="149"/>
      <c r="V975" s="166"/>
      <c r="W975" s="166"/>
      <c r="X975" s="166"/>
      <c r="Y975" s="166"/>
    </row>
    <row r="976" ht="22.5" customHeight="1">
      <c r="A976" s="161"/>
      <c r="B976" s="162"/>
      <c r="C976" s="161"/>
      <c r="D976" s="194"/>
      <c r="E976" s="194"/>
      <c r="F976" s="162"/>
      <c r="G976" s="149"/>
      <c r="H976" s="161"/>
      <c r="I976" s="161"/>
      <c r="J976" s="161"/>
      <c r="K976" s="161"/>
      <c r="L976" s="161"/>
      <c r="M976" s="161"/>
      <c r="N976" s="149"/>
      <c r="O976" s="161"/>
      <c r="P976" s="161"/>
      <c r="S976" s="149"/>
      <c r="T976" s="149"/>
      <c r="V976" s="166"/>
      <c r="W976" s="166"/>
      <c r="X976" s="166"/>
      <c r="Y976" s="166"/>
    </row>
    <row r="977" ht="22.5" customHeight="1">
      <c r="A977" s="161"/>
      <c r="B977" s="162"/>
      <c r="C977" s="161"/>
      <c r="D977" s="194"/>
      <c r="E977" s="194"/>
      <c r="F977" s="162"/>
      <c r="G977" s="149"/>
      <c r="H977" s="161"/>
      <c r="I977" s="161"/>
      <c r="J977" s="161"/>
      <c r="K977" s="161"/>
      <c r="L977" s="161"/>
      <c r="M977" s="161"/>
      <c r="N977" s="149"/>
      <c r="O977" s="161"/>
      <c r="P977" s="161"/>
      <c r="S977" s="149"/>
      <c r="T977" s="149"/>
      <c r="V977" s="166"/>
      <c r="W977" s="166"/>
      <c r="X977" s="166"/>
      <c r="Y977" s="166"/>
    </row>
    <row r="978" ht="22.5" customHeight="1">
      <c r="A978" s="161"/>
      <c r="B978" s="162"/>
      <c r="C978" s="161"/>
      <c r="D978" s="194"/>
      <c r="E978" s="194"/>
      <c r="F978" s="162"/>
      <c r="G978" s="149"/>
      <c r="H978" s="161"/>
      <c r="I978" s="161"/>
      <c r="J978" s="161"/>
      <c r="K978" s="161"/>
      <c r="L978" s="161"/>
      <c r="M978" s="161"/>
      <c r="N978" s="149"/>
      <c r="O978" s="161"/>
      <c r="P978" s="161"/>
      <c r="S978" s="149"/>
      <c r="T978" s="149"/>
      <c r="V978" s="166"/>
      <c r="W978" s="166"/>
      <c r="X978" s="166"/>
      <c r="Y978" s="166"/>
    </row>
    <row r="979" ht="22.5" customHeight="1">
      <c r="A979" s="161"/>
      <c r="B979" s="162"/>
      <c r="C979" s="161"/>
      <c r="D979" s="194"/>
      <c r="E979" s="194"/>
      <c r="F979" s="162"/>
      <c r="G979" s="149"/>
      <c r="H979" s="161"/>
      <c r="I979" s="161"/>
      <c r="J979" s="161"/>
      <c r="K979" s="161"/>
      <c r="L979" s="161"/>
      <c r="M979" s="161"/>
      <c r="N979" s="149"/>
      <c r="O979" s="161"/>
      <c r="P979" s="161"/>
      <c r="S979" s="149"/>
      <c r="T979" s="149"/>
      <c r="V979" s="166"/>
      <c r="W979" s="166"/>
      <c r="X979" s="166"/>
      <c r="Y979" s="166"/>
    </row>
    <row r="980" ht="22.5" customHeight="1">
      <c r="A980" s="161"/>
      <c r="B980" s="162"/>
      <c r="C980" s="161"/>
      <c r="D980" s="194"/>
      <c r="E980" s="194"/>
      <c r="F980" s="162"/>
      <c r="G980" s="149"/>
      <c r="H980" s="161"/>
      <c r="I980" s="161"/>
      <c r="J980" s="161"/>
      <c r="K980" s="161"/>
      <c r="L980" s="161"/>
      <c r="M980" s="161"/>
      <c r="N980" s="149"/>
      <c r="O980" s="161"/>
      <c r="P980" s="161"/>
      <c r="S980" s="149"/>
      <c r="T980" s="149"/>
      <c r="V980" s="166"/>
      <c r="W980" s="166"/>
      <c r="X980" s="166"/>
      <c r="Y980" s="166"/>
    </row>
    <row r="981" ht="22.5" customHeight="1">
      <c r="A981" s="161"/>
      <c r="B981" s="162"/>
      <c r="C981" s="161"/>
      <c r="D981" s="194"/>
      <c r="E981" s="194"/>
      <c r="F981" s="162"/>
      <c r="G981" s="149"/>
      <c r="H981" s="161"/>
      <c r="I981" s="161"/>
      <c r="J981" s="161"/>
      <c r="K981" s="161"/>
      <c r="L981" s="161"/>
      <c r="M981" s="161"/>
      <c r="N981" s="149"/>
      <c r="O981" s="161"/>
      <c r="P981" s="161"/>
      <c r="S981" s="149"/>
      <c r="T981" s="149"/>
      <c r="V981" s="166"/>
      <c r="W981" s="166"/>
      <c r="X981" s="166"/>
      <c r="Y981" s="166"/>
    </row>
    <row r="982" ht="22.5" customHeight="1">
      <c r="A982" s="161"/>
      <c r="B982" s="162"/>
      <c r="C982" s="161"/>
      <c r="D982" s="194"/>
      <c r="E982" s="194"/>
      <c r="F982" s="162"/>
      <c r="G982" s="149"/>
      <c r="H982" s="161"/>
      <c r="I982" s="161"/>
      <c r="J982" s="161"/>
      <c r="K982" s="161"/>
      <c r="L982" s="161"/>
      <c r="M982" s="161"/>
      <c r="N982" s="149"/>
      <c r="O982" s="161"/>
      <c r="P982" s="161"/>
      <c r="S982" s="149"/>
      <c r="T982" s="149"/>
      <c r="V982" s="166"/>
      <c r="W982" s="166"/>
      <c r="X982" s="166"/>
      <c r="Y982" s="166"/>
    </row>
    <row r="983" ht="22.5" customHeight="1">
      <c r="A983" s="161"/>
      <c r="B983" s="162"/>
      <c r="C983" s="161"/>
      <c r="D983" s="194"/>
      <c r="E983" s="194"/>
      <c r="F983" s="162"/>
      <c r="G983" s="149"/>
      <c r="H983" s="161"/>
      <c r="I983" s="161"/>
      <c r="J983" s="161"/>
      <c r="K983" s="161"/>
      <c r="L983" s="161"/>
      <c r="M983" s="161"/>
      <c r="N983" s="149"/>
      <c r="O983" s="161"/>
      <c r="P983" s="161"/>
      <c r="S983" s="149"/>
      <c r="T983" s="149"/>
      <c r="V983" s="166"/>
      <c r="W983" s="166"/>
      <c r="X983" s="166"/>
      <c r="Y983" s="166"/>
    </row>
    <row r="984" ht="22.5" customHeight="1">
      <c r="A984" s="161"/>
      <c r="B984" s="162"/>
      <c r="C984" s="161"/>
      <c r="D984" s="194"/>
      <c r="E984" s="194"/>
      <c r="F984" s="162"/>
      <c r="G984" s="149"/>
      <c r="H984" s="161"/>
      <c r="I984" s="161"/>
      <c r="J984" s="161"/>
      <c r="K984" s="161"/>
      <c r="L984" s="161"/>
      <c r="M984" s="161"/>
      <c r="N984" s="149"/>
      <c r="O984" s="161"/>
      <c r="P984" s="161"/>
      <c r="S984" s="149"/>
      <c r="T984" s="149"/>
      <c r="V984" s="166"/>
      <c r="W984" s="166"/>
      <c r="X984" s="166"/>
      <c r="Y984" s="166"/>
    </row>
    <row r="985" ht="22.5" customHeight="1">
      <c r="A985" s="161"/>
      <c r="B985" s="162"/>
      <c r="C985" s="161"/>
      <c r="D985" s="194"/>
      <c r="E985" s="194"/>
      <c r="F985" s="162"/>
      <c r="G985" s="149"/>
      <c r="H985" s="161"/>
      <c r="I985" s="161"/>
      <c r="J985" s="161"/>
      <c r="K985" s="161"/>
      <c r="L985" s="161"/>
      <c r="M985" s="161"/>
      <c r="N985" s="149"/>
      <c r="O985" s="161"/>
      <c r="P985" s="161"/>
      <c r="S985" s="149"/>
      <c r="T985" s="149"/>
      <c r="V985" s="166"/>
      <c r="W985" s="166"/>
      <c r="X985" s="166"/>
      <c r="Y985" s="166"/>
    </row>
    <row r="986" ht="22.5" customHeight="1">
      <c r="A986" s="161"/>
      <c r="B986" s="162"/>
      <c r="C986" s="161"/>
      <c r="D986" s="194"/>
      <c r="E986" s="194"/>
      <c r="F986" s="162"/>
      <c r="G986" s="149"/>
      <c r="H986" s="161"/>
      <c r="I986" s="161"/>
      <c r="J986" s="161"/>
      <c r="K986" s="161"/>
      <c r="L986" s="161"/>
      <c r="M986" s="161"/>
      <c r="N986" s="149"/>
      <c r="O986" s="161"/>
      <c r="P986" s="161"/>
      <c r="S986" s="149"/>
      <c r="T986" s="149"/>
      <c r="V986" s="166"/>
      <c r="W986" s="166"/>
      <c r="X986" s="166"/>
      <c r="Y986" s="166"/>
    </row>
    <row r="987" ht="22.5" customHeight="1">
      <c r="A987" s="161"/>
      <c r="B987" s="162"/>
      <c r="C987" s="161"/>
      <c r="D987" s="194"/>
      <c r="E987" s="194"/>
      <c r="F987" s="162"/>
      <c r="G987" s="149"/>
      <c r="H987" s="161"/>
      <c r="I987" s="161"/>
      <c r="J987" s="161"/>
      <c r="K987" s="161"/>
      <c r="L987" s="161"/>
      <c r="M987" s="161"/>
      <c r="N987" s="149"/>
      <c r="O987" s="161"/>
      <c r="P987" s="161"/>
      <c r="S987" s="149"/>
      <c r="T987" s="149"/>
      <c r="V987" s="166"/>
      <c r="W987" s="166"/>
      <c r="X987" s="166"/>
      <c r="Y987" s="166"/>
    </row>
    <row r="988" ht="22.5" customHeight="1">
      <c r="A988" s="161"/>
      <c r="B988" s="162"/>
      <c r="C988" s="161"/>
      <c r="D988" s="194"/>
      <c r="E988" s="194"/>
      <c r="F988" s="162"/>
      <c r="G988" s="149"/>
      <c r="H988" s="161"/>
      <c r="I988" s="161"/>
      <c r="J988" s="161"/>
      <c r="K988" s="161"/>
      <c r="L988" s="161"/>
      <c r="M988" s="161"/>
      <c r="N988" s="149"/>
      <c r="O988" s="161"/>
      <c r="P988" s="161"/>
      <c r="S988" s="149"/>
      <c r="T988" s="149"/>
      <c r="V988" s="166"/>
      <c r="W988" s="166"/>
      <c r="X988" s="166"/>
      <c r="Y988" s="166"/>
    </row>
    <row r="989" ht="22.5" customHeight="1">
      <c r="A989" s="161"/>
      <c r="B989" s="162"/>
      <c r="C989" s="161"/>
      <c r="D989" s="194"/>
      <c r="E989" s="194"/>
      <c r="F989" s="162"/>
      <c r="G989" s="149"/>
      <c r="H989" s="161"/>
      <c r="I989" s="161"/>
      <c r="J989" s="161"/>
      <c r="K989" s="161"/>
      <c r="L989" s="161"/>
      <c r="M989" s="161"/>
      <c r="N989" s="149"/>
      <c r="O989" s="161"/>
      <c r="P989" s="161"/>
      <c r="S989" s="149"/>
      <c r="T989" s="149"/>
      <c r="V989" s="166"/>
      <c r="W989" s="166"/>
      <c r="X989" s="166"/>
      <c r="Y989" s="166"/>
    </row>
    <row r="990" ht="22.5" customHeight="1">
      <c r="A990" s="161"/>
      <c r="B990" s="162"/>
      <c r="C990" s="161"/>
      <c r="D990" s="194"/>
      <c r="E990" s="194"/>
      <c r="F990" s="162"/>
      <c r="G990" s="149"/>
      <c r="H990" s="161"/>
      <c r="I990" s="161"/>
      <c r="J990" s="161"/>
      <c r="K990" s="161"/>
      <c r="L990" s="161"/>
      <c r="M990" s="161"/>
      <c r="N990" s="149"/>
      <c r="O990" s="161"/>
      <c r="P990" s="161"/>
      <c r="S990" s="149"/>
      <c r="T990" s="149"/>
      <c r="V990" s="166"/>
      <c r="W990" s="166"/>
      <c r="X990" s="166"/>
      <c r="Y990" s="166"/>
    </row>
    <row r="991" ht="22.5" customHeight="1">
      <c r="A991" s="161"/>
      <c r="B991" s="162"/>
      <c r="C991" s="161"/>
      <c r="D991" s="194"/>
      <c r="E991" s="194"/>
      <c r="F991" s="162"/>
      <c r="G991" s="149"/>
      <c r="H991" s="161"/>
      <c r="I991" s="161"/>
      <c r="J991" s="161"/>
      <c r="K991" s="161"/>
      <c r="L991" s="161"/>
      <c r="M991" s="161"/>
      <c r="N991" s="149"/>
      <c r="O991" s="161"/>
      <c r="P991" s="161"/>
      <c r="S991" s="149"/>
      <c r="T991" s="149"/>
      <c r="V991" s="166"/>
      <c r="W991" s="166"/>
      <c r="X991" s="166"/>
      <c r="Y991" s="166"/>
    </row>
    <row r="992" ht="22.5" customHeight="1">
      <c r="A992" s="161"/>
      <c r="B992" s="162"/>
      <c r="C992" s="161"/>
      <c r="D992" s="194"/>
      <c r="E992" s="194"/>
      <c r="F992" s="162"/>
      <c r="G992" s="149"/>
      <c r="H992" s="161"/>
      <c r="I992" s="161"/>
      <c r="J992" s="161"/>
      <c r="K992" s="161"/>
      <c r="L992" s="161"/>
      <c r="M992" s="161"/>
      <c r="N992" s="149"/>
      <c r="O992" s="161"/>
      <c r="P992" s="161"/>
      <c r="S992" s="149"/>
      <c r="T992" s="149"/>
      <c r="V992" s="166"/>
      <c r="W992" s="166"/>
      <c r="X992" s="166"/>
      <c r="Y992" s="166"/>
    </row>
    <row r="993" ht="22.5" customHeight="1">
      <c r="A993" s="161"/>
      <c r="B993" s="162"/>
      <c r="C993" s="161"/>
      <c r="D993" s="194"/>
      <c r="E993" s="194"/>
      <c r="F993" s="162"/>
      <c r="G993" s="149"/>
      <c r="H993" s="161"/>
      <c r="I993" s="161"/>
      <c r="J993" s="161"/>
      <c r="K993" s="161"/>
      <c r="L993" s="161"/>
      <c r="M993" s="161"/>
      <c r="N993" s="149"/>
      <c r="O993" s="161"/>
      <c r="P993" s="161"/>
      <c r="S993" s="149"/>
      <c r="T993" s="149"/>
      <c r="V993" s="166"/>
      <c r="W993" s="166"/>
      <c r="X993" s="166"/>
      <c r="Y993" s="166"/>
    </row>
    <row r="994" ht="22.5" customHeight="1">
      <c r="A994" s="161"/>
      <c r="B994" s="162"/>
      <c r="C994" s="161"/>
      <c r="D994" s="194"/>
      <c r="E994" s="194"/>
      <c r="F994" s="162"/>
      <c r="G994" s="149"/>
      <c r="H994" s="161"/>
      <c r="I994" s="161"/>
      <c r="J994" s="161"/>
      <c r="K994" s="161"/>
      <c r="L994" s="161"/>
      <c r="M994" s="161"/>
      <c r="N994" s="149"/>
      <c r="O994" s="161"/>
      <c r="P994" s="161"/>
      <c r="S994" s="149"/>
      <c r="T994" s="149"/>
      <c r="V994" s="166"/>
      <c r="W994" s="166"/>
      <c r="X994" s="166"/>
      <c r="Y994" s="166"/>
    </row>
    <row r="995" ht="22.5" customHeight="1">
      <c r="A995" s="161"/>
      <c r="B995" s="162"/>
      <c r="C995" s="161"/>
      <c r="D995" s="194"/>
      <c r="E995" s="194"/>
      <c r="F995" s="162"/>
      <c r="G995" s="149"/>
      <c r="H995" s="161"/>
      <c r="I995" s="161"/>
      <c r="J995" s="161"/>
      <c r="K995" s="161"/>
      <c r="L995" s="161"/>
      <c r="M995" s="161"/>
      <c r="N995" s="149"/>
      <c r="O995" s="161"/>
      <c r="P995" s="161"/>
      <c r="S995" s="149"/>
      <c r="T995" s="149"/>
      <c r="V995" s="166"/>
      <c r="W995" s="166"/>
      <c r="X995" s="166"/>
      <c r="Y995" s="166"/>
    </row>
    <row r="996" ht="22.5" customHeight="1">
      <c r="A996" s="161"/>
      <c r="B996" s="162"/>
      <c r="C996" s="161"/>
      <c r="D996" s="194"/>
      <c r="E996" s="194"/>
      <c r="F996" s="162"/>
      <c r="G996" s="149"/>
      <c r="H996" s="161"/>
      <c r="I996" s="161"/>
      <c r="J996" s="161"/>
      <c r="K996" s="161"/>
      <c r="L996" s="161"/>
      <c r="M996" s="161"/>
      <c r="N996" s="149"/>
      <c r="O996" s="161"/>
      <c r="P996" s="161"/>
      <c r="S996" s="149"/>
      <c r="T996" s="149"/>
      <c r="V996" s="166"/>
      <c r="W996" s="166"/>
      <c r="X996" s="166"/>
      <c r="Y996" s="166"/>
    </row>
    <row r="997" ht="22.5" customHeight="1">
      <c r="A997" s="161"/>
      <c r="B997" s="162"/>
      <c r="C997" s="161"/>
      <c r="D997" s="194"/>
      <c r="E997" s="194"/>
      <c r="F997" s="162"/>
      <c r="G997" s="149"/>
      <c r="H997" s="161"/>
      <c r="I997" s="161"/>
      <c r="J997" s="161"/>
      <c r="K997" s="161"/>
      <c r="L997" s="161"/>
      <c r="M997" s="161"/>
      <c r="N997" s="149"/>
      <c r="O997" s="161"/>
      <c r="P997" s="161"/>
      <c r="S997" s="149"/>
      <c r="T997" s="149"/>
      <c r="V997" s="166"/>
      <c r="W997" s="166"/>
      <c r="X997" s="166"/>
      <c r="Y997" s="166"/>
    </row>
    <row r="998" ht="22.5" customHeight="1">
      <c r="A998" s="161"/>
      <c r="B998" s="162"/>
      <c r="C998" s="161"/>
      <c r="D998" s="194"/>
      <c r="E998" s="194"/>
      <c r="F998" s="162"/>
      <c r="G998" s="149"/>
      <c r="H998" s="161"/>
      <c r="I998" s="161"/>
      <c r="J998" s="161"/>
      <c r="K998" s="161"/>
      <c r="L998" s="161"/>
      <c r="M998" s="161"/>
      <c r="N998" s="149"/>
      <c r="O998" s="161"/>
      <c r="P998" s="161"/>
      <c r="S998" s="149"/>
      <c r="T998" s="149"/>
      <c r="V998" s="166"/>
      <c r="W998" s="166"/>
      <c r="X998" s="166"/>
      <c r="Y998" s="166"/>
    </row>
    <row r="999" ht="22.5" customHeight="1">
      <c r="A999" s="161"/>
      <c r="B999" s="162"/>
      <c r="C999" s="161"/>
      <c r="D999" s="194"/>
      <c r="E999" s="194"/>
      <c r="F999" s="162"/>
      <c r="G999" s="149"/>
      <c r="H999" s="161"/>
      <c r="I999" s="161"/>
      <c r="J999" s="161"/>
      <c r="K999" s="161"/>
      <c r="L999" s="161"/>
      <c r="M999" s="161"/>
      <c r="N999" s="149"/>
      <c r="O999" s="161"/>
      <c r="P999" s="161"/>
      <c r="S999" s="149"/>
      <c r="T999" s="149"/>
      <c r="V999" s="166"/>
      <c r="W999" s="166"/>
      <c r="X999" s="166"/>
      <c r="Y999" s="166"/>
    </row>
    <row r="1000" ht="22.5" customHeight="1">
      <c r="A1000" s="161"/>
      <c r="B1000" s="162"/>
      <c r="C1000" s="161"/>
      <c r="D1000" s="194"/>
      <c r="E1000" s="194"/>
      <c r="F1000" s="162"/>
      <c r="G1000" s="149"/>
      <c r="H1000" s="161"/>
      <c r="I1000" s="161"/>
      <c r="J1000" s="161"/>
      <c r="K1000" s="161"/>
      <c r="L1000" s="161"/>
      <c r="M1000" s="161"/>
      <c r="N1000" s="149"/>
      <c r="O1000" s="161"/>
      <c r="P1000" s="161"/>
      <c r="S1000" s="149"/>
      <c r="T1000" s="149"/>
      <c r="V1000" s="166"/>
      <c r="W1000" s="166"/>
      <c r="X1000" s="166"/>
      <c r="Y1000" s="166"/>
    </row>
    <row r="1001" ht="22.5" customHeight="1">
      <c r="A1001" s="161"/>
      <c r="B1001" s="162"/>
      <c r="C1001" s="161"/>
      <c r="D1001" s="194"/>
      <c r="E1001" s="194"/>
      <c r="F1001" s="162"/>
      <c r="G1001" s="149"/>
      <c r="H1001" s="161"/>
      <c r="I1001" s="161"/>
      <c r="J1001" s="161"/>
      <c r="K1001" s="161"/>
      <c r="L1001" s="161"/>
      <c r="M1001" s="161"/>
      <c r="N1001" s="149"/>
      <c r="O1001" s="161"/>
      <c r="P1001" s="161"/>
      <c r="S1001" s="149"/>
      <c r="T1001" s="149"/>
      <c r="V1001" s="166"/>
      <c r="W1001" s="166"/>
      <c r="X1001" s="166"/>
      <c r="Y1001" s="166"/>
    </row>
    <row r="1002" ht="22.5" customHeight="1">
      <c r="A1002" s="161"/>
      <c r="B1002" s="162"/>
      <c r="C1002" s="161"/>
      <c r="D1002" s="194"/>
      <c r="E1002" s="194"/>
      <c r="F1002" s="162"/>
      <c r="G1002" s="149"/>
      <c r="H1002" s="161"/>
      <c r="I1002" s="161"/>
      <c r="J1002" s="161"/>
      <c r="K1002" s="161"/>
      <c r="L1002" s="161"/>
      <c r="M1002" s="161"/>
      <c r="N1002" s="149"/>
      <c r="O1002" s="161"/>
      <c r="P1002" s="161"/>
      <c r="S1002" s="149"/>
      <c r="T1002" s="149"/>
      <c r="V1002" s="166"/>
      <c r="W1002" s="166"/>
      <c r="X1002" s="166"/>
      <c r="Y1002" s="166"/>
    </row>
    <row r="1003" ht="22.5" customHeight="1">
      <c r="A1003" s="161"/>
      <c r="B1003" s="162"/>
      <c r="C1003" s="161"/>
      <c r="D1003" s="194"/>
      <c r="E1003" s="194"/>
      <c r="F1003" s="162"/>
      <c r="G1003" s="149"/>
      <c r="H1003" s="161"/>
      <c r="I1003" s="161"/>
      <c r="J1003" s="161"/>
      <c r="K1003" s="161"/>
      <c r="L1003" s="161"/>
      <c r="M1003" s="161"/>
      <c r="N1003" s="149"/>
      <c r="O1003" s="161"/>
      <c r="P1003" s="161"/>
      <c r="S1003" s="149"/>
      <c r="T1003" s="149"/>
      <c r="V1003" s="166"/>
      <c r="W1003" s="166"/>
      <c r="X1003" s="166"/>
      <c r="Y1003" s="166"/>
    </row>
    <row r="1004" ht="22.5" customHeight="1">
      <c r="A1004" s="161"/>
      <c r="B1004" s="162"/>
      <c r="C1004" s="161"/>
      <c r="D1004" s="194"/>
      <c r="E1004" s="194"/>
      <c r="F1004" s="162"/>
      <c r="G1004" s="149"/>
      <c r="H1004" s="161"/>
      <c r="I1004" s="161"/>
      <c r="J1004" s="161"/>
      <c r="K1004" s="161"/>
      <c r="L1004" s="161"/>
      <c r="M1004" s="161"/>
      <c r="N1004" s="149"/>
      <c r="O1004" s="161"/>
      <c r="P1004" s="161"/>
      <c r="S1004" s="149"/>
      <c r="T1004" s="149"/>
      <c r="V1004" s="166"/>
      <c r="W1004" s="166"/>
      <c r="X1004" s="166"/>
      <c r="Y1004" s="166"/>
    </row>
    <row r="1005" ht="22.5" customHeight="1">
      <c r="A1005" s="161"/>
      <c r="B1005" s="162"/>
      <c r="C1005" s="161"/>
      <c r="D1005" s="194"/>
      <c r="E1005" s="194"/>
      <c r="F1005" s="162"/>
      <c r="G1005" s="149"/>
      <c r="H1005" s="161"/>
      <c r="I1005" s="161"/>
      <c r="J1005" s="161"/>
      <c r="K1005" s="161"/>
      <c r="L1005" s="161"/>
      <c r="M1005" s="161"/>
      <c r="N1005" s="149"/>
      <c r="O1005" s="161"/>
      <c r="P1005" s="161"/>
      <c r="S1005" s="149"/>
      <c r="T1005" s="149"/>
      <c r="V1005" s="166"/>
      <c r="W1005" s="166"/>
      <c r="X1005" s="166"/>
      <c r="Y1005" s="166"/>
    </row>
    <row r="1006" ht="22.5" customHeight="1">
      <c r="A1006" s="161"/>
      <c r="B1006" s="162"/>
      <c r="C1006" s="161"/>
      <c r="D1006" s="194"/>
      <c r="E1006" s="194"/>
      <c r="F1006" s="162"/>
      <c r="G1006" s="149"/>
      <c r="H1006" s="161"/>
      <c r="I1006" s="161"/>
      <c r="J1006" s="161"/>
      <c r="K1006" s="161"/>
      <c r="L1006" s="161"/>
      <c r="M1006" s="161"/>
      <c r="N1006" s="149"/>
      <c r="O1006" s="161"/>
      <c r="P1006" s="161"/>
      <c r="S1006" s="149"/>
      <c r="T1006" s="149"/>
      <c r="V1006" s="166"/>
      <c r="W1006" s="166"/>
      <c r="X1006" s="166"/>
      <c r="Y1006" s="166"/>
    </row>
    <row r="1007" ht="22.5" customHeight="1">
      <c r="A1007" s="161"/>
      <c r="B1007" s="162"/>
      <c r="C1007" s="161"/>
      <c r="D1007" s="194"/>
      <c r="E1007" s="194"/>
      <c r="F1007" s="162"/>
      <c r="G1007" s="149"/>
      <c r="H1007" s="161"/>
      <c r="I1007" s="161"/>
      <c r="J1007" s="161"/>
      <c r="K1007" s="161"/>
      <c r="L1007" s="161"/>
      <c r="M1007" s="161"/>
      <c r="N1007" s="149"/>
      <c r="O1007" s="161"/>
      <c r="P1007" s="161"/>
      <c r="S1007" s="149"/>
      <c r="T1007" s="149"/>
      <c r="V1007" s="166"/>
      <c r="W1007" s="166"/>
      <c r="X1007" s="166"/>
      <c r="Y1007" s="166"/>
    </row>
    <row r="1008" ht="22.5" customHeight="1">
      <c r="A1008" s="161"/>
      <c r="B1008" s="162"/>
      <c r="C1008" s="161"/>
      <c r="D1008" s="194"/>
      <c r="E1008" s="194"/>
      <c r="F1008" s="162"/>
      <c r="G1008" s="149"/>
      <c r="H1008" s="161"/>
      <c r="I1008" s="161"/>
      <c r="J1008" s="161"/>
      <c r="K1008" s="161"/>
      <c r="L1008" s="161"/>
      <c r="M1008" s="161"/>
      <c r="N1008" s="149"/>
      <c r="O1008" s="161"/>
      <c r="P1008" s="161"/>
      <c r="S1008" s="149"/>
      <c r="T1008" s="149"/>
      <c r="V1008" s="166"/>
      <c r="W1008" s="166"/>
      <c r="X1008" s="166"/>
      <c r="Y1008" s="166"/>
    </row>
    <row r="1009" ht="22.5" customHeight="1">
      <c r="A1009" s="161"/>
      <c r="B1009" s="162"/>
      <c r="C1009" s="161"/>
      <c r="D1009" s="194"/>
      <c r="E1009" s="194"/>
      <c r="F1009" s="162"/>
      <c r="G1009" s="149"/>
      <c r="H1009" s="161"/>
      <c r="I1009" s="161"/>
      <c r="J1009" s="161"/>
      <c r="K1009" s="161"/>
      <c r="L1009" s="161"/>
      <c r="M1009" s="161"/>
      <c r="N1009" s="149"/>
      <c r="O1009" s="161"/>
      <c r="P1009" s="161"/>
      <c r="S1009" s="149"/>
      <c r="T1009" s="149"/>
      <c r="V1009" s="166"/>
      <c r="W1009" s="166"/>
      <c r="X1009" s="166"/>
      <c r="Y1009" s="166"/>
    </row>
    <row r="1010" ht="22.5" customHeight="1">
      <c r="A1010" s="161"/>
      <c r="B1010" s="162"/>
      <c r="C1010" s="161"/>
      <c r="D1010" s="194"/>
      <c r="E1010" s="194"/>
      <c r="F1010" s="162"/>
      <c r="G1010" s="149"/>
      <c r="H1010" s="161"/>
      <c r="I1010" s="161"/>
      <c r="J1010" s="161"/>
      <c r="K1010" s="161"/>
      <c r="L1010" s="161"/>
      <c r="M1010" s="161"/>
      <c r="N1010" s="149"/>
      <c r="O1010" s="161"/>
      <c r="P1010" s="161"/>
      <c r="S1010" s="149"/>
      <c r="T1010" s="149"/>
      <c r="V1010" s="166"/>
      <c r="W1010" s="166"/>
      <c r="X1010" s="166"/>
      <c r="Y1010" s="166"/>
    </row>
    <row r="1011" ht="22.5" customHeight="1">
      <c r="A1011" s="161"/>
      <c r="B1011" s="162"/>
      <c r="C1011" s="161"/>
      <c r="D1011" s="194"/>
      <c r="E1011" s="194"/>
      <c r="F1011" s="162"/>
      <c r="G1011" s="149"/>
      <c r="H1011" s="161"/>
      <c r="I1011" s="161"/>
      <c r="J1011" s="161"/>
      <c r="K1011" s="161"/>
      <c r="L1011" s="161"/>
      <c r="M1011" s="161"/>
      <c r="N1011" s="149"/>
      <c r="O1011" s="161"/>
      <c r="P1011" s="161"/>
      <c r="S1011" s="149"/>
      <c r="T1011" s="149"/>
      <c r="V1011" s="166"/>
      <c r="W1011" s="166"/>
      <c r="X1011" s="166"/>
      <c r="Y1011" s="166"/>
    </row>
    <row r="1012" ht="22.5" customHeight="1">
      <c r="A1012" s="161"/>
      <c r="B1012" s="162"/>
      <c r="C1012" s="161"/>
      <c r="D1012" s="194"/>
      <c r="E1012" s="194"/>
      <c r="F1012" s="162"/>
      <c r="G1012" s="149"/>
      <c r="H1012" s="161"/>
      <c r="I1012" s="161"/>
      <c r="J1012" s="161"/>
      <c r="K1012" s="161"/>
      <c r="L1012" s="161"/>
      <c r="M1012" s="161"/>
      <c r="N1012" s="149"/>
      <c r="O1012" s="161"/>
      <c r="P1012" s="161"/>
      <c r="S1012" s="149"/>
      <c r="T1012" s="149"/>
      <c r="V1012" s="166"/>
      <c r="W1012" s="166"/>
      <c r="X1012" s="166"/>
      <c r="Y1012" s="166"/>
    </row>
    <row r="1013" ht="22.5" customHeight="1">
      <c r="A1013" s="161"/>
      <c r="B1013" s="162"/>
      <c r="C1013" s="161"/>
      <c r="D1013" s="194"/>
      <c r="E1013" s="194"/>
      <c r="F1013" s="162"/>
      <c r="G1013" s="149"/>
      <c r="H1013" s="161"/>
      <c r="I1013" s="161"/>
      <c r="J1013" s="161"/>
      <c r="K1013" s="161"/>
      <c r="L1013" s="161"/>
      <c r="M1013" s="161"/>
      <c r="N1013" s="149"/>
      <c r="O1013" s="161"/>
      <c r="P1013" s="161"/>
      <c r="S1013" s="149"/>
      <c r="T1013" s="149"/>
      <c r="V1013" s="166"/>
      <c r="W1013" s="166"/>
      <c r="X1013" s="166"/>
      <c r="Y1013" s="166"/>
    </row>
    <row r="1014" ht="22.5" customHeight="1">
      <c r="A1014" s="161"/>
      <c r="B1014" s="162"/>
      <c r="C1014" s="161"/>
      <c r="D1014" s="194"/>
      <c r="E1014" s="194"/>
      <c r="F1014" s="162"/>
      <c r="G1014" s="149"/>
      <c r="H1014" s="161"/>
      <c r="I1014" s="161"/>
      <c r="J1014" s="161"/>
      <c r="K1014" s="161"/>
      <c r="L1014" s="161"/>
      <c r="M1014" s="161"/>
      <c r="N1014" s="149"/>
      <c r="O1014" s="161"/>
      <c r="P1014" s="161"/>
      <c r="S1014" s="149"/>
      <c r="T1014" s="149"/>
      <c r="V1014" s="166"/>
      <c r="W1014" s="166"/>
      <c r="X1014" s="166"/>
      <c r="Y1014" s="166"/>
    </row>
    <row r="1015" ht="22.5" customHeight="1">
      <c r="A1015" s="161"/>
      <c r="B1015" s="162"/>
      <c r="C1015" s="161"/>
      <c r="D1015" s="194"/>
      <c r="E1015" s="194"/>
      <c r="F1015" s="162"/>
      <c r="G1015" s="149"/>
      <c r="H1015" s="161"/>
      <c r="I1015" s="161"/>
      <c r="J1015" s="161"/>
      <c r="K1015" s="161"/>
      <c r="L1015" s="161"/>
      <c r="M1015" s="161"/>
      <c r="N1015" s="149"/>
      <c r="O1015" s="161"/>
      <c r="P1015" s="161"/>
      <c r="S1015" s="149"/>
      <c r="T1015" s="149"/>
      <c r="V1015" s="166"/>
      <c r="W1015" s="166"/>
      <c r="X1015" s="166"/>
      <c r="Y1015" s="166"/>
    </row>
    <row r="1016" ht="22.5" customHeight="1">
      <c r="A1016" s="161"/>
      <c r="B1016" s="162"/>
      <c r="C1016" s="161"/>
      <c r="D1016" s="194"/>
      <c r="E1016" s="194"/>
      <c r="F1016" s="162"/>
      <c r="G1016" s="149"/>
      <c r="H1016" s="161"/>
      <c r="I1016" s="161"/>
      <c r="J1016" s="161"/>
      <c r="K1016" s="161"/>
      <c r="L1016" s="161"/>
      <c r="M1016" s="161"/>
      <c r="N1016" s="149"/>
      <c r="O1016" s="161"/>
      <c r="P1016" s="161"/>
      <c r="S1016" s="149"/>
      <c r="T1016" s="149"/>
      <c r="V1016" s="166"/>
      <c r="W1016" s="166"/>
      <c r="X1016" s="166"/>
      <c r="Y1016" s="166"/>
    </row>
    <row r="1017" ht="22.5" customHeight="1">
      <c r="A1017" s="161"/>
      <c r="B1017" s="162"/>
      <c r="C1017" s="161"/>
      <c r="D1017" s="194"/>
      <c r="E1017" s="194"/>
      <c r="F1017" s="162"/>
      <c r="G1017" s="149"/>
      <c r="H1017" s="161"/>
      <c r="I1017" s="161"/>
      <c r="J1017" s="161"/>
      <c r="K1017" s="161"/>
      <c r="L1017" s="161"/>
      <c r="M1017" s="161"/>
      <c r="N1017" s="149"/>
      <c r="O1017" s="161"/>
      <c r="P1017" s="161"/>
      <c r="S1017" s="149"/>
      <c r="T1017" s="149"/>
      <c r="V1017" s="166"/>
      <c r="W1017" s="166"/>
      <c r="X1017" s="166"/>
      <c r="Y1017" s="166"/>
    </row>
    <row r="1018" ht="22.5" customHeight="1">
      <c r="A1018" s="161"/>
      <c r="B1018" s="162"/>
      <c r="C1018" s="161"/>
      <c r="D1018" s="194"/>
      <c r="E1018" s="194"/>
      <c r="F1018" s="162"/>
      <c r="G1018" s="149"/>
      <c r="H1018" s="161"/>
      <c r="I1018" s="161"/>
      <c r="J1018" s="161"/>
      <c r="K1018" s="161"/>
      <c r="L1018" s="161"/>
      <c r="M1018" s="161"/>
      <c r="N1018" s="149"/>
      <c r="O1018" s="161"/>
      <c r="P1018" s="161"/>
      <c r="S1018" s="149"/>
      <c r="T1018" s="149"/>
      <c r="V1018" s="166"/>
      <c r="W1018" s="166"/>
      <c r="X1018" s="166"/>
      <c r="Y1018" s="166"/>
    </row>
    <row r="1019" ht="22.5" customHeight="1">
      <c r="A1019" s="161"/>
      <c r="B1019" s="162"/>
      <c r="C1019" s="161"/>
      <c r="D1019" s="194"/>
      <c r="E1019" s="194"/>
      <c r="F1019" s="162"/>
      <c r="G1019" s="149"/>
      <c r="H1019" s="161"/>
      <c r="I1019" s="161"/>
      <c r="J1019" s="161"/>
      <c r="K1019" s="161"/>
      <c r="L1019" s="161"/>
      <c r="M1019" s="161"/>
      <c r="N1019" s="149"/>
      <c r="O1019" s="161"/>
      <c r="P1019" s="161"/>
      <c r="S1019" s="149"/>
      <c r="T1019" s="149"/>
      <c r="V1019" s="166"/>
      <c r="W1019" s="166"/>
      <c r="X1019" s="166"/>
      <c r="Y1019" s="166"/>
    </row>
    <row r="1020" ht="22.5" customHeight="1">
      <c r="A1020" s="161"/>
      <c r="B1020" s="162"/>
      <c r="C1020" s="161"/>
      <c r="D1020" s="194"/>
      <c r="E1020" s="194"/>
      <c r="F1020" s="162"/>
      <c r="G1020" s="149"/>
      <c r="H1020" s="161"/>
      <c r="I1020" s="161"/>
      <c r="J1020" s="161"/>
      <c r="K1020" s="161"/>
      <c r="L1020" s="161"/>
      <c r="M1020" s="161"/>
      <c r="N1020" s="149"/>
      <c r="O1020" s="161"/>
      <c r="P1020" s="161"/>
      <c r="S1020" s="149"/>
      <c r="T1020" s="149"/>
      <c r="V1020" s="166"/>
      <c r="W1020" s="166"/>
      <c r="X1020" s="166"/>
      <c r="Y1020" s="166"/>
    </row>
    <row r="1021" ht="22.5" customHeight="1">
      <c r="A1021" s="161"/>
      <c r="B1021" s="162"/>
      <c r="C1021" s="161"/>
      <c r="D1021" s="194"/>
      <c r="E1021" s="194"/>
      <c r="F1021" s="162"/>
      <c r="G1021" s="149"/>
      <c r="H1021" s="161"/>
      <c r="I1021" s="161"/>
      <c r="J1021" s="161"/>
      <c r="K1021" s="161"/>
      <c r="L1021" s="161"/>
      <c r="M1021" s="161"/>
      <c r="N1021" s="149"/>
      <c r="O1021" s="161"/>
      <c r="P1021" s="161"/>
      <c r="S1021" s="149"/>
      <c r="T1021" s="149"/>
      <c r="V1021" s="166"/>
      <c r="W1021" s="166"/>
      <c r="X1021" s="166"/>
      <c r="Y1021" s="166"/>
    </row>
    <row r="1022" ht="22.5" customHeight="1">
      <c r="A1022" s="161"/>
      <c r="B1022" s="162"/>
      <c r="C1022" s="161"/>
      <c r="D1022" s="194"/>
      <c r="E1022" s="194"/>
      <c r="F1022" s="162"/>
      <c r="G1022" s="149"/>
      <c r="H1022" s="161"/>
      <c r="I1022" s="161"/>
      <c r="J1022" s="161"/>
      <c r="K1022" s="161"/>
      <c r="L1022" s="161"/>
      <c r="M1022" s="161"/>
      <c r="N1022" s="149"/>
      <c r="O1022" s="161"/>
      <c r="P1022" s="161"/>
      <c r="S1022" s="149"/>
      <c r="T1022" s="149"/>
      <c r="V1022" s="166"/>
      <c r="W1022" s="166"/>
      <c r="X1022" s="166"/>
      <c r="Y1022" s="166"/>
    </row>
    <row r="1023" ht="22.5" customHeight="1">
      <c r="A1023" s="161"/>
      <c r="B1023" s="162"/>
      <c r="C1023" s="161"/>
      <c r="D1023" s="194"/>
      <c r="E1023" s="194"/>
      <c r="F1023" s="162"/>
      <c r="G1023" s="149"/>
      <c r="H1023" s="161"/>
      <c r="I1023" s="161"/>
      <c r="J1023" s="161"/>
      <c r="K1023" s="161"/>
      <c r="L1023" s="161"/>
      <c r="M1023" s="161"/>
      <c r="N1023" s="149"/>
      <c r="O1023" s="161"/>
      <c r="P1023" s="161"/>
      <c r="S1023" s="149"/>
      <c r="T1023" s="149"/>
      <c r="V1023" s="166"/>
      <c r="W1023" s="166"/>
      <c r="X1023" s="166"/>
      <c r="Y1023" s="166"/>
    </row>
    <row r="1024" ht="22.5" customHeight="1">
      <c r="A1024" s="161"/>
      <c r="B1024" s="162"/>
      <c r="C1024" s="161"/>
      <c r="D1024" s="194"/>
      <c r="E1024" s="194"/>
      <c r="F1024" s="162"/>
      <c r="G1024" s="149"/>
      <c r="H1024" s="161"/>
      <c r="I1024" s="161"/>
      <c r="J1024" s="161"/>
      <c r="K1024" s="161"/>
      <c r="L1024" s="161"/>
      <c r="M1024" s="161"/>
      <c r="N1024" s="149"/>
      <c r="O1024" s="161"/>
      <c r="P1024" s="161"/>
      <c r="S1024" s="149"/>
      <c r="T1024" s="149"/>
      <c r="V1024" s="166"/>
      <c r="W1024" s="166"/>
      <c r="X1024" s="166"/>
      <c r="Y1024" s="166"/>
    </row>
    <row r="1025" ht="22.5" customHeight="1">
      <c r="A1025" s="161"/>
      <c r="B1025" s="162"/>
      <c r="C1025" s="161"/>
      <c r="D1025" s="194"/>
      <c r="E1025" s="194"/>
      <c r="F1025" s="162"/>
      <c r="G1025" s="149"/>
      <c r="H1025" s="161"/>
      <c r="I1025" s="161"/>
      <c r="J1025" s="161"/>
      <c r="K1025" s="161"/>
      <c r="L1025" s="161"/>
      <c r="M1025" s="161"/>
      <c r="N1025" s="149"/>
      <c r="O1025" s="161"/>
      <c r="P1025" s="161"/>
      <c r="S1025" s="149"/>
      <c r="T1025" s="149"/>
      <c r="V1025" s="166"/>
      <c r="W1025" s="166"/>
      <c r="X1025" s="166"/>
      <c r="Y1025" s="166"/>
    </row>
    <row r="1026" ht="22.5" customHeight="1">
      <c r="A1026" s="161"/>
      <c r="B1026" s="162"/>
      <c r="C1026" s="161"/>
      <c r="D1026" s="194"/>
      <c r="E1026" s="194"/>
      <c r="F1026" s="162"/>
      <c r="G1026" s="149"/>
      <c r="H1026" s="161"/>
      <c r="I1026" s="161"/>
      <c r="J1026" s="161"/>
      <c r="K1026" s="161"/>
      <c r="L1026" s="161"/>
      <c r="M1026" s="161"/>
      <c r="N1026" s="149"/>
      <c r="O1026" s="161"/>
      <c r="P1026" s="161"/>
      <c r="S1026" s="149"/>
      <c r="T1026" s="149"/>
      <c r="V1026" s="166"/>
      <c r="W1026" s="166"/>
      <c r="X1026" s="166"/>
      <c r="Y1026" s="166"/>
    </row>
    <row r="1027" ht="22.5" customHeight="1">
      <c r="A1027" s="161"/>
      <c r="B1027" s="162"/>
      <c r="C1027" s="161"/>
      <c r="D1027" s="194"/>
      <c r="E1027" s="194"/>
      <c r="F1027" s="162"/>
      <c r="G1027" s="149"/>
      <c r="H1027" s="161"/>
      <c r="I1027" s="161"/>
      <c r="J1027" s="161"/>
      <c r="K1027" s="161"/>
      <c r="L1027" s="161"/>
      <c r="M1027" s="161"/>
      <c r="N1027" s="149"/>
      <c r="O1027" s="161"/>
      <c r="P1027" s="161"/>
      <c r="S1027" s="149"/>
      <c r="T1027" s="149"/>
      <c r="V1027" s="166"/>
      <c r="W1027" s="166"/>
      <c r="X1027" s="166"/>
      <c r="Y1027" s="166"/>
    </row>
    <row r="1028" ht="22.5" customHeight="1">
      <c r="A1028" s="161"/>
      <c r="B1028" s="162"/>
      <c r="C1028" s="161"/>
      <c r="D1028" s="194"/>
      <c r="E1028" s="194"/>
      <c r="F1028" s="162"/>
      <c r="G1028" s="149"/>
      <c r="H1028" s="161"/>
      <c r="I1028" s="161"/>
      <c r="J1028" s="161"/>
      <c r="K1028" s="161"/>
      <c r="L1028" s="161"/>
      <c r="M1028" s="161"/>
      <c r="N1028" s="149"/>
      <c r="O1028" s="161"/>
      <c r="P1028" s="161"/>
      <c r="S1028" s="149"/>
      <c r="T1028" s="149"/>
      <c r="V1028" s="166"/>
      <c r="W1028" s="166"/>
      <c r="X1028" s="166"/>
      <c r="Y1028" s="166"/>
    </row>
    <row r="1029" ht="22.5" customHeight="1">
      <c r="A1029" s="161"/>
      <c r="B1029" s="162"/>
      <c r="C1029" s="161"/>
      <c r="D1029" s="194"/>
      <c r="E1029" s="194"/>
      <c r="F1029" s="162"/>
      <c r="G1029" s="149"/>
      <c r="H1029" s="161"/>
      <c r="I1029" s="161"/>
      <c r="J1029" s="161"/>
      <c r="K1029" s="161"/>
      <c r="L1029" s="161"/>
      <c r="M1029" s="161"/>
      <c r="N1029" s="149"/>
      <c r="O1029" s="161"/>
      <c r="P1029" s="161"/>
      <c r="S1029" s="149"/>
      <c r="T1029" s="149"/>
      <c r="V1029" s="166"/>
      <c r="W1029" s="166"/>
      <c r="X1029" s="166"/>
      <c r="Y1029" s="166"/>
    </row>
  </sheetData>
  <dataValidations>
    <dataValidation type="custom" allowBlank="1" showDropDown="1" sqref="S2:T1029">
      <formula1>AND(ISNUMBER(S2),(NOT(OR(NOT(ISERROR(DATEVALUE(S2))), AND(ISNUMBER(S2), LEFT(CELL("format", S2))="D")))))</formula1>
    </dataValidation>
    <dataValidation allowBlank="1" showDropDown="1" sqref="B2:B1029 F2:F1029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71"/>
    <col customWidth="1" min="8" max="8" width="34.86"/>
  </cols>
  <sheetData>
    <row r="1">
      <c r="A1" s="196"/>
      <c r="B1" s="197" t="s">
        <v>1607</v>
      </c>
      <c r="C1" s="197"/>
      <c r="D1" s="197"/>
      <c r="E1" s="197"/>
      <c r="G1" s="197"/>
      <c r="H1" s="197" t="s">
        <v>1608</v>
      </c>
      <c r="I1" s="197"/>
      <c r="J1" s="197"/>
      <c r="K1" s="197"/>
    </row>
    <row r="2">
      <c r="A2" s="197"/>
      <c r="B2" s="197"/>
      <c r="C2" s="197"/>
      <c r="D2" s="197"/>
      <c r="E2" s="197"/>
      <c r="G2" s="197"/>
      <c r="H2" s="197"/>
      <c r="I2" s="197"/>
      <c r="J2" s="197"/>
      <c r="K2" s="197"/>
    </row>
    <row r="3">
      <c r="A3" s="197"/>
      <c r="B3" s="198" t="s">
        <v>1609</v>
      </c>
      <c r="C3" s="198" t="s">
        <v>1610</v>
      </c>
      <c r="D3" s="198" t="s">
        <v>1611</v>
      </c>
      <c r="E3" s="197"/>
      <c r="G3" s="197"/>
      <c r="H3" s="198" t="s">
        <v>1609</v>
      </c>
      <c r="I3" s="198" t="s">
        <v>1610</v>
      </c>
      <c r="J3" s="198" t="s">
        <v>1611</v>
      </c>
      <c r="K3" s="197"/>
    </row>
    <row r="4">
      <c r="A4" s="199">
        <v>1.0</v>
      </c>
      <c r="B4" s="198" t="s">
        <v>65</v>
      </c>
      <c r="C4" s="200">
        <v>5988.68</v>
      </c>
      <c r="D4" s="198" t="s">
        <v>1612</v>
      </c>
      <c r="E4" s="197"/>
      <c r="G4" s="199">
        <v>1.0</v>
      </c>
      <c r="H4" s="198" t="s">
        <v>65</v>
      </c>
      <c r="I4" s="200">
        <v>5988.68</v>
      </c>
      <c r="J4" s="198" t="s">
        <v>1612</v>
      </c>
      <c r="K4" s="197"/>
    </row>
    <row r="5">
      <c r="A5" s="199">
        <v>2.0</v>
      </c>
      <c r="B5" s="201" t="s">
        <v>68</v>
      </c>
      <c r="C5" s="200">
        <v>12874.48</v>
      </c>
      <c r="D5" s="198" t="s">
        <v>1613</v>
      </c>
      <c r="E5" s="197"/>
      <c r="G5" s="199">
        <v>2.0</v>
      </c>
      <c r="H5" s="198" t="s">
        <v>68</v>
      </c>
      <c r="I5" s="200">
        <v>7253.28</v>
      </c>
      <c r="J5" s="198" t="s">
        <v>1613</v>
      </c>
      <c r="K5" s="197"/>
    </row>
    <row r="6">
      <c r="A6" s="199">
        <v>3.0</v>
      </c>
      <c r="B6" s="198" t="s">
        <v>69</v>
      </c>
      <c r="C6" s="200">
        <v>6499.95</v>
      </c>
      <c r="D6" s="198" t="s">
        <v>1614</v>
      </c>
      <c r="E6" s="197"/>
      <c r="G6" s="199">
        <v>3.0</v>
      </c>
      <c r="H6" s="198" t="s">
        <v>69</v>
      </c>
      <c r="I6" s="200">
        <v>6499.95</v>
      </c>
      <c r="J6" s="198" t="s">
        <v>1614</v>
      </c>
      <c r="K6" s="197"/>
    </row>
    <row r="7">
      <c r="A7" s="199">
        <v>4.0</v>
      </c>
      <c r="B7" s="198" t="s">
        <v>185</v>
      </c>
      <c r="C7" s="200">
        <v>6499.95</v>
      </c>
      <c r="D7" s="198" t="s">
        <v>1615</v>
      </c>
      <c r="E7" s="197"/>
      <c r="G7" s="199">
        <v>4.0</v>
      </c>
      <c r="H7" s="198" t="s">
        <v>185</v>
      </c>
      <c r="I7" s="200">
        <v>6499.95</v>
      </c>
      <c r="J7" s="198" t="s">
        <v>1615</v>
      </c>
      <c r="K7" s="197"/>
    </row>
    <row r="8">
      <c r="A8" s="199">
        <v>5.0</v>
      </c>
      <c r="B8" s="198" t="s">
        <v>71</v>
      </c>
      <c r="C8" s="200">
        <v>6499.95</v>
      </c>
      <c r="D8" s="198" t="s">
        <v>1614</v>
      </c>
      <c r="E8" s="197"/>
      <c r="G8" s="199">
        <v>5.0</v>
      </c>
      <c r="H8" s="198" t="s">
        <v>71</v>
      </c>
      <c r="I8" s="200">
        <v>6499.95</v>
      </c>
      <c r="J8" s="198" t="s">
        <v>1614</v>
      </c>
      <c r="K8" s="197"/>
    </row>
    <row r="9">
      <c r="A9" s="199">
        <v>6.0</v>
      </c>
      <c r="B9" s="198" t="s">
        <v>1616</v>
      </c>
      <c r="C9" s="200">
        <v>13123.05</v>
      </c>
      <c r="D9" s="198" t="s">
        <v>1617</v>
      </c>
      <c r="E9" s="197"/>
      <c r="G9" s="199">
        <v>6.0</v>
      </c>
      <c r="H9" s="198" t="s">
        <v>1616</v>
      </c>
      <c r="I9" s="200">
        <v>13123.05</v>
      </c>
      <c r="J9" s="198" t="s">
        <v>1617</v>
      </c>
      <c r="K9" s="197"/>
    </row>
    <row r="10">
      <c r="A10" s="199">
        <v>7.0</v>
      </c>
      <c r="B10" s="198" t="s">
        <v>1618</v>
      </c>
      <c r="C10" s="200">
        <v>6499.95</v>
      </c>
      <c r="D10" s="198" t="s">
        <v>1619</v>
      </c>
      <c r="E10" s="197"/>
      <c r="G10" s="199">
        <v>7.0</v>
      </c>
      <c r="H10" s="198" t="s">
        <v>1618</v>
      </c>
      <c r="I10" s="200">
        <v>6499.95</v>
      </c>
      <c r="J10" s="198" t="s">
        <v>1619</v>
      </c>
      <c r="K10" s="197"/>
    </row>
    <row r="11">
      <c r="A11" s="199">
        <v>8.0</v>
      </c>
      <c r="B11" s="198" t="s">
        <v>72</v>
      </c>
      <c r="C11" s="200">
        <v>8109.55</v>
      </c>
      <c r="D11" s="198" t="s">
        <v>1619</v>
      </c>
      <c r="E11" s="197"/>
      <c r="G11" s="199">
        <v>8.0</v>
      </c>
      <c r="H11" s="198" t="s">
        <v>72</v>
      </c>
      <c r="I11" s="200">
        <v>8109.55</v>
      </c>
      <c r="J11" s="198" t="s">
        <v>1619</v>
      </c>
      <c r="K11" s="197"/>
    </row>
    <row r="12">
      <c r="A12" s="199">
        <v>9.0</v>
      </c>
      <c r="B12" s="201" t="s">
        <v>73</v>
      </c>
      <c r="C12" s="200">
        <v>5192.95</v>
      </c>
      <c r="D12" s="198" t="s">
        <v>1620</v>
      </c>
      <c r="E12" s="197"/>
      <c r="G12" s="199">
        <v>9.0</v>
      </c>
      <c r="H12" s="198" t="s">
        <v>73</v>
      </c>
      <c r="I12" s="200">
        <v>0.0</v>
      </c>
      <c r="J12" s="198" t="s">
        <v>1620</v>
      </c>
      <c r="K12" s="197"/>
    </row>
    <row r="13">
      <c r="A13" s="199">
        <v>10.0</v>
      </c>
      <c r="B13" s="198"/>
      <c r="C13" s="202">
        <f>SUM(C4:C12)</f>
        <v>71288.51</v>
      </c>
      <c r="D13" s="198"/>
      <c r="E13" s="197"/>
      <c r="G13" s="197"/>
      <c r="H13" s="197"/>
      <c r="I13" s="203">
        <f>SUM(I4:I12)</f>
        <v>60474.36</v>
      </c>
      <c r="J13" s="197"/>
      <c r="K13" s="197"/>
    </row>
    <row r="14">
      <c r="A14" s="199">
        <v>11.0</v>
      </c>
      <c r="B14" s="198"/>
      <c r="C14" s="198"/>
      <c r="D14" s="198"/>
      <c r="E14" s="197"/>
      <c r="G14" s="197"/>
      <c r="H14" s="197"/>
      <c r="I14" s="204"/>
      <c r="J14" s="197"/>
      <c r="K14" s="197"/>
    </row>
    <row r="15">
      <c r="A15" s="197"/>
      <c r="B15" s="197"/>
      <c r="C15" s="197"/>
      <c r="D15" s="197"/>
      <c r="E15" s="197"/>
    </row>
    <row r="16">
      <c r="A16" s="197"/>
      <c r="B16" s="197" t="s">
        <v>1621</v>
      </c>
      <c r="C16" s="197"/>
      <c r="D16" s="197"/>
      <c r="E16" s="197"/>
      <c r="G16" s="197"/>
      <c r="H16" s="197" t="s">
        <v>1622</v>
      </c>
      <c r="I16" s="197"/>
      <c r="J16" s="197"/>
      <c r="K16" s="197"/>
    </row>
    <row r="17">
      <c r="B17" s="197"/>
      <c r="C17" s="197"/>
      <c r="D17" s="197"/>
      <c r="E17" s="197"/>
      <c r="G17" s="197"/>
      <c r="H17" s="197"/>
      <c r="I17" s="197"/>
      <c r="J17" s="197"/>
      <c r="K17" s="197"/>
    </row>
    <row r="18">
      <c r="B18" s="198" t="s">
        <v>1609</v>
      </c>
      <c r="C18" s="198" t="s">
        <v>1610</v>
      </c>
      <c r="D18" s="198" t="s">
        <v>1611</v>
      </c>
      <c r="E18" s="197"/>
      <c r="G18" s="197"/>
      <c r="H18" s="197"/>
      <c r="I18" s="197"/>
      <c r="J18" s="197"/>
      <c r="K18" s="197"/>
    </row>
    <row r="19">
      <c r="B19" s="198" t="s">
        <v>65</v>
      </c>
      <c r="C19" s="200">
        <v>5989.43</v>
      </c>
      <c r="D19" s="198" t="s">
        <v>1612</v>
      </c>
      <c r="E19" s="197"/>
      <c r="G19" s="197"/>
      <c r="H19" s="198" t="s">
        <v>1609</v>
      </c>
      <c r="I19" s="198" t="s">
        <v>1610</v>
      </c>
      <c r="J19" s="198" t="s">
        <v>1611</v>
      </c>
      <c r="K19" s="197"/>
    </row>
    <row r="20">
      <c r="B20" s="198" t="s">
        <v>68</v>
      </c>
      <c r="C20" s="200">
        <v>0.0</v>
      </c>
      <c r="D20" s="198" t="s">
        <v>1613</v>
      </c>
      <c r="E20" s="197"/>
      <c r="G20" s="199">
        <v>1.0</v>
      </c>
      <c r="H20" s="198" t="s">
        <v>65</v>
      </c>
      <c r="I20" s="200">
        <v>5989.43</v>
      </c>
      <c r="J20" s="198" t="s">
        <v>1612</v>
      </c>
      <c r="K20" s="197"/>
    </row>
    <row r="21">
      <c r="B21" s="198" t="s">
        <v>69</v>
      </c>
      <c r="C21" s="200">
        <v>6499.95</v>
      </c>
      <c r="D21" s="198" t="s">
        <v>1614</v>
      </c>
      <c r="E21" s="197"/>
      <c r="G21" s="199">
        <v>2.0</v>
      </c>
      <c r="H21" s="198" t="s">
        <v>68</v>
      </c>
      <c r="I21" s="200">
        <v>0.0</v>
      </c>
      <c r="J21" s="198" t="s">
        <v>1613</v>
      </c>
      <c r="K21" s="197"/>
    </row>
    <row r="22">
      <c r="B22" s="198" t="s">
        <v>185</v>
      </c>
      <c r="C22" s="200">
        <v>6499.95</v>
      </c>
      <c r="D22" s="198" t="s">
        <v>1615</v>
      </c>
      <c r="E22" s="197"/>
      <c r="G22" s="199">
        <v>3.0</v>
      </c>
      <c r="H22" s="198" t="s">
        <v>69</v>
      </c>
      <c r="I22" s="200">
        <v>6499.95</v>
      </c>
      <c r="J22" s="198" t="s">
        <v>1614</v>
      </c>
      <c r="K22" s="197"/>
    </row>
    <row r="23">
      <c r="B23" s="198" t="s">
        <v>71</v>
      </c>
      <c r="C23" s="200">
        <v>6499.95</v>
      </c>
      <c r="D23" s="198" t="s">
        <v>1614</v>
      </c>
      <c r="E23" s="197"/>
      <c r="G23" s="199">
        <v>4.0</v>
      </c>
      <c r="H23" s="198" t="s">
        <v>185</v>
      </c>
      <c r="I23" s="200">
        <v>6499.95</v>
      </c>
      <c r="J23" s="198" t="s">
        <v>1615</v>
      </c>
      <c r="K23" s="197"/>
    </row>
    <row r="24">
      <c r="B24" s="198" t="s">
        <v>1616</v>
      </c>
      <c r="C24" s="200">
        <v>13123.8</v>
      </c>
      <c r="D24" s="198" t="s">
        <v>1617</v>
      </c>
      <c r="E24" s="197"/>
      <c r="G24" s="199">
        <v>5.0</v>
      </c>
      <c r="H24" s="198" t="s">
        <v>71</v>
      </c>
      <c r="I24" s="200">
        <v>6499.95</v>
      </c>
      <c r="J24" s="198" t="s">
        <v>1614</v>
      </c>
      <c r="K24" s="197"/>
    </row>
    <row r="25">
      <c r="B25" s="198" t="s">
        <v>1618</v>
      </c>
      <c r="C25" s="200">
        <v>6499.95</v>
      </c>
      <c r="D25" s="198" t="s">
        <v>1619</v>
      </c>
      <c r="E25" s="197"/>
      <c r="G25" s="199">
        <v>6.0</v>
      </c>
      <c r="H25" s="198" t="s">
        <v>1616</v>
      </c>
      <c r="I25" s="200">
        <v>13123.8</v>
      </c>
      <c r="J25" s="198" t="s">
        <v>1617</v>
      </c>
      <c r="K25" s="197"/>
    </row>
    <row r="26">
      <c r="B26" s="198" t="s">
        <v>72</v>
      </c>
      <c r="C26" s="200">
        <v>11000.07</v>
      </c>
      <c r="D26" s="198" t="s">
        <v>1619</v>
      </c>
      <c r="E26" s="197"/>
      <c r="G26" s="199">
        <v>7.0</v>
      </c>
      <c r="H26" s="198" t="s">
        <v>1618</v>
      </c>
      <c r="I26" s="200">
        <v>6499.95</v>
      </c>
      <c r="J26" s="198" t="s">
        <v>1619</v>
      </c>
      <c r="K26" s="197"/>
    </row>
    <row r="27">
      <c r="B27" s="198" t="s">
        <v>73</v>
      </c>
      <c r="C27" s="200">
        <v>5193.7</v>
      </c>
      <c r="D27" s="198" t="s">
        <v>1620</v>
      </c>
      <c r="E27" s="197"/>
      <c r="G27" s="199">
        <v>8.0</v>
      </c>
      <c r="H27" s="198" t="s">
        <v>72</v>
      </c>
      <c r="I27" s="200">
        <v>11000.07</v>
      </c>
      <c r="J27" s="198" t="s">
        <v>1619</v>
      </c>
      <c r="K27" s="197"/>
    </row>
    <row r="28">
      <c r="B28" s="197"/>
      <c r="C28" s="203">
        <f>SUM(C19:C27)</f>
        <v>61306.8</v>
      </c>
      <c r="D28" s="197"/>
      <c r="E28" s="197"/>
      <c r="G28" s="199">
        <v>9.0</v>
      </c>
      <c r="H28" s="198" t="s">
        <v>73</v>
      </c>
      <c r="I28" s="200">
        <v>6988.79</v>
      </c>
      <c r="J28" s="198" t="s">
        <v>1620</v>
      </c>
      <c r="K28" s="197"/>
    </row>
    <row r="29">
      <c r="G29" s="199">
        <v>10.0</v>
      </c>
      <c r="H29" s="205" t="s">
        <v>1623</v>
      </c>
      <c r="I29" s="200">
        <v>1575.2</v>
      </c>
      <c r="J29" s="198" t="s">
        <v>1620</v>
      </c>
      <c r="K29" s="197"/>
    </row>
    <row r="30">
      <c r="G30" s="199">
        <v>11.0</v>
      </c>
      <c r="H30" s="205" t="s">
        <v>1624</v>
      </c>
      <c r="I30" s="200">
        <v>1575.2</v>
      </c>
      <c r="J30" s="198" t="s">
        <v>1620</v>
      </c>
      <c r="K30" s="197"/>
    </row>
    <row r="31">
      <c r="G31" s="199">
        <v>12.0</v>
      </c>
      <c r="H31" s="205" t="s">
        <v>1625</v>
      </c>
      <c r="I31" s="200">
        <v>1575.2</v>
      </c>
      <c r="J31" s="198" t="s">
        <v>1620</v>
      </c>
      <c r="K31" s="197"/>
    </row>
    <row r="32">
      <c r="G32" s="199">
        <v>13.0</v>
      </c>
      <c r="H32" s="205" t="s">
        <v>1626</v>
      </c>
      <c r="I32" s="200">
        <v>1575.2</v>
      </c>
      <c r="J32" s="198" t="s">
        <v>1620</v>
      </c>
      <c r="K32" s="197"/>
    </row>
    <row r="33">
      <c r="G33" s="199">
        <v>14.0</v>
      </c>
      <c r="H33" s="205" t="s">
        <v>1627</v>
      </c>
      <c r="I33" s="200">
        <v>1575.2</v>
      </c>
      <c r="J33" s="198" t="s">
        <v>1620</v>
      </c>
      <c r="K33" s="197"/>
    </row>
    <row r="34">
      <c r="G34" s="199">
        <v>15.0</v>
      </c>
      <c r="H34" s="205" t="s">
        <v>1628</v>
      </c>
      <c r="I34" s="200">
        <v>1575.2</v>
      </c>
      <c r="J34" s="198" t="s">
        <v>1620</v>
      </c>
      <c r="K34" s="197"/>
    </row>
    <row r="35">
      <c r="G35" s="199">
        <v>16.0</v>
      </c>
      <c r="H35" s="205" t="s">
        <v>1629</v>
      </c>
      <c r="I35" s="200">
        <v>1575.2</v>
      </c>
      <c r="J35" s="198" t="s">
        <v>1620</v>
      </c>
      <c r="K35" s="197"/>
    </row>
    <row r="36">
      <c r="G36" s="199">
        <v>17.0</v>
      </c>
      <c r="H36" s="205" t="s">
        <v>1630</v>
      </c>
      <c r="I36" s="200">
        <v>1575.2</v>
      </c>
      <c r="J36" s="198" t="s">
        <v>1620</v>
      </c>
      <c r="K36" s="197"/>
    </row>
    <row r="37">
      <c r="G37" s="197"/>
      <c r="H37" s="197"/>
      <c r="I37" s="203">
        <f>SUM(I20:I36)</f>
        <v>75703.49</v>
      </c>
      <c r="J37" s="197"/>
      <c r="K37" s="197"/>
    </row>
    <row r="41">
      <c r="A41" s="197"/>
      <c r="B41" s="197" t="s">
        <v>1631</v>
      </c>
      <c r="C41" s="197"/>
      <c r="D41" s="197"/>
      <c r="E41" s="197"/>
      <c r="G41" s="197"/>
      <c r="H41" s="197"/>
      <c r="I41" s="197"/>
      <c r="J41" s="197"/>
    </row>
    <row r="42">
      <c r="A42" s="197"/>
      <c r="B42" s="197"/>
      <c r="C42" s="197"/>
      <c r="D42" s="197"/>
      <c r="E42" s="197"/>
      <c r="G42" s="197"/>
      <c r="H42" s="198" t="s">
        <v>1609</v>
      </c>
      <c r="I42" s="198" t="s">
        <v>1610</v>
      </c>
      <c r="J42" s="198" t="s">
        <v>1611</v>
      </c>
    </row>
    <row r="43">
      <c r="A43" s="197"/>
      <c r="B43" s="197"/>
      <c r="C43" s="197"/>
      <c r="D43" s="197"/>
      <c r="E43" s="197"/>
      <c r="G43" s="199">
        <v>1.0</v>
      </c>
      <c r="H43" s="198" t="s">
        <v>65</v>
      </c>
      <c r="I43" s="200">
        <v>5989.43</v>
      </c>
      <c r="J43" s="198" t="s">
        <v>1612</v>
      </c>
    </row>
    <row r="44">
      <c r="A44" s="197"/>
      <c r="B44" s="198" t="s">
        <v>1609</v>
      </c>
      <c r="C44" s="198" t="s">
        <v>1610</v>
      </c>
      <c r="D44" s="198" t="s">
        <v>1611</v>
      </c>
      <c r="E44" s="197"/>
      <c r="G44" s="199">
        <v>2.0</v>
      </c>
      <c r="H44" s="198" t="s">
        <v>68</v>
      </c>
      <c r="I44" s="200">
        <v>0.0</v>
      </c>
      <c r="J44" s="198" t="s">
        <v>1613</v>
      </c>
    </row>
    <row r="45">
      <c r="A45" s="199">
        <v>1.0</v>
      </c>
      <c r="B45" s="198" t="s">
        <v>65</v>
      </c>
      <c r="C45" s="200">
        <v>5989.43</v>
      </c>
      <c r="D45" s="198" t="s">
        <v>1612</v>
      </c>
      <c r="E45" s="197"/>
      <c r="G45" s="199">
        <v>3.0</v>
      </c>
      <c r="H45" s="198" t="s">
        <v>69</v>
      </c>
      <c r="I45" s="200">
        <v>6499.95</v>
      </c>
      <c r="J45" s="198" t="s">
        <v>1614</v>
      </c>
      <c r="L45" s="206">
        <f>C116*2</f>
        <v>9451.2</v>
      </c>
    </row>
    <row r="46">
      <c r="A46" s="199">
        <v>2.0</v>
      </c>
      <c r="B46" s="198" t="s">
        <v>68</v>
      </c>
      <c r="C46" s="200">
        <v>0.0</v>
      </c>
      <c r="D46" s="198" t="s">
        <v>1613</v>
      </c>
      <c r="E46" s="197"/>
      <c r="G46" s="199">
        <v>4.0</v>
      </c>
      <c r="H46" s="198" t="s">
        <v>185</v>
      </c>
      <c r="I46" s="200">
        <v>6499.95</v>
      </c>
      <c r="J46" s="198" t="s">
        <v>1615</v>
      </c>
    </row>
    <row r="47">
      <c r="A47" s="199">
        <v>3.0</v>
      </c>
      <c r="B47" s="198" t="s">
        <v>69</v>
      </c>
      <c r="C47" s="200">
        <v>6499.95</v>
      </c>
      <c r="D47" s="198" t="s">
        <v>1614</v>
      </c>
      <c r="E47" s="197"/>
      <c r="G47" s="199">
        <v>5.0</v>
      </c>
      <c r="H47" s="198" t="s">
        <v>71</v>
      </c>
      <c r="I47" s="200">
        <v>6499.95</v>
      </c>
      <c r="J47" s="198" t="s">
        <v>1614</v>
      </c>
    </row>
    <row r="48">
      <c r="A48" s="199">
        <v>4.0</v>
      </c>
      <c r="B48" s="198" t="s">
        <v>185</v>
      </c>
      <c r="C48" s="200">
        <v>6499.95</v>
      </c>
      <c r="D48" s="198" t="s">
        <v>1615</v>
      </c>
      <c r="E48" s="197"/>
      <c r="G48" s="199">
        <v>6.0</v>
      </c>
      <c r="H48" s="198" t="s">
        <v>1616</v>
      </c>
      <c r="I48" s="200">
        <v>13123.8</v>
      </c>
      <c r="J48" s="198" t="s">
        <v>1617</v>
      </c>
    </row>
    <row r="49">
      <c r="A49" s="199">
        <v>5.0</v>
      </c>
      <c r="B49" s="198" t="s">
        <v>71</v>
      </c>
      <c r="C49" s="200">
        <v>6499.95</v>
      </c>
      <c r="D49" s="198" t="s">
        <v>1614</v>
      </c>
      <c r="E49" s="197"/>
      <c r="G49" s="199">
        <v>7.0</v>
      </c>
      <c r="H49" s="198" t="s">
        <v>1618</v>
      </c>
      <c r="I49" s="200">
        <v>6499.95</v>
      </c>
      <c r="J49" s="198" t="s">
        <v>1619</v>
      </c>
    </row>
    <row r="50">
      <c r="A50" s="199">
        <v>6.0</v>
      </c>
      <c r="B50" s="198" t="s">
        <v>1616</v>
      </c>
      <c r="C50" s="200">
        <v>13123.8</v>
      </c>
      <c r="D50" s="198" t="s">
        <v>1617</v>
      </c>
      <c r="E50" s="197"/>
      <c r="G50" s="199">
        <v>8.0</v>
      </c>
      <c r="H50" s="198" t="s">
        <v>72</v>
      </c>
      <c r="I50" s="200">
        <v>11000.07</v>
      </c>
      <c r="J50" s="198" t="s">
        <v>1619</v>
      </c>
    </row>
    <row r="51">
      <c r="A51" s="199">
        <v>7.0</v>
      </c>
      <c r="B51" s="198" t="s">
        <v>1618</v>
      </c>
      <c r="C51" s="200">
        <v>6499.95</v>
      </c>
      <c r="D51" s="198" t="s">
        <v>1619</v>
      </c>
      <c r="E51" s="197"/>
      <c r="G51" s="199">
        <v>9.0</v>
      </c>
      <c r="H51" s="198" t="s">
        <v>73</v>
      </c>
      <c r="I51" s="200">
        <v>6988.79</v>
      </c>
      <c r="J51" s="198" t="s">
        <v>1620</v>
      </c>
    </row>
    <row r="52">
      <c r="A52" s="199">
        <v>8.0</v>
      </c>
      <c r="B52" s="198" t="s">
        <v>72</v>
      </c>
      <c r="C52" s="200">
        <v>11000.07</v>
      </c>
      <c r="D52" s="198" t="s">
        <v>1619</v>
      </c>
      <c r="E52" s="197"/>
      <c r="G52" s="199">
        <v>10.0</v>
      </c>
      <c r="H52" s="205" t="s">
        <v>1623</v>
      </c>
      <c r="I52" s="200">
        <v>4725.6</v>
      </c>
      <c r="J52" s="198" t="s">
        <v>1620</v>
      </c>
    </row>
    <row r="53">
      <c r="A53" s="199">
        <v>9.0</v>
      </c>
      <c r="B53" s="198" t="s">
        <v>73</v>
      </c>
      <c r="C53" s="200">
        <v>6988.79</v>
      </c>
      <c r="D53" s="198" t="s">
        <v>1620</v>
      </c>
      <c r="E53" s="197"/>
      <c r="G53" s="199">
        <v>11.0</v>
      </c>
      <c r="H53" s="205" t="s">
        <v>1624</v>
      </c>
      <c r="I53" s="200">
        <v>4725.6</v>
      </c>
      <c r="J53" s="198" t="s">
        <v>1620</v>
      </c>
    </row>
    <row r="54">
      <c r="A54" s="199">
        <v>10.0</v>
      </c>
      <c r="B54" s="205" t="s">
        <v>1623</v>
      </c>
      <c r="C54" s="200">
        <v>5218.19</v>
      </c>
      <c r="D54" s="198" t="s">
        <v>1620</v>
      </c>
      <c r="E54" s="197"/>
      <c r="G54" s="199">
        <v>12.0</v>
      </c>
      <c r="H54" s="205" t="s">
        <v>1625</v>
      </c>
      <c r="I54" s="200">
        <v>4725.6</v>
      </c>
      <c r="J54" s="198" t="s">
        <v>1620</v>
      </c>
    </row>
    <row r="55">
      <c r="A55" s="199">
        <v>11.0</v>
      </c>
      <c r="B55" s="205" t="s">
        <v>1624</v>
      </c>
      <c r="C55" s="200">
        <v>5218.19</v>
      </c>
      <c r="D55" s="198" t="s">
        <v>1620</v>
      </c>
      <c r="E55" s="197"/>
      <c r="G55" s="199">
        <v>13.0</v>
      </c>
      <c r="H55" s="205" t="s">
        <v>1626</v>
      </c>
      <c r="I55" s="200">
        <v>4725.6</v>
      </c>
      <c r="J55" s="198" t="s">
        <v>1620</v>
      </c>
    </row>
    <row r="56">
      <c r="A56" s="199">
        <v>12.0</v>
      </c>
      <c r="B56" s="205" t="s">
        <v>1625</v>
      </c>
      <c r="C56" s="200">
        <v>5218.19</v>
      </c>
      <c r="D56" s="198" t="s">
        <v>1620</v>
      </c>
      <c r="E56" s="197"/>
      <c r="G56" s="199">
        <v>14.0</v>
      </c>
      <c r="H56" s="205" t="s">
        <v>1627</v>
      </c>
      <c r="I56" s="200">
        <v>4725.6</v>
      </c>
      <c r="J56" s="198" t="s">
        <v>1620</v>
      </c>
    </row>
    <row r="57">
      <c r="A57" s="199">
        <v>13.0</v>
      </c>
      <c r="B57" s="205" t="s">
        <v>1626</v>
      </c>
      <c r="C57" s="200">
        <v>5218.19</v>
      </c>
      <c r="D57" s="198" t="s">
        <v>1620</v>
      </c>
      <c r="E57" s="197"/>
      <c r="G57" s="199">
        <v>15.0</v>
      </c>
      <c r="H57" s="205" t="s">
        <v>1628</v>
      </c>
      <c r="I57" s="200">
        <v>4725.6</v>
      </c>
      <c r="J57" s="198" t="s">
        <v>1620</v>
      </c>
    </row>
    <row r="58">
      <c r="A58" s="199">
        <v>14.0</v>
      </c>
      <c r="B58" s="205" t="s">
        <v>1627</v>
      </c>
      <c r="C58" s="200">
        <v>5218.19</v>
      </c>
      <c r="D58" s="198" t="s">
        <v>1620</v>
      </c>
      <c r="E58" s="197"/>
      <c r="G58" s="199">
        <v>16.0</v>
      </c>
      <c r="H58" s="205" t="s">
        <v>1629</v>
      </c>
      <c r="I58" s="200">
        <v>4725.6</v>
      </c>
      <c r="J58" s="198" t="s">
        <v>1620</v>
      </c>
    </row>
    <row r="59">
      <c r="A59" s="199">
        <v>15.0</v>
      </c>
      <c r="B59" s="205" t="s">
        <v>1628</v>
      </c>
      <c r="C59" s="200">
        <v>5218.19</v>
      </c>
      <c r="D59" s="198" t="s">
        <v>1620</v>
      </c>
      <c r="E59" s="197"/>
      <c r="G59" s="199">
        <v>17.0</v>
      </c>
      <c r="H59" s="205" t="s">
        <v>1630</v>
      </c>
      <c r="I59" s="200">
        <v>4725.6</v>
      </c>
      <c r="J59" s="198" t="s">
        <v>1620</v>
      </c>
    </row>
    <row r="60">
      <c r="A60" s="199">
        <v>16.0</v>
      </c>
      <c r="B60" s="205" t="s">
        <v>1629</v>
      </c>
      <c r="C60" s="200">
        <v>5218.19</v>
      </c>
      <c r="D60" s="198" t="s">
        <v>1620</v>
      </c>
      <c r="E60" s="197"/>
      <c r="G60" s="199">
        <v>18.0</v>
      </c>
      <c r="H60" s="198" t="s">
        <v>1632</v>
      </c>
      <c r="I60" s="200">
        <v>4725.6</v>
      </c>
      <c r="J60" s="198" t="s">
        <v>1620</v>
      </c>
    </row>
    <row r="61">
      <c r="A61" s="199">
        <v>17.0</v>
      </c>
      <c r="B61" s="205" t="s">
        <v>1630</v>
      </c>
      <c r="C61" s="200">
        <f>I59</f>
        <v>4725.6</v>
      </c>
      <c r="D61" s="198" t="s">
        <v>1620</v>
      </c>
      <c r="E61" s="197"/>
      <c r="G61" s="199">
        <v>19.0</v>
      </c>
      <c r="H61" s="198" t="s">
        <v>1633</v>
      </c>
      <c r="I61" s="200">
        <v>4725.6</v>
      </c>
      <c r="J61" s="198" t="s">
        <v>1620</v>
      </c>
    </row>
    <row r="62">
      <c r="A62" s="199">
        <v>18.0</v>
      </c>
      <c r="B62" s="198" t="s">
        <v>1632</v>
      </c>
      <c r="C62" s="200">
        <v>4725.6</v>
      </c>
      <c r="D62" s="198" t="s">
        <v>1620</v>
      </c>
      <c r="E62" s="197"/>
      <c r="G62" s="199">
        <v>20.0</v>
      </c>
      <c r="H62" s="198" t="s">
        <v>1634</v>
      </c>
      <c r="I62" s="200">
        <v>4725.6</v>
      </c>
      <c r="J62" s="198" t="s">
        <v>1620</v>
      </c>
      <c r="L62" s="207">
        <f t="shared" ref="L62:L79" si="1">C62+I60</f>
        <v>9451.2</v>
      </c>
    </row>
    <row r="63">
      <c r="A63" s="199">
        <v>19.0</v>
      </c>
      <c r="B63" s="198" t="s">
        <v>1633</v>
      </c>
      <c r="C63" s="200">
        <v>4725.6</v>
      </c>
      <c r="D63" s="198" t="s">
        <v>1620</v>
      </c>
      <c r="E63" s="197"/>
      <c r="G63" s="199">
        <v>21.0</v>
      </c>
      <c r="H63" s="198" t="s">
        <v>1635</v>
      </c>
      <c r="I63" s="200">
        <v>4725.6</v>
      </c>
      <c r="J63" s="198" t="s">
        <v>1620</v>
      </c>
      <c r="L63" s="207">
        <f t="shared" si="1"/>
        <v>9451.2</v>
      </c>
    </row>
    <row r="64">
      <c r="A64" s="199">
        <v>20.0</v>
      </c>
      <c r="B64" s="198" t="s">
        <v>1634</v>
      </c>
      <c r="C64" s="200">
        <v>4725.6</v>
      </c>
      <c r="D64" s="198" t="s">
        <v>1620</v>
      </c>
      <c r="E64" s="197"/>
      <c r="G64" s="199">
        <v>22.0</v>
      </c>
      <c r="H64" s="198" t="s">
        <v>1636</v>
      </c>
      <c r="I64" s="200">
        <v>4725.6</v>
      </c>
      <c r="J64" s="198" t="s">
        <v>1620</v>
      </c>
      <c r="L64" s="207">
        <f t="shared" si="1"/>
        <v>9451.2</v>
      </c>
    </row>
    <row r="65">
      <c r="A65" s="199">
        <v>21.0</v>
      </c>
      <c r="B65" s="198" t="s">
        <v>1635</v>
      </c>
      <c r="C65" s="200">
        <v>4725.6</v>
      </c>
      <c r="D65" s="198" t="s">
        <v>1620</v>
      </c>
      <c r="E65" s="197"/>
      <c r="G65" s="199">
        <v>23.0</v>
      </c>
      <c r="H65" s="198" t="s">
        <v>45</v>
      </c>
      <c r="I65" s="200">
        <v>4725.6</v>
      </c>
      <c r="J65" s="198" t="s">
        <v>1620</v>
      </c>
      <c r="L65" s="207">
        <f t="shared" si="1"/>
        <v>9451.2</v>
      </c>
    </row>
    <row r="66">
      <c r="A66" s="199">
        <v>22.0</v>
      </c>
      <c r="B66" s="198" t="s">
        <v>1636</v>
      </c>
      <c r="C66" s="200">
        <v>4725.6</v>
      </c>
      <c r="D66" s="198" t="s">
        <v>1620</v>
      </c>
      <c r="E66" s="197"/>
      <c r="G66" s="199">
        <v>24.0</v>
      </c>
      <c r="H66" s="198" t="s">
        <v>169</v>
      </c>
      <c r="I66" s="200">
        <v>4725.6</v>
      </c>
      <c r="J66" s="198" t="s">
        <v>1620</v>
      </c>
      <c r="L66" s="206">
        <f t="shared" si="1"/>
        <v>9451.2</v>
      </c>
    </row>
    <row r="67">
      <c r="A67" s="199">
        <v>23.0</v>
      </c>
      <c r="B67" s="198" t="s">
        <v>45</v>
      </c>
      <c r="C67" s="200">
        <v>4725.6</v>
      </c>
      <c r="D67" s="198" t="s">
        <v>1620</v>
      </c>
      <c r="E67" s="197"/>
      <c r="G67" s="199">
        <v>25.0</v>
      </c>
      <c r="H67" s="198" t="s">
        <v>250</v>
      </c>
      <c r="I67" s="200">
        <v>4725.6</v>
      </c>
      <c r="J67" s="198" t="s">
        <v>1620</v>
      </c>
      <c r="L67" s="206">
        <f t="shared" si="1"/>
        <v>9451.2</v>
      </c>
    </row>
    <row r="68">
      <c r="A68" s="199">
        <v>24.0</v>
      </c>
      <c r="B68" s="198" t="s">
        <v>169</v>
      </c>
      <c r="C68" s="200">
        <v>4725.6</v>
      </c>
      <c r="D68" s="198" t="s">
        <v>1620</v>
      </c>
      <c r="E68" s="197"/>
      <c r="G68" s="199">
        <v>26.0</v>
      </c>
      <c r="H68" s="198" t="s">
        <v>1637</v>
      </c>
      <c r="I68" s="200">
        <v>4725.6</v>
      </c>
      <c r="J68" s="198" t="s">
        <v>1620</v>
      </c>
      <c r="L68" s="206">
        <f t="shared" si="1"/>
        <v>9451.2</v>
      </c>
    </row>
    <row r="69">
      <c r="A69" s="199">
        <v>25.0</v>
      </c>
      <c r="B69" s="198" t="s">
        <v>250</v>
      </c>
      <c r="C69" s="200">
        <v>4725.6</v>
      </c>
      <c r="D69" s="198" t="s">
        <v>1620</v>
      </c>
      <c r="E69" s="197"/>
      <c r="G69" s="199">
        <v>27.0</v>
      </c>
      <c r="H69" s="198" t="s">
        <v>109</v>
      </c>
      <c r="I69" s="200">
        <v>4725.6</v>
      </c>
      <c r="J69" s="198" t="s">
        <v>1620</v>
      </c>
      <c r="L69" s="206">
        <f t="shared" si="1"/>
        <v>9451.2</v>
      </c>
    </row>
    <row r="70">
      <c r="A70" s="199">
        <v>26.0</v>
      </c>
      <c r="B70" s="198" t="s">
        <v>1637</v>
      </c>
      <c r="C70" s="200">
        <v>4725.6</v>
      </c>
      <c r="D70" s="198" t="s">
        <v>1620</v>
      </c>
      <c r="E70" s="197"/>
      <c r="G70" s="199">
        <v>28.0</v>
      </c>
      <c r="H70" s="198" t="s">
        <v>1638</v>
      </c>
      <c r="I70" s="200">
        <v>4725.6</v>
      </c>
      <c r="J70" s="198" t="s">
        <v>1620</v>
      </c>
      <c r="L70" s="206">
        <f t="shared" si="1"/>
        <v>9451.2</v>
      </c>
    </row>
    <row r="71">
      <c r="A71" s="199">
        <v>27.0</v>
      </c>
      <c r="B71" s="198" t="s">
        <v>109</v>
      </c>
      <c r="C71" s="200">
        <v>4725.6</v>
      </c>
      <c r="D71" s="198" t="s">
        <v>1620</v>
      </c>
      <c r="E71" s="197"/>
      <c r="G71" s="199">
        <v>29.0</v>
      </c>
      <c r="H71" s="198" t="s">
        <v>256</v>
      </c>
      <c r="I71" s="200">
        <v>4725.6</v>
      </c>
      <c r="J71" s="198" t="s">
        <v>1620</v>
      </c>
      <c r="L71" s="206">
        <f t="shared" si="1"/>
        <v>9451.2</v>
      </c>
    </row>
    <row r="72">
      <c r="A72" s="199">
        <v>28.0</v>
      </c>
      <c r="B72" s="198" t="s">
        <v>1638</v>
      </c>
      <c r="C72" s="200">
        <v>4725.6</v>
      </c>
      <c r="D72" s="198" t="s">
        <v>1620</v>
      </c>
      <c r="E72" s="197"/>
      <c r="G72" s="199">
        <v>30.0</v>
      </c>
      <c r="H72" s="198" t="s">
        <v>1639</v>
      </c>
      <c r="I72" s="200">
        <v>4725.6</v>
      </c>
      <c r="J72" s="198" t="s">
        <v>1620</v>
      </c>
      <c r="L72" s="206">
        <f t="shared" si="1"/>
        <v>9451.2</v>
      </c>
    </row>
    <row r="73">
      <c r="A73" s="199">
        <v>29.0</v>
      </c>
      <c r="B73" s="198" t="s">
        <v>256</v>
      </c>
      <c r="C73" s="200">
        <v>4725.6</v>
      </c>
      <c r="D73" s="198" t="s">
        <v>1620</v>
      </c>
      <c r="E73" s="197"/>
      <c r="G73" s="199">
        <v>31.0</v>
      </c>
      <c r="H73" s="198" t="s">
        <v>163</v>
      </c>
      <c r="I73" s="200">
        <v>4725.6</v>
      </c>
      <c r="J73" s="198" t="s">
        <v>1620</v>
      </c>
      <c r="L73" s="206">
        <f t="shared" si="1"/>
        <v>9451.2</v>
      </c>
    </row>
    <row r="74">
      <c r="A74" s="199">
        <v>30.0</v>
      </c>
      <c r="B74" s="198" t="s">
        <v>1639</v>
      </c>
      <c r="C74" s="200">
        <v>1890.24</v>
      </c>
      <c r="D74" s="198" t="s">
        <v>1620</v>
      </c>
      <c r="E74" s="197"/>
      <c r="G74" s="199">
        <v>32.0</v>
      </c>
      <c r="H74" s="198" t="s">
        <v>348</v>
      </c>
      <c r="I74" s="200">
        <v>4725.6</v>
      </c>
      <c r="J74" s="198" t="s">
        <v>1620</v>
      </c>
      <c r="L74" s="206">
        <f t="shared" si="1"/>
        <v>6615.84</v>
      </c>
    </row>
    <row r="75">
      <c r="A75" s="199">
        <v>31.0</v>
      </c>
      <c r="B75" s="198" t="s">
        <v>163</v>
      </c>
      <c r="C75" s="200">
        <v>1890.24</v>
      </c>
      <c r="D75" s="198" t="s">
        <v>1620</v>
      </c>
      <c r="E75" s="197"/>
      <c r="G75" s="199">
        <v>33.0</v>
      </c>
      <c r="H75" s="198" t="s">
        <v>1640</v>
      </c>
      <c r="I75" s="200">
        <v>4725.6</v>
      </c>
      <c r="J75" s="198" t="s">
        <v>1620</v>
      </c>
      <c r="L75" s="206">
        <f t="shared" si="1"/>
        <v>6615.84</v>
      </c>
    </row>
    <row r="76">
      <c r="A76" s="199">
        <v>32.0</v>
      </c>
      <c r="B76" s="198" t="s">
        <v>348</v>
      </c>
      <c r="C76" s="200">
        <v>1890.24</v>
      </c>
      <c r="D76" s="198" t="s">
        <v>1620</v>
      </c>
      <c r="E76" s="197"/>
      <c r="G76" s="199">
        <v>34.0</v>
      </c>
      <c r="H76" s="198" t="s">
        <v>1641</v>
      </c>
      <c r="I76" s="200">
        <v>4725.6</v>
      </c>
      <c r="J76" s="198" t="s">
        <v>1620</v>
      </c>
      <c r="L76" s="206">
        <f t="shared" si="1"/>
        <v>6615.84</v>
      </c>
    </row>
    <row r="77">
      <c r="A77" s="199">
        <v>33.0</v>
      </c>
      <c r="B77" s="198" t="s">
        <v>1640</v>
      </c>
      <c r="C77" s="200">
        <v>1890.24</v>
      </c>
      <c r="D77" s="198" t="s">
        <v>1620</v>
      </c>
      <c r="E77" s="197"/>
      <c r="G77" s="199">
        <v>35.0</v>
      </c>
      <c r="H77" s="198" t="s">
        <v>59</v>
      </c>
      <c r="I77" s="200">
        <v>4725.6</v>
      </c>
      <c r="J77" s="198" t="s">
        <v>1620</v>
      </c>
      <c r="L77" s="206">
        <f t="shared" si="1"/>
        <v>6615.84</v>
      </c>
    </row>
    <row r="78">
      <c r="A78" s="199">
        <v>34.0</v>
      </c>
      <c r="B78" s="198" t="s">
        <v>1641</v>
      </c>
      <c r="C78" s="200">
        <v>1890.24</v>
      </c>
      <c r="D78" s="198" t="s">
        <v>1620</v>
      </c>
      <c r="E78" s="197"/>
      <c r="G78" s="199">
        <v>36.0</v>
      </c>
      <c r="H78" s="198" t="s">
        <v>330</v>
      </c>
      <c r="I78" s="200">
        <v>4725.6</v>
      </c>
      <c r="J78" s="198" t="s">
        <v>1620</v>
      </c>
      <c r="L78" s="206">
        <f t="shared" si="1"/>
        <v>6615.84</v>
      </c>
    </row>
    <row r="79">
      <c r="A79" s="199">
        <v>35.0</v>
      </c>
      <c r="B79" s="198" t="s">
        <v>59</v>
      </c>
      <c r="C79" s="200">
        <v>1890.24</v>
      </c>
      <c r="D79" s="198" t="s">
        <v>1620</v>
      </c>
      <c r="E79" s="197"/>
      <c r="G79" s="199">
        <v>37.0</v>
      </c>
      <c r="H79" s="198" t="s">
        <v>1642</v>
      </c>
      <c r="I79" s="200">
        <v>4725.6</v>
      </c>
      <c r="J79" s="198" t="s">
        <v>1620</v>
      </c>
      <c r="L79" s="206">
        <f t="shared" si="1"/>
        <v>6615.84</v>
      </c>
    </row>
    <row r="80">
      <c r="A80" s="197"/>
      <c r="B80" s="197"/>
      <c r="C80" s="203">
        <f>SUM(C45:C79)</f>
        <v>172403.46</v>
      </c>
      <c r="D80" s="197"/>
      <c r="E80" s="197"/>
      <c r="G80" s="199">
        <v>38.0</v>
      </c>
      <c r="H80" s="198" t="s">
        <v>205</v>
      </c>
      <c r="I80" s="200">
        <v>4725.6</v>
      </c>
      <c r="J80" s="198" t="s">
        <v>1620</v>
      </c>
      <c r="L80" s="206">
        <f>I78</f>
        <v>4725.6</v>
      </c>
    </row>
    <row r="81">
      <c r="A81" s="197"/>
      <c r="B81" s="197"/>
      <c r="C81" s="197"/>
      <c r="D81" s="197"/>
      <c r="E81" s="197"/>
      <c r="G81" s="199">
        <v>39.0</v>
      </c>
      <c r="H81" s="198" t="s">
        <v>52</v>
      </c>
      <c r="I81" s="200">
        <v>4725.6</v>
      </c>
      <c r="J81" s="198" t="s">
        <v>1620</v>
      </c>
      <c r="L81" s="206">
        <f t="shared" ref="L81:L88" si="2">C81+I79</f>
        <v>4725.6</v>
      </c>
    </row>
    <row r="82">
      <c r="G82" s="199">
        <v>40.0</v>
      </c>
      <c r="H82" s="198" t="s">
        <v>297</v>
      </c>
      <c r="I82" s="200">
        <v>4725.6</v>
      </c>
      <c r="J82" s="198" t="s">
        <v>1620</v>
      </c>
      <c r="L82" s="206">
        <f t="shared" si="2"/>
        <v>4725.6</v>
      </c>
    </row>
    <row r="83">
      <c r="G83" s="199">
        <v>41.0</v>
      </c>
      <c r="H83" s="198" t="s">
        <v>1643</v>
      </c>
      <c r="I83" s="200">
        <v>4725.6</v>
      </c>
      <c r="J83" s="198" t="s">
        <v>1620</v>
      </c>
      <c r="L83" s="206">
        <f t="shared" si="2"/>
        <v>4725.6</v>
      </c>
    </row>
    <row r="84">
      <c r="G84" s="199">
        <v>42.0</v>
      </c>
      <c r="H84" s="198" t="s">
        <v>1644</v>
      </c>
      <c r="I84" s="200">
        <v>2205.28</v>
      </c>
      <c r="J84" s="198" t="s">
        <v>1620</v>
      </c>
      <c r="L84" s="206">
        <f t="shared" si="2"/>
        <v>4725.6</v>
      </c>
    </row>
    <row r="85">
      <c r="G85" s="199">
        <v>43.0</v>
      </c>
      <c r="H85" s="198" t="s">
        <v>1645</v>
      </c>
      <c r="I85" s="200">
        <v>2205.28</v>
      </c>
      <c r="J85" s="198" t="s">
        <v>1620</v>
      </c>
      <c r="L85" s="206">
        <f t="shared" si="2"/>
        <v>4725.6</v>
      </c>
    </row>
    <row r="86">
      <c r="G86" s="199">
        <v>44.0</v>
      </c>
      <c r="H86" s="198" t="s">
        <v>230</v>
      </c>
      <c r="I86" s="200">
        <v>630.08</v>
      </c>
      <c r="J86" s="198" t="s">
        <v>1620</v>
      </c>
      <c r="L86" s="206">
        <f t="shared" si="2"/>
        <v>2205.28</v>
      </c>
    </row>
    <row r="87">
      <c r="G87" s="197"/>
      <c r="H87" s="197"/>
      <c r="I87" s="203">
        <f>SUM(I43:I86)</f>
        <v>219361.73</v>
      </c>
      <c r="J87" s="197"/>
      <c r="L87" s="206">
        <f t="shared" si="2"/>
        <v>2205.28</v>
      </c>
    </row>
    <row r="88">
      <c r="G88" s="197"/>
      <c r="H88" s="197"/>
      <c r="I88" s="197"/>
      <c r="J88" s="197"/>
      <c r="L88" s="206">
        <f t="shared" si="2"/>
        <v>630.08</v>
      </c>
    </row>
    <row r="89">
      <c r="G89" s="197"/>
      <c r="H89" s="197"/>
      <c r="I89" s="197"/>
      <c r="J89" s="197"/>
    </row>
    <row r="94">
      <c r="A94" s="197"/>
      <c r="B94" s="197" t="s">
        <v>1646</v>
      </c>
      <c r="C94" s="197"/>
      <c r="D94" s="197"/>
      <c r="E94" s="197"/>
      <c r="G94" s="197"/>
      <c r="H94" s="197" t="s">
        <v>1647</v>
      </c>
      <c r="I94" s="197"/>
      <c r="J94" s="197"/>
    </row>
    <row r="95">
      <c r="A95" s="197"/>
      <c r="B95" s="197"/>
      <c r="C95" s="197"/>
      <c r="D95" s="197"/>
      <c r="E95" s="197"/>
      <c r="G95" s="197"/>
      <c r="H95" s="197"/>
      <c r="I95" s="197"/>
      <c r="J95" s="197"/>
    </row>
    <row r="96">
      <c r="A96" s="197"/>
      <c r="B96" s="198" t="s">
        <v>1609</v>
      </c>
      <c r="C96" s="198" t="s">
        <v>1610</v>
      </c>
      <c r="D96" s="198" t="s">
        <v>1611</v>
      </c>
      <c r="E96" s="197"/>
      <c r="G96" s="197"/>
      <c r="H96" s="198" t="s">
        <v>1609</v>
      </c>
      <c r="I96" s="198" t="s">
        <v>1610</v>
      </c>
      <c r="J96" s="198" t="s">
        <v>1611</v>
      </c>
    </row>
    <row r="97">
      <c r="A97" s="199">
        <v>1.0</v>
      </c>
      <c r="B97" s="198" t="s">
        <v>65</v>
      </c>
      <c r="C97" s="200">
        <v>5989.43</v>
      </c>
      <c r="D97" s="198" t="s">
        <v>1612</v>
      </c>
      <c r="E97" s="197"/>
      <c r="G97" s="199">
        <v>1.0</v>
      </c>
      <c r="H97" s="198" t="s">
        <v>65</v>
      </c>
      <c r="I97" s="200">
        <v>5989.43</v>
      </c>
      <c r="J97" s="198" t="s">
        <v>1612</v>
      </c>
    </row>
    <row r="98">
      <c r="A98" s="199">
        <v>2.0</v>
      </c>
      <c r="B98" s="198" t="s">
        <v>68</v>
      </c>
      <c r="C98" s="200">
        <v>0.0</v>
      </c>
      <c r="D98" s="198" t="s">
        <v>1613</v>
      </c>
      <c r="E98" s="197"/>
      <c r="G98" s="199">
        <v>2.0</v>
      </c>
      <c r="H98" s="198" t="s">
        <v>68</v>
      </c>
      <c r="I98" s="200">
        <v>0.0</v>
      </c>
      <c r="J98" s="198" t="s">
        <v>1613</v>
      </c>
    </row>
    <row r="99">
      <c r="A99" s="199">
        <v>3.0</v>
      </c>
      <c r="B99" s="198" t="s">
        <v>69</v>
      </c>
      <c r="C99" s="200">
        <v>6499.95</v>
      </c>
      <c r="D99" s="198" t="s">
        <v>1614</v>
      </c>
      <c r="E99" s="197"/>
      <c r="G99" s="199">
        <v>3.0</v>
      </c>
      <c r="H99" s="198" t="s">
        <v>69</v>
      </c>
      <c r="I99" s="200">
        <v>6499.95</v>
      </c>
      <c r="J99" s="198" t="s">
        <v>1614</v>
      </c>
    </row>
    <row r="100">
      <c r="A100" s="199">
        <v>4.0</v>
      </c>
      <c r="B100" s="198" t="s">
        <v>185</v>
      </c>
      <c r="C100" s="200">
        <v>6499.95</v>
      </c>
      <c r="D100" s="198" t="s">
        <v>1615</v>
      </c>
      <c r="E100" s="197"/>
      <c r="G100" s="199">
        <v>4.0</v>
      </c>
      <c r="H100" s="198" t="s">
        <v>185</v>
      </c>
      <c r="I100" s="200">
        <v>6499.95</v>
      </c>
      <c r="J100" s="198" t="s">
        <v>1615</v>
      </c>
    </row>
    <row r="101">
      <c r="A101" s="199">
        <v>5.0</v>
      </c>
      <c r="B101" s="198" t="s">
        <v>71</v>
      </c>
      <c r="C101" s="200">
        <v>6499.95</v>
      </c>
      <c r="D101" s="198" t="s">
        <v>1614</v>
      </c>
      <c r="E101" s="197"/>
      <c r="G101" s="199">
        <v>5.0</v>
      </c>
      <c r="H101" s="198" t="s">
        <v>71</v>
      </c>
      <c r="I101" s="200">
        <v>6499.95</v>
      </c>
      <c r="J101" s="198" t="s">
        <v>1614</v>
      </c>
    </row>
    <row r="102">
      <c r="A102" s="199">
        <v>6.0</v>
      </c>
      <c r="B102" s="198" t="s">
        <v>1616</v>
      </c>
      <c r="C102" s="200">
        <v>13123.8</v>
      </c>
      <c r="D102" s="198" t="s">
        <v>1617</v>
      </c>
      <c r="E102" s="197"/>
      <c r="G102" s="199">
        <v>6.0</v>
      </c>
      <c r="H102" s="198" t="s">
        <v>1616</v>
      </c>
      <c r="I102" s="200">
        <v>13123.8</v>
      </c>
      <c r="J102" s="198" t="s">
        <v>1617</v>
      </c>
    </row>
    <row r="103">
      <c r="A103" s="199">
        <v>7.0</v>
      </c>
      <c r="B103" s="198" t="s">
        <v>1618</v>
      </c>
      <c r="C103" s="200">
        <v>6499.95</v>
      </c>
      <c r="D103" s="198" t="s">
        <v>1619</v>
      </c>
      <c r="E103" s="197"/>
      <c r="G103" s="199">
        <v>7.0</v>
      </c>
      <c r="H103" s="198" t="s">
        <v>1618</v>
      </c>
      <c r="I103" s="200">
        <v>6499.95</v>
      </c>
      <c r="J103" s="198" t="s">
        <v>1619</v>
      </c>
    </row>
    <row r="104">
      <c r="A104" s="199">
        <v>8.0</v>
      </c>
      <c r="B104" s="198" t="s">
        <v>72</v>
      </c>
      <c r="C104" s="200">
        <v>11000.07</v>
      </c>
      <c r="D104" s="198" t="s">
        <v>1619</v>
      </c>
      <c r="E104" s="197"/>
      <c r="G104" s="199">
        <v>8.0</v>
      </c>
      <c r="H104" s="198" t="s">
        <v>72</v>
      </c>
      <c r="I104" s="200">
        <v>11000.07</v>
      </c>
      <c r="J104" s="198" t="s">
        <v>1619</v>
      </c>
    </row>
    <row r="105">
      <c r="A105" s="199">
        <v>9.0</v>
      </c>
      <c r="B105" s="198" t="s">
        <v>73</v>
      </c>
      <c r="C105" s="200">
        <v>6988.79</v>
      </c>
      <c r="D105" s="198" t="s">
        <v>1620</v>
      </c>
      <c r="E105" s="197"/>
      <c r="G105" s="199">
        <v>9.0</v>
      </c>
      <c r="H105" s="198" t="s">
        <v>73</v>
      </c>
      <c r="I105" s="200">
        <v>6988.79</v>
      </c>
      <c r="J105" s="198" t="s">
        <v>1620</v>
      </c>
    </row>
    <row r="106">
      <c r="A106" s="199">
        <v>10.0</v>
      </c>
      <c r="B106" s="205" t="s">
        <v>1623</v>
      </c>
      <c r="C106" s="200">
        <v>4725.6</v>
      </c>
      <c r="D106" s="198" t="s">
        <v>1620</v>
      </c>
      <c r="E106" s="197"/>
      <c r="G106" s="199">
        <v>10.0</v>
      </c>
      <c r="H106" s="205" t="s">
        <v>1623</v>
      </c>
      <c r="I106" s="200">
        <v>4725.6</v>
      </c>
      <c r="J106" s="198" t="s">
        <v>1620</v>
      </c>
    </row>
    <row r="107">
      <c r="A107" s="199">
        <v>11.0</v>
      </c>
      <c r="B107" s="205" t="s">
        <v>1624</v>
      </c>
      <c r="C107" s="200">
        <v>4725.6</v>
      </c>
      <c r="D107" s="198" t="s">
        <v>1620</v>
      </c>
      <c r="E107" s="197"/>
      <c r="G107" s="199">
        <v>11.0</v>
      </c>
      <c r="H107" s="205" t="s">
        <v>1624</v>
      </c>
      <c r="I107" s="200">
        <v>4725.6</v>
      </c>
      <c r="J107" s="198" t="s">
        <v>1620</v>
      </c>
    </row>
    <row r="108">
      <c r="A108" s="199">
        <v>12.0</v>
      </c>
      <c r="B108" s="205" t="s">
        <v>1625</v>
      </c>
      <c r="C108" s="200">
        <v>4725.6</v>
      </c>
      <c r="D108" s="198" t="s">
        <v>1620</v>
      </c>
      <c r="E108" s="197"/>
      <c r="G108" s="199">
        <v>12.0</v>
      </c>
      <c r="H108" s="205" t="s">
        <v>1625</v>
      </c>
      <c r="I108" s="200">
        <v>4725.6</v>
      </c>
      <c r="J108" s="198" t="s">
        <v>1620</v>
      </c>
    </row>
    <row r="109">
      <c r="A109" s="199">
        <v>13.0</v>
      </c>
      <c r="B109" s="205" t="s">
        <v>1626</v>
      </c>
      <c r="C109" s="200">
        <v>4725.6</v>
      </c>
      <c r="D109" s="198" t="s">
        <v>1620</v>
      </c>
      <c r="E109" s="197"/>
      <c r="G109" s="199">
        <v>13.0</v>
      </c>
      <c r="H109" s="205" t="s">
        <v>1626</v>
      </c>
      <c r="I109" s="200">
        <v>4725.6</v>
      </c>
      <c r="J109" s="198" t="s">
        <v>1620</v>
      </c>
    </row>
    <row r="110">
      <c r="A110" s="199">
        <v>14.0</v>
      </c>
      <c r="B110" s="205" t="s">
        <v>1627</v>
      </c>
      <c r="C110" s="200">
        <v>4725.6</v>
      </c>
      <c r="D110" s="198" t="s">
        <v>1620</v>
      </c>
      <c r="E110" s="197"/>
      <c r="G110" s="199">
        <v>14.0</v>
      </c>
      <c r="H110" s="205" t="s">
        <v>1627</v>
      </c>
      <c r="I110" s="200">
        <v>4725.6</v>
      </c>
      <c r="J110" s="198" t="s">
        <v>1620</v>
      </c>
    </row>
    <row r="111">
      <c r="A111" s="199">
        <v>15.0</v>
      </c>
      <c r="B111" s="205" t="s">
        <v>1628</v>
      </c>
      <c r="C111" s="200">
        <v>4725.6</v>
      </c>
      <c r="D111" s="198" t="s">
        <v>1620</v>
      </c>
      <c r="E111" s="197"/>
      <c r="G111" s="199">
        <v>15.0</v>
      </c>
      <c r="H111" s="205" t="s">
        <v>1628</v>
      </c>
      <c r="I111" s="200">
        <v>4725.6</v>
      </c>
      <c r="J111" s="198" t="s">
        <v>1620</v>
      </c>
    </row>
    <row r="112">
      <c r="A112" s="199">
        <v>16.0</v>
      </c>
      <c r="B112" s="205" t="s">
        <v>1629</v>
      </c>
      <c r="C112" s="200">
        <v>4725.6</v>
      </c>
      <c r="D112" s="198" t="s">
        <v>1620</v>
      </c>
      <c r="E112" s="197"/>
      <c r="G112" s="199">
        <v>16.0</v>
      </c>
      <c r="H112" s="205" t="s">
        <v>1629</v>
      </c>
      <c r="I112" s="200">
        <v>4725.6</v>
      </c>
      <c r="J112" s="198" t="s">
        <v>1620</v>
      </c>
    </row>
    <row r="113">
      <c r="A113" s="199">
        <v>17.0</v>
      </c>
      <c r="B113" s="205" t="s">
        <v>1630</v>
      </c>
      <c r="C113" s="200">
        <v>4725.6</v>
      </c>
      <c r="D113" s="198" t="s">
        <v>1620</v>
      </c>
      <c r="E113" s="197"/>
      <c r="G113" s="199">
        <v>17.0</v>
      </c>
      <c r="H113" s="205" t="s">
        <v>1630</v>
      </c>
      <c r="I113" s="200">
        <v>4725.6</v>
      </c>
      <c r="J113" s="198" t="s">
        <v>1620</v>
      </c>
    </row>
    <row r="114">
      <c r="A114" s="199">
        <v>18.0</v>
      </c>
      <c r="B114" s="198" t="s">
        <v>1632</v>
      </c>
      <c r="C114" s="200">
        <v>4725.6</v>
      </c>
      <c r="D114" s="198" t="s">
        <v>1620</v>
      </c>
      <c r="E114" s="197"/>
      <c r="G114" s="199">
        <v>18.0</v>
      </c>
      <c r="H114" s="198" t="s">
        <v>1632</v>
      </c>
      <c r="I114" s="200">
        <v>4725.6</v>
      </c>
      <c r="J114" s="198" t="s">
        <v>1620</v>
      </c>
      <c r="L114" s="206">
        <f t="shared" ref="L114:L143" si="3">C114+I114</f>
        <v>9451.2</v>
      </c>
    </row>
    <row r="115">
      <c r="A115" s="199">
        <v>19.0</v>
      </c>
      <c r="B115" s="198" t="s">
        <v>1633</v>
      </c>
      <c r="C115" s="200">
        <v>4725.6</v>
      </c>
      <c r="D115" s="198" t="s">
        <v>1620</v>
      </c>
      <c r="E115" s="197"/>
      <c r="G115" s="199">
        <v>19.0</v>
      </c>
      <c r="H115" s="198" t="s">
        <v>1633</v>
      </c>
      <c r="I115" s="200">
        <v>4725.6</v>
      </c>
      <c r="J115" s="198" t="s">
        <v>1620</v>
      </c>
      <c r="L115" s="206">
        <f t="shared" si="3"/>
        <v>9451.2</v>
      </c>
    </row>
    <row r="116">
      <c r="A116" s="199">
        <v>20.0</v>
      </c>
      <c r="B116" s="198" t="s">
        <v>1634</v>
      </c>
      <c r="C116" s="200">
        <v>4725.6</v>
      </c>
      <c r="D116" s="198" t="s">
        <v>1620</v>
      </c>
      <c r="E116" s="197"/>
      <c r="G116" s="199">
        <v>20.0</v>
      </c>
      <c r="H116" s="198" t="s">
        <v>1634</v>
      </c>
      <c r="I116" s="200">
        <v>4725.6</v>
      </c>
      <c r="J116" s="198" t="s">
        <v>1620</v>
      </c>
      <c r="L116" s="206">
        <f t="shared" si="3"/>
        <v>9451.2</v>
      </c>
    </row>
    <row r="117">
      <c r="A117" s="199">
        <v>21.0</v>
      </c>
      <c r="B117" s="198" t="s">
        <v>1635</v>
      </c>
      <c r="C117" s="200">
        <v>4725.6</v>
      </c>
      <c r="D117" s="198" t="s">
        <v>1620</v>
      </c>
      <c r="E117" s="197"/>
      <c r="G117" s="199">
        <v>21.0</v>
      </c>
      <c r="H117" s="198" t="s">
        <v>1635</v>
      </c>
      <c r="I117" s="200">
        <v>4725.6</v>
      </c>
      <c r="J117" s="198" t="s">
        <v>1620</v>
      </c>
      <c r="L117" s="206">
        <f t="shared" si="3"/>
        <v>9451.2</v>
      </c>
    </row>
    <row r="118">
      <c r="A118" s="199">
        <v>22.0</v>
      </c>
      <c r="B118" s="198" t="s">
        <v>1636</v>
      </c>
      <c r="C118" s="200">
        <v>4725.6</v>
      </c>
      <c r="D118" s="198" t="s">
        <v>1620</v>
      </c>
      <c r="E118" s="197"/>
      <c r="G118" s="199">
        <v>22.0</v>
      </c>
      <c r="H118" s="198" t="s">
        <v>1636</v>
      </c>
      <c r="I118" s="200">
        <v>4725.6</v>
      </c>
      <c r="J118" s="198" t="s">
        <v>1620</v>
      </c>
      <c r="L118" s="206">
        <f t="shared" si="3"/>
        <v>9451.2</v>
      </c>
    </row>
    <row r="119">
      <c r="A119" s="199">
        <v>23.0</v>
      </c>
      <c r="B119" s="198" t="s">
        <v>45</v>
      </c>
      <c r="C119" s="200">
        <v>1854.6</v>
      </c>
      <c r="D119" s="198" t="s">
        <v>1620</v>
      </c>
      <c r="E119" s="197"/>
      <c r="G119" s="199">
        <v>23.0</v>
      </c>
      <c r="H119" s="198" t="s">
        <v>45</v>
      </c>
      <c r="I119" s="200">
        <v>1854.6</v>
      </c>
      <c r="J119" s="198" t="s">
        <v>1620</v>
      </c>
      <c r="L119" s="206">
        <f t="shared" si="3"/>
        <v>3709.2</v>
      </c>
    </row>
    <row r="120">
      <c r="A120" s="199">
        <v>24.0</v>
      </c>
      <c r="B120" s="198" t="s">
        <v>169</v>
      </c>
      <c r="C120" s="200">
        <v>4725.6</v>
      </c>
      <c r="D120" s="198" t="s">
        <v>1620</v>
      </c>
      <c r="E120" s="197"/>
      <c r="G120" s="199">
        <v>24.0</v>
      </c>
      <c r="H120" s="198" t="s">
        <v>169</v>
      </c>
      <c r="I120" s="200">
        <v>4725.6</v>
      </c>
      <c r="J120" s="198" t="s">
        <v>1620</v>
      </c>
      <c r="L120" s="206">
        <f t="shared" si="3"/>
        <v>9451.2</v>
      </c>
    </row>
    <row r="121">
      <c r="A121" s="199">
        <v>25.0</v>
      </c>
      <c r="B121" s="198" t="s">
        <v>250</v>
      </c>
      <c r="C121" s="200">
        <v>4725.6</v>
      </c>
      <c r="D121" s="198" t="s">
        <v>1620</v>
      </c>
      <c r="E121" s="197"/>
      <c r="G121" s="199">
        <v>25.0</v>
      </c>
      <c r="H121" s="198" t="s">
        <v>250</v>
      </c>
      <c r="I121" s="200">
        <v>4725.6</v>
      </c>
      <c r="J121" s="198" t="s">
        <v>1620</v>
      </c>
      <c r="L121" s="206">
        <f t="shared" si="3"/>
        <v>9451.2</v>
      </c>
    </row>
    <row r="122">
      <c r="A122" s="199">
        <v>26.0</v>
      </c>
      <c r="B122" s="198" t="s">
        <v>1637</v>
      </c>
      <c r="C122" s="200">
        <v>4725.6</v>
      </c>
      <c r="D122" s="198" t="s">
        <v>1620</v>
      </c>
      <c r="E122" s="197"/>
      <c r="G122" s="199">
        <v>26.0</v>
      </c>
      <c r="H122" s="198" t="s">
        <v>1637</v>
      </c>
      <c r="I122" s="200">
        <v>4725.6</v>
      </c>
      <c r="J122" s="198" t="s">
        <v>1620</v>
      </c>
      <c r="L122" s="206">
        <f t="shared" si="3"/>
        <v>9451.2</v>
      </c>
    </row>
    <row r="123">
      <c r="A123" s="199">
        <v>27.0</v>
      </c>
      <c r="B123" s="198" t="s">
        <v>109</v>
      </c>
      <c r="C123" s="200">
        <v>4725.6</v>
      </c>
      <c r="D123" s="198" t="s">
        <v>1620</v>
      </c>
      <c r="E123" s="197"/>
      <c r="G123" s="199">
        <v>27.0</v>
      </c>
      <c r="H123" s="198" t="s">
        <v>109</v>
      </c>
      <c r="I123" s="200">
        <v>4725.6</v>
      </c>
      <c r="J123" s="198" t="s">
        <v>1620</v>
      </c>
      <c r="L123" s="206">
        <f t="shared" si="3"/>
        <v>9451.2</v>
      </c>
    </row>
    <row r="124">
      <c r="A124" s="199">
        <v>28.0</v>
      </c>
      <c r="B124" s="198" t="s">
        <v>1638</v>
      </c>
      <c r="C124" s="200">
        <v>4725.6</v>
      </c>
      <c r="D124" s="198" t="s">
        <v>1620</v>
      </c>
      <c r="E124" s="197"/>
      <c r="G124" s="199">
        <v>28.0</v>
      </c>
      <c r="H124" s="198" t="s">
        <v>1638</v>
      </c>
      <c r="I124" s="200">
        <v>4725.6</v>
      </c>
      <c r="J124" s="198" t="s">
        <v>1620</v>
      </c>
      <c r="L124" s="206">
        <f t="shared" si="3"/>
        <v>9451.2</v>
      </c>
    </row>
    <row r="125">
      <c r="A125" s="199">
        <v>29.0</v>
      </c>
      <c r="B125" s="198" t="s">
        <v>256</v>
      </c>
      <c r="C125" s="200">
        <v>4725.6</v>
      </c>
      <c r="D125" s="198" t="s">
        <v>1620</v>
      </c>
      <c r="E125" s="197"/>
      <c r="G125" s="199">
        <v>29.0</v>
      </c>
      <c r="H125" s="198" t="s">
        <v>256</v>
      </c>
      <c r="I125" s="200">
        <v>4725.6</v>
      </c>
      <c r="J125" s="198" t="s">
        <v>1620</v>
      </c>
      <c r="L125" s="206">
        <f t="shared" si="3"/>
        <v>9451.2</v>
      </c>
    </row>
    <row r="126">
      <c r="A126" s="199">
        <v>30.0</v>
      </c>
      <c r="B126" s="198" t="s">
        <v>1639</v>
      </c>
      <c r="C126" s="200">
        <v>4725.6</v>
      </c>
      <c r="D126" s="198" t="s">
        <v>1620</v>
      </c>
      <c r="E126" s="197"/>
      <c r="G126" s="199">
        <v>30.0</v>
      </c>
      <c r="H126" s="198" t="s">
        <v>1639</v>
      </c>
      <c r="I126" s="200">
        <v>4725.6</v>
      </c>
      <c r="J126" s="198" t="s">
        <v>1620</v>
      </c>
      <c r="L126" s="206">
        <f t="shared" si="3"/>
        <v>9451.2</v>
      </c>
    </row>
    <row r="127">
      <c r="A127" s="199">
        <v>31.0</v>
      </c>
      <c r="B127" s="198" t="s">
        <v>163</v>
      </c>
      <c r="C127" s="200">
        <v>4725.6</v>
      </c>
      <c r="D127" s="198" t="s">
        <v>1620</v>
      </c>
      <c r="E127" s="197"/>
      <c r="G127" s="199">
        <v>31.0</v>
      </c>
      <c r="H127" s="198" t="s">
        <v>163</v>
      </c>
      <c r="I127" s="200">
        <v>1575.2</v>
      </c>
      <c r="J127" s="198" t="s">
        <v>1620</v>
      </c>
      <c r="L127" s="206">
        <f t="shared" si="3"/>
        <v>6300.8</v>
      </c>
    </row>
    <row r="128">
      <c r="A128" s="199">
        <v>32.0</v>
      </c>
      <c r="B128" s="198" t="s">
        <v>348</v>
      </c>
      <c r="C128" s="200">
        <v>4725.6</v>
      </c>
      <c r="D128" s="198" t="s">
        <v>1620</v>
      </c>
      <c r="E128" s="197"/>
      <c r="G128" s="199">
        <v>32.0</v>
      </c>
      <c r="H128" s="198" t="s">
        <v>348</v>
      </c>
      <c r="I128" s="200">
        <v>4725.6</v>
      </c>
      <c r="J128" s="198" t="s">
        <v>1620</v>
      </c>
      <c r="L128" s="206">
        <f t="shared" si="3"/>
        <v>9451.2</v>
      </c>
    </row>
    <row r="129">
      <c r="A129" s="199">
        <v>33.0</v>
      </c>
      <c r="B129" s="198" t="s">
        <v>1640</v>
      </c>
      <c r="C129" s="200">
        <v>4725.6</v>
      </c>
      <c r="D129" s="198" t="s">
        <v>1620</v>
      </c>
      <c r="E129" s="197"/>
      <c r="G129" s="199">
        <v>33.0</v>
      </c>
      <c r="H129" s="198" t="s">
        <v>1640</v>
      </c>
      <c r="I129" s="200">
        <v>4725.6</v>
      </c>
      <c r="J129" s="198" t="s">
        <v>1620</v>
      </c>
      <c r="L129" s="206">
        <f t="shared" si="3"/>
        <v>9451.2</v>
      </c>
    </row>
    <row r="130">
      <c r="A130" s="199">
        <v>34.0</v>
      </c>
      <c r="B130" s="198" t="s">
        <v>1641</v>
      </c>
      <c r="C130" s="200">
        <v>4725.6</v>
      </c>
      <c r="D130" s="198" t="s">
        <v>1620</v>
      </c>
      <c r="E130" s="197"/>
      <c r="G130" s="199">
        <v>34.0</v>
      </c>
      <c r="H130" s="198" t="s">
        <v>1641</v>
      </c>
      <c r="I130" s="200">
        <v>4725.6</v>
      </c>
      <c r="J130" s="198" t="s">
        <v>1620</v>
      </c>
      <c r="L130" s="206">
        <f t="shared" si="3"/>
        <v>9451.2</v>
      </c>
    </row>
    <row r="131">
      <c r="A131" s="199">
        <v>35.0</v>
      </c>
      <c r="B131" s="198" t="s">
        <v>59</v>
      </c>
      <c r="C131" s="200">
        <v>2139.9</v>
      </c>
      <c r="D131" s="198" t="s">
        <v>1620</v>
      </c>
      <c r="E131" s="197"/>
      <c r="G131" s="199">
        <v>35.0</v>
      </c>
      <c r="H131" s="198" t="s">
        <v>59</v>
      </c>
      <c r="I131" s="200">
        <v>2139.9</v>
      </c>
      <c r="J131" s="198" t="s">
        <v>1620</v>
      </c>
      <c r="L131" s="206">
        <f t="shared" si="3"/>
        <v>4279.8</v>
      </c>
    </row>
    <row r="132">
      <c r="A132" s="199">
        <v>36.0</v>
      </c>
      <c r="B132" s="208" t="s">
        <v>330</v>
      </c>
      <c r="C132" s="200">
        <v>2395.96</v>
      </c>
      <c r="D132" s="198" t="s">
        <v>1620</v>
      </c>
      <c r="E132" s="197"/>
      <c r="G132" s="199">
        <v>36.0</v>
      </c>
      <c r="H132" s="209" t="s">
        <v>330</v>
      </c>
      <c r="I132" s="200">
        <v>2395.96</v>
      </c>
      <c r="J132" s="198" t="s">
        <v>1620</v>
      </c>
      <c r="L132" s="206">
        <f t="shared" si="3"/>
        <v>4791.92</v>
      </c>
    </row>
    <row r="133">
      <c r="A133" s="199">
        <v>37.0</v>
      </c>
      <c r="B133" s="208" t="s">
        <v>1642</v>
      </c>
      <c r="C133" s="200">
        <v>4725.6</v>
      </c>
      <c r="D133" s="198" t="s">
        <v>1620</v>
      </c>
      <c r="E133" s="197"/>
      <c r="G133" s="199">
        <v>37.0</v>
      </c>
      <c r="H133" s="209" t="s">
        <v>1642</v>
      </c>
      <c r="I133" s="200">
        <v>4725.6</v>
      </c>
      <c r="J133" s="198" t="s">
        <v>1620</v>
      </c>
      <c r="L133" s="206">
        <f t="shared" si="3"/>
        <v>9451.2</v>
      </c>
    </row>
    <row r="134">
      <c r="A134" s="199">
        <v>38.0</v>
      </c>
      <c r="B134" s="208" t="s">
        <v>205</v>
      </c>
      <c r="C134" s="200">
        <v>4725.6</v>
      </c>
      <c r="D134" s="198" t="s">
        <v>1620</v>
      </c>
      <c r="E134" s="197"/>
      <c r="G134" s="199">
        <v>38.0</v>
      </c>
      <c r="H134" s="209" t="s">
        <v>205</v>
      </c>
      <c r="I134" s="200">
        <v>4725.6</v>
      </c>
      <c r="J134" s="198" t="s">
        <v>1620</v>
      </c>
      <c r="L134" s="206">
        <f t="shared" si="3"/>
        <v>9451.2</v>
      </c>
    </row>
    <row r="135">
      <c r="A135" s="199">
        <v>39.0</v>
      </c>
      <c r="B135" s="208" t="s">
        <v>52</v>
      </c>
      <c r="C135" s="200">
        <v>4725.6</v>
      </c>
      <c r="D135" s="198" t="s">
        <v>1620</v>
      </c>
      <c r="E135" s="197"/>
      <c r="G135" s="199">
        <v>39.0</v>
      </c>
      <c r="H135" s="209" t="s">
        <v>52</v>
      </c>
      <c r="I135" s="200">
        <v>4725.6</v>
      </c>
      <c r="J135" s="198" t="s">
        <v>1620</v>
      </c>
      <c r="L135" s="206">
        <f t="shared" si="3"/>
        <v>9451.2</v>
      </c>
    </row>
    <row r="136">
      <c r="A136" s="199">
        <v>40.0</v>
      </c>
      <c r="B136" s="208" t="s">
        <v>297</v>
      </c>
      <c r="C136" s="200">
        <v>4725.6</v>
      </c>
      <c r="D136" s="198" t="s">
        <v>1620</v>
      </c>
      <c r="E136" s="197"/>
      <c r="G136" s="199">
        <v>40.0</v>
      </c>
      <c r="H136" s="209" t="s">
        <v>1643</v>
      </c>
      <c r="I136" s="200">
        <v>4725.6</v>
      </c>
      <c r="J136" s="198" t="s">
        <v>1620</v>
      </c>
      <c r="L136" s="206">
        <f t="shared" si="3"/>
        <v>9451.2</v>
      </c>
    </row>
    <row r="137">
      <c r="A137" s="199">
        <v>41.0</v>
      </c>
      <c r="B137" s="208" t="s">
        <v>1643</v>
      </c>
      <c r="C137" s="200">
        <v>4725.6</v>
      </c>
      <c r="D137" s="198" t="s">
        <v>1620</v>
      </c>
      <c r="E137" s="197"/>
      <c r="G137" s="199">
        <v>41.0</v>
      </c>
      <c r="H137" s="209" t="s">
        <v>1644</v>
      </c>
      <c r="I137" s="200">
        <v>4725.6</v>
      </c>
      <c r="J137" s="198" t="s">
        <v>1620</v>
      </c>
      <c r="L137" s="206">
        <f t="shared" si="3"/>
        <v>9451.2</v>
      </c>
    </row>
    <row r="138">
      <c r="A138" s="199">
        <v>42.0</v>
      </c>
      <c r="B138" s="208" t="s">
        <v>1644</v>
      </c>
      <c r="C138" s="200">
        <v>4725.6</v>
      </c>
      <c r="D138" s="198" t="s">
        <v>1620</v>
      </c>
      <c r="E138" s="197"/>
      <c r="G138" s="199">
        <v>42.0</v>
      </c>
      <c r="H138" s="209" t="s">
        <v>1645</v>
      </c>
      <c r="I138" s="200">
        <v>4725.6</v>
      </c>
      <c r="J138" s="198" t="s">
        <v>1620</v>
      </c>
      <c r="L138" s="206">
        <f t="shared" si="3"/>
        <v>9451.2</v>
      </c>
    </row>
    <row r="139">
      <c r="A139" s="199">
        <v>43.0</v>
      </c>
      <c r="B139" s="208" t="s">
        <v>1645</v>
      </c>
      <c r="C139" s="200">
        <v>4725.6</v>
      </c>
      <c r="D139" s="198" t="s">
        <v>1620</v>
      </c>
      <c r="E139" s="197"/>
      <c r="G139" s="199">
        <v>43.0</v>
      </c>
      <c r="H139" s="209" t="s">
        <v>230</v>
      </c>
      <c r="I139" s="200">
        <v>4725.6</v>
      </c>
      <c r="J139" s="198" t="s">
        <v>1620</v>
      </c>
      <c r="L139" s="206">
        <f t="shared" si="3"/>
        <v>9451.2</v>
      </c>
    </row>
    <row r="140">
      <c r="A140" s="199">
        <v>44.0</v>
      </c>
      <c r="B140" s="208" t="s">
        <v>230</v>
      </c>
      <c r="C140" s="200">
        <v>4725.6</v>
      </c>
      <c r="D140" s="198" t="s">
        <v>1620</v>
      </c>
      <c r="E140" s="197"/>
      <c r="G140" s="199">
        <v>44.0</v>
      </c>
      <c r="H140" s="209" t="s">
        <v>233</v>
      </c>
      <c r="I140" s="200">
        <v>4725.6</v>
      </c>
      <c r="J140" s="198" t="s">
        <v>1620</v>
      </c>
      <c r="L140" s="206">
        <f t="shared" si="3"/>
        <v>9451.2</v>
      </c>
    </row>
    <row r="141">
      <c r="A141" s="199">
        <v>45.0</v>
      </c>
      <c r="B141" s="208" t="s">
        <v>233</v>
      </c>
      <c r="C141" s="200">
        <v>3150.4</v>
      </c>
      <c r="D141" s="198" t="s">
        <v>1620</v>
      </c>
      <c r="E141" s="197"/>
      <c r="G141" s="199">
        <v>45.0</v>
      </c>
      <c r="H141" s="198" t="s">
        <v>234</v>
      </c>
      <c r="I141" s="200">
        <v>4725.6</v>
      </c>
      <c r="J141" s="198" t="s">
        <v>1620</v>
      </c>
      <c r="L141" s="206">
        <f t="shared" si="3"/>
        <v>7876</v>
      </c>
    </row>
    <row r="142">
      <c r="A142" s="197"/>
      <c r="B142" s="197"/>
      <c r="C142" s="203">
        <f>SUM(C97:C141)</f>
        <v>223861.95</v>
      </c>
      <c r="D142" s="197"/>
      <c r="E142" s="197"/>
      <c r="G142" s="199">
        <v>46.0</v>
      </c>
      <c r="H142" s="198" t="s">
        <v>235</v>
      </c>
      <c r="I142" s="200">
        <v>4725.6</v>
      </c>
      <c r="J142" s="198" t="s">
        <v>1620</v>
      </c>
      <c r="L142" s="206">
        <f t="shared" si="3"/>
        <v>228587.55</v>
      </c>
    </row>
    <row r="143">
      <c r="A143" s="197"/>
      <c r="B143" s="197"/>
      <c r="C143" s="197"/>
      <c r="D143" s="197"/>
      <c r="E143" s="197"/>
      <c r="G143" s="199">
        <v>47.0</v>
      </c>
      <c r="H143" s="198" t="s">
        <v>236</v>
      </c>
      <c r="I143" s="200">
        <v>1260.16</v>
      </c>
      <c r="J143" s="198" t="s">
        <v>1620</v>
      </c>
      <c r="L143" s="206">
        <f t="shared" si="3"/>
        <v>1260.16</v>
      </c>
    </row>
    <row r="144">
      <c r="A144" s="197"/>
      <c r="B144" s="197"/>
      <c r="C144" s="197"/>
      <c r="D144" s="197"/>
      <c r="E144" s="197"/>
      <c r="G144" s="197"/>
      <c r="H144" s="197"/>
      <c r="I144" s="203">
        <f>SUM(I97:I143)</f>
        <v>228272.51</v>
      </c>
      <c r="J144" s="197"/>
    </row>
    <row r="145">
      <c r="A145" s="197"/>
      <c r="B145" s="197"/>
      <c r="C145" s="197"/>
      <c r="D145" s="197"/>
      <c r="E145" s="197"/>
      <c r="G145" s="197"/>
      <c r="H145" s="197"/>
      <c r="I145" s="197"/>
      <c r="J145" s="197"/>
    </row>
    <row r="146">
      <c r="A146" s="197"/>
      <c r="B146" s="197"/>
      <c r="C146" s="197"/>
      <c r="D146" s="197"/>
      <c r="E146" s="197"/>
      <c r="G146" s="197"/>
      <c r="H146" s="197"/>
      <c r="I146" s="197"/>
      <c r="J146" s="197"/>
    </row>
    <row r="147">
      <c r="A147" s="197"/>
      <c r="B147" s="197"/>
      <c r="C147" s="197"/>
      <c r="D147" s="197"/>
      <c r="E147" s="197"/>
      <c r="G147" s="197"/>
      <c r="H147" s="197"/>
      <c r="I147" s="197"/>
      <c r="J147" s="197"/>
    </row>
    <row r="148">
      <c r="A148" s="197"/>
      <c r="B148" s="197"/>
      <c r="C148" s="197"/>
      <c r="D148" s="197"/>
      <c r="E148" s="197"/>
      <c r="G148" s="197"/>
      <c r="H148" s="197"/>
      <c r="I148" s="197"/>
      <c r="J148" s="197"/>
    </row>
    <row r="149">
      <c r="A149" s="197"/>
      <c r="B149" s="197"/>
      <c r="C149" s="197"/>
      <c r="D149" s="197"/>
      <c r="E149" s="197"/>
      <c r="G149" s="197"/>
      <c r="H149" s="197"/>
      <c r="I149" s="197"/>
      <c r="J149" s="197"/>
    </row>
    <row r="150">
      <c r="A150" s="197"/>
      <c r="B150" s="197"/>
      <c r="C150" s="197"/>
      <c r="D150" s="197"/>
      <c r="E150" s="197"/>
    </row>
    <row r="151">
      <c r="A151" s="197"/>
      <c r="B151" s="197"/>
      <c r="C151" s="197"/>
      <c r="D151" s="197"/>
      <c r="E151" s="197"/>
    </row>
    <row r="152">
      <c r="A152" s="197"/>
      <c r="B152" s="197"/>
      <c r="C152" s="197"/>
      <c r="D152" s="197"/>
      <c r="E152" s="197"/>
    </row>
    <row r="153">
      <c r="A153" s="197"/>
      <c r="B153" s="197"/>
      <c r="C153" s="197"/>
      <c r="D153" s="197"/>
      <c r="E153" s="197"/>
    </row>
    <row r="154">
      <c r="A154" s="197"/>
      <c r="B154" s="197"/>
      <c r="C154" s="197"/>
      <c r="D154" s="197"/>
      <c r="E154" s="19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40.86"/>
    <col customWidth="1" min="3" max="3" width="31.29"/>
    <col customWidth="1" min="4" max="4" width="19.14"/>
    <col customWidth="1" min="5" max="5" width="17.71"/>
    <col customWidth="1" min="6" max="6" width="18.29"/>
    <col customWidth="1" min="7" max="7" width="14.71"/>
    <col customWidth="1" hidden="1" min="8" max="8" width="14.86"/>
    <col hidden="1" min="9" max="10" width="14.43"/>
    <col customWidth="1" hidden="1" min="11" max="11" width="16.71"/>
    <col customWidth="1" min="16" max="16" width="14.57"/>
    <col customWidth="1" min="19" max="19" width="17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1178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ht="22.5" customHeight="1">
      <c r="A2" s="2" t="s">
        <v>351</v>
      </c>
      <c r="B2" s="2" t="s">
        <v>352</v>
      </c>
      <c r="F2" s="5"/>
      <c r="G2" s="2">
        <v>-619202.69</v>
      </c>
      <c r="L2" s="2">
        <v>-619202.69</v>
      </c>
      <c r="M2" s="2" t="s">
        <v>353</v>
      </c>
      <c r="N2" s="2" t="s">
        <v>354</v>
      </c>
      <c r="O2" s="2">
        <v>303.0</v>
      </c>
      <c r="P2" s="2" t="s">
        <v>355</v>
      </c>
    </row>
    <row r="3" ht="22.5" customHeight="1">
      <c r="A3" s="2" t="s">
        <v>351</v>
      </c>
      <c r="B3" s="2" t="s">
        <v>352</v>
      </c>
      <c r="F3" s="5"/>
      <c r="G3" s="2">
        <v>-33600.0</v>
      </c>
      <c r="L3" s="2">
        <v>-33600.0</v>
      </c>
      <c r="M3" s="2" t="s">
        <v>353</v>
      </c>
      <c r="N3" s="2" t="s">
        <v>354</v>
      </c>
      <c r="O3" s="2">
        <v>303.0</v>
      </c>
      <c r="P3" s="2" t="s">
        <v>355</v>
      </c>
    </row>
    <row r="4" ht="22.5" customHeight="1">
      <c r="A4" s="2" t="s">
        <v>357</v>
      </c>
      <c r="B4" s="5" t="s">
        <v>358</v>
      </c>
      <c r="C4" s="4" t="s">
        <v>31</v>
      </c>
      <c r="D4" s="9" t="s">
        <v>54</v>
      </c>
      <c r="F4" s="5"/>
      <c r="G4" s="4">
        <v>816.8222222</v>
      </c>
      <c r="L4" s="2">
        <v>106.0</v>
      </c>
      <c r="M4" s="2" t="s">
        <v>359</v>
      </c>
      <c r="N4" s="2" t="s">
        <v>354</v>
      </c>
      <c r="O4" s="2">
        <v>271.0</v>
      </c>
      <c r="P4" s="2" t="s">
        <v>357</v>
      </c>
    </row>
    <row r="5" ht="22.5" customHeight="1">
      <c r="A5" s="2" t="s">
        <v>357</v>
      </c>
      <c r="B5" s="5" t="s">
        <v>358</v>
      </c>
      <c r="C5" s="4" t="s">
        <v>31</v>
      </c>
      <c r="D5" s="9" t="s">
        <v>98</v>
      </c>
      <c r="F5" s="5"/>
      <c r="G5" s="4">
        <v>58.34444444</v>
      </c>
      <c r="L5" s="2">
        <v>192.0</v>
      </c>
      <c r="M5" s="2" t="s">
        <v>359</v>
      </c>
      <c r="N5" s="2" t="s">
        <v>354</v>
      </c>
      <c r="O5" s="2">
        <v>271.0</v>
      </c>
      <c r="P5" s="2" t="s">
        <v>357</v>
      </c>
    </row>
    <row r="6" ht="22.5" customHeight="1">
      <c r="A6" s="2" t="s">
        <v>357</v>
      </c>
      <c r="B6" s="5" t="s">
        <v>358</v>
      </c>
      <c r="C6" s="4" t="s">
        <v>20</v>
      </c>
      <c r="D6" s="9" t="s">
        <v>21</v>
      </c>
      <c r="F6" s="5"/>
      <c r="G6" s="4">
        <v>1108.544444</v>
      </c>
      <c r="L6" s="2">
        <v>430.0</v>
      </c>
      <c r="M6" s="2" t="s">
        <v>359</v>
      </c>
      <c r="N6" s="2" t="s">
        <v>354</v>
      </c>
      <c r="O6" s="2">
        <v>271.0</v>
      </c>
      <c r="P6" s="2" t="s">
        <v>357</v>
      </c>
    </row>
    <row r="7" ht="22.5" customHeight="1">
      <c r="A7" s="4" t="s">
        <v>357</v>
      </c>
      <c r="B7" s="5" t="s">
        <v>358</v>
      </c>
      <c r="C7" s="4" t="s">
        <v>31</v>
      </c>
      <c r="D7" s="9" t="s">
        <v>187</v>
      </c>
      <c r="F7" s="5"/>
      <c r="G7" s="4">
        <v>155.5851852</v>
      </c>
      <c r="L7" s="2">
        <v>1897.5</v>
      </c>
      <c r="M7" s="2" t="s">
        <v>359</v>
      </c>
      <c r="N7" s="2" t="s">
        <v>354</v>
      </c>
      <c r="O7" s="2">
        <v>271.0</v>
      </c>
      <c r="P7" s="2" t="s">
        <v>357</v>
      </c>
    </row>
    <row r="8" ht="22.5" customHeight="1">
      <c r="A8" s="4" t="s">
        <v>357</v>
      </c>
      <c r="B8" s="5" t="s">
        <v>358</v>
      </c>
      <c r="C8" s="4" t="s">
        <v>31</v>
      </c>
      <c r="D8" s="4" t="s">
        <v>38</v>
      </c>
      <c r="E8" s="4"/>
      <c r="F8" s="11"/>
      <c r="G8" s="4">
        <v>87.51666667</v>
      </c>
      <c r="H8" s="4"/>
      <c r="I8" s="4"/>
      <c r="J8" s="4"/>
      <c r="K8" s="4"/>
      <c r="L8" s="4"/>
      <c r="M8" s="4" t="s">
        <v>359</v>
      </c>
      <c r="N8" s="4"/>
      <c r="O8" s="4"/>
      <c r="P8" s="4"/>
      <c r="Q8" s="4"/>
      <c r="R8" s="4"/>
      <c r="S8" s="4"/>
    </row>
    <row r="9" ht="22.5" customHeight="1">
      <c r="A9" s="4" t="s">
        <v>357</v>
      </c>
      <c r="B9" s="5" t="s">
        <v>358</v>
      </c>
      <c r="C9" s="4" t="s">
        <v>31</v>
      </c>
      <c r="D9" s="4" t="s">
        <v>47</v>
      </c>
      <c r="E9" s="4"/>
      <c r="F9" s="11"/>
      <c r="G9" s="4">
        <v>311.1703704</v>
      </c>
      <c r="H9" s="4"/>
      <c r="I9" s="4"/>
      <c r="J9" s="4"/>
      <c r="K9" s="4"/>
      <c r="L9" s="4"/>
      <c r="M9" s="4" t="s">
        <v>359</v>
      </c>
      <c r="N9" s="4"/>
      <c r="O9" s="4"/>
      <c r="P9" s="4"/>
      <c r="Q9" s="4"/>
      <c r="R9" s="4"/>
      <c r="S9" s="4"/>
    </row>
    <row r="10" ht="22.5" customHeight="1">
      <c r="A10" s="4" t="s">
        <v>357</v>
      </c>
      <c r="B10" s="5" t="s">
        <v>358</v>
      </c>
      <c r="C10" s="4" t="s">
        <v>31</v>
      </c>
      <c r="D10" s="4" t="s">
        <v>113</v>
      </c>
      <c r="E10" s="4"/>
      <c r="F10" s="11"/>
      <c r="G10" s="4">
        <v>87.51666667</v>
      </c>
      <c r="H10" s="4"/>
      <c r="I10" s="4"/>
      <c r="J10" s="4"/>
      <c r="K10" s="4"/>
      <c r="L10" s="4"/>
      <c r="M10" s="4" t="s">
        <v>359</v>
      </c>
      <c r="N10" s="4"/>
      <c r="O10" s="4"/>
      <c r="P10" s="4"/>
      <c r="Q10" s="4"/>
      <c r="R10" s="4"/>
      <c r="S10" s="4"/>
    </row>
    <row r="11" ht="22.5" customHeight="1">
      <c r="A11" s="4" t="s">
        <v>360</v>
      </c>
      <c r="B11" s="4" t="s">
        <v>361</v>
      </c>
      <c r="C11" s="4" t="s">
        <v>20</v>
      </c>
      <c r="D11" s="4" t="s">
        <v>21</v>
      </c>
      <c r="E11" s="4"/>
      <c r="F11" s="4" t="s">
        <v>362</v>
      </c>
      <c r="G11" s="4">
        <v>101529.395</v>
      </c>
      <c r="H11" s="4"/>
      <c r="I11" s="4"/>
      <c r="J11" s="4"/>
      <c r="K11" s="4"/>
      <c r="L11" s="4"/>
      <c r="M11" s="4" t="s">
        <v>359</v>
      </c>
      <c r="N11" s="4"/>
      <c r="O11" s="4"/>
      <c r="P11" s="4"/>
      <c r="Q11" s="4"/>
      <c r="R11" s="4"/>
      <c r="S11" s="4"/>
    </row>
    <row r="12" ht="22.5" customHeight="1">
      <c r="A12" s="4" t="s">
        <v>360</v>
      </c>
      <c r="B12" s="4" t="s">
        <v>361</v>
      </c>
      <c r="C12" s="4" t="s">
        <v>31</v>
      </c>
      <c r="D12" s="4" t="s">
        <v>187</v>
      </c>
      <c r="E12" s="4"/>
      <c r="F12" s="4" t="s">
        <v>363</v>
      </c>
      <c r="G12" s="4">
        <v>101529.395</v>
      </c>
      <c r="H12" s="4"/>
      <c r="I12" s="4"/>
      <c r="J12" s="4"/>
      <c r="K12" s="4"/>
      <c r="L12" s="4"/>
      <c r="M12" s="4" t="s">
        <v>359</v>
      </c>
      <c r="N12" s="4"/>
      <c r="O12" s="4"/>
      <c r="P12" s="4"/>
      <c r="Q12" s="4"/>
      <c r="R12" s="4"/>
      <c r="S12" s="4"/>
    </row>
    <row r="13" ht="22.5" customHeight="1">
      <c r="A13" s="2" t="s">
        <v>364</v>
      </c>
      <c r="B13" s="2" t="s">
        <v>365</v>
      </c>
      <c r="C13" s="4" t="s">
        <v>370</v>
      </c>
      <c r="F13" s="5"/>
      <c r="G13" s="2">
        <v>4258.36</v>
      </c>
      <c r="L13" s="2">
        <v>4258.36</v>
      </c>
      <c r="M13" s="2" t="s">
        <v>359</v>
      </c>
      <c r="N13" s="2" t="s">
        <v>354</v>
      </c>
      <c r="O13" s="2">
        <v>272.0</v>
      </c>
      <c r="P13" s="2" t="s">
        <v>366</v>
      </c>
    </row>
    <row r="14" ht="22.5" customHeight="1">
      <c r="A14" s="2" t="s">
        <v>364</v>
      </c>
      <c r="B14" s="2" t="s">
        <v>365</v>
      </c>
      <c r="C14" s="4" t="s">
        <v>370</v>
      </c>
      <c r="F14" s="5"/>
      <c r="G14" s="2">
        <v>15365.54</v>
      </c>
      <c r="L14" s="2">
        <v>15365.54</v>
      </c>
      <c r="M14" s="2" t="s">
        <v>359</v>
      </c>
      <c r="N14" s="2" t="s">
        <v>354</v>
      </c>
      <c r="O14" s="2">
        <v>272.0</v>
      </c>
      <c r="P14" s="2" t="s">
        <v>367</v>
      </c>
    </row>
    <row r="15" ht="22.5" customHeight="1">
      <c r="A15" s="2" t="s">
        <v>364</v>
      </c>
      <c r="B15" s="2" t="s">
        <v>365</v>
      </c>
      <c r="C15" s="4" t="s">
        <v>370</v>
      </c>
      <c r="F15" s="5"/>
      <c r="G15" s="2">
        <v>17316.68</v>
      </c>
      <c r="L15" s="2">
        <v>17316.68</v>
      </c>
      <c r="M15" s="2" t="s">
        <v>359</v>
      </c>
      <c r="N15" s="2" t="s">
        <v>354</v>
      </c>
      <c r="O15" s="2">
        <v>272.0</v>
      </c>
      <c r="P15" s="2" t="s">
        <v>367</v>
      </c>
    </row>
    <row r="16" ht="22.5" customHeight="1">
      <c r="A16" s="2" t="s">
        <v>367</v>
      </c>
      <c r="B16" s="2" t="s">
        <v>368</v>
      </c>
      <c r="C16" s="4" t="s">
        <v>31</v>
      </c>
      <c r="D16" s="2" t="s">
        <v>54</v>
      </c>
      <c r="F16" s="5"/>
      <c r="G16" s="4">
        <v>15289.59289</v>
      </c>
      <c r="L16" s="2">
        <v>3985.76</v>
      </c>
      <c r="M16" s="2" t="s">
        <v>359</v>
      </c>
      <c r="N16" s="2" t="s">
        <v>354</v>
      </c>
      <c r="O16" s="2">
        <v>272.0</v>
      </c>
      <c r="P16" s="2" t="s">
        <v>367</v>
      </c>
    </row>
    <row r="17" ht="22.5" customHeight="1">
      <c r="A17" s="2" t="s">
        <v>367</v>
      </c>
      <c r="B17" s="2" t="s">
        <v>368</v>
      </c>
      <c r="C17" s="4" t="s">
        <v>31</v>
      </c>
      <c r="D17" s="2" t="s">
        <v>98</v>
      </c>
      <c r="F17" s="5"/>
      <c r="G17" s="4">
        <v>1092.113778</v>
      </c>
      <c r="L17" s="2">
        <v>4172.27</v>
      </c>
      <c r="M17" s="2" t="s">
        <v>359</v>
      </c>
      <c r="N17" s="2" t="s">
        <v>354</v>
      </c>
      <c r="O17" s="2">
        <v>272.0</v>
      </c>
      <c r="P17" s="2" t="s">
        <v>367</v>
      </c>
    </row>
    <row r="18" ht="22.5" customHeight="1">
      <c r="A18" s="2" t="s">
        <v>367</v>
      </c>
      <c r="B18" s="2" t="s">
        <v>368</v>
      </c>
      <c r="C18" s="4" t="s">
        <v>20</v>
      </c>
      <c r="D18" s="2" t="s">
        <v>21</v>
      </c>
      <c r="F18" s="5"/>
      <c r="G18" s="4">
        <v>20750.16178</v>
      </c>
      <c r="L18" s="2">
        <v>4578.49</v>
      </c>
      <c r="M18" s="2" t="s">
        <v>359</v>
      </c>
      <c r="N18" s="2" t="s">
        <v>354</v>
      </c>
      <c r="O18" s="2">
        <v>272.0</v>
      </c>
      <c r="P18" s="2" t="s">
        <v>367</v>
      </c>
    </row>
    <row r="19" ht="22.5" customHeight="1">
      <c r="A19" s="2" t="s">
        <v>367</v>
      </c>
      <c r="B19" s="2" t="s">
        <v>368</v>
      </c>
      <c r="C19" s="4" t="s">
        <v>31</v>
      </c>
      <c r="D19" s="2" t="s">
        <v>187</v>
      </c>
      <c r="F19" s="5"/>
      <c r="G19" s="4">
        <v>2912.303407</v>
      </c>
      <c r="L19" s="2">
        <v>6890.7</v>
      </c>
      <c r="M19" s="2" t="s">
        <v>359</v>
      </c>
      <c r="N19" s="2" t="s">
        <v>354</v>
      </c>
      <c r="O19" s="2">
        <v>272.0</v>
      </c>
      <c r="P19" s="2" t="s">
        <v>367</v>
      </c>
    </row>
    <row r="20" ht="22.5" customHeight="1">
      <c r="A20" s="2" t="s">
        <v>367</v>
      </c>
      <c r="B20" s="2" t="s">
        <v>368</v>
      </c>
      <c r="C20" s="4" t="s">
        <v>31</v>
      </c>
      <c r="D20" s="2" t="s">
        <v>38</v>
      </c>
      <c r="F20" s="5"/>
      <c r="G20" s="4">
        <v>1638.170667</v>
      </c>
      <c r="L20" s="2">
        <v>7734.15</v>
      </c>
      <c r="M20" s="2" t="s">
        <v>359</v>
      </c>
      <c r="N20" s="2" t="s">
        <v>354</v>
      </c>
      <c r="O20" s="2">
        <v>272.0</v>
      </c>
      <c r="P20" s="2" t="s">
        <v>367</v>
      </c>
    </row>
    <row r="21" ht="22.5" customHeight="1">
      <c r="A21" s="2" t="s">
        <v>367</v>
      </c>
      <c r="B21" s="2" t="s">
        <v>368</v>
      </c>
      <c r="C21" s="4" t="s">
        <v>31</v>
      </c>
      <c r="D21" s="2" t="s">
        <v>47</v>
      </c>
      <c r="F21" s="5"/>
      <c r="G21" s="4">
        <v>5824.606815</v>
      </c>
      <c r="L21" s="2">
        <v>9987.58</v>
      </c>
      <c r="M21" s="2" t="s">
        <v>359</v>
      </c>
      <c r="N21" s="2" t="s">
        <v>354</v>
      </c>
      <c r="O21" s="2">
        <v>272.0</v>
      </c>
      <c r="P21" s="2" t="s">
        <v>367</v>
      </c>
    </row>
    <row r="22" ht="22.5" customHeight="1">
      <c r="A22" s="2" t="s">
        <v>367</v>
      </c>
      <c r="B22" s="2" t="s">
        <v>368</v>
      </c>
      <c r="C22" s="4" t="s">
        <v>31</v>
      </c>
      <c r="D22" s="2" t="s">
        <v>113</v>
      </c>
      <c r="F22" s="5"/>
      <c r="G22" s="4">
        <v>1638.170667</v>
      </c>
      <c r="L22" s="2">
        <v>11796.17</v>
      </c>
      <c r="M22" s="2" t="s">
        <v>359</v>
      </c>
      <c r="N22" s="2" t="s">
        <v>354</v>
      </c>
      <c r="O22" s="2">
        <v>272.0</v>
      </c>
      <c r="P22" s="2" t="s">
        <v>367</v>
      </c>
    </row>
    <row r="23" ht="22.5" customHeight="1">
      <c r="A23" s="2" t="s">
        <v>367</v>
      </c>
      <c r="B23" s="2" t="s">
        <v>369</v>
      </c>
      <c r="C23" s="4" t="s">
        <v>370</v>
      </c>
      <c r="F23" s="5"/>
      <c r="G23" s="2">
        <v>11900.0</v>
      </c>
      <c r="L23" s="2">
        <v>11900.0</v>
      </c>
      <c r="M23" s="2" t="s">
        <v>359</v>
      </c>
      <c r="N23" s="2" t="s">
        <v>354</v>
      </c>
      <c r="O23" s="2">
        <v>272.0</v>
      </c>
      <c r="P23" s="2" t="s">
        <v>367</v>
      </c>
    </row>
    <row r="24" ht="22.5" customHeight="1">
      <c r="A24" s="2" t="s">
        <v>367</v>
      </c>
      <c r="B24" s="2" t="s">
        <v>372</v>
      </c>
      <c r="C24" s="4" t="s">
        <v>20</v>
      </c>
      <c r="D24" s="4" t="s">
        <v>21</v>
      </c>
      <c r="F24" s="5"/>
      <c r="G24" s="2">
        <v>2392.85</v>
      </c>
      <c r="L24" s="2">
        <v>2392.85</v>
      </c>
      <c r="M24" s="2" t="s">
        <v>359</v>
      </c>
      <c r="N24" s="2" t="s">
        <v>354</v>
      </c>
      <c r="O24" s="2">
        <v>272.0</v>
      </c>
      <c r="P24" s="2" t="s">
        <v>367</v>
      </c>
    </row>
    <row r="25" ht="22.5" customHeight="1">
      <c r="A25" s="2" t="s">
        <v>367</v>
      </c>
      <c r="B25" s="2" t="s">
        <v>372</v>
      </c>
      <c r="C25" s="4" t="s">
        <v>20</v>
      </c>
      <c r="D25" s="4" t="s">
        <v>21</v>
      </c>
      <c r="F25" s="5"/>
      <c r="G25" s="2">
        <v>2758.62</v>
      </c>
      <c r="L25" s="2">
        <v>2758.62</v>
      </c>
      <c r="M25" s="2" t="s">
        <v>359</v>
      </c>
      <c r="N25" s="2" t="s">
        <v>354</v>
      </c>
      <c r="O25" s="2">
        <v>272.0</v>
      </c>
      <c r="P25" s="2" t="s">
        <v>367</v>
      </c>
    </row>
    <row r="26" ht="22.5" customHeight="1">
      <c r="A26" s="2" t="s">
        <v>367</v>
      </c>
      <c r="B26" s="2" t="s">
        <v>372</v>
      </c>
      <c r="C26" s="4" t="s">
        <v>20</v>
      </c>
      <c r="D26" s="4" t="s">
        <v>21</v>
      </c>
      <c r="F26" s="5"/>
      <c r="G26" s="2">
        <v>5475.37</v>
      </c>
      <c r="L26" s="2">
        <v>5475.37</v>
      </c>
      <c r="M26" s="2" t="s">
        <v>359</v>
      </c>
      <c r="N26" s="2" t="s">
        <v>354</v>
      </c>
      <c r="O26" s="2">
        <v>272.0</v>
      </c>
      <c r="P26" s="2" t="s">
        <v>367</v>
      </c>
    </row>
    <row r="27" ht="22.5" customHeight="1">
      <c r="A27" s="2" t="s">
        <v>367</v>
      </c>
      <c r="B27" s="2" t="s">
        <v>373</v>
      </c>
      <c r="C27" s="4" t="s">
        <v>31</v>
      </c>
      <c r="D27" s="12" t="s">
        <v>54</v>
      </c>
      <c r="F27" s="5"/>
      <c r="G27" s="13">
        <v>145600.0</v>
      </c>
      <c r="L27" s="2"/>
      <c r="M27" s="2" t="s">
        <v>359</v>
      </c>
      <c r="N27" s="2" t="s">
        <v>354</v>
      </c>
      <c r="O27" s="2">
        <v>272.0</v>
      </c>
      <c r="P27" s="2" t="s">
        <v>367</v>
      </c>
    </row>
    <row r="28" ht="22.5" customHeight="1">
      <c r="A28" s="2" t="s">
        <v>367</v>
      </c>
      <c r="B28" s="2" t="s">
        <v>373</v>
      </c>
      <c r="C28" s="4" t="s">
        <v>31</v>
      </c>
      <c r="D28" s="12" t="s">
        <v>98</v>
      </c>
      <c r="F28" s="5"/>
      <c r="G28" s="13">
        <v>10400.0</v>
      </c>
      <c r="L28" s="2"/>
      <c r="M28" s="2" t="s">
        <v>359</v>
      </c>
      <c r="N28" s="2" t="s">
        <v>354</v>
      </c>
      <c r="O28" s="2">
        <v>272.0</v>
      </c>
      <c r="P28" s="2" t="s">
        <v>367</v>
      </c>
    </row>
    <row r="29" ht="22.5" customHeight="1">
      <c r="A29" s="2" t="s">
        <v>367</v>
      </c>
      <c r="B29" s="2" t="s">
        <v>373</v>
      </c>
      <c r="C29" s="4" t="s">
        <v>20</v>
      </c>
      <c r="D29" s="12" t="s">
        <v>21</v>
      </c>
      <c r="E29" s="4" t="s">
        <v>22</v>
      </c>
      <c r="F29" s="5"/>
      <c r="G29" s="13">
        <v>197600.0</v>
      </c>
      <c r="L29" s="2"/>
      <c r="M29" s="2" t="s">
        <v>359</v>
      </c>
      <c r="N29" s="2" t="s">
        <v>354</v>
      </c>
      <c r="O29" s="2">
        <v>272.0</v>
      </c>
      <c r="P29" s="2" t="s">
        <v>367</v>
      </c>
    </row>
    <row r="30" ht="22.5" customHeight="1">
      <c r="A30" s="4" t="s">
        <v>367</v>
      </c>
      <c r="B30" s="4" t="s">
        <v>373</v>
      </c>
      <c r="C30" s="4" t="s">
        <v>31</v>
      </c>
      <c r="D30" s="14" t="s">
        <v>187</v>
      </c>
      <c r="E30" s="4"/>
      <c r="F30" s="11"/>
      <c r="G30" s="13">
        <v>27733.33333</v>
      </c>
      <c r="H30" s="4"/>
      <c r="I30" s="4"/>
      <c r="J30" s="4"/>
      <c r="K30" s="4"/>
      <c r="L30" s="4"/>
      <c r="M30" s="4" t="s">
        <v>359</v>
      </c>
      <c r="N30" s="4"/>
      <c r="O30" s="4"/>
      <c r="P30" s="4"/>
      <c r="Q30" s="4"/>
      <c r="R30" s="4"/>
      <c r="S30" s="4"/>
    </row>
    <row r="31" ht="22.5" customHeight="1">
      <c r="A31" s="4" t="s">
        <v>367</v>
      </c>
      <c r="B31" s="4" t="s">
        <v>373</v>
      </c>
      <c r="C31" s="4" t="s">
        <v>31</v>
      </c>
      <c r="D31" s="14" t="s">
        <v>38</v>
      </c>
      <c r="E31" s="4"/>
      <c r="F31" s="11"/>
      <c r="G31" s="13">
        <v>15600.0</v>
      </c>
      <c r="H31" s="4"/>
      <c r="I31" s="4"/>
      <c r="J31" s="4"/>
      <c r="K31" s="4"/>
      <c r="L31" s="4"/>
      <c r="M31" s="4" t="s">
        <v>359</v>
      </c>
      <c r="N31" s="4"/>
      <c r="O31" s="4"/>
      <c r="P31" s="4"/>
      <c r="Q31" s="4"/>
      <c r="R31" s="4"/>
      <c r="S31" s="4"/>
    </row>
    <row r="32" ht="22.5" customHeight="1">
      <c r="A32" s="4" t="s">
        <v>367</v>
      </c>
      <c r="B32" s="4" t="s">
        <v>373</v>
      </c>
      <c r="C32" s="4" t="s">
        <v>31</v>
      </c>
      <c r="D32" s="14" t="s">
        <v>47</v>
      </c>
      <c r="E32" s="4"/>
      <c r="F32" s="11"/>
      <c r="G32" s="13">
        <v>55466.66667</v>
      </c>
      <c r="H32" s="4"/>
      <c r="I32" s="4"/>
      <c r="J32" s="4"/>
      <c r="K32" s="4"/>
      <c r="L32" s="4"/>
      <c r="M32" s="4" t="s">
        <v>359</v>
      </c>
      <c r="N32" s="4"/>
      <c r="O32" s="4"/>
      <c r="P32" s="4"/>
      <c r="Q32" s="4"/>
      <c r="R32" s="4"/>
      <c r="S32" s="4"/>
    </row>
    <row r="33" ht="22.5" customHeight="1">
      <c r="A33" s="4" t="s">
        <v>367</v>
      </c>
      <c r="B33" s="4" t="s">
        <v>373</v>
      </c>
      <c r="C33" s="4" t="s">
        <v>31</v>
      </c>
      <c r="D33" s="14" t="s">
        <v>113</v>
      </c>
      <c r="E33" s="4"/>
      <c r="F33" s="11"/>
      <c r="G33" s="13">
        <v>15600.0</v>
      </c>
      <c r="H33" s="4"/>
      <c r="I33" s="4"/>
      <c r="J33" s="4"/>
      <c r="K33" s="4"/>
      <c r="L33" s="4"/>
      <c r="M33" s="4" t="s">
        <v>359</v>
      </c>
      <c r="N33" s="4"/>
      <c r="O33" s="4"/>
      <c r="P33" s="4"/>
      <c r="Q33" s="4"/>
      <c r="R33" s="4"/>
      <c r="S33" s="4"/>
    </row>
    <row r="34" ht="22.5" customHeight="1">
      <c r="A34" s="4" t="s">
        <v>367</v>
      </c>
      <c r="B34" s="2" t="s">
        <v>374</v>
      </c>
      <c r="C34" s="4" t="s">
        <v>20</v>
      </c>
      <c r="D34" s="4" t="s">
        <v>21</v>
      </c>
      <c r="F34" s="5"/>
      <c r="G34" s="2">
        <v>4346.25</v>
      </c>
      <c r="L34" s="2">
        <v>4346.25</v>
      </c>
      <c r="M34" s="2" t="s">
        <v>359</v>
      </c>
      <c r="N34" s="2" t="s">
        <v>354</v>
      </c>
      <c r="O34" s="2">
        <v>275.0</v>
      </c>
      <c r="P34" s="2" t="s">
        <v>375</v>
      </c>
    </row>
    <row r="35" ht="22.5" customHeight="1">
      <c r="A35" s="2" t="s">
        <v>367</v>
      </c>
      <c r="B35" s="2" t="s">
        <v>376</v>
      </c>
      <c r="C35" s="4" t="s">
        <v>20</v>
      </c>
      <c r="D35" s="4" t="s">
        <v>21</v>
      </c>
      <c r="F35" s="5"/>
      <c r="G35" s="2">
        <v>4456.0</v>
      </c>
      <c r="L35" s="2">
        <v>4456.0</v>
      </c>
      <c r="M35" s="2" t="s">
        <v>359</v>
      </c>
      <c r="N35" s="2" t="s">
        <v>354</v>
      </c>
      <c r="O35" s="2">
        <v>293.0</v>
      </c>
      <c r="P35" s="2" t="s">
        <v>377</v>
      </c>
    </row>
    <row r="36" ht="22.5" customHeight="1">
      <c r="A36" s="2" t="s">
        <v>367</v>
      </c>
      <c r="B36" s="2" t="s">
        <v>376</v>
      </c>
      <c r="C36" s="4" t="s">
        <v>20</v>
      </c>
      <c r="D36" s="4" t="s">
        <v>21</v>
      </c>
      <c r="F36" s="5"/>
      <c r="G36" s="2">
        <v>4456.0</v>
      </c>
      <c r="L36" s="2">
        <v>4456.0</v>
      </c>
      <c r="M36" s="2" t="s">
        <v>359</v>
      </c>
      <c r="N36" s="2" t="s">
        <v>354</v>
      </c>
      <c r="O36" s="2">
        <v>293.0</v>
      </c>
      <c r="P36" s="2" t="s">
        <v>377</v>
      </c>
    </row>
    <row r="37" ht="22.5" customHeight="1">
      <c r="A37" s="2" t="s">
        <v>378</v>
      </c>
      <c r="B37" s="2" t="s">
        <v>379</v>
      </c>
      <c r="C37" s="4" t="s">
        <v>370</v>
      </c>
      <c r="F37" s="5"/>
      <c r="G37" s="2">
        <v>19503.8</v>
      </c>
      <c r="L37" s="2">
        <v>19503.8</v>
      </c>
      <c r="M37" s="2" t="s">
        <v>359</v>
      </c>
      <c r="N37" s="2" t="s">
        <v>354</v>
      </c>
      <c r="O37" s="2">
        <v>272.0</v>
      </c>
      <c r="P37" s="2" t="s">
        <v>367</v>
      </c>
    </row>
    <row r="38" ht="22.5" customHeight="1">
      <c r="A38" s="2" t="s">
        <v>378</v>
      </c>
      <c r="B38" s="2" t="s">
        <v>380</v>
      </c>
      <c r="C38" s="4" t="s">
        <v>20</v>
      </c>
      <c r="D38" s="4"/>
      <c r="F38" s="4" t="s">
        <v>381</v>
      </c>
      <c r="G38" s="2">
        <v>17306.48</v>
      </c>
      <c r="L38" s="2">
        <v>17306.48</v>
      </c>
      <c r="M38" s="2" t="s">
        <v>359</v>
      </c>
      <c r="N38" s="2" t="s">
        <v>354</v>
      </c>
      <c r="O38" s="2">
        <v>272.0</v>
      </c>
      <c r="P38" s="2" t="s">
        <v>367</v>
      </c>
    </row>
    <row r="39" ht="22.5" customHeight="1">
      <c r="A39" s="4" t="s">
        <v>378</v>
      </c>
      <c r="B39" s="2" t="s">
        <v>384</v>
      </c>
      <c r="C39" s="4" t="s">
        <v>31</v>
      </c>
      <c r="D39" s="4" t="s">
        <v>54</v>
      </c>
      <c r="F39" s="5"/>
      <c r="G39" s="2">
        <v>4275.0</v>
      </c>
      <c r="L39" s="2">
        <v>4275.0</v>
      </c>
      <c r="M39" s="2" t="s">
        <v>359</v>
      </c>
      <c r="N39" s="2" t="s">
        <v>354</v>
      </c>
      <c r="O39" s="2">
        <v>276.0</v>
      </c>
      <c r="P39" s="2" t="s">
        <v>385</v>
      </c>
    </row>
    <row r="40" ht="22.5" customHeight="1">
      <c r="A40" s="2" t="s">
        <v>389</v>
      </c>
      <c r="B40" s="2" t="s">
        <v>390</v>
      </c>
      <c r="C40" s="2" t="s">
        <v>20</v>
      </c>
      <c r="D40" s="4" t="s">
        <v>21</v>
      </c>
      <c r="F40" s="5"/>
      <c r="G40" s="2">
        <f>20826.33*70%</f>
        <v>14578.431</v>
      </c>
      <c r="L40" s="2">
        <v>20826.33</v>
      </c>
      <c r="M40" s="2" t="s">
        <v>359</v>
      </c>
      <c r="N40" s="2" t="s">
        <v>354</v>
      </c>
      <c r="O40" s="2">
        <v>272.0</v>
      </c>
      <c r="P40" s="2" t="s">
        <v>367</v>
      </c>
    </row>
    <row r="41" ht="22.5" customHeight="1">
      <c r="A41" s="2" t="s">
        <v>389</v>
      </c>
      <c r="B41" s="2" t="s">
        <v>390</v>
      </c>
      <c r="C41" s="2" t="s">
        <v>20</v>
      </c>
      <c r="D41" s="4" t="s">
        <v>54</v>
      </c>
      <c r="F41" s="5"/>
      <c r="G41" s="2">
        <f>20826.33*30%</f>
        <v>6247.899</v>
      </c>
      <c r="L41" s="2">
        <v>20826.33</v>
      </c>
      <c r="M41" s="2" t="s">
        <v>359</v>
      </c>
      <c r="N41" s="2" t="s">
        <v>354</v>
      </c>
      <c r="O41" s="2">
        <v>272.0</v>
      </c>
      <c r="P41" s="2" t="s">
        <v>367</v>
      </c>
    </row>
    <row r="42" ht="22.5" customHeight="1">
      <c r="A42" s="4" t="s">
        <v>391</v>
      </c>
      <c r="B42" s="2" t="s">
        <v>392</v>
      </c>
      <c r="C42" s="4" t="s">
        <v>31</v>
      </c>
      <c r="F42" s="5"/>
      <c r="G42" s="2">
        <v>25000.0</v>
      </c>
      <c r="L42" s="2">
        <v>3370.7</v>
      </c>
      <c r="M42" s="2" t="s">
        <v>359</v>
      </c>
      <c r="N42" s="2" t="s">
        <v>354</v>
      </c>
      <c r="O42" s="2">
        <v>284.0</v>
      </c>
      <c r="P42" s="2" t="s">
        <v>393</v>
      </c>
    </row>
    <row r="43" ht="22.5" customHeight="1">
      <c r="A43" s="2" t="s">
        <v>391</v>
      </c>
      <c r="B43" s="2" t="s">
        <v>394</v>
      </c>
      <c r="C43" s="2" t="s">
        <v>31</v>
      </c>
      <c r="F43" s="5"/>
      <c r="G43" s="4">
        <v>45000.0</v>
      </c>
      <c r="L43" s="2">
        <v>344.82</v>
      </c>
      <c r="M43" s="2" t="s">
        <v>359</v>
      </c>
      <c r="N43" s="2" t="s">
        <v>354</v>
      </c>
      <c r="O43" s="2">
        <v>273.0</v>
      </c>
      <c r="P43" s="2" t="s">
        <v>391</v>
      </c>
    </row>
    <row r="44" ht="22.5" customHeight="1">
      <c r="A44" s="2" t="s">
        <v>395</v>
      </c>
      <c r="B44" s="2" t="s">
        <v>396</v>
      </c>
      <c r="C44" s="4" t="s">
        <v>31</v>
      </c>
      <c r="D44" s="4" t="s">
        <v>113</v>
      </c>
      <c r="F44" s="5"/>
      <c r="G44" s="2">
        <v>8500.0</v>
      </c>
      <c r="L44" s="2">
        <v>8500.0</v>
      </c>
      <c r="M44" s="2" t="s">
        <v>359</v>
      </c>
      <c r="N44" s="2" t="s">
        <v>354</v>
      </c>
      <c r="O44" s="2">
        <v>288.0</v>
      </c>
      <c r="P44" s="2" t="s">
        <v>397</v>
      </c>
    </row>
    <row r="45" ht="22.5" customHeight="1">
      <c r="A45" s="4" t="s">
        <v>395</v>
      </c>
      <c r="B45" s="11" t="s">
        <v>398</v>
      </c>
      <c r="C45" s="4" t="s">
        <v>31</v>
      </c>
      <c r="D45" s="4" t="s">
        <v>47</v>
      </c>
      <c r="F45" s="5"/>
      <c r="G45" s="4">
        <v>5500.0</v>
      </c>
      <c r="L45" s="2"/>
      <c r="M45" s="2"/>
      <c r="N45" s="2"/>
      <c r="O45" s="2"/>
      <c r="P45" s="2"/>
    </row>
    <row r="46" ht="22.5" customHeight="1">
      <c r="A46" s="2" t="s">
        <v>395</v>
      </c>
      <c r="B46" s="2" t="s">
        <v>399</v>
      </c>
      <c r="C46" s="4" t="s">
        <v>31</v>
      </c>
      <c r="D46" s="4" t="s">
        <v>47</v>
      </c>
      <c r="F46" s="5"/>
      <c r="G46" s="2">
        <v>2689.66</v>
      </c>
      <c r="L46" s="2">
        <v>5500.0</v>
      </c>
      <c r="M46" s="2" t="s">
        <v>359</v>
      </c>
      <c r="N46" s="2" t="s">
        <v>354</v>
      </c>
      <c r="O46" s="2">
        <v>274.0</v>
      </c>
      <c r="P46" s="2" t="s">
        <v>395</v>
      </c>
    </row>
    <row r="47" ht="22.5" customHeight="1">
      <c r="A47" s="4" t="s">
        <v>391</v>
      </c>
      <c r="B47" s="2" t="s">
        <v>400</v>
      </c>
      <c r="C47" s="16" t="s">
        <v>31</v>
      </c>
      <c r="D47" s="9" t="s">
        <v>47</v>
      </c>
      <c r="F47" s="5"/>
      <c r="G47" s="2">
        <v>344.82</v>
      </c>
      <c r="L47" s="2">
        <v>2689.66</v>
      </c>
      <c r="M47" s="2" t="s">
        <v>359</v>
      </c>
      <c r="N47" s="2" t="s">
        <v>354</v>
      </c>
      <c r="O47" s="2">
        <v>274.0</v>
      </c>
      <c r="P47" s="2" t="s">
        <v>395</v>
      </c>
    </row>
    <row r="48" ht="22.5" customHeight="1">
      <c r="A48" s="2" t="s">
        <v>401</v>
      </c>
      <c r="B48" s="2" t="s">
        <v>402</v>
      </c>
      <c r="C48" s="2" t="s">
        <v>20</v>
      </c>
      <c r="D48" s="4" t="s">
        <v>21</v>
      </c>
      <c r="F48" s="5"/>
      <c r="G48" s="2">
        <f>19833.79*70%</f>
        <v>13883.653</v>
      </c>
      <c r="L48" s="2">
        <v>19833.79</v>
      </c>
      <c r="M48" s="2" t="s">
        <v>359</v>
      </c>
      <c r="N48" s="2" t="s">
        <v>354</v>
      </c>
      <c r="O48" s="2">
        <v>260.0</v>
      </c>
      <c r="P48" s="2" t="s">
        <v>401</v>
      </c>
    </row>
    <row r="49" ht="22.5" customHeight="1">
      <c r="A49" s="2" t="s">
        <v>401</v>
      </c>
      <c r="B49" s="2" t="s">
        <v>402</v>
      </c>
      <c r="C49" s="2" t="s">
        <v>20</v>
      </c>
      <c r="D49" s="4" t="s">
        <v>54</v>
      </c>
      <c r="F49" s="5"/>
      <c r="G49" s="2">
        <f>19833.79*30%</f>
        <v>5950.137</v>
      </c>
      <c r="L49" s="2">
        <v>19833.79</v>
      </c>
      <c r="M49" s="2" t="s">
        <v>359</v>
      </c>
      <c r="N49" s="2" t="s">
        <v>354</v>
      </c>
      <c r="O49" s="2">
        <v>260.0</v>
      </c>
      <c r="P49" s="2" t="s">
        <v>401</v>
      </c>
    </row>
    <row r="50" ht="22.5" customHeight="1">
      <c r="A50" s="2" t="s">
        <v>401</v>
      </c>
      <c r="B50" s="2" t="s">
        <v>404</v>
      </c>
      <c r="C50" s="2" t="s">
        <v>20</v>
      </c>
      <c r="D50" s="4" t="s">
        <v>21</v>
      </c>
      <c r="F50" s="5"/>
      <c r="G50" s="2">
        <v>858.75</v>
      </c>
      <c r="L50" s="2">
        <v>858.75</v>
      </c>
      <c r="M50" s="2" t="s">
        <v>359</v>
      </c>
      <c r="N50" s="2" t="s">
        <v>354</v>
      </c>
      <c r="O50" s="2">
        <v>295.0</v>
      </c>
      <c r="P50" s="2" t="s">
        <v>405</v>
      </c>
    </row>
    <row r="51" ht="22.5" customHeight="1">
      <c r="A51" s="2" t="s">
        <v>401</v>
      </c>
      <c r="B51" s="2" t="s">
        <v>404</v>
      </c>
      <c r="C51" s="2" t="s">
        <v>20</v>
      </c>
      <c r="D51" s="4" t="s">
        <v>54</v>
      </c>
      <c r="F51" s="5"/>
      <c r="G51" s="2">
        <v>858.75</v>
      </c>
      <c r="L51" s="2">
        <v>858.75</v>
      </c>
      <c r="M51" s="2" t="s">
        <v>359</v>
      </c>
      <c r="N51" s="2" t="s">
        <v>354</v>
      </c>
      <c r="O51" s="2">
        <v>295.0</v>
      </c>
      <c r="P51" s="2" t="s">
        <v>405</v>
      </c>
    </row>
    <row r="52" ht="22.5" customHeight="1">
      <c r="A52" s="2" t="s">
        <v>401</v>
      </c>
      <c r="B52" s="2" t="s">
        <v>404</v>
      </c>
      <c r="C52" s="2" t="s">
        <v>20</v>
      </c>
      <c r="D52" s="4" t="s">
        <v>21</v>
      </c>
      <c r="F52" s="5"/>
      <c r="G52" s="2">
        <v>1202.25</v>
      </c>
      <c r="L52" s="2">
        <v>1202.25</v>
      </c>
      <c r="M52" s="2" t="s">
        <v>359</v>
      </c>
      <c r="N52" s="2" t="s">
        <v>354</v>
      </c>
      <c r="O52" s="2">
        <v>295.0</v>
      </c>
      <c r="P52" s="2" t="s">
        <v>405</v>
      </c>
    </row>
    <row r="53" ht="22.5" customHeight="1">
      <c r="A53" s="2" t="s">
        <v>401</v>
      </c>
      <c r="B53" s="2" t="s">
        <v>404</v>
      </c>
      <c r="C53" s="2" t="s">
        <v>20</v>
      </c>
      <c r="D53" s="4" t="s">
        <v>54</v>
      </c>
      <c r="F53" s="5"/>
      <c r="G53" s="2">
        <v>1374.0</v>
      </c>
      <c r="L53" s="2">
        <v>1374.0</v>
      </c>
      <c r="M53" s="2" t="s">
        <v>359</v>
      </c>
      <c r="N53" s="2" t="s">
        <v>354</v>
      </c>
      <c r="O53" s="2">
        <v>295.0</v>
      </c>
      <c r="P53" s="2" t="s">
        <v>405</v>
      </c>
    </row>
    <row r="54" ht="22.5" customHeight="1">
      <c r="A54" s="2" t="s">
        <v>403</v>
      </c>
      <c r="B54" s="2" t="s">
        <v>406</v>
      </c>
      <c r="C54" s="2" t="s">
        <v>457</v>
      </c>
      <c r="D54" s="4" t="s">
        <v>371</v>
      </c>
      <c r="F54" s="5"/>
      <c r="G54" s="2">
        <v>3700.28</v>
      </c>
      <c r="L54" s="2">
        <v>3700.28</v>
      </c>
      <c r="M54" s="2" t="s">
        <v>407</v>
      </c>
      <c r="N54" s="2" t="s">
        <v>408</v>
      </c>
      <c r="O54" s="2">
        <v>202.0</v>
      </c>
      <c r="P54" s="2" t="s">
        <v>409</v>
      </c>
    </row>
    <row r="55" ht="22.5" customHeight="1">
      <c r="A55" s="2" t="s">
        <v>403</v>
      </c>
      <c r="B55" s="2" t="s">
        <v>410</v>
      </c>
      <c r="C55" s="2" t="s">
        <v>457</v>
      </c>
      <c r="D55" s="4" t="s">
        <v>371</v>
      </c>
      <c r="F55" s="5"/>
      <c r="G55" s="2">
        <v>524.48</v>
      </c>
      <c r="L55" s="2">
        <v>524.48</v>
      </c>
      <c r="M55" s="2" t="s">
        <v>411</v>
      </c>
      <c r="N55" s="2" t="s">
        <v>408</v>
      </c>
      <c r="O55" s="2">
        <v>240.0</v>
      </c>
      <c r="P55" s="2" t="s">
        <v>409</v>
      </c>
    </row>
    <row r="56" ht="22.5" customHeight="1">
      <c r="A56" s="2" t="s">
        <v>403</v>
      </c>
      <c r="B56" s="2" t="s">
        <v>412</v>
      </c>
      <c r="C56" s="2" t="s">
        <v>457</v>
      </c>
      <c r="D56" s="4" t="s">
        <v>371</v>
      </c>
      <c r="F56" s="5"/>
      <c r="G56" s="2">
        <v>9948.99</v>
      </c>
      <c r="L56" s="2">
        <v>9948.99</v>
      </c>
      <c r="M56" s="2" t="s">
        <v>411</v>
      </c>
      <c r="N56" s="2" t="s">
        <v>354</v>
      </c>
      <c r="O56" s="2">
        <v>400.0</v>
      </c>
      <c r="P56" s="2" t="s">
        <v>409</v>
      </c>
    </row>
    <row r="57" ht="22.5" customHeight="1">
      <c r="A57" s="2" t="s">
        <v>403</v>
      </c>
      <c r="B57" s="2" t="s">
        <v>413</v>
      </c>
      <c r="C57" s="2" t="s">
        <v>457</v>
      </c>
      <c r="D57" s="4" t="s">
        <v>371</v>
      </c>
      <c r="F57" s="5"/>
      <c r="G57" s="2">
        <v>400.0</v>
      </c>
      <c r="L57" s="2">
        <v>400.0</v>
      </c>
      <c r="M57" s="2" t="s">
        <v>414</v>
      </c>
      <c r="N57" s="2" t="s">
        <v>408</v>
      </c>
      <c r="O57" s="2">
        <v>243.0</v>
      </c>
      <c r="P57" s="2" t="s">
        <v>409</v>
      </c>
    </row>
    <row r="58" ht="22.5" customHeight="1">
      <c r="A58" s="2" t="s">
        <v>403</v>
      </c>
      <c r="B58" s="2" t="s">
        <v>415</v>
      </c>
      <c r="C58" s="2" t="s">
        <v>457</v>
      </c>
      <c r="F58" s="5"/>
      <c r="G58" s="2">
        <v>256.55</v>
      </c>
      <c r="L58" s="2">
        <v>256.55</v>
      </c>
      <c r="M58" s="2" t="s">
        <v>353</v>
      </c>
      <c r="N58" s="2" t="s">
        <v>408</v>
      </c>
      <c r="O58" s="2">
        <v>246.0</v>
      </c>
      <c r="P58" s="2" t="s">
        <v>409</v>
      </c>
    </row>
    <row r="59" ht="22.5" customHeight="1">
      <c r="A59" s="2" t="s">
        <v>403</v>
      </c>
      <c r="B59" s="2" t="s">
        <v>416</v>
      </c>
      <c r="C59" s="2" t="s">
        <v>457</v>
      </c>
      <c r="F59" s="5"/>
      <c r="G59" s="2">
        <v>620.0</v>
      </c>
      <c r="L59" s="2">
        <v>620.0</v>
      </c>
      <c r="M59" s="2" t="s">
        <v>353</v>
      </c>
      <c r="N59" s="2" t="s">
        <v>408</v>
      </c>
      <c r="O59" s="2">
        <v>247.0</v>
      </c>
      <c r="P59" s="2" t="s">
        <v>409</v>
      </c>
    </row>
    <row r="60" ht="22.5" customHeight="1">
      <c r="A60" s="2" t="s">
        <v>417</v>
      </c>
      <c r="B60" s="2" t="s">
        <v>418</v>
      </c>
      <c r="C60" s="4" t="s">
        <v>370</v>
      </c>
      <c r="F60" s="5"/>
      <c r="G60" s="2">
        <v>13833.01</v>
      </c>
      <c r="L60" s="2">
        <v>13833.01</v>
      </c>
      <c r="M60" s="2" t="s">
        <v>359</v>
      </c>
      <c r="N60" s="2" t="s">
        <v>354</v>
      </c>
      <c r="O60" s="2">
        <v>500.0</v>
      </c>
      <c r="P60" s="2" t="s">
        <v>417</v>
      </c>
    </row>
    <row r="61" ht="22.5" customHeight="1">
      <c r="A61" s="2" t="s">
        <v>385</v>
      </c>
      <c r="B61" s="2" t="s">
        <v>419</v>
      </c>
      <c r="C61" s="4" t="s">
        <v>31</v>
      </c>
      <c r="D61" s="4" t="s">
        <v>371</v>
      </c>
      <c r="F61" s="5"/>
      <c r="G61" s="2">
        <v>5244.76</v>
      </c>
      <c r="L61" s="2">
        <v>5244.76</v>
      </c>
      <c r="M61" s="2" t="s">
        <v>359</v>
      </c>
      <c r="N61" s="2" t="s">
        <v>354</v>
      </c>
      <c r="O61" s="2">
        <v>288.0</v>
      </c>
      <c r="P61" s="2" t="s">
        <v>397</v>
      </c>
    </row>
    <row r="62" ht="22.5" customHeight="1">
      <c r="A62" s="4" t="s">
        <v>385</v>
      </c>
      <c r="B62" s="2" t="s">
        <v>420</v>
      </c>
      <c r="C62" s="4" t="s">
        <v>31</v>
      </c>
      <c r="D62" s="4" t="s">
        <v>371</v>
      </c>
      <c r="F62" s="5"/>
      <c r="G62" s="2">
        <v>585.56</v>
      </c>
      <c r="L62" s="2">
        <v>5700.83</v>
      </c>
      <c r="M62" s="2" t="s">
        <v>421</v>
      </c>
      <c r="N62" s="2" t="s">
        <v>408</v>
      </c>
      <c r="O62" s="2">
        <v>148.0</v>
      </c>
      <c r="P62" s="2" t="s">
        <v>422</v>
      </c>
    </row>
    <row r="63" ht="22.5" customHeight="1">
      <c r="A63" s="2" t="s">
        <v>385</v>
      </c>
      <c r="B63" s="2" t="s">
        <v>423</v>
      </c>
      <c r="C63" s="4" t="s">
        <v>31</v>
      </c>
      <c r="D63" s="4" t="s">
        <v>187</v>
      </c>
      <c r="F63" s="5"/>
      <c r="G63" s="2">
        <v>4500.0</v>
      </c>
      <c r="L63" s="2">
        <v>4500.0</v>
      </c>
      <c r="M63" s="2" t="s">
        <v>359</v>
      </c>
      <c r="N63" s="2" t="s">
        <v>354</v>
      </c>
      <c r="O63" s="2">
        <v>276.0</v>
      </c>
      <c r="P63" s="2" t="s">
        <v>385</v>
      </c>
    </row>
    <row r="64" ht="22.5" customHeight="1">
      <c r="A64" s="2" t="s">
        <v>385</v>
      </c>
      <c r="B64" s="2" t="s">
        <v>423</v>
      </c>
      <c r="C64" s="4" t="s">
        <v>31</v>
      </c>
      <c r="D64" s="4" t="s">
        <v>187</v>
      </c>
      <c r="F64" s="5"/>
      <c r="G64" s="2">
        <v>3190.0</v>
      </c>
      <c r="L64" s="2">
        <v>3190.0</v>
      </c>
      <c r="M64" s="2" t="s">
        <v>359</v>
      </c>
      <c r="N64" s="2" t="s">
        <v>354</v>
      </c>
      <c r="O64" s="2">
        <v>276.0</v>
      </c>
      <c r="P64" s="2" t="s">
        <v>385</v>
      </c>
    </row>
    <row r="65" ht="22.5" customHeight="1">
      <c r="A65" s="2" t="s">
        <v>385</v>
      </c>
      <c r="B65" s="2" t="s">
        <v>424</v>
      </c>
      <c r="C65" s="4" t="s">
        <v>31</v>
      </c>
      <c r="D65" s="4" t="s">
        <v>98</v>
      </c>
      <c r="F65" s="5"/>
      <c r="G65" s="2">
        <v>3864.0</v>
      </c>
      <c r="L65" s="2">
        <v>3190.0</v>
      </c>
      <c r="M65" s="2" t="s">
        <v>359</v>
      </c>
      <c r="N65" s="2" t="s">
        <v>354</v>
      </c>
      <c r="O65" s="2">
        <v>276.0</v>
      </c>
      <c r="P65" s="2" t="s">
        <v>385</v>
      </c>
    </row>
    <row r="66" ht="22.5" customHeight="1">
      <c r="A66" s="2" t="s">
        <v>385</v>
      </c>
      <c r="B66" s="2" t="s">
        <v>425</v>
      </c>
      <c r="C66" s="4" t="s">
        <v>31</v>
      </c>
      <c r="D66" s="12" t="s">
        <v>54</v>
      </c>
      <c r="F66" s="5"/>
      <c r="G66" s="4">
        <v>2681.992444</v>
      </c>
      <c r="L66" s="2">
        <v>3864.0</v>
      </c>
      <c r="M66" s="2" t="s">
        <v>359</v>
      </c>
      <c r="N66" s="2" t="s">
        <v>354</v>
      </c>
      <c r="O66" s="2">
        <v>276.0</v>
      </c>
      <c r="P66" s="2" t="s">
        <v>385</v>
      </c>
    </row>
    <row r="67" ht="22.5" customHeight="1">
      <c r="A67" s="2" t="s">
        <v>385</v>
      </c>
      <c r="B67" s="2" t="s">
        <v>425</v>
      </c>
      <c r="C67" s="4" t="s">
        <v>31</v>
      </c>
      <c r="D67" s="12" t="s">
        <v>98</v>
      </c>
      <c r="F67" s="5"/>
      <c r="G67" s="4">
        <v>191.5708889</v>
      </c>
      <c r="L67" s="2">
        <v>-5233.75</v>
      </c>
      <c r="M67" s="2" t="s">
        <v>359</v>
      </c>
      <c r="N67" s="2" t="s">
        <v>354</v>
      </c>
      <c r="O67" s="2">
        <v>281.0</v>
      </c>
      <c r="P67" s="2" t="s">
        <v>385</v>
      </c>
    </row>
    <row r="68" ht="22.5" customHeight="1">
      <c r="A68" s="2" t="s">
        <v>385</v>
      </c>
      <c r="B68" s="2" t="s">
        <v>425</v>
      </c>
      <c r="C68" s="4" t="s">
        <v>31</v>
      </c>
      <c r="D68" s="12" t="s">
        <v>21</v>
      </c>
      <c r="F68" s="5"/>
      <c r="G68" s="4">
        <v>3639.846889</v>
      </c>
      <c r="L68" s="2">
        <v>-3274.32</v>
      </c>
      <c r="M68" s="2" t="s">
        <v>359</v>
      </c>
      <c r="N68" s="2" t="s">
        <v>354</v>
      </c>
      <c r="O68" s="2">
        <v>281.0</v>
      </c>
      <c r="P68" s="2" t="s">
        <v>385</v>
      </c>
    </row>
    <row r="69" ht="22.5" customHeight="1">
      <c r="A69" s="2" t="s">
        <v>385</v>
      </c>
      <c r="B69" s="2" t="s">
        <v>425</v>
      </c>
      <c r="C69" s="4" t="s">
        <v>20</v>
      </c>
      <c r="D69" s="12" t="s">
        <v>187</v>
      </c>
      <c r="F69" s="5"/>
      <c r="G69" s="4">
        <v>510.8557037</v>
      </c>
      <c r="L69" s="2">
        <v>8508.07</v>
      </c>
      <c r="M69" s="2" t="s">
        <v>359</v>
      </c>
      <c r="N69" s="2" t="s">
        <v>354</v>
      </c>
      <c r="O69" s="2">
        <v>281.0</v>
      </c>
      <c r="P69" s="2" t="s">
        <v>385</v>
      </c>
    </row>
    <row r="70" ht="22.5" customHeight="1">
      <c r="A70" s="2" t="s">
        <v>385</v>
      </c>
      <c r="B70" s="2" t="s">
        <v>425</v>
      </c>
      <c r="C70" s="4" t="s">
        <v>31</v>
      </c>
      <c r="D70" s="12" t="s">
        <v>38</v>
      </c>
      <c r="F70" s="5"/>
      <c r="G70" s="4">
        <v>287.3563333</v>
      </c>
      <c r="L70" s="2"/>
      <c r="M70" s="2" t="s">
        <v>359</v>
      </c>
      <c r="N70" s="2"/>
      <c r="O70" s="2"/>
      <c r="P70" s="2"/>
    </row>
    <row r="71" ht="22.5" customHeight="1">
      <c r="A71" s="2" t="s">
        <v>385</v>
      </c>
      <c r="B71" s="2" t="s">
        <v>425</v>
      </c>
      <c r="C71" s="4" t="s">
        <v>31</v>
      </c>
      <c r="D71" s="12" t="s">
        <v>47</v>
      </c>
      <c r="F71" s="5"/>
      <c r="G71" s="4">
        <v>1021.711407</v>
      </c>
      <c r="L71" s="2"/>
      <c r="M71" s="2" t="s">
        <v>359</v>
      </c>
      <c r="N71" s="2"/>
      <c r="O71" s="2"/>
      <c r="P71" s="2"/>
    </row>
    <row r="72" ht="22.5" customHeight="1">
      <c r="A72" s="2" t="s">
        <v>385</v>
      </c>
      <c r="B72" s="2" t="s">
        <v>425</v>
      </c>
      <c r="C72" s="4" t="s">
        <v>31</v>
      </c>
      <c r="D72" s="12" t="s">
        <v>113</v>
      </c>
      <c r="F72" s="5"/>
      <c r="G72" s="4">
        <v>287.3563333</v>
      </c>
      <c r="L72" s="2"/>
      <c r="M72" s="2" t="s">
        <v>359</v>
      </c>
      <c r="N72" s="2"/>
      <c r="O72" s="2"/>
      <c r="P72" s="2"/>
    </row>
    <row r="73" ht="22.5" customHeight="1">
      <c r="A73" s="4" t="s">
        <v>426</v>
      </c>
      <c r="B73" s="2" t="s">
        <v>427</v>
      </c>
      <c r="C73" s="4" t="s">
        <v>31</v>
      </c>
      <c r="D73" s="4" t="s">
        <v>371</v>
      </c>
      <c r="F73" s="5"/>
      <c r="G73" s="9">
        <v>46093.1</v>
      </c>
      <c r="L73" s="2">
        <v>8620.69</v>
      </c>
      <c r="M73" s="2" t="s">
        <v>359</v>
      </c>
      <c r="N73" s="2" t="s">
        <v>354</v>
      </c>
      <c r="O73" s="2">
        <v>281.0</v>
      </c>
      <c r="P73" s="2" t="s">
        <v>385</v>
      </c>
    </row>
    <row r="74" ht="22.5" customHeight="1">
      <c r="A74" s="4" t="s">
        <v>428</v>
      </c>
      <c r="B74" s="2" t="s">
        <v>429</v>
      </c>
      <c r="C74" s="4" t="s">
        <v>20</v>
      </c>
      <c r="D74" s="4" t="s">
        <v>21</v>
      </c>
      <c r="F74" s="5"/>
      <c r="G74" s="2">
        <v>791.67</v>
      </c>
      <c r="L74" s="2">
        <v>791.67</v>
      </c>
      <c r="M74" s="2" t="s">
        <v>359</v>
      </c>
      <c r="N74" s="2" t="s">
        <v>354</v>
      </c>
      <c r="O74" s="2">
        <v>502.0</v>
      </c>
      <c r="P74" s="2" t="s">
        <v>428</v>
      </c>
    </row>
    <row r="75" ht="22.5" customHeight="1">
      <c r="A75" s="4" t="s">
        <v>430</v>
      </c>
      <c r="B75" s="2" t="s">
        <v>429</v>
      </c>
      <c r="C75" s="4" t="s">
        <v>31</v>
      </c>
      <c r="D75" s="9" t="s">
        <v>54</v>
      </c>
      <c r="F75" s="5"/>
      <c r="G75" s="4">
        <v>10169.65289</v>
      </c>
      <c r="L75" s="2">
        <v>32688.17</v>
      </c>
      <c r="M75" s="2" t="s">
        <v>359</v>
      </c>
      <c r="N75" s="2" t="s">
        <v>354</v>
      </c>
      <c r="O75" s="2">
        <v>502.0</v>
      </c>
      <c r="P75" s="2" t="s">
        <v>431</v>
      </c>
    </row>
    <row r="76" ht="22.5" customHeight="1">
      <c r="A76" s="4" t="s">
        <v>430</v>
      </c>
      <c r="B76" s="2" t="s">
        <v>429</v>
      </c>
      <c r="C76" s="4" t="s">
        <v>31</v>
      </c>
      <c r="D76" s="9" t="s">
        <v>98</v>
      </c>
      <c r="F76" s="5"/>
      <c r="G76" s="4">
        <v>726.4037778</v>
      </c>
      <c r="M76" s="2" t="s">
        <v>359</v>
      </c>
    </row>
    <row r="77" ht="22.5" customHeight="1">
      <c r="A77" s="4" t="s">
        <v>430</v>
      </c>
      <c r="B77" s="2" t="s">
        <v>429</v>
      </c>
      <c r="C77" s="4" t="s">
        <v>31</v>
      </c>
      <c r="D77" s="9" t="s">
        <v>21</v>
      </c>
      <c r="F77" s="5"/>
      <c r="G77" s="4">
        <v>13801.67178</v>
      </c>
      <c r="M77" s="2" t="s">
        <v>359</v>
      </c>
    </row>
    <row r="78" ht="22.5" customHeight="1">
      <c r="A78" s="4" t="s">
        <v>430</v>
      </c>
      <c r="B78" s="2" t="s">
        <v>429</v>
      </c>
      <c r="C78" s="4" t="s">
        <v>31</v>
      </c>
      <c r="D78" s="9" t="s">
        <v>187</v>
      </c>
      <c r="F78" s="5"/>
      <c r="G78" s="4">
        <v>1937.076741</v>
      </c>
      <c r="M78" s="2" t="s">
        <v>359</v>
      </c>
    </row>
    <row r="79" ht="22.5" customHeight="1">
      <c r="A79" s="4" t="s">
        <v>430</v>
      </c>
      <c r="B79" s="2" t="s">
        <v>429</v>
      </c>
      <c r="C79" s="4" t="s">
        <v>31</v>
      </c>
      <c r="D79" s="9" t="s">
        <v>38</v>
      </c>
      <c r="F79" s="5"/>
      <c r="G79" s="4">
        <v>1089.605667</v>
      </c>
      <c r="M79" s="2" t="s">
        <v>359</v>
      </c>
    </row>
    <row r="80" ht="22.5" customHeight="1">
      <c r="A80" s="4" t="s">
        <v>430</v>
      </c>
      <c r="B80" s="2" t="s">
        <v>429</v>
      </c>
      <c r="C80" s="4" t="s">
        <v>31</v>
      </c>
      <c r="D80" s="9" t="s">
        <v>47</v>
      </c>
      <c r="F80" s="5"/>
      <c r="G80" s="4">
        <v>3874.153481</v>
      </c>
      <c r="M80" s="2" t="s">
        <v>359</v>
      </c>
    </row>
    <row r="81" ht="22.5" customHeight="1">
      <c r="A81" s="4" t="s">
        <v>430</v>
      </c>
      <c r="B81" s="2" t="s">
        <v>429</v>
      </c>
      <c r="C81" s="4" t="s">
        <v>31</v>
      </c>
      <c r="D81" s="9" t="s">
        <v>113</v>
      </c>
      <c r="F81" s="5"/>
      <c r="G81" s="4">
        <v>1089.605667</v>
      </c>
      <c r="M81" s="2" t="s">
        <v>359</v>
      </c>
    </row>
    <row r="82" ht="22.5" customHeight="1">
      <c r="A82" s="4" t="s">
        <v>432</v>
      </c>
      <c r="B82" s="2" t="s">
        <v>429</v>
      </c>
      <c r="C82" s="4" t="s">
        <v>31</v>
      </c>
      <c r="D82" s="9" t="s">
        <v>54</v>
      </c>
      <c r="F82" s="5"/>
      <c r="G82" s="4">
        <v>2908.587111</v>
      </c>
      <c r="L82" s="2">
        <v>9349.03</v>
      </c>
      <c r="M82" s="2" t="s">
        <v>359</v>
      </c>
      <c r="N82" s="2" t="s">
        <v>354</v>
      </c>
      <c r="O82" s="2">
        <v>502.0</v>
      </c>
      <c r="P82" s="2" t="s">
        <v>433</v>
      </c>
    </row>
    <row r="83" ht="22.5" customHeight="1">
      <c r="A83" s="4" t="s">
        <v>432</v>
      </c>
      <c r="B83" s="2" t="s">
        <v>429</v>
      </c>
      <c r="C83" s="4" t="s">
        <v>31</v>
      </c>
      <c r="D83" s="9" t="s">
        <v>98</v>
      </c>
      <c r="F83" s="5"/>
      <c r="G83" s="4">
        <v>207.7562222</v>
      </c>
      <c r="M83" s="2" t="s">
        <v>359</v>
      </c>
    </row>
    <row r="84" ht="22.5" customHeight="1">
      <c r="A84" s="4" t="s">
        <v>432</v>
      </c>
      <c r="B84" s="2" t="s">
        <v>429</v>
      </c>
      <c r="C84" s="4" t="s">
        <v>20</v>
      </c>
      <c r="D84" s="9" t="s">
        <v>21</v>
      </c>
      <c r="F84" s="5"/>
      <c r="G84" s="4">
        <v>3947.368222</v>
      </c>
      <c r="M84" s="2" t="s">
        <v>359</v>
      </c>
    </row>
    <row r="85" ht="22.5" customHeight="1">
      <c r="A85" s="4" t="s">
        <v>432</v>
      </c>
      <c r="B85" s="2" t="s">
        <v>429</v>
      </c>
      <c r="C85" s="4" t="s">
        <v>31</v>
      </c>
      <c r="D85" s="9" t="s">
        <v>187</v>
      </c>
      <c r="F85" s="5"/>
      <c r="G85" s="4">
        <v>554.0165926</v>
      </c>
      <c r="M85" s="2" t="s">
        <v>359</v>
      </c>
    </row>
    <row r="86" ht="22.5" customHeight="1">
      <c r="A86" s="4" t="s">
        <v>432</v>
      </c>
      <c r="B86" s="2" t="s">
        <v>429</v>
      </c>
      <c r="C86" s="4" t="s">
        <v>31</v>
      </c>
      <c r="D86" s="9" t="s">
        <v>38</v>
      </c>
      <c r="F86" s="5"/>
      <c r="G86" s="4">
        <v>311.6343333</v>
      </c>
      <c r="M86" s="2" t="s">
        <v>359</v>
      </c>
    </row>
    <row r="87" ht="22.5" customHeight="1">
      <c r="A87" s="4" t="s">
        <v>432</v>
      </c>
      <c r="B87" s="2" t="s">
        <v>429</v>
      </c>
      <c r="C87" s="4" t="s">
        <v>31</v>
      </c>
      <c r="D87" s="9" t="s">
        <v>47</v>
      </c>
      <c r="F87" s="5"/>
      <c r="G87" s="4">
        <v>1108.033185</v>
      </c>
      <c r="M87" s="2" t="s">
        <v>359</v>
      </c>
    </row>
    <row r="88" ht="22.5" customHeight="1">
      <c r="A88" s="4" t="s">
        <v>432</v>
      </c>
      <c r="B88" s="2" t="s">
        <v>429</v>
      </c>
      <c r="C88" s="4" t="s">
        <v>31</v>
      </c>
      <c r="D88" s="9" t="s">
        <v>113</v>
      </c>
      <c r="F88" s="5"/>
      <c r="G88" s="4">
        <v>311.6343333</v>
      </c>
      <c r="M88" s="2" t="s">
        <v>359</v>
      </c>
    </row>
    <row r="89" ht="22.5" customHeight="1">
      <c r="A89" s="4" t="s">
        <v>434</v>
      </c>
      <c r="B89" s="4" t="s">
        <v>429</v>
      </c>
      <c r="C89" s="4" t="s">
        <v>370</v>
      </c>
      <c r="D89" s="4"/>
      <c r="E89" s="4"/>
      <c r="F89" s="11"/>
      <c r="G89" s="4">
        <v>5539.44</v>
      </c>
      <c r="H89" s="4"/>
      <c r="I89" s="4"/>
      <c r="J89" s="4"/>
      <c r="K89" s="4"/>
      <c r="L89" s="4">
        <v>5539.44</v>
      </c>
      <c r="M89" s="4" t="s">
        <v>359</v>
      </c>
      <c r="N89" s="4" t="s">
        <v>354</v>
      </c>
      <c r="O89" s="4">
        <v>502.0</v>
      </c>
      <c r="P89" s="4" t="s">
        <v>435</v>
      </c>
      <c r="Q89" s="4"/>
      <c r="R89" s="4"/>
      <c r="S89" s="4"/>
    </row>
    <row r="90" ht="22.5" customHeight="1">
      <c r="A90" s="4" t="s">
        <v>434</v>
      </c>
      <c r="B90" s="4" t="s">
        <v>429</v>
      </c>
      <c r="C90" s="4" t="s">
        <v>370</v>
      </c>
      <c r="D90" s="4"/>
      <c r="E90" s="4"/>
      <c r="F90" s="11"/>
      <c r="G90" s="4">
        <v>5828.89</v>
      </c>
      <c r="H90" s="4"/>
      <c r="I90" s="4"/>
      <c r="J90" s="4"/>
      <c r="K90" s="4"/>
      <c r="L90" s="4">
        <v>5828.89</v>
      </c>
      <c r="M90" s="4" t="s">
        <v>359</v>
      </c>
      <c r="N90" s="4" t="s">
        <v>354</v>
      </c>
      <c r="O90" s="4">
        <v>502.0</v>
      </c>
      <c r="P90" s="4" t="s">
        <v>436</v>
      </c>
      <c r="Q90" s="4"/>
      <c r="R90" s="4"/>
      <c r="S90" s="4"/>
    </row>
    <row r="91" ht="22.5" customHeight="1">
      <c r="A91" s="2" t="s">
        <v>437</v>
      </c>
      <c r="B91" s="5" t="s">
        <v>438</v>
      </c>
      <c r="C91" s="2" t="s">
        <v>20</v>
      </c>
      <c r="D91" s="4" t="s">
        <v>21</v>
      </c>
      <c r="F91" s="5"/>
      <c r="G91" s="2">
        <v>8000.0</v>
      </c>
      <c r="L91" s="2">
        <v>8000.0</v>
      </c>
      <c r="M91" s="2" t="s">
        <v>359</v>
      </c>
      <c r="N91" s="2" t="s">
        <v>354</v>
      </c>
      <c r="O91" s="2">
        <v>278.0</v>
      </c>
      <c r="P91" s="2" t="s">
        <v>437</v>
      </c>
    </row>
    <row r="92" ht="22.5" customHeight="1">
      <c r="A92" s="2" t="s">
        <v>437</v>
      </c>
      <c r="B92" s="2" t="s">
        <v>439</v>
      </c>
      <c r="C92" s="2" t="s">
        <v>20</v>
      </c>
      <c r="D92" s="4" t="s">
        <v>21</v>
      </c>
      <c r="F92" s="5"/>
      <c r="G92" s="2">
        <v>24124.7</v>
      </c>
      <c r="L92" s="2"/>
      <c r="M92" s="2"/>
      <c r="N92" s="2"/>
      <c r="O92" s="2"/>
      <c r="P92" s="2"/>
    </row>
    <row r="93" ht="22.5" customHeight="1">
      <c r="A93" s="4" t="s">
        <v>440</v>
      </c>
      <c r="B93" s="2" t="s">
        <v>441</v>
      </c>
      <c r="C93" s="4" t="s">
        <v>31</v>
      </c>
      <c r="D93" s="4" t="s">
        <v>371</v>
      </c>
      <c r="F93" s="5"/>
      <c r="G93" s="4">
        <v>8208.0</v>
      </c>
      <c r="L93" s="2">
        <v>24124.7</v>
      </c>
      <c r="M93" s="2" t="s">
        <v>359</v>
      </c>
      <c r="N93" s="2" t="s">
        <v>354</v>
      </c>
      <c r="O93" s="2">
        <v>278.0</v>
      </c>
      <c r="P93" s="2" t="s">
        <v>437</v>
      </c>
    </row>
    <row r="94" ht="22.5" customHeight="1">
      <c r="A94" s="2" t="s">
        <v>437</v>
      </c>
      <c r="B94" s="2" t="s">
        <v>442</v>
      </c>
      <c r="C94" s="2" t="s">
        <v>20</v>
      </c>
      <c r="D94" s="4" t="s">
        <v>21</v>
      </c>
      <c r="F94" s="5"/>
      <c r="G94" s="2">
        <v>14000.0</v>
      </c>
      <c r="L94" s="2">
        <v>14000.0</v>
      </c>
      <c r="M94" s="2" t="s">
        <v>359</v>
      </c>
      <c r="N94" s="2" t="s">
        <v>354</v>
      </c>
      <c r="O94" s="2">
        <v>278.0</v>
      </c>
      <c r="P94" s="2" t="s">
        <v>437</v>
      </c>
    </row>
    <row r="95" ht="22.5" customHeight="1">
      <c r="A95" s="2" t="s">
        <v>437</v>
      </c>
      <c r="B95" s="2" t="s">
        <v>442</v>
      </c>
      <c r="C95" s="2" t="s">
        <v>20</v>
      </c>
      <c r="D95" s="4" t="s">
        <v>21</v>
      </c>
      <c r="F95" s="5"/>
      <c r="G95" s="2">
        <v>18500.0</v>
      </c>
      <c r="L95" s="2">
        <v>18500.0</v>
      </c>
      <c r="M95" s="2" t="s">
        <v>359</v>
      </c>
      <c r="N95" s="2" t="s">
        <v>354</v>
      </c>
      <c r="O95" s="2">
        <v>278.0</v>
      </c>
      <c r="P95" s="2" t="s">
        <v>437</v>
      </c>
    </row>
    <row r="96" ht="22.5" customHeight="1">
      <c r="A96" s="2" t="s">
        <v>437</v>
      </c>
      <c r="B96" s="2" t="s">
        <v>443</v>
      </c>
      <c r="C96" s="2" t="s">
        <v>20</v>
      </c>
      <c r="D96" s="4" t="s">
        <v>21</v>
      </c>
      <c r="F96" s="5"/>
      <c r="G96" s="2">
        <v>3097.23</v>
      </c>
      <c r="L96" s="2">
        <v>3097.23</v>
      </c>
      <c r="M96" s="2" t="s">
        <v>359</v>
      </c>
      <c r="N96" s="2" t="s">
        <v>354</v>
      </c>
      <c r="O96" s="2">
        <v>278.0</v>
      </c>
      <c r="P96" s="2" t="s">
        <v>437</v>
      </c>
    </row>
    <row r="97" ht="22.5" customHeight="1">
      <c r="A97" s="2" t="s">
        <v>437</v>
      </c>
      <c r="B97" s="2" t="s">
        <v>443</v>
      </c>
      <c r="C97" s="2" t="s">
        <v>20</v>
      </c>
      <c r="D97" s="4" t="s">
        <v>21</v>
      </c>
      <c r="F97" s="5"/>
      <c r="G97" s="2">
        <v>6000.0</v>
      </c>
      <c r="L97" s="2">
        <v>4386.83</v>
      </c>
      <c r="M97" s="2" t="s">
        <v>359</v>
      </c>
      <c r="N97" s="2" t="s">
        <v>354</v>
      </c>
      <c r="O97" s="2">
        <v>278.0</v>
      </c>
      <c r="P97" s="2" t="s">
        <v>437</v>
      </c>
    </row>
    <row r="98" ht="22.5" customHeight="1">
      <c r="A98" s="2" t="s">
        <v>437</v>
      </c>
      <c r="B98" s="2" t="s">
        <v>444</v>
      </c>
      <c r="C98" s="2" t="s">
        <v>20</v>
      </c>
      <c r="D98" s="4" t="s">
        <v>21</v>
      </c>
      <c r="F98" s="5"/>
      <c r="G98" s="2">
        <v>6500.0</v>
      </c>
      <c r="L98" s="2">
        <v>6000.0</v>
      </c>
      <c r="M98" s="2" t="s">
        <v>359</v>
      </c>
      <c r="N98" s="2" t="s">
        <v>354</v>
      </c>
      <c r="O98" s="2">
        <v>278.0</v>
      </c>
      <c r="P98" s="2" t="s">
        <v>437</v>
      </c>
    </row>
    <row r="99" ht="22.5" customHeight="1">
      <c r="A99" s="2" t="s">
        <v>437</v>
      </c>
      <c r="B99" s="2" t="s">
        <v>445</v>
      </c>
      <c r="C99" s="2" t="s">
        <v>20</v>
      </c>
      <c r="D99" s="4" t="s">
        <v>21</v>
      </c>
      <c r="F99" s="5"/>
      <c r="G99" s="2">
        <v>18000.0</v>
      </c>
      <c r="L99" s="2">
        <v>6500.0</v>
      </c>
      <c r="M99" s="2" t="s">
        <v>359</v>
      </c>
      <c r="N99" s="2" t="s">
        <v>354</v>
      </c>
      <c r="O99" s="2">
        <v>278.0</v>
      </c>
      <c r="P99" s="2" t="s">
        <v>437</v>
      </c>
    </row>
    <row r="100" ht="22.5" customHeight="1">
      <c r="A100" s="2" t="s">
        <v>437</v>
      </c>
      <c r="B100" s="2" t="s">
        <v>446</v>
      </c>
      <c r="C100" s="2" t="s">
        <v>20</v>
      </c>
      <c r="D100" s="4" t="s">
        <v>21</v>
      </c>
      <c r="F100" s="5"/>
      <c r="G100" s="2">
        <v>13200.0</v>
      </c>
      <c r="L100" s="2">
        <v>18000.0</v>
      </c>
      <c r="M100" s="2" t="s">
        <v>359</v>
      </c>
      <c r="N100" s="2" t="s">
        <v>354</v>
      </c>
      <c r="O100" s="2">
        <v>278.0</v>
      </c>
      <c r="P100" s="2" t="s">
        <v>437</v>
      </c>
    </row>
    <row r="101" ht="22.5" customHeight="1">
      <c r="A101" s="2" t="s">
        <v>437</v>
      </c>
      <c r="B101" s="2" t="s">
        <v>447</v>
      </c>
      <c r="C101" s="2" t="s">
        <v>20</v>
      </c>
      <c r="D101" s="4" t="s">
        <v>21</v>
      </c>
      <c r="F101" s="5"/>
      <c r="G101" s="2">
        <v>3500.0</v>
      </c>
      <c r="L101" s="2">
        <v>13200.0</v>
      </c>
      <c r="M101" s="2" t="s">
        <v>359</v>
      </c>
      <c r="N101" s="2" t="s">
        <v>354</v>
      </c>
      <c r="O101" s="2">
        <v>278.0</v>
      </c>
      <c r="P101" s="2" t="s">
        <v>437</v>
      </c>
    </row>
    <row r="102" ht="22.5" customHeight="1">
      <c r="A102" s="2" t="s">
        <v>437</v>
      </c>
      <c r="B102" s="2" t="s">
        <v>447</v>
      </c>
      <c r="C102" s="2" t="s">
        <v>20</v>
      </c>
      <c r="D102" s="4" t="s">
        <v>21</v>
      </c>
      <c r="F102" s="5"/>
      <c r="G102" s="2">
        <v>7000.0</v>
      </c>
      <c r="L102" s="2">
        <v>3500.0</v>
      </c>
      <c r="M102" s="2" t="s">
        <v>359</v>
      </c>
      <c r="N102" s="2" t="s">
        <v>354</v>
      </c>
      <c r="O102" s="2">
        <v>278.0</v>
      </c>
      <c r="P102" s="2" t="s">
        <v>437</v>
      </c>
    </row>
    <row r="103" ht="22.5" customHeight="1">
      <c r="A103" s="2" t="s">
        <v>437</v>
      </c>
      <c r="B103" s="2" t="s">
        <v>447</v>
      </c>
      <c r="C103" s="2" t="s">
        <v>20</v>
      </c>
      <c r="D103" s="4" t="s">
        <v>21</v>
      </c>
      <c r="F103" s="5"/>
      <c r="G103" s="2">
        <v>25250.0</v>
      </c>
      <c r="L103" s="2">
        <v>7000.0</v>
      </c>
      <c r="M103" s="2" t="s">
        <v>359</v>
      </c>
      <c r="N103" s="2" t="s">
        <v>354</v>
      </c>
      <c r="O103" s="2">
        <v>278.0</v>
      </c>
      <c r="P103" s="2" t="s">
        <v>437</v>
      </c>
    </row>
    <row r="104" ht="22.5" customHeight="1">
      <c r="A104" s="2" t="s">
        <v>437</v>
      </c>
      <c r="B104" s="2" t="s">
        <v>448</v>
      </c>
      <c r="C104" s="2" t="s">
        <v>20</v>
      </c>
      <c r="D104" s="4" t="s">
        <v>21</v>
      </c>
      <c r="F104" s="5"/>
      <c r="G104" s="2">
        <v>1011.71</v>
      </c>
      <c r="L104" s="2">
        <v>25250.0</v>
      </c>
      <c r="M104" s="2" t="s">
        <v>359</v>
      </c>
      <c r="N104" s="2" t="s">
        <v>354</v>
      </c>
      <c r="O104" s="2">
        <v>278.0</v>
      </c>
      <c r="P104" s="2" t="s">
        <v>437</v>
      </c>
    </row>
    <row r="105" ht="22.5" customHeight="1">
      <c r="A105" s="2" t="s">
        <v>437</v>
      </c>
      <c r="B105" s="2" t="s">
        <v>449</v>
      </c>
      <c r="C105" s="2" t="s">
        <v>20</v>
      </c>
      <c r="D105" s="4" t="s">
        <v>21</v>
      </c>
      <c r="F105" s="5"/>
      <c r="G105" s="2">
        <v>6500.0</v>
      </c>
      <c r="L105" s="2">
        <v>1011.71</v>
      </c>
      <c r="M105" s="2" t="s">
        <v>359</v>
      </c>
      <c r="N105" s="2" t="s">
        <v>354</v>
      </c>
      <c r="O105" s="2">
        <v>278.0</v>
      </c>
      <c r="P105" s="2" t="s">
        <v>437</v>
      </c>
    </row>
    <row r="106" ht="22.5" customHeight="1">
      <c r="A106" s="2" t="s">
        <v>437</v>
      </c>
      <c r="B106" s="2" t="s">
        <v>449</v>
      </c>
      <c r="C106" s="2" t="s">
        <v>20</v>
      </c>
      <c r="D106" s="4" t="s">
        <v>21</v>
      </c>
      <c r="F106" s="5"/>
      <c r="G106" s="2">
        <v>40000.0</v>
      </c>
      <c r="L106" s="2">
        <v>6500.0</v>
      </c>
      <c r="M106" s="2" t="s">
        <v>359</v>
      </c>
      <c r="N106" s="2" t="s">
        <v>354</v>
      </c>
      <c r="O106" s="2">
        <v>278.0</v>
      </c>
      <c r="P106" s="2" t="s">
        <v>437</v>
      </c>
    </row>
    <row r="107" ht="22.5" customHeight="1">
      <c r="A107" s="2" t="s">
        <v>437</v>
      </c>
      <c r="B107" s="2" t="s">
        <v>450</v>
      </c>
      <c r="C107" s="2" t="s">
        <v>20</v>
      </c>
      <c r="D107" s="4" t="s">
        <v>21</v>
      </c>
      <c r="F107" s="5"/>
      <c r="G107" s="2">
        <v>23500.0</v>
      </c>
      <c r="L107" s="2">
        <v>40000.0</v>
      </c>
      <c r="M107" s="2" t="s">
        <v>359</v>
      </c>
      <c r="N107" s="2" t="s">
        <v>354</v>
      </c>
      <c r="O107" s="2">
        <v>278.0</v>
      </c>
      <c r="P107" s="2" t="s">
        <v>437</v>
      </c>
    </row>
    <row r="108" ht="22.5" customHeight="1">
      <c r="A108" s="4" t="s">
        <v>451</v>
      </c>
      <c r="B108" s="17" t="s">
        <v>452</v>
      </c>
      <c r="C108" s="2" t="s">
        <v>20</v>
      </c>
      <c r="D108" s="4" t="s">
        <v>21</v>
      </c>
      <c r="F108" s="5"/>
      <c r="G108" s="4">
        <v>600.0</v>
      </c>
      <c r="L108" s="2">
        <v>23500.0</v>
      </c>
      <c r="M108" s="2" t="s">
        <v>359</v>
      </c>
      <c r="N108" s="2" t="s">
        <v>354</v>
      </c>
      <c r="O108" s="2">
        <v>278.0</v>
      </c>
      <c r="P108" s="2" t="s">
        <v>437</v>
      </c>
    </row>
    <row r="109" ht="22.5" customHeight="1">
      <c r="A109" s="18" t="s">
        <v>453</v>
      </c>
      <c r="B109" s="2" t="s">
        <v>454</v>
      </c>
      <c r="C109" s="2" t="s">
        <v>20</v>
      </c>
      <c r="D109" s="4" t="s">
        <v>21</v>
      </c>
      <c r="F109" s="5"/>
      <c r="G109" s="4">
        <v>690.52</v>
      </c>
      <c r="L109" s="2">
        <v>23093.68</v>
      </c>
      <c r="M109" s="2" t="s">
        <v>359</v>
      </c>
      <c r="N109" s="2" t="s">
        <v>354</v>
      </c>
      <c r="O109" s="2">
        <v>278.0</v>
      </c>
      <c r="P109" s="2" t="s">
        <v>437</v>
      </c>
    </row>
    <row r="110" ht="22.5" customHeight="1">
      <c r="A110" s="2" t="s">
        <v>455</v>
      </c>
      <c r="B110" s="19" t="s">
        <v>456</v>
      </c>
      <c r="C110" s="2" t="s">
        <v>457</v>
      </c>
      <c r="F110" s="5"/>
      <c r="G110" s="2">
        <v>1849.04</v>
      </c>
      <c r="L110" s="2">
        <v>1849.04</v>
      </c>
      <c r="M110" s="2" t="s">
        <v>458</v>
      </c>
      <c r="N110" s="2" t="s">
        <v>408</v>
      </c>
      <c r="O110" s="2">
        <v>78.0</v>
      </c>
      <c r="P110" s="2" t="s">
        <v>459</v>
      </c>
    </row>
    <row r="111" ht="22.5" customHeight="1">
      <c r="A111" s="2" t="s">
        <v>455</v>
      </c>
      <c r="B111" s="20" t="s">
        <v>456</v>
      </c>
      <c r="C111" s="2" t="s">
        <v>457</v>
      </c>
      <c r="F111" s="5"/>
      <c r="G111" s="2">
        <v>428.0</v>
      </c>
      <c r="L111" s="2">
        <v>428.0</v>
      </c>
      <c r="M111" s="2" t="s">
        <v>460</v>
      </c>
      <c r="N111" s="2" t="s">
        <v>408</v>
      </c>
      <c r="O111" s="2">
        <v>95.0</v>
      </c>
      <c r="P111" s="2" t="s">
        <v>459</v>
      </c>
    </row>
    <row r="112" ht="22.5" customHeight="1">
      <c r="A112" s="2" t="s">
        <v>455</v>
      </c>
      <c r="B112" s="19" t="s">
        <v>456</v>
      </c>
      <c r="C112" s="2" t="s">
        <v>457</v>
      </c>
      <c r="F112" s="5"/>
      <c r="G112" s="2">
        <v>4958.17</v>
      </c>
      <c r="L112" s="2">
        <v>4958.17</v>
      </c>
      <c r="M112" s="2" t="s">
        <v>411</v>
      </c>
      <c r="N112" s="2" t="s">
        <v>408</v>
      </c>
      <c r="O112" s="2">
        <v>222.0</v>
      </c>
      <c r="P112" s="2" t="s">
        <v>459</v>
      </c>
    </row>
    <row r="113" ht="22.5" customHeight="1">
      <c r="A113" s="2" t="s">
        <v>451</v>
      </c>
      <c r="B113" s="2" t="s">
        <v>461</v>
      </c>
      <c r="C113" s="4" t="s">
        <v>20</v>
      </c>
      <c r="D113" s="4" t="s">
        <v>21</v>
      </c>
      <c r="F113" s="5"/>
      <c r="G113" s="2">
        <v>689.66</v>
      </c>
      <c r="L113" s="2">
        <v>689.66</v>
      </c>
      <c r="M113" s="2" t="s">
        <v>359</v>
      </c>
      <c r="N113" s="2" t="s">
        <v>354</v>
      </c>
      <c r="O113" s="2">
        <v>278.0</v>
      </c>
      <c r="P113" s="2" t="s">
        <v>437</v>
      </c>
    </row>
    <row r="114" ht="22.5" customHeight="1">
      <c r="A114" s="2" t="s">
        <v>451</v>
      </c>
      <c r="B114" s="2" t="s">
        <v>461</v>
      </c>
      <c r="C114" s="4" t="s">
        <v>20</v>
      </c>
      <c r="D114" s="4" t="s">
        <v>21</v>
      </c>
      <c r="F114" s="5"/>
      <c r="G114" s="2">
        <v>900.0</v>
      </c>
      <c r="L114" s="2">
        <v>900.0</v>
      </c>
      <c r="M114" s="2" t="s">
        <v>359</v>
      </c>
      <c r="N114" s="2" t="s">
        <v>354</v>
      </c>
      <c r="O114" s="2">
        <v>278.0</v>
      </c>
      <c r="P114" s="2" t="s">
        <v>437</v>
      </c>
    </row>
    <row r="115" ht="22.5" customHeight="1">
      <c r="A115" s="2" t="s">
        <v>451</v>
      </c>
      <c r="B115" s="2" t="s">
        <v>461</v>
      </c>
      <c r="C115" s="4" t="s">
        <v>20</v>
      </c>
      <c r="D115" s="4" t="s">
        <v>21</v>
      </c>
      <c r="F115" s="5"/>
      <c r="G115" s="2">
        <v>1000.0</v>
      </c>
      <c r="L115" s="2">
        <v>1000.0</v>
      </c>
      <c r="M115" s="2" t="s">
        <v>359</v>
      </c>
      <c r="N115" s="2" t="s">
        <v>354</v>
      </c>
      <c r="O115" s="2">
        <v>278.0</v>
      </c>
      <c r="P115" s="2" t="s">
        <v>437</v>
      </c>
    </row>
    <row r="116" ht="22.5" customHeight="1">
      <c r="A116" s="2" t="s">
        <v>451</v>
      </c>
      <c r="B116" s="2" t="s">
        <v>452</v>
      </c>
      <c r="C116" s="4" t="s">
        <v>20</v>
      </c>
      <c r="D116" s="4" t="s">
        <v>21</v>
      </c>
      <c r="F116" s="5"/>
      <c r="G116" s="2">
        <v>980.0</v>
      </c>
      <c r="L116" s="2">
        <v>600.0</v>
      </c>
      <c r="M116" s="2" t="s">
        <v>359</v>
      </c>
      <c r="N116" s="2" t="s">
        <v>354</v>
      </c>
      <c r="O116" s="2">
        <v>278.0</v>
      </c>
      <c r="P116" s="2" t="s">
        <v>437</v>
      </c>
    </row>
    <row r="117" ht="22.5" customHeight="1">
      <c r="A117" s="4" t="s">
        <v>437</v>
      </c>
      <c r="B117" s="2" t="s">
        <v>462</v>
      </c>
      <c r="C117" s="4" t="s">
        <v>20</v>
      </c>
      <c r="D117" s="4" t="s">
        <v>21</v>
      </c>
      <c r="F117" s="5"/>
      <c r="G117" s="9">
        <v>23093.68</v>
      </c>
      <c r="L117" s="2">
        <v>980.0</v>
      </c>
      <c r="M117" s="2" t="s">
        <v>359</v>
      </c>
      <c r="N117" s="2" t="s">
        <v>354</v>
      </c>
      <c r="O117" s="2">
        <v>278.0</v>
      </c>
      <c r="P117" s="2" t="s">
        <v>437</v>
      </c>
    </row>
    <row r="118" ht="22.5" customHeight="1">
      <c r="A118" s="2" t="s">
        <v>426</v>
      </c>
      <c r="B118" s="2" t="s">
        <v>463</v>
      </c>
      <c r="C118" s="4" t="s">
        <v>31</v>
      </c>
      <c r="D118" s="4" t="s">
        <v>187</v>
      </c>
      <c r="F118" s="5"/>
      <c r="G118" s="2">
        <v>20324.14</v>
      </c>
      <c r="L118" s="2">
        <v>20324.14</v>
      </c>
      <c r="M118" s="2" t="s">
        <v>359</v>
      </c>
      <c r="N118" s="2" t="s">
        <v>354</v>
      </c>
      <c r="O118" s="2">
        <v>288.0</v>
      </c>
      <c r="P118" s="2" t="s">
        <v>397</v>
      </c>
    </row>
    <row r="119" ht="22.5" customHeight="1">
      <c r="A119" s="4" t="s">
        <v>426</v>
      </c>
      <c r="B119" s="2" t="s">
        <v>384</v>
      </c>
      <c r="C119" s="4" t="s">
        <v>31</v>
      </c>
      <c r="F119" s="5"/>
      <c r="G119" s="2">
        <v>18254.66</v>
      </c>
      <c r="L119" s="2">
        <v>585.56</v>
      </c>
      <c r="M119" s="2" t="s">
        <v>359</v>
      </c>
      <c r="N119" s="2" t="s">
        <v>354</v>
      </c>
      <c r="O119" s="2">
        <v>262.0</v>
      </c>
      <c r="P119" s="2" t="s">
        <v>385</v>
      </c>
    </row>
    <row r="120" ht="22.5" customHeight="1">
      <c r="A120" s="2" t="s">
        <v>426</v>
      </c>
      <c r="B120" s="2" t="s">
        <v>464</v>
      </c>
      <c r="C120" s="4" t="s">
        <v>31</v>
      </c>
      <c r="D120" s="4" t="s">
        <v>98</v>
      </c>
      <c r="F120" s="5"/>
      <c r="G120" s="2">
        <v>314.69</v>
      </c>
      <c r="L120" s="2">
        <v>314.69</v>
      </c>
      <c r="M120" s="2" t="s">
        <v>359</v>
      </c>
      <c r="N120" s="2" t="s">
        <v>354</v>
      </c>
      <c r="O120" s="2">
        <v>289.0</v>
      </c>
      <c r="P120" s="2" t="s">
        <v>453</v>
      </c>
    </row>
    <row r="121" ht="22.5" customHeight="1">
      <c r="A121" s="4" t="s">
        <v>465</v>
      </c>
      <c r="B121" s="2" t="s">
        <v>466</v>
      </c>
      <c r="C121" s="4" t="s">
        <v>20</v>
      </c>
      <c r="D121" s="4" t="s">
        <v>21</v>
      </c>
      <c r="F121" s="5"/>
      <c r="G121" s="21">
        <v>583.4</v>
      </c>
      <c r="L121" s="2">
        <v>14762.0</v>
      </c>
      <c r="M121" s="2" t="s">
        <v>359</v>
      </c>
      <c r="N121" s="2" t="s">
        <v>354</v>
      </c>
      <c r="O121" s="2">
        <v>294.0</v>
      </c>
      <c r="P121" s="2" t="s">
        <v>467</v>
      </c>
    </row>
    <row r="122" ht="22.5" customHeight="1">
      <c r="A122" s="2" t="s">
        <v>465</v>
      </c>
      <c r="B122" s="2" t="s">
        <v>466</v>
      </c>
      <c r="C122" s="4" t="s">
        <v>20</v>
      </c>
      <c r="D122" s="4" t="s">
        <v>21</v>
      </c>
      <c r="F122" s="5"/>
      <c r="G122" s="22">
        <v>7029.5</v>
      </c>
      <c r="L122" s="2">
        <v>583.4</v>
      </c>
      <c r="M122" s="2" t="s">
        <v>359</v>
      </c>
      <c r="N122" s="2" t="s">
        <v>354</v>
      </c>
      <c r="O122" s="2">
        <v>294.0</v>
      </c>
      <c r="P122" s="2" t="s">
        <v>467</v>
      </c>
    </row>
    <row r="123" ht="22.5" customHeight="1">
      <c r="A123" s="18" t="s">
        <v>364</v>
      </c>
      <c r="B123" s="2" t="s">
        <v>468</v>
      </c>
      <c r="C123" s="4" t="s">
        <v>20</v>
      </c>
      <c r="D123" s="4" t="s">
        <v>21</v>
      </c>
      <c r="F123" s="5"/>
      <c r="G123" s="2">
        <v>400.0</v>
      </c>
      <c r="L123" s="2">
        <v>7029.5</v>
      </c>
      <c r="M123" s="2" t="s">
        <v>359</v>
      </c>
      <c r="N123" s="2" t="s">
        <v>354</v>
      </c>
      <c r="O123" s="2">
        <v>294.0</v>
      </c>
      <c r="P123" s="2" t="s">
        <v>467</v>
      </c>
    </row>
    <row r="124" ht="22.5" customHeight="1">
      <c r="A124" s="18" t="s">
        <v>469</v>
      </c>
      <c r="B124" s="2" t="s">
        <v>470</v>
      </c>
      <c r="C124" s="4" t="s">
        <v>31</v>
      </c>
      <c r="D124" s="4"/>
      <c r="E124" s="4"/>
      <c r="F124" s="11"/>
      <c r="G124" s="16">
        <v>5921.68</v>
      </c>
      <c r="H124" s="4"/>
      <c r="I124" s="4"/>
      <c r="J124" s="4"/>
      <c r="K124" s="4"/>
      <c r="L124" s="4"/>
      <c r="M124" s="4" t="s">
        <v>359</v>
      </c>
      <c r="N124" s="4"/>
      <c r="O124" s="4"/>
      <c r="P124" s="4"/>
      <c r="Q124" s="4"/>
      <c r="R124" s="4"/>
      <c r="S124" s="4"/>
    </row>
    <row r="125" ht="22.5" customHeight="1">
      <c r="A125" s="18" t="s">
        <v>471</v>
      </c>
      <c r="B125" s="23" t="s">
        <v>472</v>
      </c>
      <c r="C125" s="4" t="s">
        <v>31</v>
      </c>
      <c r="D125" s="12" t="s">
        <v>54</v>
      </c>
      <c r="F125" s="5"/>
      <c r="G125" s="4">
        <v>1791.570667</v>
      </c>
      <c r="L125" s="2">
        <v>5921.68</v>
      </c>
      <c r="M125" s="2" t="s">
        <v>359</v>
      </c>
      <c r="N125" s="2" t="s">
        <v>354</v>
      </c>
      <c r="O125" s="2">
        <v>283.0</v>
      </c>
      <c r="P125" s="2" t="s">
        <v>469</v>
      </c>
    </row>
    <row r="126" ht="22.5" customHeight="1">
      <c r="A126" s="18" t="s">
        <v>471</v>
      </c>
      <c r="B126" s="23" t="s">
        <v>472</v>
      </c>
      <c r="C126" s="4" t="s">
        <v>31</v>
      </c>
      <c r="D126" s="12" t="s">
        <v>98</v>
      </c>
      <c r="F126" s="5"/>
      <c r="G126" s="4">
        <v>127.9693333</v>
      </c>
      <c r="L126" s="2">
        <v>5000.0</v>
      </c>
      <c r="M126" s="2" t="s">
        <v>359</v>
      </c>
      <c r="N126" s="2" t="s">
        <v>354</v>
      </c>
      <c r="O126" s="2">
        <v>283.0</v>
      </c>
      <c r="P126" s="2" t="s">
        <v>469</v>
      </c>
    </row>
    <row r="127" ht="22.5" customHeight="1">
      <c r="A127" s="18" t="s">
        <v>471</v>
      </c>
      <c r="B127" s="23" t="s">
        <v>472</v>
      </c>
      <c r="C127" s="4" t="s">
        <v>20</v>
      </c>
      <c r="D127" s="12" t="s">
        <v>21</v>
      </c>
      <c r="F127" s="5"/>
      <c r="G127" s="4">
        <v>2431.417333</v>
      </c>
      <c r="L127" s="2"/>
      <c r="M127" s="2" t="s">
        <v>359</v>
      </c>
      <c r="N127" s="2"/>
      <c r="O127" s="2"/>
      <c r="P127" s="2"/>
    </row>
    <row r="128" ht="22.5" customHeight="1">
      <c r="A128" s="18" t="s">
        <v>471</v>
      </c>
      <c r="B128" s="23" t="s">
        <v>472</v>
      </c>
      <c r="C128" s="4" t="s">
        <v>31</v>
      </c>
      <c r="D128" s="12" t="s">
        <v>187</v>
      </c>
      <c r="F128" s="5"/>
      <c r="G128" s="4">
        <v>341.2515556</v>
      </c>
      <c r="L128" s="2"/>
      <c r="M128" s="2" t="s">
        <v>359</v>
      </c>
      <c r="N128" s="2"/>
      <c r="O128" s="2"/>
      <c r="P128" s="2"/>
    </row>
    <row r="129" ht="22.5" customHeight="1">
      <c r="A129" s="18" t="s">
        <v>471</v>
      </c>
      <c r="B129" s="23" t="s">
        <v>472</v>
      </c>
      <c r="C129" s="4" t="s">
        <v>31</v>
      </c>
      <c r="D129" s="12" t="s">
        <v>38</v>
      </c>
      <c r="F129" s="5"/>
      <c r="G129" s="4">
        <v>191.954</v>
      </c>
      <c r="L129" s="2"/>
      <c r="M129" s="2" t="s">
        <v>359</v>
      </c>
      <c r="N129" s="2"/>
      <c r="O129" s="2"/>
      <c r="P129" s="2"/>
    </row>
    <row r="130" ht="22.5" customHeight="1">
      <c r="A130" s="18" t="s">
        <v>471</v>
      </c>
      <c r="B130" s="23" t="s">
        <v>472</v>
      </c>
      <c r="C130" s="4" t="s">
        <v>31</v>
      </c>
      <c r="D130" s="12" t="s">
        <v>47</v>
      </c>
      <c r="F130" s="5"/>
      <c r="G130" s="4">
        <v>682.5031111</v>
      </c>
      <c r="L130" s="2"/>
      <c r="M130" s="2" t="s">
        <v>359</v>
      </c>
      <c r="N130" s="2"/>
      <c r="O130" s="2"/>
      <c r="P130" s="2"/>
    </row>
    <row r="131" ht="22.5" customHeight="1">
      <c r="A131" s="18" t="s">
        <v>471</v>
      </c>
      <c r="B131" s="23" t="s">
        <v>472</v>
      </c>
      <c r="C131" s="4" t="s">
        <v>31</v>
      </c>
      <c r="D131" s="12" t="s">
        <v>113</v>
      </c>
      <c r="F131" s="5"/>
      <c r="G131" s="4">
        <v>191.954</v>
      </c>
      <c r="L131" s="2"/>
      <c r="M131" s="2" t="s">
        <v>359</v>
      </c>
      <c r="N131" s="2"/>
      <c r="O131" s="2"/>
      <c r="P131" s="2"/>
    </row>
    <row r="132" ht="22.5" customHeight="1">
      <c r="A132" s="18" t="s">
        <v>471</v>
      </c>
      <c r="B132" s="2" t="s">
        <v>473</v>
      </c>
      <c r="C132" s="4" t="s">
        <v>474</v>
      </c>
      <c r="D132" s="4" t="s">
        <v>371</v>
      </c>
      <c r="F132" s="5"/>
      <c r="G132" s="2">
        <v>6425.56</v>
      </c>
      <c r="L132" s="2">
        <v>1618.88</v>
      </c>
      <c r="M132" s="2" t="s">
        <v>359</v>
      </c>
      <c r="N132" s="2" t="s">
        <v>354</v>
      </c>
      <c r="O132" s="2">
        <v>286.0</v>
      </c>
      <c r="P132" s="2" t="s">
        <v>475</v>
      </c>
    </row>
    <row r="133" ht="22.5" customHeight="1">
      <c r="A133" s="2" t="s">
        <v>471</v>
      </c>
      <c r="B133" s="2" t="s">
        <v>476</v>
      </c>
      <c r="C133" s="4" t="s">
        <v>474</v>
      </c>
      <c r="D133" s="4" t="s">
        <v>371</v>
      </c>
      <c r="F133" s="5"/>
      <c r="G133" s="2">
        <v>934.0</v>
      </c>
      <c r="L133" s="2">
        <v>6425.56</v>
      </c>
      <c r="M133" s="2" t="s">
        <v>359</v>
      </c>
      <c r="N133" s="2" t="s">
        <v>354</v>
      </c>
      <c r="O133" s="2">
        <v>264.0</v>
      </c>
      <c r="P133" s="2" t="s">
        <v>393</v>
      </c>
    </row>
    <row r="134" ht="22.5" customHeight="1">
      <c r="A134" s="2" t="s">
        <v>471</v>
      </c>
      <c r="B134" s="2" t="s">
        <v>477</v>
      </c>
      <c r="C134" s="4" t="s">
        <v>20</v>
      </c>
      <c r="D134" s="4" t="s">
        <v>21</v>
      </c>
      <c r="F134" s="5"/>
      <c r="G134" s="2">
        <v>6397.41</v>
      </c>
      <c r="L134" s="2">
        <v>934.0</v>
      </c>
      <c r="M134" s="2" t="s">
        <v>359</v>
      </c>
      <c r="N134" s="2" t="s">
        <v>354</v>
      </c>
      <c r="O134" s="2">
        <v>284.0</v>
      </c>
      <c r="P134" s="2" t="s">
        <v>393</v>
      </c>
    </row>
    <row r="135" ht="22.5" customHeight="1">
      <c r="A135" s="2" t="s">
        <v>471</v>
      </c>
      <c r="B135" s="2" t="s">
        <v>477</v>
      </c>
      <c r="C135" s="4" t="s">
        <v>20</v>
      </c>
      <c r="D135" s="4" t="s">
        <v>21</v>
      </c>
      <c r="F135" s="5"/>
      <c r="G135" s="2">
        <v>8505.17</v>
      </c>
      <c r="L135" s="2">
        <v>6397.41</v>
      </c>
      <c r="M135" s="2" t="s">
        <v>359</v>
      </c>
      <c r="N135" s="2" t="s">
        <v>354</v>
      </c>
      <c r="O135" s="2">
        <v>284.0</v>
      </c>
      <c r="P135" s="2" t="s">
        <v>393</v>
      </c>
    </row>
    <row r="136" ht="22.5" customHeight="1">
      <c r="A136" s="2" t="s">
        <v>471</v>
      </c>
      <c r="B136" s="2" t="s">
        <v>478</v>
      </c>
      <c r="C136" s="4" t="s">
        <v>20</v>
      </c>
      <c r="D136" s="4" t="s">
        <v>54</v>
      </c>
      <c r="F136" s="5"/>
      <c r="G136" s="9">
        <v>3370.7</v>
      </c>
      <c r="L136" s="2">
        <v>8505.17</v>
      </c>
      <c r="M136" s="2" t="s">
        <v>359</v>
      </c>
      <c r="N136" s="2" t="s">
        <v>354</v>
      </c>
      <c r="O136" s="2">
        <v>284.0</v>
      </c>
      <c r="P136" s="2" t="s">
        <v>393</v>
      </c>
    </row>
    <row r="137" ht="22.5" customHeight="1">
      <c r="A137" s="2" t="s">
        <v>479</v>
      </c>
      <c r="B137" s="2" t="s">
        <v>480</v>
      </c>
      <c r="C137" s="4" t="s">
        <v>20</v>
      </c>
      <c r="D137" s="4" t="s">
        <v>21</v>
      </c>
      <c r="F137" s="5"/>
      <c r="G137" s="22">
        <v>1614.2</v>
      </c>
      <c r="L137" s="2">
        <v>1614.2</v>
      </c>
      <c r="M137" s="2" t="s">
        <v>359</v>
      </c>
      <c r="N137" s="2" t="s">
        <v>354</v>
      </c>
      <c r="O137" s="2">
        <v>285.0</v>
      </c>
      <c r="P137" s="2" t="s">
        <v>479</v>
      </c>
    </row>
    <row r="138" ht="22.5" customHeight="1">
      <c r="A138" s="2" t="s">
        <v>479</v>
      </c>
      <c r="B138" s="2" t="s">
        <v>480</v>
      </c>
      <c r="C138" s="4" t="s">
        <v>20</v>
      </c>
      <c r="D138" s="4" t="s">
        <v>21</v>
      </c>
      <c r="F138" s="5"/>
      <c r="G138" s="21">
        <v>8686.68</v>
      </c>
      <c r="L138" s="2">
        <v>8686.68</v>
      </c>
      <c r="M138" s="2" t="s">
        <v>359</v>
      </c>
      <c r="N138" s="2" t="s">
        <v>354</v>
      </c>
      <c r="O138" s="2">
        <v>285.0</v>
      </c>
      <c r="P138" s="2" t="s">
        <v>479</v>
      </c>
    </row>
    <row r="139" ht="22.5" customHeight="1">
      <c r="A139" s="2" t="s">
        <v>479</v>
      </c>
      <c r="B139" s="2" t="s">
        <v>480</v>
      </c>
      <c r="C139" s="4" t="s">
        <v>20</v>
      </c>
      <c r="D139" s="4" t="s">
        <v>21</v>
      </c>
      <c r="F139" s="5"/>
      <c r="G139" s="22">
        <v>12420.34</v>
      </c>
      <c r="L139" s="2">
        <v>12420.34</v>
      </c>
      <c r="M139" s="2" t="s">
        <v>359</v>
      </c>
      <c r="N139" s="2" t="s">
        <v>354</v>
      </c>
      <c r="O139" s="2">
        <v>285.0</v>
      </c>
      <c r="P139" s="2" t="s">
        <v>479</v>
      </c>
    </row>
    <row r="140" ht="22.5" customHeight="1">
      <c r="A140" s="2" t="s">
        <v>479</v>
      </c>
      <c r="B140" s="2" t="s">
        <v>480</v>
      </c>
      <c r="C140" s="4" t="s">
        <v>20</v>
      </c>
      <c r="D140" s="4" t="s">
        <v>21</v>
      </c>
      <c r="F140" s="5"/>
      <c r="G140" s="21">
        <v>14372.07</v>
      </c>
      <c r="L140" s="2">
        <v>14372.07</v>
      </c>
      <c r="M140" s="2" t="s">
        <v>359</v>
      </c>
      <c r="N140" s="2" t="s">
        <v>354</v>
      </c>
      <c r="O140" s="2">
        <v>285.0</v>
      </c>
      <c r="P140" s="2" t="s">
        <v>479</v>
      </c>
    </row>
    <row r="141" ht="22.5" customHeight="1">
      <c r="A141" s="2" t="s">
        <v>479</v>
      </c>
      <c r="B141" s="2" t="s">
        <v>480</v>
      </c>
      <c r="C141" s="4" t="s">
        <v>20</v>
      </c>
      <c r="D141" s="4" t="s">
        <v>21</v>
      </c>
      <c r="F141" s="5"/>
      <c r="G141" s="22">
        <v>15416.65</v>
      </c>
      <c r="L141" s="2">
        <v>1614.2</v>
      </c>
      <c r="M141" s="2" t="s">
        <v>359</v>
      </c>
      <c r="N141" s="2" t="s">
        <v>354</v>
      </c>
      <c r="O141" s="2">
        <v>285.0</v>
      </c>
      <c r="P141" s="2" t="s">
        <v>479</v>
      </c>
    </row>
    <row r="142" ht="22.5" customHeight="1">
      <c r="A142" s="4" t="s">
        <v>437</v>
      </c>
      <c r="B142" s="2" t="s">
        <v>481</v>
      </c>
      <c r="C142" s="4" t="s">
        <v>20</v>
      </c>
      <c r="D142" s="4" t="s">
        <v>21</v>
      </c>
      <c r="F142" s="5"/>
      <c r="G142" s="2">
        <v>8000.0</v>
      </c>
      <c r="L142" s="2">
        <v>15416.65</v>
      </c>
      <c r="M142" s="2" t="s">
        <v>359</v>
      </c>
      <c r="N142" s="2" t="s">
        <v>354</v>
      </c>
      <c r="O142" s="2">
        <v>285.0</v>
      </c>
      <c r="P142" s="2" t="s">
        <v>479</v>
      </c>
    </row>
    <row r="143" ht="22.5" customHeight="1">
      <c r="A143" s="2" t="s">
        <v>1565</v>
      </c>
      <c r="B143" s="2" t="s">
        <v>429</v>
      </c>
      <c r="C143" s="4" t="s">
        <v>474</v>
      </c>
      <c r="F143" s="5"/>
      <c r="G143" s="2">
        <v>6213.65</v>
      </c>
      <c r="L143" s="2">
        <v>6213.65</v>
      </c>
      <c r="M143" s="2" t="s">
        <v>359</v>
      </c>
      <c r="N143" s="2" t="s">
        <v>354</v>
      </c>
      <c r="O143" s="2">
        <v>502.0</v>
      </c>
      <c r="P143" s="2" t="s">
        <v>482</v>
      </c>
    </row>
    <row r="144" ht="22.5" customHeight="1">
      <c r="A144" s="18" t="s">
        <v>483</v>
      </c>
      <c r="B144" s="4" t="s">
        <v>484</v>
      </c>
      <c r="C144" s="4" t="s">
        <v>457</v>
      </c>
      <c r="D144" s="4"/>
      <c r="E144" s="4"/>
      <c r="F144" s="11"/>
      <c r="G144" s="4">
        <v>31802.26</v>
      </c>
      <c r="H144" s="4"/>
      <c r="I144" s="4"/>
      <c r="J144" s="4"/>
      <c r="K144" s="4"/>
      <c r="L144" s="4">
        <v>31802.26</v>
      </c>
      <c r="M144" s="4" t="s">
        <v>486</v>
      </c>
      <c r="N144" s="4" t="s">
        <v>408</v>
      </c>
      <c r="O144" s="4">
        <v>7.0</v>
      </c>
      <c r="P144" s="4" t="s">
        <v>487</v>
      </c>
      <c r="Q144" s="4"/>
      <c r="R144" s="4"/>
      <c r="S144" s="4"/>
    </row>
    <row r="145" ht="22.5" customHeight="1">
      <c r="A145" s="18" t="s">
        <v>403</v>
      </c>
      <c r="B145" s="4" t="s">
        <v>484</v>
      </c>
      <c r="C145" s="4" t="s">
        <v>457</v>
      </c>
      <c r="D145" s="4"/>
      <c r="E145" s="4"/>
      <c r="F145" s="11"/>
      <c r="G145" s="4">
        <v>78740.0</v>
      </c>
      <c r="H145" s="4"/>
      <c r="I145" s="4"/>
      <c r="J145" s="4"/>
      <c r="K145" s="4"/>
      <c r="L145" s="4">
        <v>78740.0</v>
      </c>
      <c r="M145" s="4" t="s">
        <v>486</v>
      </c>
      <c r="N145" s="4" t="s">
        <v>408</v>
      </c>
      <c r="O145" s="4">
        <v>7.0</v>
      </c>
      <c r="P145" s="4" t="s">
        <v>409</v>
      </c>
      <c r="Q145" s="4"/>
      <c r="R145" s="4"/>
      <c r="S145" s="4"/>
    </row>
    <row r="146" ht="22.5" customHeight="1">
      <c r="A146" s="2" t="s">
        <v>483</v>
      </c>
      <c r="B146" s="2" t="s">
        <v>488</v>
      </c>
      <c r="C146" s="2" t="s">
        <v>31</v>
      </c>
      <c r="F146" s="5"/>
      <c r="G146" s="2">
        <v>86206.9</v>
      </c>
      <c r="L146" s="2">
        <v>86206.9</v>
      </c>
      <c r="M146" s="2" t="s">
        <v>359</v>
      </c>
      <c r="N146" s="2" t="s">
        <v>354</v>
      </c>
      <c r="O146" s="2">
        <v>288.0</v>
      </c>
      <c r="P146" s="2" t="s">
        <v>397</v>
      </c>
    </row>
    <row r="147" ht="22.5" customHeight="1">
      <c r="A147" s="2" t="s">
        <v>483</v>
      </c>
      <c r="B147" s="2" t="s">
        <v>489</v>
      </c>
      <c r="C147" s="2" t="s">
        <v>31</v>
      </c>
      <c r="F147" s="5"/>
      <c r="G147" s="22">
        <v>7343.97</v>
      </c>
      <c r="L147" s="2">
        <v>7343.97</v>
      </c>
      <c r="M147" s="2" t="s">
        <v>359</v>
      </c>
      <c r="N147" s="2" t="s">
        <v>354</v>
      </c>
      <c r="O147" s="2">
        <v>272.0</v>
      </c>
      <c r="P147" s="2" t="s">
        <v>367</v>
      </c>
    </row>
    <row r="148" ht="22.5" customHeight="1">
      <c r="A148" s="2" t="s">
        <v>483</v>
      </c>
      <c r="B148" s="2" t="s">
        <v>490</v>
      </c>
      <c r="C148" s="2" t="s">
        <v>31</v>
      </c>
      <c r="F148" s="5"/>
      <c r="G148" s="21">
        <v>8900.0</v>
      </c>
      <c r="L148" s="2">
        <v>8900.0</v>
      </c>
      <c r="M148" s="2" t="s">
        <v>359</v>
      </c>
      <c r="N148" s="2" t="s">
        <v>354</v>
      </c>
      <c r="O148" s="2">
        <v>272.0</v>
      </c>
      <c r="P148" s="2" t="s">
        <v>367</v>
      </c>
    </row>
    <row r="149" ht="22.5" customHeight="1">
      <c r="A149" s="2" t="s">
        <v>483</v>
      </c>
      <c r="B149" s="2" t="s">
        <v>491</v>
      </c>
      <c r="C149" s="2" t="s">
        <v>31</v>
      </c>
      <c r="F149" s="5"/>
      <c r="G149" s="22">
        <v>114992.67</v>
      </c>
      <c r="L149" s="2">
        <v>114992.67</v>
      </c>
      <c r="M149" s="2" t="s">
        <v>359</v>
      </c>
      <c r="N149" s="2" t="s">
        <v>354</v>
      </c>
      <c r="O149" s="2">
        <v>272.0</v>
      </c>
      <c r="P149" s="2" t="s">
        <v>367</v>
      </c>
    </row>
    <row r="150" ht="22.5" customHeight="1">
      <c r="A150" s="2" t="s">
        <v>483</v>
      </c>
      <c r="B150" s="2" t="s">
        <v>492</v>
      </c>
      <c r="C150" s="2" t="s">
        <v>31</v>
      </c>
      <c r="D150" s="4" t="s">
        <v>371</v>
      </c>
      <c r="F150" s="5"/>
      <c r="G150" s="21">
        <v>17.24</v>
      </c>
      <c r="L150" s="2">
        <v>17.24</v>
      </c>
      <c r="M150" s="2" t="s">
        <v>359</v>
      </c>
      <c r="N150" s="2" t="s">
        <v>354</v>
      </c>
      <c r="O150" s="2">
        <v>290.0</v>
      </c>
      <c r="P150" s="2" t="s">
        <v>493</v>
      </c>
    </row>
    <row r="151" ht="22.5" customHeight="1">
      <c r="A151" s="4" t="s">
        <v>483</v>
      </c>
      <c r="B151" s="2" t="s">
        <v>494</v>
      </c>
      <c r="C151" s="4" t="s">
        <v>495</v>
      </c>
      <c r="D151" s="4" t="s">
        <v>485</v>
      </c>
      <c r="F151" s="5"/>
      <c r="G151" s="22">
        <v>7067.24</v>
      </c>
      <c r="L151" s="2">
        <v>46093.1</v>
      </c>
      <c r="M151" s="2" t="s">
        <v>359</v>
      </c>
      <c r="N151" s="2" t="s">
        <v>354</v>
      </c>
      <c r="O151" s="2">
        <v>282.0</v>
      </c>
      <c r="P151" s="2" t="s">
        <v>385</v>
      </c>
    </row>
    <row r="152" ht="22.5" customHeight="1">
      <c r="A152" s="2" t="s">
        <v>483</v>
      </c>
      <c r="B152" s="2" t="s">
        <v>496</v>
      </c>
      <c r="C152" s="2" t="s">
        <v>31</v>
      </c>
      <c r="D152" s="4" t="s">
        <v>371</v>
      </c>
      <c r="F152" s="5"/>
      <c r="G152" s="2">
        <v>3052.96</v>
      </c>
      <c r="L152" s="2">
        <v>7067.24</v>
      </c>
      <c r="M152" s="2" t="s">
        <v>497</v>
      </c>
      <c r="N152" s="2" t="s">
        <v>408</v>
      </c>
      <c r="O152" s="2">
        <v>106.0</v>
      </c>
      <c r="P152" s="2" t="s">
        <v>385</v>
      </c>
    </row>
    <row r="153" ht="22.5" customHeight="1">
      <c r="A153" s="2" t="s">
        <v>483</v>
      </c>
      <c r="B153" s="2" t="s">
        <v>496</v>
      </c>
      <c r="C153" s="2" t="s">
        <v>31</v>
      </c>
      <c r="D153" s="4" t="s">
        <v>371</v>
      </c>
      <c r="F153" s="5"/>
      <c r="G153" s="2">
        <v>14460.38</v>
      </c>
      <c r="L153" s="2">
        <v>3052.96</v>
      </c>
      <c r="M153" s="2" t="s">
        <v>498</v>
      </c>
      <c r="N153" s="2" t="s">
        <v>408</v>
      </c>
      <c r="O153" s="2">
        <v>220.0</v>
      </c>
      <c r="P153" s="2" t="s">
        <v>385</v>
      </c>
    </row>
    <row r="154" ht="22.5" customHeight="1">
      <c r="A154" s="2" t="s">
        <v>483</v>
      </c>
      <c r="B154" s="2" t="s">
        <v>496</v>
      </c>
      <c r="C154" s="2" t="s">
        <v>31</v>
      </c>
      <c r="D154" s="4" t="s">
        <v>371</v>
      </c>
      <c r="F154" s="5"/>
      <c r="G154" s="2">
        <v>28237.34</v>
      </c>
      <c r="L154" s="2">
        <v>14460.38</v>
      </c>
      <c r="M154" s="2" t="s">
        <v>498</v>
      </c>
      <c r="N154" s="2" t="s">
        <v>408</v>
      </c>
      <c r="O154" s="2">
        <v>235.0</v>
      </c>
      <c r="P154" s="2" t="s">
        <v>385</v>
      </c>
    </row>
    <row r="155" ht="22.5" customHeight="1">
      <c r="A155" s="2" t="s">
        <v>483</v>
      </c>
      <c r="B155" s="2" t="s">
        <v>496</v>
      </c>
      <c r="C155" s="2" t="s">
        <v>31</v>
      </c>
      <c r="D155" s="4" t="s">
        <v>371</v>
      </c>
      <c r="F155" s="5"/>
      <c r="G155" s="2">
        <v>6454.65</v>
      </c>
      <c r="L155" s="2">
        <v>28237.34</v>
      </c>
      <c r="M155" s="2" t="s">
        <v>498</v>
      </c>
      <c r="N155" s="2" t="s">
        <v>408</v>
      </c>
      <c r="O155" s="2">
        <v>236.0</v>
      </c>
      <c r="P155" s="2" t="s">
        <v>385</v>
      </c>
    </row>
    <row r="156" ht="22.5" customHeight="1">
      <c r="A156" s="2" t="s">
        <v>483</v>
      </c>
      <c r="B156" s="2" t="s">
        <v>496</v>
      </c>
      <c r="C156" s="2" t="s">
        <v>31</v>
      </c>
      <c r="D156" s="4" t="s">
        <v>371</v>
      </c>
      <c r="F156" s="5"/>
      <c r="G156" s="2">
        <v>2422.94</v>
      </c>
      <c r="L156" s="2">
        <v>6454.65</v>
      </c>
      <c r="M156" s="2" t="s">
        <v>411</v>
      </c>
      <c r="N156" s="2" t="s">
        <v>408</v>
      </c>
      <c r="O156" s="2">
        <v>237.0</v>
      </c>
      <c r="P156" s="2" t="s">
        <v>385</v>
      </c>
    </row>
    <row r="157" ht="22.5" customHeight="1">
      <c r="A157" s="2" t="s">
        <v>483</v>
      </c>
      <c r="B157" s="2" t="s">
        <v>499</v>
      </c>
      <c r="C157" s="2" t="s">
        <v>31</v>
      </c>
      <c r="D157" s="4" t="s">
        <v>371</v>
      </c>
      <c r="F157" s="5"/>
      <c r="G157" s="2">
        <v>86195.46</v>
      </c>
      <c r="L157" s="2">
        <v>2422.94</v>
      </c>
      <c r="M157" s="2" t="s">
        <v>411</v>
      </c>
      <c r="N157" s="2" t="s">
        <v>408</v>
      </c>
      <c r="O157" s="2">
        <v>238.0</v>
      </c>
      <c r="P157" s="2" t="s">
        <v>385</v>
      </c>
    </row>
    <row r="158" ht="22.5" customHeight="1">
      <c r="A158" s="18" t="s">
        <v>385</v>
      </c>
      <c r="B158" s="2" t="s">
        <v>500</v>
      </c>
      <c r="C158" s="2" t="s">
        <v>31</v>
      </c>
      <c r="D158" s="4" t="s">
        <v>47</v>
      </c>
      <c r="F158" s="5"/>
      <c r="G158" s="9">
        <v>2478.51</v>
      </c>
      <c r="L158" s="2">
        <v>86195.46</v>
      </c>
      <c r="M158" s="2" t="s">
        <v>501</v>
      </c>
      <c r="N158" s="2" t="s">
        <v>408</v>
      </c>
      <c r="O158" s="2">
        <v>241.0</v>
      </c>
      <c r="P158" s="2" t="s">
        <v>385</v>
      </c>
    </row>
    <row r="159" ht="22.5" customHeight="1">
      <c r="A159" s="2" t="s">
        <v>483</v>
      </c>
      <c r="B159" s="2" t="s">
        <v>491</v>
      </c>
      <c r="C159" s="2" t="s">
        <v>31</v>
      </c>
      <c r="D159" s="4" t="s">
        <v>371</v>
      </c>
      <c r="F159" s="5"/>
      <c r="G159" s="9">
        <v>114992.67</v>
      </c>
      <c r="L159" s="2">
        <v>272.02</v>
      </c>
      <c r="M159" s="2" t="s">
        <v>486</v>
      </c>
      <c r="N159" s="2" t="s">
        <v>408</v>
      </c>
      <c r="O159" s="2">
        <v>200.0</v>
      </c>
      <c r="P159" s="2" t="s">
        <v>459</v>
      </c>
    </row>
    <row r="160" ht="22.5" customHeight="1">
      <c r="A160" s="18" t="s">
        <v>389</v>
      </c>
      <c r="B160" s="2" t="s">
        <v>502</v>
      </c>
      <c r="C160" s="4" t="s">
        <v>20</v>
      </c>
      <c r="D160" s="4" t="s">
        <v>21</v>
      </c>
      <c r="F160" s="5"/>
      <c r="G160" s="2">
        <v>14252.68</v>
      </c>
      <c r="L160" s="2">
        <v>0.01</v>
      </c>
      <c r="M160" s="2" t="s">
        <v>407</v>
      </c>
      <c r="N160" s="2" t="s">
        <v>408</v>
      </c>
      <c r="O160" s="2">
        <v>27.0</v>
      </c>
      <c r="P160" s="2" t="s">
        <v>459</v>
      </c>
    </row>
    <row r="161" ht="22.5" customHeight="1">
      <c r="A161" s="2" t="s">
        <v>483</v>
      </c>
      <c r="B161" s="2" t="s">
        <v>503</v>
      </c>
      <c r="C161" s="2" t="s">
        <v>31</v>
      </c>
      <c r="F161" s="5"/>
      <c r="G161" s="2">
        <v>1256.54</v>
      </c>
      <c r="L161" s="2">
        <v>1256.54</v>
      </c>
      <c r="M161" s="2" t="s">
        <v>498</v>
      </c>
      <c r="N161" s="2" t="s">
        <v>408</v>
      </c>
      <c r="O161" s="2">
        <v>234.0</v>
      </c>
      <c r="P161" s="2" t="s">
        <v>459</v>
      </c>
    </row>
    <row r="162" ht="22.5" customHeight="1">
      <c r="A162" s="2" t="s">
        <v>483</v>
      </c>
      <c r="B162" s="2" t="s">
        <v>480</v>
      </c>
      <c r="C162" s="2" t="s">
        <v>31</v>
      </c>
      <c r="F162" s="5"/>
      <c r="G162" s="2">
        <v>1121.46</v>
      </c>
      <c r="L162" s="2">
        <v>1121.46</v>
      </c>
      <c r="M162" s="2" t="s">
        <v>414</v>
      </c>
      <c r="N162" s="2" t="s">
        <v>408</v>
      </c>
      <c r="O162" s="2">
        <v>242.0</v>
      </c>
      <c r="P162" s="2" t="s">
        <v>459</v>
      </c>
    </row>
    <row r="163" ht="22.5" customHeight="1">
      <c r="A163" s="4" t="s">
        <v>483</v>
      </c>
      <c r="B163" s="4" t="s">
        <v>504</v>
      </c>
      <c r="C163" s="4" t="s">
        <v>31</v>
      </c>
      <c r="D163" s="4"/>
      <c r="E163" s="4"/>
      <c r="F163" s="11"/>
      <c r="G163" s="4">
        <v>126798.61</v>
      </c>
      <c r="H163" s="4"/>
      <c r="I163" s="4"/>
      <c r="J163" s="4"/>
      <c r="K163" s="4"/>
      <c r="L163" s="4">
        <v>126798.61</v>
      </c>
      <c r="M163" s="4" t="s">
        <v>486</v>
      </c>
      <c r="N163" s="4" t="s">
        <v>408</v>
      </c>
      <c r="O163" s="4">
        <v>200.0</v>
      </c>
      <c r="P163" s="4" t="s">
        <v>487</v>
      </c>
      <c r="Q163" s="4"/>
      <c r="R163" s="4"/>
      <c r="S163" s="4"/>
    </row>
    <row r="164" ht="22.5" customHeight="1">
      <c r="A164" s="4" t="s">
        <v>483</v>
      </c>
      <c r="B164" s="4" t="s">
        <v>494</v>
      </c>
      <c r="C164" s="4" t="s">
        <v>495</v>
      </c>
      <c r="D164" s="4" t="s">
        <v>485</v>
      </c>
      <c r="E164" s="4"/>
      <c r="F164" s="11"/>
      <c r="G164" s="4">
        <v>44066.6</v>
      </c>
      <c r="H164" s="4"/>
      <c r="I164" s="4"/>
      <c r="J164" s="4"/>
      <c r="K164" s="4"/>
      <c r="L164" s="4">
        <v>44066.6</v>
      </c>
      <c r="M164" s="4" t="s">
        <v>497</v>
      </c>
      <c r="N164" s="4" t="s">
        <v>408</v>
      </c>
      <c r="O164" s="4">
        <v>106.0</v>
      </c>
      <c r="P164" s="4" t="s">
        <v>487</v>
      </c>
      <c r="Q164" s="4"/>
      <c r="R164" s="4"/>
      <c r="S164" s="4"/>
    </row>
    <row r="165" ht="22.5" customHeight="1">
      <c r="A165" s="2" t="s">
        <v>505</v>
      </c>
      <c r="B165" s="2" t="s">
        <v>506</v>
      </c>
      <c r="C165" s="4" t="s">
        <v>20</v>
      </c>
      <c r="D165" s="4" t="s">
        <v>21</v>
      </c>
      <c r="F165" s="5"/>
      <c r="G165" s="2">
        <v>446.09</v>
      </c>
      <c r="L165" s="2">
        <v>446.09</v>
      </c>
      <c r="M165" s="2" t="s">
        <v>359</v>
      </c>
      <c r="N165" s="2" t="s">
        <v>354</v>
      </c>
      <c r="O165" s="2">
        <v>278.0</v>
      </c>
      <c r="P165" s="2" t="s">
        <v>437</v>
      </c>
    </row>
    <row r="166" ht="22.5" customHeight="1">
      <c r="A166" s="2" t="s">
        <v>505</v>
      </c>
      <c r="B166" s="2" t="s">
        <v>506</v>
      </c>
      <c r="C166" s="4" t="s">
        <v>20</v>
      </c>
      <c r="D166" s="4" t="s">
        <v>21</v>
      </c>
      <c r="F166" s="5"/>
      <c r="G166" s="2">
        <v>446.09</v>
      </c>
      <c r="L166" s="2">
        <v>446.09</v>
      </c>
      <c r="M166" s="2" t="s">
        <v>359</v>
      </c>
      <c r="N166" s="2" t="s">
        <v>354</v>
      </c>
      <c r="O166" s="2">
        <v>278.0</v>
      </c>
      <c r="P166" s="2" t="s">
        <v>437</v>
      </c>
    </row>
    <row r="167" ht="22.5" customHeight="1">
      <c r="A167" s="2" t="s">
        <v>508</v>
      </c>
      <c r="B167" s="2" t="s">
        <v>509</v>
      </c>
      <c r="C167" s="4" t="s">
        <v>20</v>
      </c>
      <c r="D167" s="4" t="s">
        <v>21</v>
      </c>
      <c r="F167" s="5"/>
      <c r="G167" s="2">
        <v>14653.38</v>
      </c>
      <c r="L167" s="2">
        <v>758.62</v>
      </c>
      <c r="M167" s="2" t="s">
        <v>359</v>
      </c>
      <c r="N167" s="2" t="s">
        <v>354</v>
      </c>
      <c r="O167" s="2">
        <v>283.0</v>
      </c>
      <c r="P167" s="2" t="s">
        <v>469</v>
      </c>
    </row>
    <row r="168" ht="22.5" customHeight="1">
      <c r="A168" s="2" t="s">
        <v>508</v>
      </c>
      <c r="B168" s="2" t="s">
        <v>510</v>
      </c>
      <c r="C168" s="4" t="s">
        <v>20</v>
      </c>
      <c r="D168" s="4" t="s">
        <v>21</v>
      </c>
      <c r="F168" s="5"/>
      <c r="G168" s="2">
        <v>3580.45</v>
      </c>
      <c r="L168" s="2">
        <v>14653.38</v>
      </c>
      <c r="M168" s="2" t="s">
        <v>359</v>
      </c>
      <c r="N168" s="2" t="s">
        <v>354</v>
      </c>
      <c r="O168" s="2">
        <v>266.0</v>
      </c>
      <c r="P168" s="2" t="s">
        <v>475</v>
      </c>
    </row>
    <row r="169" ht="22.5" customHeight="1">
      <c r="A169" s="2" t="s">
        <v>508</v>
      </c>
      <c r="B169" s="2" t="s">
        <v>511</v>
      </c>
      <c r="C169" s="4" t="s">
        <v>20</v>
      </c>
      <c r="D169" s="4" t="s">
        <v>21</v>
      </c>
      <c r="F169" s="5"/>
      <c r="G169" s="2">
        <v>13054.18</v>
      </c>
      <c r="L169" s="2">
        <v>3580.45</v>
      </c>
      <c r="M169" s="2" t="s">
        <v>359</v>
      </c>
      <c r="N169" s="2" t="s">
        <v>354</v>
      </c>
      <c r="O169" s="2">
        <v>286.0</v>
      </c>
      <c r="P169" s="2" t="s">
        <v>475</v>
      </c>
    </row>
    <row r="170" ht="22.5" customHeight="1">
      <c r="A170" s="2" t="s">
        <v>508</v>
      </c>
      <c r="B170" s="2" t="s">
        <v>512</v>
      </c>
      <c r="C170" s="4" t="s">
        <v>20</v>
      </c>
      <c r="D170" s="4" t="s">
        <v>21</v>
      </c>
      <c r="F170" s="5"/>
      <c r="G170" s="9">
        <v>1618.88</v>
      </c>
      <c r="L170" s="2">
        <v>13054.18</v>
      </c>
      <c r="M170" s="2" t="s">
        <v>359</v>
      </c>
      <c r="N170" s="2" t="s">
        <v>354</v>
      </c>
      <c r="O170" s="2">
        <v>286.0</v>
      </c>
      <c r="P170" s="2" t="s">
        <v>475</v>
      </c>
    </row>
    <row r="171" ht="22.5" customHeight="1">
      <c r="A171" s="4" t="s">
        <v>513</v>
      </c>
      <c r="B171" s="4" t="s">
        <v>514</v>
      </c>
      <c r="C171" s="4" t="s">
        <v>66</v>
      </c>
      <c r="D171" s="4" t="s">
        <v>485</v>
      </c>
      <c r="E171" s="4"/>
      <c r="F171" s="11"/>
      <c r="G171" s="4">
        <v>5557.72</v>
      </c>
      <c r="H171" s="4"/>
      <c r="I171" s="4"/>
      <c r="J171" s="4"/>
      <c r="K171" s="4"/>
      <c r="L171" s="4">
        <v>5557.72</v>
      </c>
      <c r="M171" s="4" t="s">
        <v>359</v>
      </c>
      <c r="N171" s="4" t="s">
        <v>408</v>
      </c>
      <c r="O171" s="4">
        <v>300.0</v>
      </c>
      <c r="P171" s="4" t="s">
        <v>515</v>
      </c>
      <c r="Q171" s="4"/>
      <c r="R171" s="4"/>
      <c r="S171" s="4"/>
    </row>
    <row r="172" ht="22.5" customHeight="1">
      <c r="A172" s="2" t="s">
        <v>516</v>
      </c>
      <c r="B172" s="2" t="s">
        <v>517</v>
      </c>
      <c r="C172" s="4" t="s">
        <v>31</v>
      </c>
      <c r="D172" s="4" t="s">
        <v>38</v>
      </c>
      <c r="F172" s="5"/>
      <c r="G172" s="2">
        <v>29000.0</v>
      </c>
      <c r="L172" s="2">
        <v>29000.0</v>
      </c>
      <c r="M172" s="2" t="s">
        <v>359</v>
      </c>
      <c r="N172" s="2" t="s">
        <v>354</v>
      </c>
      <c r="O172" s="2">
        <v>288.0</v>
      </c>
      <c r="P172" s="2" t="s">
        <v>397</v>
      </c>
    </row>
    <row r="173" ht="22.5" customHeight="1">
      <c r="A173" s="18" t="s">
        <v>451</v>
      </c>
      <c r="B173" s="2" t="s">
        <v>461</v>
      </c>
      <c r="C173" s="4" t="s">
        <v>20</v>
      </c>
      <c r="D173" s="4" t="s">
        <v>21</v>
      </c>
      <c r="F173" s="5"/>
      <c r="G173" s="4">
        <v>1000.0</v>
      </c>
      <c r="L173" s="2">
        <v>8208.0</v>
      </c>
      <c r="M173" s="2" t="s">
        <v>359</v>
      </c>
      <c r="N173" s="2" t="s">
        <v>354</v>
      </c>
      <c r="O173" s="2">
        <v>278.0</v>
      </c>
      <c r="P173" s="2" t="s">
        <v>437</v>
      </c>
    </row>
    <row r="174" ht="22.5" customHeight="1">
      <c r="A174" s="2" t="s">
        <v>440</v>
      </c>
      <c r="B174" s="2" t="s">
        <v>518</v>
      </c>
      <c r="C174" s="4" t="s">
        <v>31</v>
      </c>
      <c r="D174" s="4" t="s">
        <v>54</v>
      </c>
      <c r="F174" s="5"/>
      <c r="G174" s="2">
        <v>14595.06</v>
      </c>
      <c r="L174" s="2">
        <v>14595.06</v>
      </c>
      <c r="M174" s="2" t="s">
        <v>359</v>
      </c>
      <c r="N174" s="2" t="s">
        <v>354</v>
      </c>
      <c r="O174" s="2">
        <v>278.0</v>
      </c>
      <c r="P174" s="2" t="s">
        <v>437</v>
      </c>
    </row>
    <row r="175" ht="22.5" customHeight="1">
      <c r="A175" s="2" t="s">
        <v>440</v>
      </c>
      <c r="B175" s="2" t="s">
        <v>518</v>
      </c>
      <c r="C175" s="4" t="s">
        <v>31</v>
      </c>
      <c r="D175" s="4" t="s">
        <v>54</v>
      </c>
      <c r="F175" s="5"/>
      <c r="G175" s="2">
        <v>14595.06</v>
      </c>
      <c r="L175" s="2"/>
      <c r="M175" s="2" t="s">
        <v>359</v>
      </c>
      <c r="N175" s="2"/>
      <c r="O175" s="2"/>
      <c r="P175" s="2"/>
    </row>
    <row r="176" ht="22.5" customHeight="1">
      <c r="A176" s="4" t="s">
        <v>437</v>
      </c>
      <c r="B176" s="2" t="s">
        <v>443</v>
      </c>
      <c r="C176" s="4" t="s">
        <v>20</v>
      </c>
      <c r="D176" s="4" t="s">
        <v>21</v>
      </c>
      <c r="F176" s="5"/>
      <c r="G176" s="9">
        <v>4386.83</v>
      </c>
      <c r="L176" s="2">
        <v>14595.06</v>
      </c>
      <c r="M176" s="2" t="s">
        <v>359</v>
      </c>
      <c r="N176" s="2" t="s">
        <v>354</v>
      </c>
      <c r="O176" s="2">
        <v>278.0</v>
      </c>
      <c r="P176" s="2" t="s">
        <v>437</v>
      </c>
    </row>
    <row r="177" ht="22.5" customHeight="1">
      <c r="A177" s="2" t="s">
        <v>440</v>
      </c>
      <c r="B177" s="2" t="s">
        <v>524</v>
      </c>
      <c r="C177" s="4" t="s">
        <v>31</v>
      </c>
      <c r="D177" s="4" t="s">
        <v>54</v>
      </c>
      <c r="F177" s="5"/>
      <c r="G177" s="2">
        <v>67868.64</v>
      </c>
      <c r="L177" s="2">
        <v>67868.64</v>
      </c>
      <c r="M177" s="2" t="s">
        <v>359</v>
      </c>
      <c r="N177" s="2" t="s">
        <v>354</v>
      </c>
      <c r="O177" s="2">
        <v>267.0</v>
      </c>
      <c r="P177" s="2" t="s">
        <v>524</v>
      </c>
    </row>
    <row r="178" ht="22.5" customHeight="1">
      <c r="A178" s="2" t="s">
        <v>440</v>
      </c>
      <c r="B178" s="2" t="s">
        <v>387</v>
      </c>
      <c r="C178" s="4" t="s">
        <v>31</v>
      </c>
      <c r="D178" s="4" t="s">
        <v>54</v>
      </c>
      <c r="F178" s="5"/>
      <c r="G178" s="2">
        <v>64130.0</v>
      </c>
      <c r="L178" s="2">
        <v>64130.0</v>
      </c>
      <c r="M178" s="2" t="s">
        <v>359</v>
      </c>
      <c r="N178" s="2" t="s">
        <v>354</v>
      </c>
      <c r="O178" s="2">
        <v>291.0</v>
      </c>
      <c r="P178" s="2" t="s">
        <v>524</v>
      </c>
    </row>
    <row r="179" ht="22.5" customHeight="1">
      <c r="A179" s="2" t="s">
        <v>422</v>
      </c>
      <c r="B179" s="2" t="s">
        <v>525</v>
      </c>
      <c r="C179" s="2" t="s">
        <v>31</v>
      </c>
      <c r="F179" s="5"/>
      <c r="G179" s="2">
        <v>3608.33</v>
      </c>
      <c r="L179" s="2">
        <v>25000.0</v>
      </c>
      <c r="M179" s="2" t="s">
        <v>359</v>
      </c>
      <c r="N179" s="2" t="s">
        <v>354</v>
      </c>
      <c r="O179" s="2">
        <v>287.0</v>
      </c>
      <c r="P179" s="2" t="s">
        <v>422</v>
      </c>
    </row>
    <row r="180" ht="22.5" customHeight="1">
      <c r="A180" s="2" t="s">
        <v>422</v>
      </c>
      <c r="B180" s="2" t="s">
        <v>525</v>
      </c>
      <c r="C180" s="4" t="s">
        <v>31</v>
      </c>
      <c r="F180" s="5"/>
      <c r="G180" s="2">
        <v>53535.0</v>
      </c>
      <c r="L180" s="2">
        <v>3608.33</v>
      </c>
      <c r="M180" s="2" t="s">
        <v>526</v>
      </c>
      <c r="N180" s="2" t="s">
        <v>408</v>
      </c>
      <c r="O180" s="2">
        <v>2.0</v>
      </c>
      <c r="P180" s="2" t="s">
        <v>422</v>
      </c>
    </row>
    <row r="181" ht="22.5" customHeight="1">
      <c r="A181" s="2" t="s">
        <v>422</v>
      </c>
      <c r="B181" s="2" t="s">
        <v>527</v>
      </c>
      <c r="C181" s="4" t="s">
        <v>31</v>
      </c>
      <c r="F181" s="5"/>
      <c r="G181" s="9">
        <v>5700.83</v>
      </c>
      <c r="L181" s="2">
        <v>53535.0</v>
      </c>
      <c r="M181" s="2" t="s">
        <v>458</v>
      </c>
      <c r="N181" s="2" t="s">
        <v>408</v>
      </c>
      <c r="O181" s="2">
        <v>79.0</v>
      </c>
      <c r="P181" s="2" t="s">
        <v>422</v>
      </c>
    </row>
    <row r="182" ht="22.5" customHeight="1">
      <c r="A182" s="2" t="s">
        <v>528</v>
      </c>
      <c r="B182" s="2" t="s">
        <v>529</v>
      </c>
      <c r="C182" s="4" t="s">
        <v>31</v>
      </c>
      <c r="D182" s="9" t="s">
        <v>54</v>
      </c>
      <c r="F182" s="5"/>
      <c r="G182" s="4">
        <v>42625.90578</v>
      </c>
      <c r="L182" s="2">
        <v>15000.0</v>
      </c>
      <c r="M182" s="2" t="s">
        <v>359</v>
      </c>
      <c r="N182" s="2" t="s">
        <v>354</v>
      </c>
      <c r="O182" s="2">
        <v>290.0</v>
      </c>
      <c r="P182" s="2" t="s">
        <v>493</v>
      </c>
    </row>
    <row r="183" ht="22.5" customHeight="1">
      <c r="A183" s="2" t="s">
        <v>528</v>
      </c>
      <c r="B183" s="2" t="s">
        <v>530</v>
      </c>
      <c r="C183" s="4" t="s">
        <v>31</v>
      </c>
      <c r="D183" s="9" t="s">
        <v>98</v>
      </c>
      <c r="F183" s="5"/>
      <c r="G183" s="4">
        <v>3044.707556</v>
      </c>
      <c r="L183" s="2">
        <v>36844.28</v>
      </c>
      <c r="M183" s="2" t="s">
        <v>359</v>
      </c>
      <c r="N183" s="2" t="s">
        <v>354</v>
      </c>
      <c r="O183" s="2">
        <v>290.0</v>
      </c>
      <c r="P183" s="2" t="s">
        <v>493</v>
      </c>
    </row>
    <row r="184" ht="22.5" customHeight="1">
      <c r="A184" s="2" t="s">
        <v>528</v>
      </c>
      <c r="B184" s="2" t="s">
        <v>531</v>
      </c>
      <c r="C184" s="4" t="s">
        <v>20</v>
      </c>
      <c r="D184" s="9" t="s">
        <v>21</v>
      </c>
      <c r="F184" s="5"/>
      <c r="G184" s="4">
        <v>57849.44356</v>
      </c>
      <c r="L184" s="2">
        <v>473.28</v>
      </c>
      <c r="M184" s="2" t="s">
        <v>359</v>
      </c>
      <c r="N184" s="2" t="s">
        <v>354</v>
      </c>
      <c r="O184" s="2">
        <v>290.0</v>
      </c>
      <c r="P184" s="2" t="s">
        <v>493</v>
      </c>
    </row>
    <row r="185" ht="22.5" customHeight="1">
      <c r="A185" s="2" t="s">
        <v>528</v>
      </c>
      <c r="B185" s="2" t="s">
        <v>532</v>
      </c>
      <c r="C185" s="4" t="s">
        <v>31</v>
      </c>
      <c r="D185" s="9" t="s">
        <v>187</v>
      </c>
      <c r="F185" s="5"/>
      <c r="G185" s="4">
        <v>8119.220148</v>
      </c>
      <c r="L185" s="2">
        <v>688.79</v>
      </c>
      <c r="M185" s="2" t="s">
        <v>359</v>
      </c>
      <c r="N185" s="2" t="s">
        <v>354</v>
      </c>
      <c r="O185" s="2">
        <v>290.0</v>
      </c>
      <c r="P185" s="2" t="s">
        <v>493</v>
      </c>
    </row>
    <row r="186" ht="22.5" customHeight="1">
      <c r="A186" s="2" t="s">
        <v>528</v>
      </c>
      <c r="B186" s="2" t="s">
        <v>531</v>
      </c>
      <c r="C186" s="4" t="s">
        <v>31</v>
      </c>
      <c r="D186" s="9" t="s">
        <v>38</v>
      </c>
      <c r="F186" s="5"/>
      <c r="G186" s="4">
        <v>4567.061333</v>
      </c>
      <c r="L186" s="2">
        <v>194.39</v>
      </c>
      <c r="M186" s="2" t="s">
        <v>359</v>
      </c>
      <c r="N186" s="2" t="s">
        <v>354</v>
      </c>
      <c r="O186" s="2">
        <v>290.0</v>
      </c>
      <c r="P186" s="2" t="s">
        <v>493</v>
      </c>
    </row>
    <row r="187" ht="22.5" customHeight="1">
      <c r="A187" s="2" t="s">
        <v>528</v>
      </c>
      <c r="B187" s="2" t="s">
        <v>533</v>
      </c>
      <c r="C187" s="4" t="s">
        <v>31</v>
      </c>
      <c r="D187" s="9" t="s">
        <v>47</v>
      </c>
      <c r="F187" s="5"/>
      <c r="G187" s="4">
        <v>16238.4403</v>
      </c>
      <c r="L187" s="2">
        <v>473.28</v>
      </c>
      <c r="M187" s="2" t="s">
        <v>359</v>
      </c>
      <c r="N187" s="2" t="s">
        <v>354</v>
      </c>
      <c r="O187" s="2">
        <v>290.0</v>
      </c>
      <c r="P187" s="2" t="s">
        <v>493</v>
      </c>
    </row>
    <row r="188" ht="22.5" customHeight="1">
      <c r="A188" s="2" t="s">
        <v>528</v>
      </c>
      <c r="B188" s="2" t="s">
        <v>534</v>
      </c>
      <c r="C188" s="4" t="s">
        <v>31</v>
      </c>
      <c r="D188" s="9" t="s">
        <v>113</v>
      </c>
      <c r="F188" s="5"/>
      <c r="G188" s="4">
        <v>4567.061333</v>
      </c>
      <c r="L188" s="2">
        <v>86.52</v>
      </c>
      <c r="M188" s="2" t="s">
        <v>359</v>
      </c>
      <c r="N188" s="2" t="s">
        <v>354</v>
      </c>
      <c r="O188" s="2">
        <v>290.0</v>
      </c>
      <c r="P188" s="2" t="s">
        <v>493</v>
      </c>
    </row>
    <row r="189" ht="22.5" customHeight="1">
      <c r="A189" s="4" t="s">
        <v>528</v>
      </c>
      <c r="B189" s="2" t="s">
        <v>384</v>
      </c>
      <c r="C189" s="4" t="s">
        <v>31</v>
      </c>
      <c r="D189" s="4" t="s">
        <v>54</v>
      </c>
      <c r="F189" s="5"/>
      <c r="G189" s="2">
        <v>1227.1</v>
      </c>
      <c r="L189" s="2">
        <v>1227.1</v>
      </c>
      <c r="M189" s="2" t="s">
        <v>359</v>
      </c>
      <c r="N189" s="2" t="s">
        <v>354</v>
      </c>
      <c r="O189" s="2">
        <v>276.0</v>
      </c>
      <c r="P189" s="2" t="s">
        <v>385</v>
      </c>
    </row>
    <row r="190" ht="22.5" customHeight="1">
      <c r="A190" s="4" t="s">
        <v>528</v>
      </c>
      <c r="B190" s="2" t="s">
        <v>535</v>
      </c>
      <c r="C190" s="4" t="s">
        <v>31</v>
      </c>
      <c r="D190" s="4" t="s">
        <v>371</v>
      </c>
      <c r="F190" s="5"/>
      <c r="G190" s="22">
        <v>12551.3</v>
      </c>
      <c r="L190" s="22">
        <v>12551.3</v>
      </c>
      <c r="M190" s="2" t="s">
        <v>359</v>
      </c>
      <c r="N190" s="2" t="s">
        <v>354</v>
      </c>
      <c r="O190" s="2">
        <v>273.0</v>
      </c>
      <c r="P190" s="2" t="s">
        <v>391</v>
      </c>
    </row>
    <row r="191" ht="22.5" customHeight="1">
      <c r="A191" s="4" t="s">
        <v>528</v>
      </c>
      <c r="B191" s="2" t="s">
        <v>535</v>
      </c>
      <c r="C191" s="4" t="s">
        <v>31</v>
      </c>
      <c r="D191" s="4" t="s">
        <v>371</v>
      </c>
      <c r="F191" s="5"/>
      <c r="G191" s="21">
        <v>70700.0</v>
      </c>
      <c r="L191" s="21">
        <v>70700.0</v>
      </c>
      <c r="M191" s="2" t="s">
        <v>359</v>
      </c>
      <c r="N191" s="2" t="s">
        <v>354</v>
      </c>
      <c r="O191" s="2">
        <v>273.0</v>
      </c>
      <c r="P191" s="2" t="s">
        <v>391</v>
      </c>
    </row>
    <row r="192" ht="22.5" customHeight="1">
      <c r="A192" s="4" t="s">
        <v>536</v>
      </c>
      <c r="B192" s="2" t="s">
        <v>468</v>
      </c>
      <c r="C192" s="4" t="s">
        <v>20</v>
      </c>
      <c r="D192" s="4" t="s">
        <v>21</v>
      </c>
      <c r="F192" s="5"/>
      <c r="G192" s="2">
        <v>32000.0</v>
      </c>
      <c r="L192" s="2">
        <v>2478.51</v>
      </c>
      <c r="M192" s="2" t="s">
        <v>501</v>
      </c>
      <c r="N192" s="2" t="s">
        <v>408</v>
      </c>
      <c r="O192" s="2">
        <v>252.0</v>
      </c>
      <c r="P192" s="2" t="s">
        <v>385</v>
      </c>
    </row>
    <row r="193" ht="22.5" customHeight="1">
      <c r="A193" s="2" t="s">
        <v>536</v>
      </c>
      <c r="B193" s="2" t="s">
        <v>537</v>
      </c>
      <c r="C193" s="2" t="s">
        <v>20</v>
      </c>
      <c r="F193" s="5"/>
      <c r="G193" s="2">
        <v>6378.42</v>
      </c>
      <c r="L193" s="2">
        <v>32000.0</v>
      </c>
      <c r="M193" s="2" t="s">
        <v>359</v>
      </c>
      <c r="N193" s="2" t="s">
        <v>354</v>
      </c>
      <c r="O193" s="2">
        <v>292.0</v>
      </c>
      <c r="P193" s="2" t="s">
        <v>538</v>
      </c>
    </row>
    <row r="194" ht="22.5" customHeight="1">
      <c r="A194" s="18" t="s">
        <v>483</v>
      </c>
      <c r="B194" s="2" t="s">
        <v>504</v>
      </c>
      <c r="C194" s="4" t="s">
        <v>66</v>
      </c>
      <c r="F194" s="5"/>
      <c r="G194" s="2">
        <v>272.02</v>
      </c>
      <c r="L194" s="2">
        <v>400.0</v>
      </c>
      <c r="M194" s="2" t="s">
        <v>486</v>
      </c>
      <c r="N194" s="2" t="s">
        <v>408</v>
      </c>
      <c r="O194" s="2">
        <v>4.0</v>
      </c>
      <c r="P194" s="2" t="s">
        <v>459</v>
      </c>
    </row>
    <row r="195" ht="22.5" customHeight="1">
      <c r="A195" s="2" t="s">
        <v>467</v>
      </c>
      <c r="B195" s="2" t="s">
        <v>543</v>
      </c>
      <c r="C195" s="4" t="s">
        <v>31</v>
      </c>
      <c r="F195" s="5"/>
      <c r="G195" s="25">
        <v>4212.0</v>
      </c>
      <c r="L195" s="2">
        <v>6378.42</v>
      </c>
      <c r="M195" s="2" t="s">
        <v>359</v>
      </c>
      <c r="N195" s="2" t="s">
        <v>354</v>
      </c>
      <c r="O195" s="2">
        <v>269.0</v>
      </c>
      <c r="P195" s="2" t="s">
        <v>467</v>
      </c>
    </row>
    <row r="196" ht="22.5" customHeight="1">
      <c r="A196" s="2" t="s">
        <v>467</v>
      </c>
      <c r="B196" s="2" t="s">
        <v>543</v>
      </c>
      <c r="C196" s="4" t="s">
        <v>31</v>
      </c>
      <c r="F196" s="5"/>
      <c r="G196" s="21">
        <v>14762.0</v>
      </c>
      <c r="L196" s="2">
        <v>4212.0</v>
      </c>
      <c r="M196" s="2" t="s">
        <v>359</v>
      </c>
      <c r="N196" s="2" t="s">
        <v>354</v>
      </c>
      <c r="O196" s="2">
        <v>294.0</v>
      </c>
      <c r="P196" s="2" t="s">
        <v>467</v>
      </c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</row>
  </sheetData>
  <dataValidations>
    <dataValidation allowBlank="1" showDropDown="1" sqref="B2:B196 F2:F196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86"/>
    <col customWidth="1" min="2" max="2" width="40.86"/>
    <col customWidth="1" min="3" max="3" width="31.29"/>
    <col customWidth="1" min="4" max="4" width="19.14"/>
    <col customWidth="1" min="5" max="5" width="17.71"/>
    <col customWidth="1" min="6" max="6" width="40.86"/>
    <col customWidth="1" min="7" max="7" width="14.71"/>
    <col customWidth="1" min="8" max="8" width="14.86"/>
    <col customWidth="1" min="11" max="11" width="16.71"/>
    <col customWidth="1" min="16" max="16" width="14.57"/>
    <col customWidth="1" min="19" max="19" width="17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1178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ht="22.5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12269.305252</v>
      </c>
      <c r="H2" s="2" t="s">
        <v>24</v>
      </c>
    </row>
    <row r="3" ht="22.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3">
        <v>12620.029999999999</v>
      </c>
      <c r="H3" s="2" t="s">
        <v>25</v>
      </c>
    </row>
    <row r="4" ht="22.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3">
        <v>10861.391037000001</v>
      </c>
      <c r="H4" s="2" t="s">
        <v>26</v>
      </c>
    </row>
    <row r="5" ht="22.5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3">
        <v>10842.303</v>
      </c>
      <c r="H5" s="4" t="s">
        <v>27</v>
      </c>
    </row>
    <row r="6" ht="22.5" customHeight="1">
      <c r="A6" s="2" t="s">
        <v>18</v>
      </c>
      <c r="B6" s="2" t="s">
        <v>28</v>
      </c>
      <c r="C6" s="2" t="s">
        <v>20</v>
      </c>
      <c r="D6" s="2" t="s">
        <v>21</v>
      </c>
      <c r="E6" s="2" t="s">
        <v>22</v>
      </c>
      <c r="F6" s="2" t="s">
        <v>29</v>
      </c>
      <c r="G6" s="2">
        <v>24075.34956</v>
      </c>
      <c r="H6" s="2" t="s">
        <v>25</v>
      </c>
    </row>
    <row r="7" ht="22.5" customHeight="1">
      <c r="A7" s="2" t="s">
        <v>18</v>
      </c>
      <c r="B7" s="2" t="s">
        <v>28</v>
      </c>
      <c r="C7" s="2" t="s">
        <v>20</v>
      </c>
      <c r="D7" s="2" t="s">
        <v>21</v>
      </c>
      <c r="E7" s="2" t="s">
        <v>22</v>
      </c>
      <c r="F7" s="2" t="s">
        <v>29</v>
      </c>
      <c r="G7" s="2">
        <v>14312.5067</v>
      </c>
      <c r="H7" s="2" t="s">
        <v>26</v>
      </c>
    </row>
    <row r="8" ht="22.5" customHeight="1">
      <c r="A8" s="2" t="s">
        <v>18</v>
      </c>
      <c r="B8" s="2" t="s">
        <v>30</v>
      </c>
      <c r="C8" s="2" t="s">
        <v>31</v>
      </c>
      <c r="D8" s="2" t="s">
        <v>32</v>
      </c>
      <c r="F8" s="2" t="s">
        <v>33</v>
      </c>
      <c r="G8" s="2">
        <v>14378.847582</v>
      </c>
      <c r="H8" s="2" t="s">
        <v>24</v>
      </c>
    </row>
    <row r="9" ht="22.5" customHeight="1">
      <c r="A9" s="2" t="s">
        <v>18</v>
      </c>
      <c r="B9" s="2" t="s">
        <v>30</v>
      </c>
      <c r="C9" s="2" t="s">
        <v>31</v>
      </c>
      <c r="D9" s="2" t="s">
        <v>32</v>
      </c>
      <c r="F9" s="2" t="s">
        <v>33</v>
      </c>
      <c r="G9" s="2">
        <v>15993.282958</v>
      </c>
      <c r="H9" s="2" t="s">
        <v>25</v>
      </c>
    </row>
    <row r="10" ht="22.5" customHeight="1">
      <c r="A10" s="2" t="s">
        <v>18</v>
      </c>
      <c r="B10" s="2" t="s">
        <v>30</v>
      </c>
      <c r="C10" s="2" t="s">
        <v>31</v>
      </c>
      <c r="D10" s="2" t="s">
        <v>32</v>
      </c>
      <c r="F10" s="2" t="s">
        <v>33</v>
      </c>
      <c r="G10" s="2">
        <v>15770.15378</v>
      </c>
      <c r="H10" s="2" t="s">
        <v>26</v>
      </c>
    </row>
    <row r="11" ht="22.5" customHeight="1">
      <c r="A11" s="2" t="s">
        <v>18</v>
      </c>
      <c r="B11" s="2" t="s">
        <v>34</v>
      </c>
      <c r="C11" s="2" t="s">
        <v>20</v>
      </c>
      <c r="D11" s="2" t="s">
        <v>21</v>
      </c>
      <c r="E11" s="2" t="s">
        <v>1648</v>
      </c>
      <c r="F11" s="2" t="s">
        <v>36</v>
      </c>
      <c r="G11" s="2">
        <v>13779.069051</v>
      </c>
      <c r="H11" s="2" t="s">
        <v>25</v>
      </c>
    </row>
    <row r="12" ht="22.5" customHeight="1">
      <c r="A12" s="2" t="s">
        <v>18</v>
      </c>
      <c r="B12" s="2" t="s">
        <v>34</v>
      </c>
      <c r="C12" s="2" t="s">
        <v>20</v>
      </c>
      <c r="D12" s="2" t="s">
        <v>21</v>
      </c>
      <c r="E12" s="2" t="s">
        <v>1648</v>
      </c>
      <c r="F12" s="2" t="s">
        <v>36</v>
      </c>
      <c r="G12" s="2">
        <v>13493.097092</v>
      </c>
      <c r="H12" s="2" t="s">
        <v>26</v>
      </c>
    </row>
    <row r="13" ht="22.5" customHeight="1">
      <c r="A13" s="2" t="s">
        <v>18</v>
      </c>
      <c r="B13" s="2" t="s">
        <v>34</v>
      </c>
      <c r="C13" s="2" t="s">
        <v>20</v>
      </c>
      <c r="D13" s="2" t="s">
        <v>21</v>
      </c>
      <c r="E13" s="2" t="s">
        <v>1648</v>
      </c>
      <c r="F13" s="2" t="s">
        <v>36</v>
      </c>
      <c r="G13" s="2">
        <v>13751.39405</v>
      </c>
      <c r="H13" s="2" t="s">
        <v>24</v>
      </c>
    </row>
    <row r="14" ht="22.5" customHeight="1">
      <c r="A14" s="2" t="s">
        <v>18</v>
      </c>
      <c r="B14" s="2" t="s">
        <v>37</v>
      </c>
      <c r="C14" s="2" t="s">
        <v>31</v>
      </c>
      <c r="D14" s="2" t="s">
        <v>38</v>
      </c>
      <c r="F14" s="2" t="s">
        <v>39</v>
      </c>
      <c r="G14" s="2">
        <v>19234.552952</v>
      </c>
      <c r="H14" s="2" t="s">
        <v>24</v>
      </c>
    </row>
    <row r="15" ht="22.5" customHeight="1">
      <c r="A15" s="2" t="s">
        <v>18</v>
      </c>
      <c r="B15" s="2" t="s">
        <v>37</v>
      </c>
      <c r="C15" s="2" t="s">
        <v>31</v>
      </c>
      <c r="D15" s="2" t="s">
        <v>38</v>
      </c>
      <c r="F15" s="2" t="s">
        <v>39</v>
      </c>
      <c r="G15" s="2">
        <v>23356.67895</v>
      </c>
      <c r="H15" s="2" t="s">
        <v>25</v>
      </c>
    </row>
    <row r="16" ht="22.5" customHeight="1">
      <c r="A16" s="2" t="s">
        <v>18</v>
      </c>
      <c r="B16" s="2" t="s">
        <v>37</v>
      </c>
      <c r="C16" s="2" t="s">
        <v>31</v>
      </c>
      <c r="D16" s="2" t="s">
        <v>38</v>
      </c>
      <c r="F16" s="2" t="s">
        <v>39</v>
      </c>
      <c r="G16" s="2">
        <v>18896.20395</v>
      </c>
      <c r="H16" s="2" t="s">
        <v>26</v>
      </c>
    </row>
    <row r="17" ht="22.5" customHeight="1">
      <c r="A17" s="2" t="s">
        <v>18</v>
      </c>
      <c r="B17" s="2" t="s">
        <v>40</v>
      </c>
      <c r="C17" s="2" t="s">
        <v>20</v>
      </c>
      <c r="D17" s="2" t="s">
        <v>21</v>
      </c>
      <c r="E17" s="2" t="s">
        <v>41</v>
      </c>
      <c r="F17" s="2" t="s">
        <v>42</v>
      </c>
      <c r="G17" s="2">
        <v>11487.986067</v>
      </c>
      <c r="H17" s="2" t="s">
        <v>25</v>
      </c>
    </row>
    <row r="18" ht="22.5" customHeight="1">
      <c r="A18" s="2" t="s">
        <v>18</v>
      </c>
      <c r="B18" s="2" t="s">
        <v>40</v>
      </c>
      <c r="C18" s="2" t="s">
        <v>20</v>
      </c>
      <c r="D18" s="2" t="s">
        <v>21</v>
      </c>
      <c r="E18" s="2" t="s">
        <v>41</v>
      </c>
      <c r="F18" s="2" t="s">
        <v>42</v>
      </c>
      <c r="G18" s="2">
        <v>17785.736044</v>
      </c>
      <c r="H18" s="2" t="s">
        <v>26</v>
      </c>
    </row>
    <row r="19" ht="22.5" customHeight="1">
      <c r="A19" s="2" t="s">
        <v>18</v>
      </c>
      <c r="B19" s="2" t="s">
        <v>40</v>
      </c>
      <c r="C19" s="2" t="s">
        <v>20</v>
      </c>
      <c r="D19" s="2" t="s">
        <v>21</v>
      </c>
      <c r="E19" s="2" t="s">
        <v>41</v>
      </c>
      <c r="F19" s="2" t="s">
        <v>42</v>
      </c>
      <c r="G19" s="2">
        <v>18125.363418</v>
      </c>
      <c r="H19" s="2" t="s">
        <v>24</v>
      </c>
    </row>
    <row r="20" ht="22.5" customHeight="1">
      <c r="A20" s="2" t="s">
        <v>18</v>
      </c>
      <c r="B20" s="2" t="s">
        <v>43</v>
      </c>
      <c r="C20" s="2" t="s">
        <v>20</v>
      </c>
      <c r="D20" s="2" t="s">
        <v>21</v>
      </c>
      <c r="E20" s="2" t="s">
        <v>44</v>
      </c>
      <c r="F20" s="2" t="s">
        <v>45</v>
      </c>
      <c r="G20" s="2">
        <v>19431.20395</v>
      </c>
      <c r="H20" s="2" t="s">
        <v>26</v>
      </c>
    </row>
    <row r="21" ht="22.5" customHeight="1">
      <c r="A21" s="2" t="s">
        <v>18</v>
      </c>
      <c r="B21" s="2" t="s">
        <v>43</v>
      </c>
      <c r="C21" s="2" t="s">
        <v>20</v>
      </c>
      <c r="D21" s="2" t="s">
        <v>21</v>
      </c>
      <c r="E21" s="2" t="s">
        <v>44</v>
      </c>
      <c r="F21" s="2" t="s">
        <v>45</v>
      </c>
      <c r="G21" s="2">
        <v>19779.552952</v>
      </c>
      <c r="H21" s="2" t="s">
        <v>24</v>
      </c>
    </row>
    <row r="22" ht="22.5" customHeight="1">
      <c r="A22" s="2" t="s">
        <v>18</v>
      </c>
      <c r="B22" s="2" t="s">
        <v>43</v>
      </c>
      <c r="C22" s="2" t="s">
        <v>20</v>
      </c>
      <c r="D22" s="2" t="s">
        <v>21</v>
      </c>
      <c r="E22" s="2" t="s">
        <v>44</v>
      </c>
      <c r="F22" s="2" t="s">
        <v>45</v>
      </c>
      <c r="G22" s="3">
        <v>15802.44</v>
      </c>
      <c r="H22" s="2" t="s">
        <v>25</v>
      </c>
    </row>
    <row r="23" ht="22.5" customHeight="1">
      <c r="A23" s="2" t="s">
        <v>18</v>
      </c>
      <c r="B23" s="2" t="s">
        <v>43</v>
      </c>
      <c r="C23" s="2" t="s">
        <v>20</v>
      </c>
      <c r="D23" s="2" t="s">
        <v>21</v>
      </c>
      <c r="E23" s="2" t="s">
        <v>44</v>
      </c>
      <c r="F23" s="2" t="s">
        <v>45</v>
      </c>
      <c r="G23" s="3">
        <v>10060.439999999999</v>
      </c>
      <c r="H23" s="4" t="s">
        <v>27</v>
      </c>
    </row>
    <row r="24" ht="22.5" customHeight="1">
      <c r="A24" s="2" t="s">
        <v>18</v>
      </c>
      <c r="B24" s="2" t="s">
        <v>46</v>
      </c>
      <c r="C24" s="2" t="s">
        <v>31</v>
      </c>
      <c r="D24" s="2" t="s">
        <v>47</v>
      </c>
      <c r="F24" s="2" t="s">
        <v>48</v>
      </c>
      <c r="G24" s="2">
        <v>18848.225941</v>
      </c>
      <c r="H24" s="2" t="s">
        <v>26</v>
      </c>
    </row>
    <row r="25" ht="22.5" customHeight="1">
      <c r="A25" s="2" t="s">
        <v>18</v>
      </c>
      <c r="B25" s="2" t="s">
        <v>46</v>
      </c>
      <c r="C25" s="2" t="s">
        <v>31</v>
      </c>
      <c r="D25" s="2" t="s">
        <v>47</v>
      </c>
      <c r="F25" s="2" t="s">
        <v>48</v>
      </c>
      <c r="G25" s="2">
        <v>19080.558312</v>
      </c>
      <c r="H25" s="2" t="s">
        <v>25</v>
      </c>
    </row>
    <row r="26" ht="22.5" customHeight="1">
      <c r="A26" s="2" t="s">
        <v>18</v>
      </c>
      <c r="B26" s="2" t="s">
        <v>46</v>
      </c>
      <c r="C26" s="2" t="s">
        <v>31</v>
      </c>
      <c r="D26" s="2" t="s">
        <v>47</v>
      </c>
      <c r="F26" s="2" t="s">
        <v>48</v>
      </c>
      <c r="G26" s="2">
        <v>19207.062778</v>
      </c>
      <c r="H26" s="2" t="s">
        <v>24</v>
      </c>
    </row>
    <row r="27" ht="22.5" customHeight="1">
      <c r="A27" s="2" t="s">
        <v>18</v>
      </c>
      <c r="B27" s="2" t="s">
        <v>49</v>
      </c>
      <c r="C27" s="2" t="s">
        <v>31</v>
      </c>
      <c r="D27" s="2" t="s">
        <v>38</v>
      </c>
      <c r="F27" s="2" t="s">
        <v>50</v>
      </c>
      <c r="G27" s="2">
        <v>20193.28296</v>
      </c>
      <c r="H27" s="2" t="s">
        <v>25</v>
      </c>
    </row>
    <row r="28" ht="22.5" customHeight="1">
      <c r="A28" s="2" t="s">
        <v>18</v>
      </c>
      <c r="B28" s="2" t="s">
        <v>49</v>
      </c>
      <c r="C28" s="2" t="s">
        <v>31</v>
      </c>
      <c r="D28" s="2" t="s">
        <v>38</v>
      </c>
      <c r="F28" s="2" t="s">
        <v>50</v>
      </c>
      <c r="G28" s="2">
        <v>20050.153784</v>
      </c>
      <c r="H28" s="2" t="s">
        <v>26</v>
      </c>
    </row>
    <row r="29" ht="22.5" customHeight="1">
      <c r="A29" s="2" t="s">
        <v>18</v>
      </c>
      <c r="B29" s="2" t="s">
        <v>49</v>
      </c>
      <c r="C29" s="2" t="s">
        <v>31</v>
      </c>
      <c r="D29" s="2" t="s">
        <v>38</v>
      </c>
      <c r="F29" s="2" t="s">
        <v>50</v>
      </c>
      <c r="G29" s="2">
        <v>20427.17472</v>
      </c>
      <c r="H29" s="2" t="s">
        <v>24</v>
      </c>
    </row>
    <row r="30" ht="22.5" customHeight="1">
      <c r="A30" s="2" t="s">
        <v>18</v>
      </c>
      <c r="B30" s="2" t="s">
        <v>51</v>
      </c>
      <c r="C30" s="2" t="s">
        <v>20</v>
      </c>
      <c r="D30" s="2" t="s">
        <v>21</v>
      </c>
      <c r="E30" s="2" t="s">
        <v>35</v>
      </c>
      <c r="F30" s="2" t="s">
        <v>52</v>
      </c>
      <c r="G30" s="2">
        <v>8107.360929</v>
      </c>
      <c r="H30" s="2" t="s">
        <v>26</v>
      </c>
    </row>
    <row r="31" ht="22.5" customHeight="1">
      <c r="A31" s="2" t="s">
        <v>18</v>
      </c>
      <c r="B31" s="2" t="s">
        <v>51</v>
      </c>
      <c r="C31" s="2" t="s">
        <v>20</v>
      </c>
      <c r="D31" s="2" t="s">
        <v>21</v>
      </c>
      <c r="E31" s="2" t="s">
        <v>35</v>
      </c>
      <c r="F31" s="2" t="s">
        <v>52</v>
      </c>
      <c r="G31" s="3">
        <v>20303.010580000002</v>
      </c>
      <c r="H31" s="2" t="s">
        <v>25</v>
      </c>
    </row>
    <row r="32" ht="22.5" customHeight="1">
      <c r="A32" s="2" t="s">
        <v>18</v>
      </c>
      <c r="B32" s="2" t="s">
        <v>51</v>
      </c>
      <c r="C32" s="2" t="s">
        <v>20</v>
      </c>
      <c r="D32" s="2" t="s">
        <v>21</v>
      </c>
      <c r="E32" s="2" t="s">
        <v>35</v>
      </c>
      <c r="F32" s="2" t="s">
        <v>52</v>
      </c>
      <c r="G32" s="3">
        <v>18427.440000000002</v>
      </c>
      <c r="H32" s="4" t="s">
        <v>27</v>
      </c>
    </row>
    <row r="33" ht="22.5" customHeight="1">
      <c r="A33" s="2" t="s">
        <v>18</v>
      </c>
      <c r="B33" s="2" t="s">
        <v>53</v>
      </c>
      <c r="C33" s="2" t="s">
        <v>20</v>
      </c>
      <c r="D33" s="2" t="s">
        <v>54</v>
      </c>
      <c r="F33" s="2" t="s">
        <v>55</v>
      </c>
      <c r="G33" s="2">
        <v>13202.829051</v>
      </c>
      <c r="H33" s="2" t="s">
        <v>25</v>
      </c>
    </row>
    <row r="34" ht="22.5" customHeight="1">
      <c r="A34" s="2" t="s">
        <v>18</v>
      </c>
      <c r="B34" s="2" t="s">
        <v>53</v>
      </c>
      <c r="C34" s="2" t="s">
        <v>20</v>
      </c>
      <c r="D34" s="2" t="s">
        <v>54</v>
      </c>
      <c r="F34" s="2" t="s">
        <v>55</v>
      </c>
      <c r="G34" s="2">
        <v>10059.743257</v>
      </c>
      <c r="H34" s="2" t="s">
        <v>26</v>
      </c>
    </row>
    <row r="35" ht="22.5" customHeight="1">
      <c r="A35" s="2" t="s">
        <v>18</v>
      </c>
      <c r="B35" s="2" t="s">
        <v>53</v>
      </c>
      <c r="C35" s="2" t="s">
        <v>20</v>
      </c>
      <c r="D35" s="2" t="s">
        <v>54</v>
      </c>
      <c r="F35" s="2" t="s">
        <v>55</v>
      </c>
      <c r="G35" s="2">
        <v>7350.0</v>
      </c>
      <c r="H35" s="2" t="s">
        <v>24</v>
      </c>
    </row>
    <row r="36" ht="22.5" customHeight="1">
      <c r="A36" s="2" t="s">
        <v>18</v>
      </c>
      <c r="B36" s="2" t="s">
        <v>56</v>
      </c>
      <c r="C36" s="2" t="s">
        <v>20</v>
      </c>
      <c r="D36" s="2" t="s">
        <v>21</v>
      </c>
      <c r="E36" s="4" t="s">
        <v>22</v>
      </c>
      <c r="F36" s="2" t="s">
        <v>57</v>
      </c>
      <c r="G36" s="3">
        <v>15770.03</v>
      </c>
      <c r="H36" s="2" t="s">
        <v>25</v>
      </c>
    </row>
    <row r="37" ht="22.5" customHeight="1">
      <c r="A37" s="2" t="s">
        <v>18</v>
      </c>
      <c r="B37" s="2" t="s">
        <v>56</v>
      </c>
      <c r="C37" s="2" t="s">
        <v>20</v>
      </c>
      <c r="D37" s="2" t="s">
        <v>21</v>
      </c>
      <c r="E37" s="4" t="s">
        <v>22</v>
      </c>
      <c r="F37" s="2" t="s">
        <v>57</v>
      </c>
      <c r="G37" s="3">
        <v>14071.391037000001</v>
      </c>
      <c r="H37" s="2" t="s">
        <v>26</v>
      </c>
    </row>
    <row r="38" ht="22.5" customHeight="1">
      <c r="A38" s="2" t="s">
        <v>18</v>
      </c>
      <c r="B38" s="2" t="s">
        <v>56</v>
      </c>
      <c r="C38" s="2" t="s">
        <v>20</v>
      </c>
      <c r="D38" s="2" t="s">
        <v>21</v>
      </c>
      <c r="E38" s="4" t="s">
        <v>22</v>
      </c>
      <c r="F38" s="2" t="s">
        <v>57</v>
      </c>
      <c r="G38" s="2">
        <v>3209.170779</v>
      </c>
      <c r="H38" s="2" t="s">
        <v>24</v>
      </c>
    </row>
    <row r="39" ht="22.5" customHeight="1">
      <c r="A39" s="2" t="s">
        <v>18</v>
      </c>
      <c r="B39" s="2" t="s">
        <v>56</v>
      </c>
      <c r="C39" s="2" t="s">
        <v>20</v>
      </c>
      <c r="D39" s="2" t="s">
        <v>21</v>
      </c>
      <c r="E39" s="4" t="s">
        <v>22</v>
      </c>
      <c r="F39" s="2" t="s">
        <v>57</v>
      </c>
      <c r="G39" s="3">
        <v>15277.44</v>
      </c>
      <c r="H39" s="4" t="s">
        <v>27</v>
      </c>
    </row>
    <row r="40" ht="22.5" customHeight="1">
      <c r="A40" s="2" t="s">
        <v>18</v>
      </c>
      <c r="B40" s="2" t="s">
        <v>58</v>
      </c>
      <c r="C40" s="2" t="s">
        <v>20</v>
      </c>
      <c r="D40" s="2" t="s">
        <v>21</v>
      </c>
      <c r="E40" s="2" t="s">
        <v>41</v>
      </c>
      <c r="F40" s="2" t="s">
        <v>59</v>
      </c>
      <c r="G40" s="2">
        <v>17823.580152</v>
      </c>
      <c r="H40" s="2" t="s">
        <v>26</v>
      </c>
    </row>
    <row r="41" ht="22.5" customHeight="1">
      <c r="A41" s="2" t="s">
        <v>18</v>
      </c>
      <c r="B41" s="2" t="s">
        <v>58</v>
      </c>
      <c r="C41" s="2" t="s">
        <v>20</v>
      </c>
      <c r="D41" s="2" t="s">
        <v>21</v>
      </c>
      <c r="E41" s="2" t="s">
        <v>41</v>
      </c>
      <c r="F41" s="2" t="s">
        <v>59</v>
      </c>
      <c r="G41" s="2">
        <v>18141.678181</v>
      </c>
      <c r="H41" s="2" t="s">
        <v>24</v>
      </c>
    </row>
    <row r="42" ht="22.5" customHeight="1">
      <c r="A42" s="2" t="s">
        <v>18</v>
      </c>
      <c r="B42" s="2" t="s">
        <v>58</v>
      </c>
      <c r="C42" s="2" t="s">
        <v>20</v>
      </c>
      <c r="D42" s="2" t="s">
        <v>21</v>
      </c>
      <c r="E42" s="2" t="s">
        <v>41</v>
      </c>
      <c r="F42" s="2" t="s">
        <v>59</v>
      </c>
      <c r="G42" s="3">
        <v>10866.0195</v>
      </c>
      <c r="H42" s="2" t="s">
        <v>25</v>
      </c>
    </row>
    <row r="43" ht="22.5" customHeight="1">
      <c r="A43" s="2" t="s">
        <v>18</v>
      </c>
      <c r="B43" s="2" t="s">
        <v>58</v>
      </c>
      <c r="C43" s="2" t="s">
        <v>20</v>
      </c>
      <c r="D43" s="2" t="s">
        <v>21</v>
      </c>
      <c r="E43" s="2" t="s">
        <v>41</v>
      </c>
      <c r="F43" s="2" t="s">
        <v>59</v>
      </c>
      <c r="G43" s="3">
        <v>7247.5095</v>
      </c>
      <c r="H43" s="4" t="s">
        <v>27</v>
      </c>
    </row>
    <row r="44" ht="22.5" customHeight="1">
      <c r="A44" s="2" t="s">
        <v>18</v>
      </c>
      <c r="B44" s="2" t="s">
        <v>60</v>
      </c>
      <c r="C44" s="2" t="s">
        <v>20</v>
      </c>
      <c r="D44" s="2" t="s">
        <v>21</v>
      </c>
      <c r="E44" s="2" t="s">
        <v>61</v>
      </c>
      <c r="F44" s="2" t="s">
        <v>62</v>
      </c>
      <c r="G44" s="2">
        <v>16006.678947</v>
      </c>
      <c r="H44" s="2" t="s">
        <v>25</v>
      </c>
    </row>
    <row r="45" ht="22.5" customHeight="1">
      <c r="A45" s="2" t="s">
        <v>18</v>
      </c>
      <c r="B45" s="2" t="s">
        <v>60</v>
      </c>
      <c r="C45" s="2" t="s">
        <v>20</v>
      </c>
      <c r="D45" s="2" t="s">
        <v>21</v>
      </c>
      <c r="E45" s="2" t="s">
        <v>61</v>
      </c>
      <c r="F45" s="2" t="s">
        <v>62</v>
      </c>
      <c r="G45" s="2">
        <v>15686.20395</v>
      </c>
      <c r="H45" s="2" t="s">
        <v>26</v>
      </c>
    </row>
    <row r="46" ht="22.5" customHeight="1">
      <c r="A46" s="2" t="s">
        <v>18</v>
      </c>
      <c r="B46" s="2" t="s">
        <v>60</v>
      </c>
      <c r="C46" s="2" t="s">
        <v>20</v>
      </c>
      <c r="D46" s="2" t="s">
        <v>21</v>
      </c>
      <c r="E46" s="2" t="s">
        <v>61</v>
      </c>
      <c r="F46" s="2" t="s">
        <v>62</v>
      </c>
      <c r="G46" s="2">
        <v>15964.552952</v>
      </c>
      <c r="H46" s="2" t="s">
        <v>24</v>
      </c>
    </row>
    <row r="47" ht="22.5" customHeight="1">
      <c r="A47" s="2" t="s">
        <v>18</v>
      </c>
      <c r="B47" s="2" t="s">
        <v>63</v>
      </c>
      <c r="C47" s="2" t="s">
        <v>20</v>
      </c>
      <c r="D47" s="2" t="s">
        <v>21</v>
      </c>
      <c r="E47" s="2" t="s">
        <v>22</v>
      </c>
      <c r="F47" s="2" t="s">
        <v>64</v>
      </c>
      <c r="G47" s="2">
        <v>14885.846693</v>
      </c>
      <c r="H47" s="2" t="s">
        <v>24</v>
      </c>
    </row>
    <row r="48" ht="22.5" customHeight="1">
      <c r="A48" s="2" t="s">
        <v>18</v>
      </c>
      <c r="B48" s="2" t="s">
        <v>63</v>
      </c>
      <c r="C48" s="2" t="s">
        <v>20</v>
      </c>
      <c r="D48" s="2" t="s">
        <v>21</v>
      </c>
      <c r="E48" s="2" t="s">
        <v>22</v>
      </c>
      <c r="F48" s="2" t="s">
        <v>64</v>
      </c>
      <c r="G48" s="2">
        <v>17068.442615</v>
      </c>
      <c r="H48" s="2" t="s">
        <v>25</v>
      </c>
    </row>
    <row r="49" ht="22.5" customHeight="1">
      <c r="A49" s="2" t="s">
        <v>18</v>
      </c>
      <c r="B49" s="2" t="s">
        <v>63</v>
      </c>
      <c r="C49" s="2" t="s">
        <v>20</v>
      </c>
      <c r="D49" s="2" t="s">
        <v>21</v>
      </c>
      <c r="E49" s="2" t="s">
        <v>22</v>
      </c>
      <c r="F49" s="2" t="s">
        <v>64</v>
      </c>
      <c r="G49" s="2">
        <v>16766.51173</v>
      </c>
      <c r="H49" s="2" t="s">
        <v>26</v>
      </c>
    </row>
    <row r="50" ht="22.5" customHeight="1">
      <c r="A50" s="2" t="s">
        <v>18</v>
      </c>
      <c r="B50" s="9" t="s">
        <v>65</v>
      </c>
      <c r="C50" s="4" t="s">
        <v>66</v>
      </c>
      <c r="D50" s="4" t="s">
        <v>67</v>
      </c>
      <c r="F50" s="9" t="s">
        <v>65</v>
      </c>
      <c r="G50" s="3">
        <v>143227.36</v>
      </c>
      <c r="H50" s="2" t="s">
        <v>24</v>
      </c>
    </row>
    <row r="51" ht="22.5" customHeight="1">
      <c r="A51" s="2" t="s">
        <v>18</v>
      </c>
      <c r="B51" s="9" t="s">
        <v>65</v>
      </c>
      <c r="C51" s="4" t="s">
        <v>66</v>
      </c>
      <c r="D51" s="4" t="s">
        <v>67</v>
      </c>
      <c r="F51" s="9" t="s">
        <v>65</v>
      </c>
      <c r="G51" s="3">
        <v>143228.86</v>
      </c>
      <c r="H51" s="4" t="s">
        <v>26</v>
      </c>
    </row>
    <row r="52" ht="22.5" customHeight="1">
      <c r="A52" s="2" t="s">
        <v>18</v>
      </c>
      <c r="B52" s="9" t="s">
        <v>65</v>
      </c>
      <c r="C52" s="4" t="s">
        <v>66</v>
      </c>
      <c r="D52" s="4" t="s">
        <v>67</v>
      </c>
      <c r="F52" s="9" t="s">
        <v>65</v>
      </c>
      <c r="G52" s="3">
        <v>143228.86</v>
      </c>
      <c r="H52" s="4" t="s">
        <v>25</v>
      </c>
    </row>
    <row r="53" ht="22.5" customHeight="1">
      <c r="A53" s="2" t="s">
        <v>18</v>
      </c>
      <c r="B53" s="9" t="s">
        <v>65</v>
      </c>
      <c r="C53" s="4" t="s">
        <v>66</v>
      </c>
      <c r="D53" s="4" t="s">
        <v>67</v>
      </c>
      <c r="F53" s="9" t="s">
        <v>65</v>
      </c>
      <c r="G53" s="3">
        <v>143228.86</v>
      </c>
      <c r="H53" s="4" t="s">
        <v>27</v>
      </c>
    </row>
    <row r="54" ht="22.5" customHeight="1">
      <c r="A54" s="2" t="s">
        <v>18</v>
      </c>
      <c r="B54" s="9" t="s">
        <v>68</v>
      </c>
      <c r="C54" s="4" t="s">
        <v>20</v>
      </c>
      <c r="D54" s="4" t="s">
        <v>21</v>
      </c>
      <c r="F54" s="9" t="s">
        <v>68</v>
      </c>
      <c r="G54" s="3">
        <v>20127.76</v>
      </c>
      <c r="H54" s="2" t="s">
        <v>24</v>
      </c>
    </row>
    <row r="55" ht="22.5" customHeight="1">
      <c r="A55" s="2" t="s">
        <v>18</v>
      </c>
      <c r="B55" s="4" t="s">
        <v>70</v>
      </c>
      <c r="C55" s="4" t="s">
        <v>66</v>
      </c>
      <c r="D55" s="4" t="s">
        <v>371</v>
      </c>
      <c r="F55" s="9" t="s">
        <v>69</v>
      </c>
      <c r="G55" s="6">
        <v>12999.9</v>
      </c>
      <c r="H55" s="2" t="s">
        <v>24</v>
      </c>
    </row>
    <row r="56" ht="22.5" customHeight="1">
      <c r="A56" s="2" t="s">
        <v>18</v>
      </c>
      <c r="B56" s="4" t="s">
        <v>70</v>
      </c>
      <c r="C56" s="4" t="s">
        <v>66</v>
      </c>
      <c r="D56" s="4" t="s">
        <v>371</v>
      </c>
      <c r="F56" s="9" t="s">
        <v>69</v>
      </c>
      <c r="G56" s="3">
        <v>12999.9</v>
      </c>
      <c r="H56" s="4" t="s">
        <v>26</v>
      </c>
    </row>
    <row r="57" ht="22.5" customHeight="1">
      <c r="A57" s="2" t="s">
        <v>18</v>
      </c>
      <c r="B57" s="4" t="s">
        <v>70</v>
      </c>
      <c r="C57" s="4" t="s">
        <v>66</v>
      </c>
      <c r="D57" s="4" t="s">
        <v>371</v>
      </c>
      <c r="F57" s="9" t="s">
        <v>69</v>
      </c>
      <c r="G57" s="3">
        <v>12999.9</v>
      </c>
      <c r="H57" s="4" t="s">
        <v>25</v>
      </c>
    </row>
    <row r="58" ht="22.5" customHeight="1">
      <c r="A58" s="2" t="s">
        <v>18</v>
      </c>
      <c r="B58" s="4" t="s">
        <v>70</v>
      </c>
      <c r="C58" s="4" t="s">
        <v>66</v>
      </c>
      <c r="D58" s="4" t="s">
        <v>371</v>
      </c>
      <c r="F58" s="9" t="s">
        <v>69</v>
      </c>
      <c r="G58" s="3">
        <v>12999.9</v>
      </c>
      <c r="H58" s="4" t="s">
        <v>27</v>
      </c>
    </row>
    <row r="59" ht="22.5" customHeight="1">
      <c r="A59" s="2" t="s">
        <v>18</v>
      </c>
      <c r="B59" s="4" t="s">
        <v>70</v>
      </c>
      <c r="C59" s="4" t="s">
        <v>66</v>
      </c>
      <c r="D59" s="4" t="s">
        <v>371</v>
      </c>
      <c r="F59" s="9" t="s">
        <v>71</v>
      </c>
      <c r="G59" s="3">
        <v>12999.9</v>
      </c>
      <c r="H59" s="2" t="s">
        <v>24</v>
      </c>
    </row>
    <row r="60" ht="22.5" customHeight="1">
      <c r="A60" s="2" t="s">
        <v>18</v>
      </c>
      <c r="B60" s="4" t="s">
        <v>70</v>
      </c>
      <c r="C60" s="4" t="s">
        <v>66</v>
      </c>
      <c r="D60" s="4" t="s">
        <v>371</v>
      </c>
      <c r="F60" s="9" t="s">
        <v>71</v>
      </c>
      <c r="G60" s="3">
        <v>12999.9</v>
      </c>
      <c r="H60" s="4" t="s">
        <v>26</v>
      </c>
    </row>
    <row r="61" ht="22.5" customHeight="1">
      <c r="A61" s="2" t="s">
        <v>18</v>
      </c>
      <c r="B61" s="4" t="s">
        <v>70</v>
      </c>
      <c r="C61" s="4" t="s">
        <v>66</v>
      </c>
      <c r="D61" s="4" t="s">
        <v>371</v>
      </c>
      <c r="F61" s="9" t="s">
        <v>71</v>
      </c>
      <c r="G61" s="3">
        <v>12999.9</v>
      </c>
      <c r="H61" s="4" t="s">
        <v>25</v>
      </c>
    </row>
    <row r="62" ht="22.5" customHeight="1">
      <c r="A62" s="2" t="s">
        <v>18</v>
      </c>
      <c r="B62" s="4" t="s">
        <v>70</v>
      </c>
      <c r="C62" s="4" t="s">
        <v>66</v>
      </c>
      <c r="D62" s="4" t="s">
        <v>371</v>
      </c>
      <c r="F62" s="9" t="s">
        <v>71</v>
      </c>
      <c r="G62" s="3">
        <v>12999.9</v>
      </c>
      <c r="H62" s="4" t="s">
        <v>27</v>
      </c>
    </row>
    <row r="63" ht="22.5" customHeight="1">
      <c r="A63" s="2" t="s">
        <v>18</v>
      </c>
      <c r="B63" s="9" t="s">
        <v>72</v>
      </c>
      <c r="C63" s="4" t="s">
        <v>31</v>
      </c>
      <c r="D63" s="4" t="s">
        <v>47</v>
      </c>
      <c r="F63" s="9" t="s">
        <v>72</v>
      </c>
      <c r="G63" s="3">
        <v>16219.1</v>
      </c>
      <c r="H63" s="2" t="s">
        <v>24</v>
      </c>
    </row>
    <row r="64" ht="22.5" customHeight="1">
      <c r="A64" s="2" t="s">
        <v>18</v>
      </c>
      <c r="B64" s="9" t="s">
        <v>72</v>
      </c>
      <c r="C64" s="4" t="s">
        <v>31</v>
      </c>
      <c r="D64" s="4" t="s">
        <v>47</v>
      </c>
      <c r="F64" s="9" t="s">
        <v>72</v>
      </c>
      <c r="G64" s="3">
        <v>22000.14</v>
      </c>
      <c r="H64" s="4" t="s">
        <v>26</v>
      </c>
    </row>
    <row r="65" ht="22.5" customHeight="1">
      <c r="A65" s="2" t="s">
        <v>18</v>
      </c>
      <c r="B65" s="9" t="s">
        <v>72</v>
      </c>
      <c r="C65" s="4" t="s">
        <v>31</v>
      </c>
      <c r="D65" s="4" t="s">
        <v>47</v>
      </c>
      <c r="F65" s="9" t="s">
        <v>72</v>
      </c>
      <c r="G65" s="3">
        <v>22000.14</v>
      </c>
      <c r="H65" s="4" t="s">
        <v>25</v>
      </c>
    </row>
    <row r="66" ht="22.5" customHeight="1">
      <c r="A66" s="2" t="s">
        <v>18</v>
      </c>
      <c r="B66" s="9" t="s">
        <v>72</v>
      </c>
      <c r="C66" s="4" t="s">
        <v>31</v>
      </c>
      <c r="D66" s="4" t="s">
        <v>47</v>
      </c>
      <c r="F66" s="9" t="s">
        <v>72</v>
      </c>
      <c r="G66" s="3">
        <v>22000.14</v>
      </c>
      <c r="H66" s="4" t="s">
        <v>27</v>
      </c>
    </row>
    <row r="67" ht="22.5" customHeight="1">
      <c r="A67" s="2" t="s">
        <v>18</v>
      </c>
      <c r="B67" s="9" t="s">
        <v>73</v>
      </c>
      <c r="C67" s="4" t="s">
        <v>20</v>
      </c>
      <c r="D67" s="4" t="s">
        <v>21</v>
      </c>
      <c r="F67" s="9" t="s">
        <v>73</v>
      </c>
      <c r="G67" s="3">
        <v>5192.95</v>
      </c>
      <c r="H67" s="2" t="s">
        <v>24</v>
      </c>
    </row>
    <row r="68" ht="22.5" customHeight="1">
      <c r="A68" s="2" t="s">
        <v>18</v>
      </c>
      <c r="B68" s="9" t="s">
        <v>73</v>
      </c>
      <c r="C68" s="4" t="s">
        <v>20</v>
      </c>
      <c r="D68" s="4" t="s">
        <v>21</v>
      </c>
      <c r="F68" s="9" t="s">
        <v>73</v>
      </c>
      <c r="G68" s="3">
        <v>12182.49</v>
      </c>
      <c r="H68" s="4" t="s">
        <v>26</v>
      </c>
    </row>
    <row r="69" ht="22.5" customHeight="1">
      <c r="A69" s="2" t="s">
        <v>18</v>
      </c>
      <c r="B69" s="9" t="s">
        <v>73</v>
      </c>
      <c r="C69" s="4" t="s">
        <v>20</v>
      </c>
      <c r="D69" s="4" t="s">
        <v>21</v>
      </c>
      <c r="F69" s="9" t="s">
        <v>73</v>
      </c>
      <c r="G69" s="3">
        <v>13977.58</v>
      </c>
      <c r="H69" s="4" t="s">
        <v>25</v>
      </c>
    </row>
    <row r="70" ht="22.5" customHeight="1">
      <c r="A70" s="2" t="s">
        <v>18</v>
      </c>
      <c r="B70" s="9" t="s">
        <v>73</v>
      </c>
      <c r="C70" s="4" t="s">
        <v>20</v>
      </c>
      <c r="D70" s="4" t="s">
        <v>21</v>
      </c>
      <c r="F70" s="9" t="s">
        <v>73</v>
      </c>
      <c r="G70" s="3">
        <v>13977.58</v>
      </c>
      <c r="H70" s="4" t="s">
        <v>27</v>
      </c>
    </row>
    <row r="71" ht="22.5" customHeight="1">
      <c r="A71" s="2" t="s">
        <v>18</v>
      </c>
      <c r="B71" s="2" t="s">
        <v>74</v>
      </c>
      <c r="C71" s="2" t="s">
        <v>31</v>
      </c>
      <c r="D71" s="2" t="s">
        <v>75</v>
      </c>
      <c r="F71" s="2" t="s">
        <v>76</v>
      </c>
      <c r="G71" s="2">
        <v>30450.0</v>
      </c>
      <c r="H71" s="2" t="s">
        <v>24</v>
      </c>
    </row>
    <row r="72" ht="22.5" customHeight="1">
      <c r="A72" s="2" t="s">
        <v>18</v>
      </c>
      <c r="B72" s="2" t="s">
        <v>74</v>
      </c>
      <c r="C72" s="2" t="s">
        <v>31</v>
      </c>
      <c r="D72" s="2" t="s">
        <v>75</v>
      </c>
      <c r="F72" s="2" t="s">
        <v>76</v>
      </c>
      <c r="G72" s="2">
        <v>30450.0</v>
      </c>
      <c r="H72" s="2" t="s">
        <v>25</v>
      </c>
    </row>
    <row r="73" ht="22.5" customHeight="1">
      <c r="A73" s="2" t="s">
        <v>18</v>
      </c>
      <c r="B73" s="2" t="s">
        <v>74</v>
      </c>
      <c r="C73" s="2" t="s">
        <v>31</v>
      </c>
      <c r="D73" s="2" t="s">
        <v>75</v>
      </c>
      <c r="F73" s="2" t="s">
        <v>76</v>
      </c>
      <c r="G73" s="2">
        <v>30450.0</v>
      </c>
      <c r="H73" s="2" t="s">
        <v>26</v>
      </c>
    </row>
    <row r="74" ht="22.5" customHeight="1">
      <c r="A74" s="2" t="s">
        <v>18</v>
      </c>
      <c r="B74" s="2" t="s">
        <v>77</v>
      </c>
      <c r="C74" s="2" t="s">
        <v>31</v>
      </c>
      <c r="D74" s="2" t="s">
        <v>54</v>
      </c>
      <c r="F74" s="2" t="s">
        <v>78</v>
      </c>
      <c r="G74" s="2">
        <v>23583.237293</v>
      </c>
      <c r="H74" s="2" t="s">
        <v>25</v>
      </c>
    </row>
    <row r="75" ht="22.5" customHeight="1">
      <c r="A75" s="2" t="s">
        <v>18</v>
      </c>
      <c r="B75" s="2" t="s">
        <v>77</v>
      </c>
      <c r="C75" s="2" t="s">
        <v>31</v>
      </c>
      <c r="D75" s="2" t="s">
        <v>54</v>
      </c>
      <c r="F75" s="2" t="s">
        <v>78</v>
      </c>
      <c r="G75" s="2">
        <v>13045.633175</v>
      </c>
      <c r="H75" s="2" t="s">
        <v>26</v>
      </c>
    </row>
    <row r="76" ht="22.5" customHeight="1">
      <c r="A76" s="2" t="s">
        <v>18</v>
      </c>
      <c r="B76" s="2" t="s">
        <v>77</v>
      </c>
      <c r="C76" s="2" t="s">
        <v>31</v>
      </c>
      <c r="D76" s="2" t="s">
        <v>54</v>
      </c>
      <c r="F76" s="2" t="s">
        <v>78</v>
      </c>
      <c r="G76" s="2">
        <v>13291.944052</v>
      </c>
      <c r="H76" s="2" t="s">
        <v>24</v>
      </c>
    </row>
    <row r="77" ht="22.5" customHeight="1">
      <c r="A77" s="2" t="s">
        <v>18</v>
      </c>
      <c r="B77" s="2" t="s">
        <v>79</v>
      </c>
      <c r="C77" s="2" t="s">
        <v>20</v>
      </c>
      <c r="D77" s="2" t="s">
        <v>54</v>
      </c>
      <c r="F77" s="2" t="s">
        <v>80</v>
      </c>
      <c r="G77" s="2">
        <v>16300.94857</v>
      </c>
      <c r="H77" s="2" t="s">
        <v>26</v>
      </c>
    </row>
    <row r="78" ht="22.5" customHeight="1">
      <c r="A78" s="2" t="s">
        <v>18</v>
      </c>
      <c r="B78" s="2" t="s">
        <v>79</v>
      </c>
      <c r="C78" s="2" t="s">
        <v>20</v>
      </c>
      <c r="D78" s="2" t="s">
        <v>54</v>
      </c>
      <c r="F78" s="2" t="s">
        <v>80</v>
      </c>
      <c r="G78" s="2">
        <v>16669.545683</v>
      </c>
      <c r="H78" s="2" t="s">
        <v>24</v>
      </c>
    </row>
    <row r="79" ht="22.5" customHeight="1">
      <c r="A79" s="2" t="s">
        <v>18</v>
      </c>
      <c r="B79" s="2" t="s">
        <v>79</v>
      </c>
      <c r="C79" s="2" t="s">
        <v>20</v>
      </c>
      <c r="D79" s="2" t="s">
        <v>54</v>
      </c>
      <c r="F79" s="2" t="s">
        <v>80</v>
      </c>
      <c r="G79" s="2">
        <v>16518.122589</v>
      </c>
      <c r="H79" s="2" t="s">
        <v>25</v>
      </c>
    </row>
    <row r="80" ht="22.5" customHeight="1">
      <c r="A80" s="2" t="s">
        <v>18</v>
      </c>
      <c r="B80" s="2" t="s">
        <v>81</v>
      </c>
      <c r="C80" s="2" t="s">
        <v>31</v>
      </c>
      <c r="D80" s="2" t="s">
        <v>47</v>
      </c>
      <c r="F80" s="2" t="s">
        <v>82</v>
      </c>
      <c r="G80" s="2">
        <v>18843.097092</v>
      </c>
      <c r="H80" s="2" t="s">
        <v>26</v>
      </c>
    </row>
    <row r="81" ht="22.5" customHeight="1">
      <c r="A81" s="2" t="s">
        <v>18</v>
      </c>
      <c r="B81" s="2" t="s">
        <v>81</v>
      </c>
      <c r="C81" s="2" t="s">
        <v>31</v>
      </c>
      <c r="D81" s="2" t="s">
        <v>47</v>
      </c>
      <c r="F81" s="2" t="s">
        <v>82</v>
      </c>
      <c r="G81" s="2">
        <v>15931.39405</v>
      </c>
      <c r="H81" s="2" t="s">
        <v>24</v>
      </c>
    </row>
    <row r="82" ht="22.5" customHeight="1">
      <c r="A82" s="2" t="s">
        <v>18</v>
      </c>
      <c r="B82" s="2" t="s">
        <v>81</v>
      </c>
      <c r="C82" s="2" t="s">
        <v>31</v>
      </c>
      <c r="D82" s="2" t="s">
        <v>47</v>
      </c>
      <c r="F82" s="2" t="s">
        <v>82</v>
      </c>
      <c r="G82" s="2">
        <v>19074.754614</v>
      </c>
      <c r="H82" s="2" t="s">
        <v>25</v>
      </c>
    </row>
    <row r="83" ht="22.5" customHeight="1">
      <c r="A83" s="2" t="s">
        <v>18</v>
      </c>
      <c r="B83" s="2" t="s">
        <v>83</v>
      </c>
      <c r="C83" s="2" t="s">
        <v>31</v>
      </c>
      <c r="D83" s="2" t="s">
        <v>38</v>
      </c>
      <c r="F83" s="2" t="s">
        <v>84</v>
      </c>
      <c r="G83" s="2">
        <v>14165.15378</v>
      </c>
      <c r="H83" s="2" t="s">
        <v>26</v>
      </c>
    </row>
    <row r="84" ht="22.5" customHeight="1">
      <c r="A84" s="2" t="s">
        <v>18</v>
      </c>
      <c r="B84" s="2" t="s">
        <v>83</v>
      </c>
      <c r="C84" s="2" t="s">
        <v>31</v>
      </c>
      <c r="D84" s="2" t="s">
        <v>38</v>
      </c>
      <c r="F84" s="2" t="s">
        <v>84</v>
      </c>
      <c r="G84" s="2">
        <v>14432.174718</v>
      </c>
      <c r="H84" s="2" t="s">
        <v>24</v>
      </c>
    </row>
    <row r="85" ht="22.5" customHeight="1">
      <c r="A85" s="2" t="s">
        <v>18</v>
      </c>
      <c r="B85" s="2" t="s">
        <v>83</v>
      </c>
      <c r="C85" s="2" t="s">
        <v>31</v>
      </c>
      <c r="D85" s="2" t="s">
        <v>38</v>
      </c>
      <c r="F85" s="2" t="s">
        <v>84</v>
      </c>
      <c r="G85" s="2">
        <v>14418.282958</v>
      </c>
      <c r="H85" s="2" t="s">
        <v>25</v>
      </c>
    </row>
    <row r="86" ht="22.5" customHeight="1">
      <c r="A86" s="2" t="s">
        <v>18</v>
      </c>
      <c r="B86" s="2" t="s">
        <v>85</v>
      </c>
      <c r="C86" s="2" t="s">
        <v>20</v>
      </c>
      <c r="D86" s="2" t="s">
        <v>21</v>
      </c>
      <c r="E86" s="2" t="s">
        <v>44</v>
      </c>
      <c r="F86" s="2" t="s">
        <v>86</v>
      </c>
      <c r="G86" s="2">
        <v>15633.097092</v>
      </c>
      <c r="H86" s="2" t="s">
        <v>26</v>
      </c>
    </row>
    <row r="87" ht="22.5" customHeight="1">
      <c r="A87" s="2" t="s">
        <v>18</v>
      </c>
      <c r="B87" s="2" t="s">
        <v>85</v>
      </c>
      <c r="C87" s="2" t="s">
        <v>20</v>
      </c>
      <c r="D87" s="2" t="s">
        <v>21</v>
      </c>
      <c r="E87" s="2" t="s">
        <v>44</v>
      </c>
      <c r="F87" s="2" t="s">
        <v>86</v>
      </c>
      <c r="G87" s="2">
        <v>3181.752788</v>
      </c>
      <c r="H87" s="2" t="s">
        <v>24</v>
      </c>
    </row>
    <row r="88" ht="22.5" customHeight="1">
      <c r="A88" s="2" t="s">
        <v>18</v>
      </c>
      <c r="B88" s="2" t="s">
        <v>85</v>
      </c>
      <c r="C88" s="2" t="s">
        <v>20</v>
      </c>
      <c r="D88" s="2" t="s">
        <v>21</v>
      </c>
      <c r="E88" s="2" t="s">
        <v>44</v>
      </c>
      <c r="F88" s="2" t="s">
        <v>86</v>
      </c>
      <c r="G88" s="2">
        <v>15924.754614</v>
      </c>
      <c r="H88" s="2" t="s">
        <v>25</v>
      </c>
    </row>
    <row r="89" ht="22.5" customHeight="1">
      <c r="A89" s="2" t="s">
        <v>18</v>
      </c>
      <c r="B89" s="2" t="s">
        <v>87</v>
      </c>
      <c r="C89" s="2" t="s">
        <v>20</v>
      </c>
      <c r="D89" s="2" t="s">
        <v>21</v>
      </c>
      <c r="E89" s="2" t="s">
        <v>44</v>
      </c>
      <c r="F89" s="2" t="s">
        <v>88</v>
      </c>
      <c r="G89" s="2">
        <v>17051.678181</v>
      </c>
      <c r="H89" s="2" t="s">
        <v>24</v>
      </c>
    </row>
    <row r="90" ht="22.5" customHeight="1">
      <c r="A90" s="2" t="s">
        <v>18</v>
      </c>
      <c r="B90" s="2" t="s">
        <v>87</v>
      </c>
      <c r="C90" s="2" t="s">
        <v>20</v>
      </c>
      <c r="D90" s="2" t="s">
        <v>21</v>
      </c>
      <c r="E90" s="2" t="s">
        <v>44</v>
      </c>
      <c r="F90" s="2" t="s">
        <v>88</v>
      </c>
      <c r="G90" s="2">
        <v>8493.071037</v>
      </c>
      <c r="H90" s="2" t="s">
        <v>26</v>
      </c>
    </row>
    <row r="91" ht="22.5" customHeight="1">
      <c r="A91" s="2" t="s">
        <v>18</v>
      </c>
      <c r="B91" s="2" t="s">
        <v>89</v>
      </c>
      <c r="C91" s="2" t="s">
        <v>20</v>
      </c>
      <c r="D91" s="2" t="s">
        <v>21</v>
      </c>
      <c r="E91" s="2" t="s">
        <v>1649</v>
      </c>
      <c r="F91" s="2" t="s">
        <v>90</v>
      </c>
      <c r="G91" s="2">
        <v>14652.097092</v>
      </c>
      <c r="H91" s="2" t="s">
        <v>26</v>
      </c>
    </row>
    <row r="92" ht="22.5" customHeight="1">
      <c r="A92" s="2" t="s">
        <v>18</v>
      </c>
      <c r="B92" s="2" t="s">
        <v>89</v>
      </c>
      <c r="C92" s="2" t="s">
        <v>20</v>
      </c>
      <c r="D92" s="2" t="s">
        <v>21</v>
      </c>
      <c r="E92" s="2" t="s">
        <v>1649</v>
      </c>
      <c r="F92" s="2" t="s">
        <v>90</v>
      </c>
      <c r="G92" s="2">
        <v>13969.39405</v>
      </c>
      <c r="H92" s="2" t="s">
        <v>24</v>
      </c>
    </row>
    <row r="93" ht="22.5" customHeight="1">
      <c r="A93" s="2" t="s">
        <v>18</v>
      </c>
      <c r="B93" s="2" t="s">
        <v>89</v>
      </c>
      <c r="C93" s="2" t="s">
        <v>20</v>
      </c>
      <c r="D93" s="2" t="s">
        <v>21</v>
      </c>
      <c r="E93" s="2" t="s">
        <v>1649</v>
      </c>
      <c r="F93" s="2" t="s">
        <v>90</v>
      </c>
      <c r="G93" s="2">
        <v>15924.754614</v>
      </c>
      <c r="H93" s="2" t="s">
        <v>25</v>
      </c>
    </row>
    <row r="94" ht="22.5" customHeight="1">
      <c r="A94" s="2" t="s">
        <v>18</v>
      </c>
      <c r="B94" s="2" t="s">
        <v>91</v>
      </c>
      <c r="C94" s="2" t="s">
        <v>66</v>
      </c>
      <c r="D94" s="2" t="s">
        <v>54</v>
      </c>
      <c r="F94" s="2" t="s">
        <v>92</v>
      </c>
      <c r="G94" s="2">
        <v>17571.832089</v>
      </c>
      <c r="H94" s="2" t="s">
        <v>25</v>
      </c>
    </row>
    <row r="95" ht="22.5" customHeight="1">
      <c r="A95" s="2" t="s">
        <v>18</v>
      </c>
      <c r="B95" s="2" t="s">
        <v>91</v>
      </c>
      <c r="C95" s="2" t="s">
        <v>66</v>
      </c>
      <c r="D95" s="2" t="s">
        <v>54</v>
      </c>
      <c r="F95" s="2" t="s">
        <v>92</v>
      </c>
      <c r="G95" s="2">
        <v>17355.964058</v>
      </c>
      <c r="H95" s="2" t="s">
        <v>26</v>
      </c>
    </row>
    <row r="96" ht="22.5" customHeight="1">
      <c r="A96" s="2" t="s">
        <v>18</v>
      </c>
      <c r="B96" s="2" t="s">
        <v>91</v>
      </c>
      <c r="C96" s="2" t="s">
        <v>66</v>
      </c>
      <c r="D96" s="2" t="s">
        <v>54</v>
      </c>
      <c r="F96" s="2" t="s">
        <v>92</v>
      </c>
      <c r="G96" s="2">
        <v>17763.364907</v>
      </c>
      <c r="H96" s="2" t="s">
        <v>24</v>
      </c>
    </row>
    <row r="97" ht="22.5" customHeight="1">
      <c r="A97" s="2" t="s">
        <v>18</v>
      </c>
      <c r="B97" s="2" t="s">
        <v>1147</v>
      </c>
      <c r="C97" s="2" t="s">
        <v>20</v>
      </c>
      <c r="D97" s="2" t="s">
        <v>21</v>
      </c>
      <c r="E97" s="2" t="s">
        <v>1650</v>
      </c>
      <c r="F97" s="2" t="s">
        <v>94</v>
      </c>
      <c r="G97" s="2">
        <v>26433.84557</v>
      </c>
      <c r="H97" s="2" t="s">
        <v>25</v>
      </c>
    </row>
    <row r="98" ht="22.5" customHeight="1">
      <c r="A98" s="2" t="s">
        <v>18</v>
      </c>
      <c r="B98" s="2" t="s">
        <v>1147</v>
      </c>
      <c r="C98" s="2" t="s">
        <v>20</v>
      </c>
      <c r="D98" s="2" t="s">
        <v>21</v>
      </c>
      <c r="E98" s="2" t="s">
        <v>1650</v>
      </c>
      <c r="F98" s="2" t="s">
        <v>94</v>
      </c>
      <c r="G98" s="2">
        <v>18888.877198</v>
      </c>
      <c r="H98" s="2" t="s">
        <v>26</v>
      </c>
    </row>
    <row r="99" ht="22.5" customHeight="1">
      <c r="A99" s="2" t="s">
        <v>18</v>
      </c>
      <c r="B99" s="2" t="s">
        <v>1147</v>
      </c>
      <c r="C99" s="2" t="s">
        <v>20</v>
      </c>
      <c r="D99" s="2" t="s">
        <v>21</v>
      </c>
      <c r="E99" s="2" t="s">
        <v>1650</v>
      </c>
      <c r="F99" s="2" t="s">
        <v>94</v>
      </c>
      <c r="G99" s="2">
        <v>20299.69469</v>
      </c>
      <c r="H99" s="2" t="s">
        <v>24</v>
      </c>
    </row>
    <row r="100" ht="22.5" customHeight="1">
      <c r="A100" s="2" t="s">
        <v>18</v>
      </c>
      <c r="B100" s="2" t="s">
        <v>95</v>
      </c>
      <c r="C100" s="2" t="s">
        <v>20</v>
      </c>
      <c r="D100" s="2" t="s">
        <v>21</v>
      </c>
      <c r="F100" s="2" t="s">
        <v>96</v>
      </c>
      <c r="G100" s="2">
        <v>16929.069051</v>
      </c>
      <c r="H100" s="2" t="s">
        <v>25</v>
      </c>
    </row>
    <row r="101" ht="22.5" customHeight="1">
      <c r="A101" s="2" t="s">
        <v>18</v>
      </c>
      <c r="B101" s="2" t="s">
        <v>95</v>
      </c>
      <c r="C101" s="2" t="s">
        <v>20</v>
      </c>
      <c r="D101" s="2" t="s">
        <v>21</v>
      </c>
      <c r="F101" s="2" t="s">
        <v>96</v>
      </c>
      <c r="G101" s="2">
        <v>4494.62529</v>
      </c>
      <c r="H101" s="2" t="s">
        <v>26</v>
      </c>
    </row>
    <row r="102" ht="22.5" customHeight="1">
      <c r="A102" s="2" t="s">
        <v>18</v>
      </c>
      <c r="B102" s="2" t="s">
        <v>97</v>
      </c>
      <c r="C102" s="2" t="s">
        <v>31</v>
      </c>
      <c r="D102" s="2" t="s">
        <v>98</v>
      </c>
      <c r="F102" s="2" t="s">
        <v>99</v>
      </c>
      <c r="G102" s="2">
        <v>19146.252292</v>
      </c>
      <c r="H102" s="2" t="s">
        <v>25</v>
      </c>
    </row>
    <row r="103" ht="22.5" customHeight="1">
      <c r="A103" s="2" t="s">
        <v>18</v>
      </c>
      <c r="B103" s="2" t="s">
        <v>97</v>
      </c>
      <c r="C103" s="2" t="s">
        <v>31</v>
      </c>
      <c r="D103" s="2" t="s">
        <v>98</v>
      </c>
      <c r="F103" s="2" t="s">
        <v>99</v>
      </c>
      <c r="G103" s="2">
        <v>15198.144052</v>
      </c>
      <c r="H103" s="2" t="s">
        <v>24</v>
      </c>
    </row>
    <row r="104" ht="22.5" customHeight="1">
      <c r="A104" s="2" t="s">
        <v>18</v>
      </c>
      <c r="B104" s="2" t="s">
        <v>97</v>
      </c>
      <c r="C104" s="2" t="s">
        <v>31</v>
      </c>
      <c r="D104" s="2" t="s">
        <v>98</v>
      </c>
      <c r="F104" s="2" t="s">
        <v>99</v>
      </c>
      <c r="G104" s="2">
        <v>17892.853175</v>
      </c>
      <c r="H104" s="2" t="s">
        <v>26</v>
      </c>
    </row>
    <row r="105" ht="22.5" customHeight="1">
      <c r="A105" s="2" t="s">
        <v>18</v>
      </c>
      <c r="B105" s="2" t="s">
        <v>100</v>
      </c>
      <c r="C105" s="2" t="s">
        <v>20</v>
      </c>
      <c r="D105" s="2" t="s">
        <v>21</v>
      </c>
      <c r="F105" s="2" t="s">
        <v>101</v>
      </c>
      <c r="G105" s="2">
        <v>7350.0</v>
      </c>
      <c r="H105" s="2" t="s">
        <v>24</v>
      </c>
    </row>
    <row r="106" ht="22.5" customHeight="1">
      <c r="A106" s="2" t="s">
        <v>18</v>
      </c>
      <c r="B106" s="2" t="s">
        <v>100</v>
      </c>
      <c r="C106" s="2" t="s">
        <v>20</v>
      </c>
      <c r="D106" s="2" t="s">
        <v>21</v>
      </c>
      <c r="F106" s="2" t="s">
        <v>101</v>
      </c>
      <c r="G106" s="2">
        <v>3675.0</v>
      </c>
      <c r="H106" s="2" t="s">
        <v>25</v>
      </c>
    </row>
    <row r="107" ht="22.5" customHeight="1">
      <c r="A107" s="2" t="s">
        <v>18</v>
      </c>
      <c r="B107" s="2" t="s">
        <v>100</v>
      </c>
      <c r="C107" s="2" t="s">
        <v>20</v>
      </c>
      <c r="D107" s="2" t="s">
        <v>21</v>
      </c>
      <c r="F107" s="2" t="s">
        <v>101</v>
      </c>
      <c r="G107" s="2">
        <v>7350.0</v>
      </c>
      <c r="H107" s="2" t="s">
        <v>26</v>
      </c>
    </row>
    <row r="108" ht="22.5" customHeight="1">
      <c r="A108" s="2" t="s">
        <v>18</v>
      </c>
      <c r="B108" s="2" t="s">
        <v>102</v>
      </c>
      <c r="C108" s="2" t="s">
        <v>31</v>
      </c>
      <c r="D108" s="2" t="s">
        <v>47</v>
      </c>
      <c r="F108" s="2" t="s">
        <v>103</v>
      </c>
      <c r="G108" s="2">
        <v>20297.06278</v>
      </c>
      <c r="H108" s="2" t="s">
        <v>24</v>
      </c>
    </row>
    <row r="109" ht="22.5" customHeight="1">
      <c r="A109" s="2" t="s">
        <v>18</v>
      </c>
      <c r="B109" s="2" t="s">
        <v>102</v>
      </c>
      <c r="C109" s="2" t="s">
        <v>31</v>
      </c>
      <c r="D109" s="2" t="s">
        <v>47</v>
      </c>
      <c r="F109" s="2" t="s">
        <v>103</v>
      </c>
      <c r="G109" s="2">
        <v>20130.558316</v>
      </c>
      <c r="H109" s="2" t="s">
        <v>25</v>
      </c>
    </row>
    <row r="110" ht="22.5" customHeight="1">
      <c r="A110" s="2" t="s">
        <v>18</v>
      </c>
      <c r="B110" s="2" t="s">
        <v>102</v>
      </c>
      <c r="C110" s="2" t="s">
        <v>31</v>
      </c>
      <c r="D110" s="2" t="s">
        <v>47</v>
      </c>
      <c r="F110" s="2" t="s">
        <v>103</v>
      </c>
      <c r="G110" s="2">
        <v>19918.225945</v>
      </c>
      <c r="H110" s="2" t="s">
        <v>26</v>
      </c>
    </row>
    <row r="111" ht="22.5" customHeight="1">
      <c r="A111" s="2" t="s">
        <v>18</v>
      </c>
      <c r="B111" s="2" t="s">
        <v>104</v>
      </c>
      <c r="C111" s="2" t="s">
        <v>20</v>
      </c>
      <c r="D111" s="2" t="s">
        <v>21</v>
      </c>
      <c r="E111" s="2" t="s">
        <v>35</v>
      </c>
      <c r="F111" s="2" t="s">
        <v>105</v>
      </c>
      <c r="G111" s="2">
        <v>16974.754614</v>
      </c>
      <c r="H111" s="2" t="s">
        <v>25</v>
      </c>
    </row>
    <row r="112" ht="22.5" customHeight="1">
      <c r="A112" s="2" t="s">
        <v>18</v>
      </c>
      <c r="B112" s="2" t="s">
        <v>104</v>
      </c>
      <c r="C112" s="2" t="s">
        <v>20</v>
      </c>
      <c r="D112" s="2" t="s">
        <v>21</v>
      </c>
      <c r="E112" s="2" t="s">
        <v>35</v>
      </c>
      <c r="F112" s="2" t="s">
        <v>105</v>
      </c>
      <c r="G112" s="2">
        <v>13884.567962</v>
      </c>
      <c r="H112" s="2" t="s">
        <v>26</v>
      </c>
    </row>
    <row r="113" ht="22.5" customHeight="1">
      <c r="A113" s="2" t="s">
        <v>18</v>
      </c>
      <c r="B113" s="2" t="s">
        <v>106</v>
      </c>
      <c r="C113" s="2" t="s">
        <v>20</v>
      </c>
      <c r="D113" s="2" t="s">
        <v>21</v>
      </c>
      <c r="E113" s="2" t="s">
        <v>35</v>
      </c>
      <c r="F113" s="2" t="s">
        <v>107</v>
      </c>
      <c r="G113" s="2">
        <v>15635.661516</v>
      </c>
      <c r="H113" s="2" t="s">
        <v>26</v>
      </c>
    </row>
    <row r="114" ht="22.5" customHeight="1">
      <c r="A114" s="2" t="s">
        <v>18</v>
      </c>
      <c r="B114" s="2" t="s">
        <v>106</v>
      </c>
      <c r="C114" s="2" t="s">
        <v>20</v>
      </c>
      <c r="D114" s="2" t="s">
        <v>21</v>
      </c>
      <c r="E114" s="2" t="s">
        <v>35</v>
      </c>
      <c r="F114" s="2" t="s">
        <v>107</v>
      </c>
      <c r="G114" s="2">
        <v>15934.228414</v>
      </c>
      <c r="H114" s="2" t="s">
        <v>24</v>
      </c>
    </row>
    <row r="115" ht="22.5" customHeight="1">
      <c r="A115" s="2" t="s">
        <v>18</v>
      </c>
      <c r="B115" s="2" t="s">
        <v>106</v>
      </c>
      <c r="C115" s="2" t="s">
        <v>20</v>
      </c>
      <c r="D115" s="2" t="s">
        <v>21</v>
      </c>
      <c r="E115" s="2" t="s">
        <v>35</v>
      </c>
      <c r="F115" s="2" t="s">
        <v>107</v>
      </c>
      <c r="G115" s="2">
        <v>15927.656463</v>
      </c>
      <c r="H115" s="2" t="s">
        <v>25</v>
      </c>
    </row>
    <row r="116" ht="22.5" customHeight="1">
      <c r="A116" s="2" t="s">
        <v>18</v>
      </c>
      <c r="B116" s="2" t="s">
        <v>108</v>
      </c>
      <c r="C116" s="2" t="s">
        <v>31</v>
      </c>
      <c r="D116" s="2" t="s">
        <v>54</v>
      </c>
      <c r="F116" s="2" t="s">
        <v>109</v>
      </c>
      <c r="G116" s="2">
        <v>23200.97604</v>
      </c>
      <c r="H116" s="2" t="s">
        <v>26</v>
      </c>
    </row>
    <row r="117" ht="22.5" customHeight="1">
      <c r="A117" s="2" t="s">
        <v>18</v>
      </c>
      <c r="B117" s="2" t="s">
        <v>108</v>
      </c>
      <c r="C117" s="2" t="s">
        <v>31</v>
      </c>
      <c r="D117" s="2" t="s">
        <v>54</v>
      </c>
      <c r="F117" s="2" t="s">
        <v>109</v>
      </c>
      <c r="G117" s="2">
        <v>22655.84342</v>
      </c>
      <c r="H117" s="2" t="s">
        <v>24</v>
      </c>
    </row>
    <row r="118" ht="22.5" customHeight="1">
      <c r="A118" s="2" t="s">
        <v>18</v>
      </c>
      <c r="B118" s="2" t="s">
        <v>108</v>
      </c>
      <c r="C118" s="2" t="s">
        <v>31</v>
      </c>
      <c r="D118" s="2" t="s">
        <v>54</v>
      </c>
      <c r="F118" s="2" t="s">
        <v>109</v>
      </c>
      <c r="G118" s="3">
        <v>20527.440000000002</v>
      </c>
      <c r="H118" s="2" t="s">
        <v>25</v>
      </c>
    </row>
    <row r="119" ht="22.5" customHeight="1">
      <c r="A119" s="2" t="s">
        <v>18</v>
      </c>
      <c r="B119" s="2" t="s">
        <v>108</v>
      </c>
      <c r="C119" s="2" t="s">
        <v>31</v>
      </c>
      <c r="D119" s="2" t="s">
        <v>54</v>
      </c>
      <c r="F119" s="2" t="s">
        <v>109</v>
      </c>
      <c r="G119" s="3">
        <v>20527.440000000002</v>
      </c>
      <c r="H119" s="4" t="s">
        <v>27</v>
      </c>
    </row>
    <row r="120" ht="22.5" customHeight="1">
      <c r="A120" s="2" t="s">
        <v>18</v>
      </c>
      <c r="B120" s="2" t="s">
        <v>110</v>
      </c>
      <c r="C120" s="2" t="s">
        <v>20</v>
      </c>
      <c r="D120" s="2" t="s">
        <v>21</v>
      </c>
      <c r="F120" s="2" t="s">
        <v>111</v>
      </c>
      <c r="G120" s="2">
        <v>10128.07104</v>
      </c>
      <c r="H120" s="2" t="s">
        <v>26</v>
      </c>
    </row>
    <row r="121" ht="22.5" customHeight="1">
      <c r="A121" s="2" t="s">
        <v>18</v>
      </c>
      <c r="B121" s="2" t="s">
        <v>110</v>
      </c>
      <c r="C121" s="2" t="s">
        <v>20</v>
      </c>
      <c r="D121" s="2" t="s">
        <v>21</v>
      </c>
      <c r="F121" s="2" t="s">
        <v>111</v>
      </c>
      <c r="G121" s="2">
        <v>20321.67818</v>
      </c>
      <c r="H121" s="2" t="s">
        <v>24</v>
      </c>
    </row>
    <row r="122" ht="22.5" customHeight="1">
      <c r="A122" s="2" t="s">
        <v>18</v>
      </c>
      <c r="B122" s="2" t="s">
        <v>112</v>
      </c>
      <c r="C122" s="2" t="s">
        <v>31</v>
      </c>
      <c r="D122" s="2" t="s">
        <v>113</v>
      </c>
      <c r="F122" s="2" t="s">
        <v>114</v>
      </c>
      <c r="G122" s="3">
        <v>34524.9</v>
      </c>
      <c r="H122" s="2" t="s">
        <v>26</v>
      </c>
    </row>
    <row r="123" ht="22.5" customHeight="1">
      <c r="A123" s="2" t="s">
        <v>18</v>
      </c>
      <c r="B123" s="2" t="s">
        <v>112</v>
      </c>
      <c r="C123" s="2" t="s">
        <v>31</v>
      </c>
      <c r="D123" s="2" t="s">
        <v>113</v>
      </c>
      <c r="F123" s="2" t="s">
        <v>114</v>
      </c>
      <c r="G123" s="3">
        <v>34524.9</v>
      </c>
      <c r="H123" s="2" t="s">
        <v>25</v>
      </c>
    </row>
    <row r="124" ht="22.5" customHeight="1">
      <c r="A124" s="2" t="s">
        <v>18</v>
      </c>
      <c r="B124" s="2" t="s">
        <v>112</v>
      </c>
      <c r="C124" s="2" t="s">
        <v>31</v>
      </c>
      <c r="D124" s="2" t="s">
        <v>113</v>
      </c>
      <c r="F124" s="2" t="s">
        <v>114</v>
      </c>
      <c r="G124" s="3">
        <v>34524.9</v>
      </c>
      <c r="H124" s="2" t="s">
        <v>24</v>
      </c>
    </row>
    <row r="125" ht="22.5" customHeight="1">
      <c r="A125" s="2" t="s">
        <v>18</v>
      </c>
      <c r="B125" s="2" t="s">
        <v>112</v>
      </c>
      <c r="C125" s="2" t="s">
        <v>31</v>
      </c>
      <c r="D125" s="2" t="s">
        <v>113</v>
      </c>
      <c r="F125" s="2" t="s">
        <v>114</v>
      </c>
      <c r="G125" s="3">
        <v>34524.9</v>
      </c>
      <c r="H125" s="4" t="s">
        <v>27</v>
      </c>
    </row>
    <row r="126" ht="22.5" customHeight="1">
      <c r="A126" s="2" t="s">
        <v>18</v>
      </c>
      <c r="B126" s="2" t="s">
        <v>115</v>
      </c>
      <c r="C126" s="2" t="s">
        <v>20</v>
      </c>
      <c r="D126" s="2" t="s">
        <v>21</v>
      </c>
      <c r="E126" s="2" t="s">
        <v>22</v>
      </c>
      <c r="F126" s="2" t="s">
        <v>116</v>
      </c>
      <c r="G126" s="3">
        <v>14368.28</v>
      </c>
      <c r="H126" s="2" t="s">
        <v>25</v>
      </c>
    </row>
    <row r="127" ht="22.5" customHeight="1">
      <c r="A127" s="2" t="s">
        <v>18</v>
      </c>
      <c r="B127" s="2" t="s">
        <v>115</v>
      </c>
      <c r="C127" s="2" t="s">
        <v>20</v>
      </c>
      <c r="D127" s="2" t="s">
        <v>21</v>
      </c>
      <c r="E127" s="2" t="s">
        <v>22</v>
      </c>
      <c r="F127" s="2" t="s">
        <v>116</v>
      </c>
      <c r="G127" s="3">
        <v>13001.391037000001</v>
      </c>
      <c r="H127" s="2" t="s">
        <v>26</v>
      </c>
    </row>
    <row r="128" ht="22.5" customHeight="1">
      <c r="A128" s="2" t="s">
        <v>18</v>
      </c>
      <c r="B128" s="2" t="s">
        <v>115</v>
      </c>
      <c r="C128" s="2" t="s">
        <v>20</v>
      </c>
      <c r="D128" s="2" t="s">
        <v>21</v>
      </c>
      <c r="E128" s="2" t="s">
        <v>22</v>
      </c>
      <c r="F128" s="2" t="s">
        <v>116</v>
      </c>
      <c r="G128" s="2">
        <v>11540.051364</v>
      </c>
      <c r="H128" s="2" t="s">
        <v>24</v>
      </c>
    </row>
    <row r="129" ht="22.5" customHeight="1">
      <c r="A129" s="2" t="s">
        <v>18</v>
      </c>
      <c r="B129" s="2" t="s">
        <v>115</v>
      </c>
      <c r="C129" s="2" t="s">
        <v>20</v>
      </c>
      <c r="D129" s="2" t="s">
        <v>21</v>
      </c>
      <c r="E129" s="2" t="s">
        <v>22</v>
      </c>
      <c r="F129" s="2" t="s">
        <v>116</v>
      </c>
      <c r="G129" s="3">
        <v>13513.4925</v>
      </c>
      <c r="H129" s="4" t="s">
        <v>27</v>
      </c>
    </row>
    <row r="130" ht="22.5" customHeight="1">
      <c r="A130" s="2" t="s">
        <v>18</v>
      </c>
      <c r="B130" s="2" t="s">
        <v>117</v>
      </c>
      <c r="C130" s="2" t="s">
        <v>31</v>
      </c>
      <c r="D130" s="2" t="s">
        <v>47</v>
      </c>
      <c r="F130" s="2" t="s">
        <v>118</v>
      </c>
      <c r="G130" s="2">
        <v>16555.654738</v>
      </c>
      <c r="H130" s="2" t="s">
        <v>25</v>
      </c>
    </row>
    <row r="131" ht="22.5" customHeight="1">
      <c r="A131" s="2" t="s">
        <v>18</v>
      </c>
      <c r="B131" s="2" t="s">
        <v>117</v>
      </c>
      <c r="C131" s="2" t="s">
        <v>31</v>
      </c>
      <c r="D131" s="2" t="s">
        <v>47</v>
      </c>
      <c r="F131" s="2" t="s">
        <v>118</v>
      </c>
      <c r="G131" s="2">
        <v>17783.171619</v>
      </c>
      <c r="H131" s="2" t="s">
        <v>26</v>
      </c>
    </row>
    <row r="132" ht="22.5" customHeight="1">
      <c r="A132" s="2" t="s">
        <v>18</v>
      </c>
      <c r="B132" s="2" t="s">
        <v>117</v>
      </c>
      <c r="C132" s="2" t="s">
        <v>31</v>
      </c>
      <c r="D132" s="2" t="s">
        <v>47</v>
      </c>
      <c r="F132" s="2" t="s">
        <v>118</v>
      </c>
      <c r="G132" s="2">
        <v>18122.529054</v>
      </c>
      <c r="H132" s="2" t="s">
        <v>24</v>
      </c>
    </row>
    <row r="133" ht="22.5" customHeight="1">
      <c r="A133" s="2" t="s">
        <v>18</v>
      </c>
      <c r="B133" s="2" t="s">
        <v>119</v>
      </c>
      <c r="C133" s="2" t="s">
        <v>20</v>
      </c>
      <c r="D133" s="2" t="s">
        <v>21</v>
      </c>
      <c r="E133" s="2" t="s">
        <v>41</v>
      </c>
      <c r="F133" s="2" t="s">
        <v>120</v>
      </c>
      <c r="G133" s="2">
        <v>13205.68591</v>
      </c>
      <c r="H133" s="2" t="s">
        <v>25</v>
      </c>
    </row>
    <row r="134" ht="22.5" customHeight="1">
      <c r="A134" s="2" t="s">
        <v>18</v>
      </c>
      <c r="B134" s="2" t="s">
        <v>119</v>
      </c>
      <c r="C134" s="2" t="s">
        <v>20</v>
      </c>
      <c r="D134" s="2" t="s">
        <v>21</v>
      </c>
      <c r="E134" s="2" t="s">
        <v>41</v>
      </c>
      <c r="F134" s="2" t="s">
        <v>120</v>
      </c>
      <c r="G134" s="2">
        <v>12908.441516</v>
      </c>
      <c r="H134" s="2" t="s">
        <v>26</v>
      </c>
    </row>
    <row r="135" ht="22.5" customHeight="1">
      <c r="A135" s="2" t="s">
        <v>18</v>
      </c>
      <c r="B135" s="2" t="s">
        <v>119</v>
      </c>
      <c r="C135" s="2" t="s">
        <v>20</v>
      </c>
      <c r="D135" s="2" t="s">
        <v>21</v>
      </c>
      <c r="E135" s="2" t="s">
        <v>41</v>
      </c>
      <c r="F135" s="2" t="s">
        <v>120</v>
      </c>
      <c r="G135" s="2">
        <v>13156.028414</v>
      </c>
      <c r="H135" s="2" t="s">
        <v>24</v>
      </c>
    </row>
    <row r="136" ht="22.5" customHeight="1">
      <c r="A136" s="2" t="s">
        <v>18</v>
      </c>
      <c r="B136" s="2" t="s">
        <v>121</v>
      </c>
      <c r="C136" s="2" t="s">
        <v>31</v>
      </c>
      <c r="D136" s="2" t="s">
        <v>47</v>
      </c>
      <c r="F136" s="2" t="s">
        <v>122</v>
      </c>
      <c r="G136" s="2">
        <v>15924.754614</v>
      </c>
      <c r="H136" s="2" t="s">
        <v>25</v>
      </c>
    </row>
    <row r="137" ht="22.5" customHeight="1">
      <c r="A137" s="2" t="s">
        <v>18</v>
      </c>
      <c r="B137" s="2" t="s">
        <v>121</v>
      </c>
      <c r="C137" s="2" t="s">
        <v>31</v>
      </c>
      <c r="D137" s="2" t="s">
        <v>47</v>
      </c>
      <c r="F137" s="2" t="s">
        <v>122</v>
      </c>
      <c r="G137" s="2">
        <v>7699.68742</v>
      </c>
      <c r="H137" s="2" t="s">
        <v>26</v>
      </c>
    </row>
    <row r="138" ht="22.5" customHeight="1">
      <c r="A138" s="2" t="s">
        <v>18</v>
      </c>
      <c r="B138" s="2" t="s">
        <v>123</v>
      </c>
      <c r="C138" s="2" t="s">
        <v>20</v>
      </c>
      <c r="D138" s="2" t="s">
        <v>21</v>
      </c>
      <c r="E138" s="2" t="s">
        <v>22</v>
      </c>
      <c r="F138" s="2" t="s">
        <v>124</v>
      </c>
      <c r="G138" s="3">
        <v>18920.03</v>
      </c>
      <c r="H138" s="2" t="s">
        <v>25</v>
      </c>
    </row>
    <row r="139" ht="22.5" customHeight="1">
      <c r="A139" s="2" t="s">
        <v>18</v>
      </c>
      <c r="B139" s="2" t="s">
        <v>123</v>
      </c>
      <c r="C139" s="2" t="s">
        <v>20</v>
      </c>
      <c r="D139" s="2" t="s">
        <v>21</v>
      </c>
      <c r="E139" s="2" t="s">
        <v>22</v>
      </c>
      <c r="F139" s="2" t="s">
        <v>124</v>
      </c>
      <c r="G139" s="2">
        <v>20790.280388</v>
      </c>
      <c r="H139" s="2" t="s">
        <v>26</v>
      </c>
    </row>
    <row r="140" ht="22.5" customHeight="1">
      <c r="A140" s="2" t="s">
        <v>18</v>
      </c>
      <c r="B140" s="2" t="s">
        <v>123</v>
      </c>
      <c r="C140" s="2" t="s">
        <v>20</v>
      </c>
      <c r="D140" s="2" t="s">
        <v>21</v>
      </c>
      <c r="E140" s="2" t="s">
        <v>22</v>
      </c>
      <c r="F140" s="2" t="s">
        <v>124</v>
      </c>
      <c r="G140" s="2">
        <v>22501.67818</v>
      </c>
      <c r="H140" s="2" t="s">
        <v>24</v>
      </c>
    </row>
    <row r="141" ht="22.5" customHeight="1">
      <c r="A141" s="2" t="s">
        <v>18</v>
      </c>
      <c r="B141" s="2" t="s">
        <v>123</v>
      </c>
      <c r="C141" s="2" t="s">
        <v>20</v>
      </c>
      <c r="D141" s="2" t="s">
        <v>21</v>
      </c>
      <c r="E141" s="2" t="s">
        <v>22</v>
      </c>
      <c r="F141" s="2" t="s">
        <v>124</v>
      </c>
      <c r="G141" s="3">
        <v>18427.440000000002</v>
      </c>
      <c r="H141" s="4" t="s">
        <v>27</v>
      </c>
    </row>
    <row r="142" ht="22.5" customHeight="1">
      <c r="A142" s="2" t="s">
        <v>18</v>
      </c>
      <c r="B142" s="2" t="s">
        <v>125</v>
      </c>
      <c r="C142" s="2" t="s">
        <v>20</v>
      </c>
      <c r="D142" s="2" t="s">
        <v>21</v>
      </c>
      <c r="F142" s="2" t="s">
        <v>126</v>
      </c>
      <c r="G142" s="2">
        <v>12571.67402</v>
      </c>
      <c r="H142" s="2" t="s">
        <v>24</v>
      </c>
    </row>
    <row r="143" ht="22.5" customHeight="1">
      <c r="A143" s="2" t="s">
        <v>18</v>
      </c>
      <c r="B143" s="2" t="s">
        <v>127</v>
      </c>
      <c r="C143" s="2" t="s">
        <v>20</v>
      </c>
      <c r="D143" s="2" t="s">
        <v>54</v>
      </c>
      <c r="F143" s="2" t="s">
        <v>128</v>
      </c>
      <c r="G143" s="2">
        <v>7350.0</v>
      </c>
      <c r="H143" s="2" t="s">
        <v>24</v>
      </c>
    </row>
    <row r="144" ht="22.5" customHeight="1">
      <c r="A144" s="2" t="s">
        <v>18</v>
      </c>
      <c r="B144" s="2" t="s">
        <v>127</v>
      </c>
      <c r="C144" s="2" t="s">
        <v>20</v>
      </c>
      <c r="D144" s="2" t="s">
        <v>54</v>
      </c>
      <c r="F144" s="2" t="s">
        <v>128</v>
      </c>
      <c r="G144" s="3">
        <v>6615.84</v>
      </c>
      <c r="H144" s="2" t="s">
        <v>25</v>
      </c>
    </row>
    <row r="145" ht="22.5" customHeight="1">
      <c r="A145" s="2" t="s">
        <v>18</v>
      </c>
      <c r="B145" s="2" t="s">
        <v>127</v>
      </c>
      <c r="C145" s="2" t="s">
        <v>20</v>
      </c>
      <c r="D145" s="2" t="s">
        <v>54</v>
      </c>
      <c r="F145" s="2" t="s">
        <v>128</v>
      </c>
      <c r="G145" s="2">
        <v>10059.743257</v>
      </c>
      <c r="H145" s="2" t="s">
        <v>26</v>
      </c>
    </row>
    <row r="146" ht="22.5" customHeight="1">
      <c r="A146" s="2" t="s">
        <v>18</v>
      </c>
      <c r="B146" s="2" t="s">
        <v>127</v>
      </c>
      <c r="C146" s="2" t="s">
        <v>20</v>
      </c>
      <c r="D146" s="2" t="s">
        <v>54</v>
      </c>
      <c r="F146" s="2" t="s">
        <v>128</v>
      </c>
      <c r="G146" s="3">
        <v>9451.2</v>
      </c>
      <c r="H146" s="4" t="s">
        <v>27</v>
      </c>
    </row>
    <row r="147" ht="22.5" customHeight="1">
      <c r="A147" s="2" t="s">
        <v>18</v>
      </c>
      <c r="B147" s="2" t="s">
        <v>129</v>
      </c>
      <c r="C147" s="2" t="s">
        <v>20</v>
      </c>
      <c r="D147" s="2" t="s">
        <v>54</v>
      </c>
      <c r="F147" s="2" t="s">
        <v>130</v>
      </c>
      <c r="G147" s="2">
        <v>24665.36342</v>
      </c>
      <c r="H147" s="2" t="s">
        <v>24</v>
      </c>
    </row>
    <row r="148" ht="22.5" customHeight="1">
      <c r="A148" s="2" t="s">
        <v>18</v>
      </c>
      <c r="B148" s="2" t="s">
        <v>129</v>
      </c>
      <c r="C148" s="2" t="s">
        <v>20</v>
      </c>
      <c r="D148" s="2" t="s">
        <v>54</v>
      </c>
      <c r="F148" s="2" t="s">
        <v>130</v>
      </c>
      <c r="G148" s="2">
        <v>24293.14929</v>
      </c>
      <c r="H148" s="2" t="s">
        <v>25</v>
      </c>
    </row>
    <row r="149" ht="22.5" customHeight="1">
      <c r="A149" s="2" t="s">
        <v>18</v>
      </c>
      <c r="B149" s="2" t="s">
        <v>129</v>
      </c>
      <c r="C149" s="2" t="s">
        <v>20</v>
      </c>
      <c r="D149" s="2" t="s">
        <v>54</v>
      </c>
      <c r="F149" s="2" t="s">
        <v>130</v>
      </c>
      <c r="G149" s="2">
        <v>24205.73604</v>
      </c>
      <c r="H149" s="2" t="s">
        <v>26</v>
      </c>
    </row>
    <row r="150" ht="22.5" customHeight="1">
      <c r="A150" s="2" t="s">
        <v>18</v>
      </c>
      <c r="B150" s="2" t="s">
        <v>131</v>
      </c>
      <c r="C150" s="2" t="s">
        <v>20</v>
      </c>
      <c r="D150" s="2" t="s">
        <v>21</v>
      </c>
      <c r="E150" s="2" t="s">
        <v>22</v>
      </c>
      <c r="F150" s="2" t="s">
        <v>132</v>
      </c>
      <c r="G150" s="2">
        <v>18141.678181</v>
      </c>
      <c r="H150" s="2" t="s">
        <v>24</v>
      </c>
    </row>
    <row r="151" ht="22.5" customHeight="1">
      <c r="A151" s="2" t="s">
        <v>18</v>
      </c>
      <c r="B151" s="2" t="s">
        <v>131</v>
      </c>
      <c r="C151" s="2" t="s">
        <v>20</v>
      </c>
      <c r="D151" s="2" t="s">
        <v>21</v>
      </c>
      <c r="E151" s="2" t="s">
        <v>22</v>
      </c>
      <c r="F151" s="2" t="s">
        <v>132</v>
      </c>
      <c r="G151" s="3">
        <v>14227.44</v>
      </c>
      <c r="H151" s="2" t="s">
        <v>25</v>
      </c>
    </row>
    <row r="152" ht="22.5" customHeight="1">
      <c r="A152" s="2" t="s">
        <v>18</v>
      </c>
      <c r="B152" s="2" t="s">
        <v>131</v>
      </c>
      <c r="C152" s="2" t="s">
        <v>20</v>
      </c>
      <c r="D152" s="2" t="s">
        <v>21</v>
      </c>
      <c r="E152" s="2" t="s">
        <v>22</v>
      </c>
      <c r="F152" s="2" t="s">
        <v>132</v>
      </c>
      <c r="G152" s="3">
        <v>14227.44</v>
      </c>
      <c r="H152" s="4" t="s">
        <v>27</v>
      </c>
    </row>
    <row r="153" ht="22.5" customHeight="1">
      <c r="A153" s="2" t="s">
        <v>18</v>
      </c>
      <c r="B153" s="2" t="s">
        <v>131</v>
      </c>
      <c r="C153" s="2" t="s">
        <v>20</v>
      </c>
      <c r="D153" s="2" t="s">
        <v>21</v>
      </c>
      <c r="E153" s="2" t="s">
        <v>22</v>
      </c>
      <c r="F153" s="2" t="s">
        <v>132</v>
      </c>
      <c r="G153" s="2">
        <v>17823.581037</v>
      </c>
      <c r="H153" s="2" t="s">
        <v>26</v>
      </c>
    </row>
    <row r="154" ht="22.5" customHeight="1">
      <c r="A154" s="2" t="s">
        <v>18</v>
      </c>
      <c r="B154" s="2" t="s">
        <v>133</v>
      </c>
      <c r="C154" s="2" t="s">
        <v>20</v>
      </c>
      <c r="D154" s="2" t="s">
        <v>21</v>
      </c>
      <c r="E154" s="2" t="s">
        <v>44</v>
      </c>
      <c r="F154" s="2" t="s">
        <v>134</v>
      </c>
      <c r="G154" s="2">
        <v>18141.678181</v>
      </c>
      <c r="H154" s="2" t="s">
        <v>24</v>
      </c>
    </row>
    <row r="155" ht="22.5" customHeight="1">
      <c r="A155" s="2" t="s">
        <v>18</v>
      </c>
      <c r="B155" s="2" t="s">
        <v>133</v>
      </c>
      <c r="C155" s="2" t="s">
        <v>20</v>
      </c>
      <c r="D155" s="2" t="s">
        <v>21</v>
      </c>
      <c r="E155" s="2" t="s">
        <v>44</v>
      </c>
      <c r="F155" s="2" t="s">
        <v>134</v>
      </c>
      <c r="G155" s="3">
        <v>15802.44</v>
      </c>
      <c r="H155" s="2" t="s">
        <v>25</v>
      </c>
    </row>
    <row r="156" ht="22.5" customHeight="1">
      <c r="A156" s="2" t="s">
        <v>18</v>
      </c>
      <c r="B156" s="2" t="s">
        <v>133</v>
      </c>
      <c r="C156" s="2" t="s">
        <v>20</v>
      </c>
      <c r="D156" s="2" t="s">
        <v>21</v>
      </c>
      <c r="E156" s="2" t="s">
        <v>44</v>
      </c>
      <c r="F156" s="2" t="s">
        <v>134</v>
      </c>
      <c r="G156" s="2">
        <v>19428.580152</v>
      </c>
      <c r="H156" s="2" t="s">
        <v>26</v>
      </c>
    </row>
    <row r="157" ht="22.5" customHeight="1">
      <c r="A157" s="2" t="s">
        <v>18</v>
      </c>
      <c r="B157" s="2" t="s">
        <v>133</v>
      </c>
      <c r="C157" s="2" t="s">
        <v>20</v>
      </c>
      <c r="D157" s="2" t="s">
        <v>21</v>
      </c>
      <c r="E157" s="2" t="s">
        <v>44</v>
      </c>
      <c r="F157" s="2" t="s">
        <v>134</v>
      </c>
      <c r="G157" s="3">
        <v>15802.44</v>
      </c>
      <c r="H157" s="4" t="s">
        <v>27</v>
      </c>
    </row>
    <row r="158" ht="22.5" customHeight="1">
      <c r="A158" s="2" t="s">
        <v>18</v>
      </c>
      <c r="B158" s="2" t="s">
        <v>135</v>
      </c>
      <c r="C158" s="2" t="s">
        <v>20</v>
      </c>
      <c r="D158" s="2" t="s">
        <v>54</v>
      </c>
      <c r="F158" s="2" t="s">
        <v>136</v>
      </c>
      <c r="G158" s="2">
        <v>13208.291322</v>
      </c>
      <c r="H158" s="2" t="s">
        <v>24</v>
      </c>
    </row>
    <row r="159" ht="22.5" customHeight="1">
      <c r="A159" s="2" t="s">
        <v>18</v>
      </c>
      <c r="B159" s="2" t="s">
        <v>135</v>
      </c>
      <c r="C159" s="2" t="s">
        <v>20</v>
      </c>
      <c r="D159" s="2" t="s">
        <v>54</v>
      </c>
      <c r="F159" s="2" t="s">
        <v>136</v>
      </c>
      <c r="G159" s="2">
        <v>12955.727005</v>
      </c>
      <c r="H159" s="2" t="s">
        <v>26</v>
      </c>
    </row>
    <row r="160" ht="22.5" customHeight="1">
      <c r="A160" s="2" t="s">
        <v>18</v>
      </c>
      <c r="B160" s="2" t="s">
        <v>135</v>
      </c>
      <c r="C160" s="2" t="s">
        <v>20</v>
      </c>
      <c r="D160" s="2" t="s">
        <v>54</v>
      </c>
      <c r="F160" s="2" t="s">
        <v>136</v>
      </c>
      <c r="G160" s="2">
        <v>13202.829051</v>
      </c>
      <c r="H160" s="2" t="s">
        <v>25</v>
      </c>
    </row>
    <row r="161" ht="22.5" customHeight="1">
      <c r="A161" s="2" t="s">
        <v>18</v>
      </c>
      <c r="B161" s="2" t="s">
        <v>137</v>
      </c>
      <c r="C161" s="2" t="s">
        <v>20</v>
      </c>
      <c r="D161" s="2" t="s">
        <v>21</v>
      </c>
      <c r="E161" s="2" t="s">
        <v>1651</v>
      </c>
      <c r="F161" s="2" t="s">
        <v>138</v>
      </c>
      <c r="G161" s="2">
        <v>14563.097092</v>
      </c>
      <c r="H161" s="2" t="s">
        <v>26</v>
      </c>
    </row>
    <row r="162" ht="22.5" customHeight="1">
      <c r="A162" s="2" t="s">
        <v>18</v>
      </c>
      <c r="B162" s="2" t="s">
        <v>137</v>
      </c>
      <c r="C162" s="2" t="s">
        <v>20</v>
      </c>
      <c r="D162" s="2" t="s">
        <v>21</v>
      </c>
      <c r="E162" s="2" t="s">
        <v>1651</v>
      </c>
      <c r="F162" s="2" t="s">
        <v>138</v>
      </c>
      <c r="G162" s="2">
        <v>14841.39405</v>
      </c>
      <c r="H162" s="2" t="s">
        <v>24</v>
      </c>
    </row>
    <row r="163" ht="22.5" customHeight="1">
      <c r="A163" s="2" t="s">
        <v>18</v>
      </c>
      <c r="B163" s="2" t="s">
        <v>137</v>
      </c>
      <c r="C163" s="2" t="s">
        <v>20</v>
      </c>
      <c r="D163" s="2" t="s">
        <v>21</v>
      </c>
      <c r="E163" s="2" t="s">
        <v>1651</v>
      </c>
      <c r="F163" s="2" t="s">
        <v>138</v>
      </c>
      <c r="G163" s="2">
        <v>14874.754614</v>
      </c>
      <c r="H163" s="2" t="s">
        <v>25</v>
      </c>
    </row>
    <row r="164" ht="22.5" customHeight="1">
      <c r="A164" s="2" t="s">
        <v>18</v>
      </c>
      <c r="B164" s="2" t="s">
        <v>139</v>
      </c>
      <c r="C164" s="2" t="s">
        <v>20</v>
      </c>
      <c r="D164" s="2" t="s">
        <v>21</v>
      </c>
      <c r="E164" s="2" t="s">
        <v>22</v>
      </c>
      <c r="F164" s="2" t="s">
        <v>140</v>
      </c>
      <c r="G164" s="2">
        <v>13884.567962</v>
      </c>
      <c r="H164" s="2" t="s">
        <v>26</v>
      </c>
    </row>
    <row r="165" ht="22.5" customHeight="1">
      <c r="A165" s="2" t="s">
        <v>18</v>
      </c>
      <c r="B165" s="2" t="s">
        <v>139</v>
      </c>
      <c r="C165" s="2" t="s">
        <v>20</v>
      </c>
      <c r="D165" s="2" t="s">
        <v>21</v>
      </c>
      <c r="E165" s="2" t="s">
        <v>22</v>
      </c>
      <c r="F165" s="2" t="s">
        <v>140</v>
      </c>
      <c r="G165" s="2">
        <v>16974.754614</v>
      </c>
      <c r="H165" s="2" t="s">
        <v>25</v>
      </c>
    </row>
    <row r="166" ht="22.5" customHeight="1">
      <c r="A166" s="2" t="s">
        <v>18</v>
      </c>
      <c r="B166" s="2" t="s">
        <v>141</v>
      </c>
      <c r="C166" s="2" t="s">
        <v>20</v>
      </c>
      <c r="D166" s="2" t="s">
        <v>21</v>
      </c>
      <c r="E166" s="2" t="s">
        <v>22</v>
      </c>
      <c r="F166" s="2" t="s">
        <v>142</v>
      </c>
      <c r="G166" s="2">
        <v>21033.58015</v>
      </c>
      <c r="H166" s="2" t="s">
        <v>26</v>
      </c>
    </row>
    <row r="167" ht="22.5" customHeight="1">
      <c r="A167" s="2" t="s">
        <v>18</v>
      </c>
      <c r="B167" s="2" t="s">
        <v>141</v>
      </c>
      <c r="C167" s="2" t="s">
        <v>20</v>
      </c>
      <c r="D167" s="2" t="s">
        <v>21</v>
      </c>
      <c r="E167" s="2" t="s">
        <v>22</v>
      </c>
      <c r="F167" s="2" t="s">
        <v>142</v>
      </c>
      <c r="G167" s="2">
        <v>21411.67818</v>
      </c>
      <c r="H167" s="2" t="s">
        <v>24</v>
      </c>
    </row>
    <row r="168" ht="22.5" customHeight="1">
      <c r="A168" s="2" t="s">
        <v>18</v>
      </c>
      <c r="B168" s="2" t="s">
        <v>141</v>
      </c>
      <c r="C168" s="2" t="s">
        <v>20</v>
      </c>
      <c r="D168" s="2" t="s">
        <v>21</v>
      </c>
      <c r="E168" s="2" t="s">
        <v>22</v>
      </c>
      <c r="F168" s="2" t="s">
        <v>142</v>
      </c>
      <c r="G168" s="2">
        <v>21253.68456</v>
      </c>
      <c r="H168" s="2" t="s">
        <v>25</v>
      </c>
    </row>
    <row r="169" ht="22.5" customHeight="1">
      <c r="A169" s="2" t="s">
        <v>18</v>
      </c>
      <c r="B169" s="2" t="s">
        <v>143</v>
      </c>
      <c r="C169" s="4" t="s">
        <v>20</v>
      </c>
      <c r="D169" s="2" t="s">
        <v>21</v>
      </c>
      <c r="E169" s="2" t="s">
        <v>22</v>
      </c>
      <c r="F169" s="2" t="s">
        <v>144</v>
      </c>
      <c r="G169" s="2">
        <v>26544.05659</v>
      </c>
      <c r="H169" s="2" t="s">
        <v>25</v>
      </c>
    </row>
    <row r="170" ht="22.5" customHeight="1">
      <c r="A170" s="2" t="s">
        <v>18</v>
      </c>
      <c r="B170" s="2" t="s">
        <v>143</v>
      </c>
      <c r="C170" s="4" t="s">
        <v>20</v>
      </c>
      <c r="D170" s="2" t="s">
        <v>21</v>
      </c>
      <c r="E170" s="2" t="s">
        <v>22</v>
      </c>
      <c r="F170" s="2" t="s">
        <v>144</v>
      </c>
      <c r="G170" s="2">
        <v>25031.60342</v>
      </c>
      <c r="H170" s="2" t="s">
        <v>24</v>
      </c>
    </row>
    <row r="171" ht="22.5" customHeight="1">
      <c r="A171" s="2" t="s">
        <v>18</v>
      </c>
      <c r="B171" s="2" t="s">
        <v>143</v>
      </c>
      <c r="C171" s="4" t="s">
        <v>20</v>
      </c>
      <c r="D171" s="2" t="s">
        <v>21</v>
      </c>
      <c r="E171" s="2" t="s">
        <v>22</v>
      </c>
      <c r="F171" s="2" t="s">
        <v>144</v>
      </c>
      <c r="G171" s="2">
        <v>24558.95604</v>
      </c>
      <c r="H171" s="2" t="s">
        <v>26</v>
      </c>
    </row>
    <row r="172" ht="22.5" customHeight="1">
      <c r="A172" s="2" t="s">
        <v>18</v>
      </c>
      <c r="B172" s="2" t="s">
        <v>145</v>
      </c>
      <c r="C172" s="4" t="s">
        <v>20</v>
      </c>
      <c r="D172" s="2" t="s">
        <v>21</v>
      </c>
      <c r="E172" s="2" t="s">
        <v>35</v>
      </c>
      <c r="F172" s="2" t="s">
        <v>146</v>
      </c>
      <c r="G172" s="2">
        <v>24203.17162</v>
      </c>
      <c r="H172" s="2" t="s">
        <v>26</v>
      </c>
    </row>
    <row r="173" ht="22.5" customHeight="1">
      <c r="A173" s="2" t="s">
        <v>18</v>
      </c>
      <c r="B173" s="2" t="s">
        <v>145</v>
      </c>
      <c r="C173" s="4" t="s">
        <v>20</v>
      </c>
      <c r="D173" s="2" t="s">
        <v>21</v>
      </c>
      <c r="E173" s="2" t="s">
        <v>35</v>
      </c>
      <c r="F173" s="2" t="s">
        <v>146</v>
      </c>
      <c r="G173" s="2">
        <v>24662.52906</v>
      </c>
      <c r="H173" s="2" t="s">
        <v>24</v>
      </c>
    </row>
    <row r="174" ht="22.5" customHeight="1">
      <c r="A174" s="2" t="s">
        <v>18</v>
      </c>
      <c r="B174" s="2" t="s">
        <v>145</v>
      </c>
      <c r="C174" s="4" t="s">
        <v>20</v>
      </c>
      <c r="D174" s="2" t="s">
        <v>21</v>
      </c>
      <c r="E174" s="2" t="s">
        <v>35</v>
      </c>
      <c r="F174" s="2" t="s">
        <v>146</v>
      </c>
      <c r="G174" s="2">
        <v>24290.29243</v>
      </c>
      <c r="H174" s="2" t="s">
        <v>25</v>
      </c>
    </row>
    <row r="175" ht="22.5" customHeight="1">
      <c r="A175" s="2" t="s">
        <v>18</v>
      </c>
      <c r="B175" s="2" t="s">
        <v>147</v>
      </c>
      <c r="C175" s="2" t="s">
        <v>20</v>
      </c>
      <c r="D175" s="2" t="s">
        <v>21</v>
      </c>
      <c r="E175" s="2" t="s">
        <v>22</v>
      </c>
      <c r="F175" s="2" t="s">
        <v>148</v>
      </c>
      <c r="G175" s="2">
        <v>17823.580152</v>
      </c>
      <c r="H175" s="2" t="s">
        <v>26</v>
      </c>
    </row>
    <row r="176" ht="22.5" customHeight="1">
      <c r="A176" s="2" t="s">
        <v>18</v>
      </c>
      <c r="B176" s="2" t="s">
        <v>147</v>
      </c>
      <c r="C176" s="2" t="s">
        <v>20</v>
      </c>
      <c r="D176" s="2" t="s">
        <v>21</v>
      </c>
      <c r="E176" s="2" t="s">
        <v>22</v>
      </c>
      <c r="F176" s="2" t="s">
        <v>148</v>
      </c>
      <c r="G176" s="2">
        <v>17456.613181</v>
      </c>
      <c r="H176" s="2" t="s">
        <v>24</v>
      </c>
    </row>
    <row r="177" ht="22.5" customHeight="1">
      <c r="A177" s="2" t="s">
        <v>18</v>
      </c>
      <c r="B177" s="2" t="s">
        <v>147</v>
      </c>
      <c r="C177" s="2" t="s">
        <v>20</v>
      </c>
      <c r="D177" s="2" t="s">
        <v>21</v>
      </c>
      <c r="E177" s="2" t="s">
        <v>22</v>
      </c>
      <c r="F177" s="2" t="s">
        <v>148</v>
      </c>
      <c r="G177" s="3">
        <v>14227.44</v>
      </c>
      <c r="H177" s="4" t="s">
        <v>27</v>
      </c>
    </row>
    <row r="178" ht="22.5" customHeight="1">
      <c r="A178" s="2" t="s">
        <v>18</v>
      </c>
      <c r="B178" s="2" t="s">
        <v>147</v>
      </c>
      <c r="C178" s="2" t="s">
        <v>20</v>
      </c>
      <c r="D178" s="2" t="s">
        <v>21</v>
      </c>
      <c r="E178" s="2" t="s">
        <v>22</v>
      </c>
      <c r="F178" s="2" t="s">
        <v>148</v>
      </c>
      <c r="G178" s="3">
        <v>14227.44</v>
      </c>
      <c r="H178" s="2" t="s">
        <v>25</v>
      </c>
    </row>
    <row r="179" ht="22.5" customHeight="1">
      <c r="A179" s="2" t="s">
        <v>18</v>
      </c>
      <c r="B179" s="2" t="s">
        <v>149</v>
      </c>
      <c r="C179" s="2" t="s">
        <v>31</v>
      </c>
      <c r="D179" s="2" t="s">
        <v>47</v>
      </c>
      <c r="F179" s="2" t="s">
        <v>150</v>
      </c>
      <c r="G179" s="2">
        <v>20063.457943</v>
      </c>
      <c r="H179" s="2" t="s">
        <v>26</v>
      </c>
    </row>
    <row r="180" ht="22.5" customHeight="1">
      <c r="A180" s="2" t="s">
        <v>18</v>
      </c>
      <c r="B180" s="2" t="s">
        <v>149</v>
      </c>
      <c r="C180" s="2" t="s">
        <v>31</v>
      </c>
      <c r="D180" s="2" t="s">
        <v>47</v>
      </c>
      <c r="F180" s="2" t="s">
        <v>150</v>
      </c>
      <c r="G180" s="2">
        <v>20207.91754</v>
      </c>
      <c r="H180" s="2" t="s">
        <v>25</v>
      </c>
    </row>
    <row r="181" ht="22.5" customHeight="1">
      <c r="A181" s="2" t="s">
        <v>18</v>
      </c>
      <c r="B181" s="2" t="s">
        <v>149</v>
      </c>
      <c r="C181" s="2" t="s">
        <v>31</v>
      </c>
      <c r="D181" s="2" t="s">
        <v>47</v>
      </c>
      <c r="F181" s="2" t="s">
        <v>150</v>
      </c>
      <c r="G181" s="2">
        <v>20441.8093</v>
      </c>
      <c r="H181" s="2" t="s">
        <v>24</v>
      </c>
    </row>
    <row r="182" ht="22.5" customHeight="1">
      <c r="A182" s="2" t="s">
        <v>18</v>
      </c>
      <c r="B182" s="2" t="s">
        <v>151</v>
      </c>
      <c r="C182" s="2" t="s">
        <v>20</v>
      </c>
      <c r="D182" s="2" t="s">
        <v>21</v>
      </c>
      <c r="E182" s="2" t="s">
        <v>1649</v>
      </c>
      <c r="F182" s="2" t="s">
        <v>152</v>
      </c>
      <c r="G182" s="2">
        <v>13493.097092</v>
      </c>
      <c r="H182" s="2" t="s">
        <v>26</v>
      </c>
    </row>
    <row r="183" ht="22.5" customHeight="1">
      <c r="A183" s="2" t="s">
        <v>18</v>
      </c>
      <c r="B183" s="2" t="s">
        <v>151</v>
      </c>
      <c r="C183" s="2" t="s">
        <v>20</v>
      </c>
      <c r="D183" s="2" t="s">
        <v>21</v>
      </c>
      <c r="E183" s="2" t="s">
        <v>1649</v>
      </c>
      <c r="F183" s="2" t="s">
        <v>152</v>
      </c>
      <c r="G183" s="2">
        <v>13751.39405</v>
      </c>
      <c r="H183" s="2" t="s">
        <v>24</v>
      </c>
    </row>
    <row r="184" ht="22.5" customHeight="1">
      <c r="A184" s="2" t="s">
        <v>18</v>
      </c>
      <c r="B184" s="2" t="s">
        <v>151</v>
      </c>
      <c r="C184" s="2" t="s">
        <v>20</v>
      </c>
      <c r="D184" s="2" t="s">
        <v>21</v>
      </c>
      <c r="E184" s="2" t="s">
        <v>1649</v>
      </c>
      <c r="F184" s="2" t="s">
        <v>152</v>
      </c>
      <c r="G184" s="2">
        <v>13779.069051</v>
      </c>
      <c r="H184" s="2" t="s">
        <v>25</v>
      </c>
    </row>
    <row r="185" ht="22.5" customHeight="1">
      <c r="A185" s="2" t="s">
        <v>18</v>
      </c>
      <c r="B185" s="2" t="s">
        <v>153</v>
      </c>
      <c r="C185" s="2" t="s">
        <v>20</v>
      </c>
      <c r="D185" s="2" t="s">
        <v>21</v>
      </c>
      <c r="E185" s="2" t="s">
        <v>22</v>
      </c>
      <c r="F185" s="2" t="s">
        <v>154</v>
      </c>
      <c r="G185" s="3">
        <v>19510.715549</v>
      </c>
      <c r="H185" s="2" t="s">
        <v>26</v>
      </c>
    </row>
    <row r="186" ht="22.5" customHeight="1">
      <c r="A186" s="2" t="s">
        <v>18</v>
      </c>
      <c r="B186" s="2" t="s">
        <v>153</v>
      </c>
      <c r="C186" s="2" t="s">
        <v>20</v>
      </c>
      <c r="D186" s="2" t="s">
        <v>21</v>
      </c>
      <c r="E186" s="2" t="s">
        <v>22</v>
      </c>
      <c r="F186" s="2" t="s">
        <v>154</v>
      </c>
      <c r="G186" s="3">
        <v>17062.58</v>
      </c>
      <c r="H186" s="2" t="s">
        <v>25</v>
      </c>
    </row>
    <row r="187" ht="22.5" customHeight="1">
      <c r="A187" s="2" t="s">
        <v>18</v>
      </c>
      <c r="B187" s="2" t="s">
        <v>153</v>
      </c>
      <c r="C187" s="2" t="s">
        <v>20</v>
      </c>
      <c r="D187" s="2" t="s">
        <v>21</v>
      </c>
      <c r="E187" s="2" t="s">
        <v>22</v>
      </c>
      <c r="F187" s="2" t="s">
        <v>154</v>
      </c>
      <c r="G187" s="2">
        <v>20989.3887</v>
      </c>
      <c r="H187" s="2" t="s">
        <v>24</v>
      </c>
    </row>
    <row r="188" ht="22.5" customHeight="1">
      <c r="A188" s="2" t="s">
        <v>18</v>
      </c>
      <c r="B188" s="2" t="s">
        <v>153</v>
      </c>
      <c r="C188" s="2" t="s">
        <v>20</v>
      </c>
      <c r="D188" s="2" t="s">
        <v>21</v>
      </c>
      <c r="E188" s="2" t="s">
        <v>22</v>
      </c>
      <c r="F188" s="2" t="s">
        <v>154</v>
      </c>
      <c r="G188" s="3">
        <v>16128.8955</v>
      </c>
      <c r="H188" s="4" t="s">
        <v>27</v>
      </c>
    </row>
    <row r="189" ht="22.5" customHeight="1">
      <c r="A189" s="2" t="s">
        <v>18</v>
      </c>
      <c r="B189" s="2" t="s">
        <v>155</v>
      </c>
      <c r="C189" s="2" t="s">
        <v>20</v>
      </c>
      <c r="D189" s="2" t="s">
        <v>21</v>
      </c>
      <c r="F189" s="2" t="s">
        <v>156</v>
      </c>
      <c r="G189" s="2">
        <v>22103.58015</v>
      </c>
      <c r="H189" s="2" t="s">
        <v>26</v>
      </c>
    </row>
    <row r="190" ht="22.5" customHeight="1">
      <c r="A190" s="2" t="s">
        <v>18</v>
      </c>
      <c r="B190" s="2" t="s">
        <v>155</v>
      </c>
      <c r="C190" s="2" t="s">
        <v>20</v>
      </c>
      <c r="D190" s="2" t="s">
        <v>21</v>
      </c>
      <c r="F190" s="2" t="s">
        <v>156</v>
      </c>
      <c r="G190" s="2">
        <v>8223.170779</v>
      </c>
      <c r="H190" s="2" t="s">
        <v>24</v>
      </c>
    </row>
    <row r="191" ht="22.5" customHeight="1">
      <c r="A191" s="2" t="s">
        <v>18</v>
      </c>
      <c r="B191" s="2" t="s">
        <v>157</v>
      </c>
      <c r="C191" s="2" t="s">
        <v>20</v>
      </c>
      <c r="D191" s="2" t="s">
        <v>21</v>
      </c>
      <c r="E191" s="2" t="s">
        <v>44</v>
      </c>
      <c r="F191" s="2" t="s">
        <v>158</v>
      </c>
      <c r="G191" s="2">
        <v>12956.360152</v>
      </c>
      <c r="H191" s="2" t="s">
        <v>26</v>
      </c>
    </row>
    <row r="192" ht="22.5" customHeight="1">
      <c r="A192" s="2" t="s">
        <v>18</v>
      </c>
      <c r="B192" s="2" t="s">
        <v>157</v>
      </c>
      <c r="C192" s="2" t="s">
        <v>20</v>
      </c>
      <c r="D192" s="2" t="s">
        <v>21</v>
      </c>
      <c r="E192" s="2" t="s">
        <v>44</v>
      </c>
      <c r="F192" s="2" t="s">
        <v>158</v>
      </c>
      <c r="G192" s="2">
        <v>13183.478181</v>
      </c>
      <c r="H192" s="2" t="s">
        <v>24</v>
      </c>
    </row>
    <row r="193" ht="22.5" customHeight="1">
      <c r="A193" s="2" t="s">
        <v>18</v>
      </c>
      <c r="B193" s="2" t="s">
        <v>157</v>
      </c>
      <c r="C193" s="2" t="s">
        <v>20</v>
      </c>
      <c r="D193" s="2" t="s">
        <v>21</v>
      </c>
      <c r="E193" s="2" t="s">
        <v>44</v>
      </c>
      <c r="F193" s="2" t="s">
        <v>158</v>
      </c>
      <c r="G193" s="2">
        <v>13327.44456</v>
      </c>
      <c r="H193" s="2" t="s">
        <v>25</v>
      </c>
    </row>
    <row r="194" ht="22.5" customHeight="1">
      <c r="A194" s="2" t="s">
        <v>18</v>
      </c>
      <c r="B194" s="2" t="s">
        <v>159</v>
      </c>
      <c r="C194" s="2" t="s">
        <v>66</v>
      </c>
      <c r="D194" s="2" t="s">
        <v>160</v>
      </c>
      <c r="F194" s="2" t="s">
        <v>161</v>
      </c>
      <c r="G194" s="2">
        <v>28041.74439</v>
      </c>
      <c r="H194" s="2" t="s">
        <v>24</v>
      </c>
    </row>
    <row r="195" ht="22.5" customHeight="1">
      <c r="A195" s="2" t="s">
        <v>18</v>
      </c>
      <c r="B195" s="2" t="s">
        <v>159</v>
      </c>
      <c r="C195" s="2" t="s">
        <v>66</v>
      </c>
      <c r="D195" s="2" t="s">
        <v>160</v>
      </c>
      <c r="F195" s="2" t="s">
        <v>161</v>
      </c>
      <c r="G195" s="2">
        <v>27445.13804</v>
      </c>
      <c r="H195" s="2" t="s">
        <v>25</v>
      </c>
    </row>
    <row r="196" ht="22.5" customHeight="1">
      <c r="A196" s="2" t="s">
        <v>18</v>
      </c>
      <c r="B196" s="2" t="s">
        <v>159</v>
      </c>
      <c r="C196" s="2" t="s">
        <v>66</v>
      </c>
      <c r="D196" s="2" t="s">
        <v>160</v>
      </c>
      <c r="F196" s="2" t="s">
        <v>161</v>
      </c>
      <c r="G196" s="2">
        <v>29183.312</v>
      </c>
      <c r="H196" s="2" t="s">
        <v>26</v>
      </c>
    </row>
    <row r="197" ht="22.5" customHeight="1">
      <c r="A197" s="2" t="s">
        <v>18</v>
      </c>
      <c r="B197" s="2" t="s">
        <v>162</v>
      </c>
      <c r="C197" s="2" t="s">
        <v>20</v>
      </c>
      <c r="D197" s="2" t="s">
        <v>21</v>
      </c>
      <c r="E197" s="2" t="s">
        <v>22</v>
      </c>
      <c r="F197" s="2" t="s">
        <v>163</v>
      </c>
      <c r="G197" s="2">
        <v>15614.330722</v>
      </c>
      <c r="H197" s="2" t="s">
        <v>24</v>
      </c>
    </row>
    <row r="198" ht="22.5" customHeight="1">
      <c r="A198" s="2" t="s">
        <v>18</v>
      </c>
      <c r="B198" s="2" t="s">
        <v>162</v>
      </c>
      <c r="C198" s="2" t="s">
        <v>20</v>
      </c>
      <c r="D198" s="2" t="s">
        <v>21</v>
      </c>
      <c r="E198" s="2" t="s">
        <v>22</v>
      </c>
      <c r="F198" s="2" t="s">
        <v>163</v>
      </c>
      <c r="G198" s="3">
        <v>7953.96</v>
      </c>
      <c r="H198" s="2" t="s">
        <v>25</v>
      </c>
    </row>
    <row r="199" ht="22.5" customHeight="1">
      <c r="A199" s="2" t="s">
        <v>18</v>
      </c>
      <c r="B199" s="2" t="s">
        <v>162</v>
      </c>
      <c r="C199" s="2" t="s">
        <v>20</v>
      </c>
      <c r="D199" s="2" t="s">
        <v>21</v>
      </c>
      <c r="E199" s="2" t="s">
        <v>22</v>
      </c>
      <c r="F199" s="2" t="s">
        <v>163</v>
      </c>
      <c r="G199" s="2">
        <v>15688.827749</v>
      </c>
      <c r="H199" s="2" t="s">
        <v>26</v>
      </c>
    </row>
    <row r="200" ht="22.5" customHeight="1">
      <c r="A200" s="2" t="s">
        <v>18</v>
      </c>
      <c r="B200" s="2" t="s">
        <v>162</v>
      </c>
      <c r="C200" s="2" t="s">
        <v>20</v>
      </c>
      <c r="D200" s="2" t="s">
        <v>21</v>
      </c>
      <c r="E200" s="2" t="s">
        <v>22</v>
      </c>
      <c r="F200" s="2" t="s">
        <v>163</v>
      </c>
      <c r="G200" s="3">
        <v>6300.8</v>
      </c>
      <c r="H200" s="4" t="s">
        <v>27</v>
      </c>
    </row>
    <row r="201" ht="22.5" customHeight="1">
      <c r="A201" s="2" t="s">
        <v>18</v>
      </c>
      <c r="B201" s="2" t="s">
        <v>164</v>
      </c>
      <c r="C201" s="2" t="s">
        <v>31</v>
      </c>
      <c r="D201" s="2" t="s">
        <v>54</v>
      </c>
      <c r="F201" s="2" t="s">
        <v>165</v>
      </c>
      <c r="G201" s="2">
        <v>7353.691922</v>
      </c>
      <c r="H201" s="2" t="s">
        <v>24</v>
      </c>
    </row>
    <row r="202" ht="22.5" customHeight="1">
      <c r="A202" s="2" t="s">
        <v>18</v>
      </c>
      <c r="B202" s="2" t="s">
        <v>164</v>
      </c>
      <c r="C202" s="2" t="s">
        <v>31</v>
      </c>
      <c r="D202" s="2" t="s">
        <v>54</v>
      </c>
      <c r="F202" s="2" t="s">
        <v>165</v>
      </c>
      <c r="G202" s="3">
        <v>12538.329216</v>
      </c>
      <c r="H202" s="2" t="s">
        <v>25</v>
      </c>
    </row>
    <row r="203" ht="22.5" customHeight="1">
      <c r="A203" s="2" t="s">
        <v>18</v>
      </c>
      <c r="B203" s="2" t="s">
        <v>164</v>
      </c>
      <c r="C203" s="2" t="s">
        <v>31</v>
      </c>
      <c r="D203" s="2" t="s">
        <v>54</v>
      </c>
      <c r="F203" s="2" t="s">
        <v>165</v>
      </c>
      <c r="G203" s="2">
        <v>16763.887932</v>
      </c>
      <c r="H203" s="2" t="s">
        <v>26</v>
      </c>
    </row>
    <row r="204" ht="22.5" customHeight="1">
      <c r="A204" s="2" t="s">
        <v>18</v>
      </c>
      <c r="B204" s="2" t="s">
        <v>164</v>
      </c>
      <c r="C204" s="2" t="s">
        <v>31</v>
      </c>
      <c r="D204" s="2" t="s">
        <v>54</v>
      </c>
      <c r="F204" s="2" t="s">
        <v>165</v>
      </c>
      <c r="G204" s="3">
        <v>13177.44</v>
      </c>
      <c r="H204" s="4" t="s">
        <v>27</v>
      </c>
    </row>
    <row r="205" ht="22.5" customHeight="1">
      <c r="A205" s="2" t="s">
        <v>18</v>
      </c>
      <c r="B205" s="2" t="s">
        <v>1652</v>
      </c>
      <c r="C205" s="2" t="s">
        <v>20</v>
      </c>
      <c r="D205" s="2" t="s">
        <v>21</v>
      </c>
      <c r="E205" s="2" t="s">
        <v>1650</v>
      </c>
      <c r="F205" s="2" t="s">
        <v>167</v>
      </c>
      <c r="G205" s="2">
        <v>15927.656463</v>
      </c>
      <c r="H205" s="2" t="s">
        <v>25</v>
      </c>
    </row>
    <row r="206" ht="22.5" customHeight="1">
      <c r="A206" s="2" t="s">
        <v>18</v>
      </c>
      <c r="B206" s="2" t="s">
        <v>1652</v>
      </c>
      <c r="C206" s="2" t="s">
        <v>20</v>
      </c>
      <c r="D206" s="2" t="s">
        <v>21</v>
      </c>
      <c r="E206" s="2" t="s">
        <v>1650</v>
      </c>
      <c r="F206" s="2" t="s">
        <v>167</v>
      </c>
      <c r="G206" s="2">
        <v>15635.661516</v>
      </c>
      <c r="H206" s="2" t="s">
        <v>26</v>
      </c>
    </row>
    <row r="207" ht="22.5" customHeight="1">
      <c r="A207" s="2" t="s">
        <v>18</v>
      </c>
      <c r="B207" s="2" t="s">
        <v>1652</v>
      </c>
      <c r="C207" s="2" t="s">
        <v>20</v>
      </c>
      <c r="D207" s="2" t="s">
        <v>21</v>
      </c>
      <c r="E207" s="2" t="s">
        <v>1650</v>
      </c>
      <c r="F207" s="2" t="s">
        <v>167</v>
      </c>
      <c r="G207" s="2">
        <v>15934.228414</v>
      </c>
      <c r="H207" s="2" t="s">
        <v>24</v>
      </c>
    </row>
    <row r="208" ht="22.5" customHeight="1">
      <c r="A208" s="2" t="s">
        <v>18</v>
      </c>
      <c r="B208" s="2" t="s">
        <v>168</v>
      </c>
      <c r="C208" s="2" t="s">
        <v>20</v>
      </c>
      <c r="D208" s="2" t="s">
        <v>21</v>
      </c>
      <c r="E208" s="2" t="s">
        <v>61</v>
      </c>
      <c r="F208" s="2" t="s">
        <v>169</v>
      </c>
      <c r="G208" s="2">
        <v>15967.427722</v>
      </c>
      <c r="H208" s="2" t="s">
        <v>24</v>
      </c>
    </row>
    <row r="209" ht="22.5" customHeight="1">
      <c r="A209" s="2" t="s">
        <v>18</v>
      </c>
      <c r="B209" s="2" t="s">
        <v>168</v>
      </c>
      <c r="C209" s="2" t="s">
        <v>20</v>
      </c>
      <c r="D209" s="2" t="s">
        <v>21</v>
      </c>
      <c r="E209" s="2" t="s">
        <v>61</v>
      </c>
      <c r="F209" s="2" t="s">
        <v>169</v>
      </c>
      <c r="G209" s="3">
        <v>12127.44</v>
      </c>
      <c r="H209" s="2" t="s">
        <v>25</v>
      </c>
    </row>
    <row r="210" ht="22.5" customHeight="1">
      <c r="A210" s="2" t="s">
        <v>18</v>
      </c>
      <c r="B210" s="2" t="s">
        <v>168</v>
      </c>
      <c r="C210" s="2" t="s">
        <v>20</v>
      </c>
      <c r="D210" s="2" t="s">
        <v>21</v>
      </c>
      <c r="E210" s="2" t="s">
        <v>61</v>
      </c>
      <c r="F210" s="2" t="s">
        <v>169</v>
      </c>
      <c r="G210" s="2">
        <v>15688.827749</v>
      </c>
      <c r="H210" s="2" t="s">
        <v>26</v>
      </c>
    </row>
    <row r="211" ht="22.5" customHeight="1">
      <c r="A211" s="2" t="s">
        <v>18</v>
      </c>
      <c r="B211" s="2" t="s">
        <v>168</v>
      </c>
      <c r="C211" s="2" t="s">
        <v>20</v>
      </c>
      <c r="D211" s="2" t="s">
        <v>21</v>
      </c>
      <c r="E211" s="2" t="s">
        <v>61</v>
      </c>
      <c r="F211" s="2" t="s">
        <v>169</v>
      </c>
      <c r="G211" s="3">
        <v>12127.44</v>
      </c>
      <c r="H211" s="4" t="s">
        <v>27</v>
      </c>
    </row>
    <row r="212" ht="22.5" customHeight="1">
      <c r="A212" s="2" t="s">
        <v>18</v>
      </c>
      <c r="B212" s="2" t="s">
        <v>170</v>
      </c>
      <c r="C212" s="2" t="s">
        <v>20</v>
      </c>
      <c r="D212" s="2" t="s">
        <v>21</v>
      </c>
      <c r="E212" s="2" t="s">
        <v>41</v>
      </c>
      <c r="F212" s="2" t="s">
        <v>171</v>
      </c>
      <c r="G212" s="2">
        <v>7350.0</v>
      </c>
      <c r="H212" s="2" t="s">
        <v>26</v>
      </c>
    </row>
    <row r="213" ht="22.5" customHeight="1">
      <c r="A213" s="2" t="s">
        <v>18</v>
      </c>
      <c r="B213" s="2" t="s">
        <v>170</v>
      </c>
      <c r="C213" s="2" t="s">
        <v>20</v>
      </c>
      <c r="D213" s="2" t="s">
        <v>21</v>
      </c>
      <c r="E213" s="2" t="s">
        <v>41</v>
      </c>
      <c r="F213" s="2" t="s">
        <v>171</v>
      </c>
      <c r="G213" s="2">
        <v>7350.0</v>
      </c>
      <c r="H213" s="2" t="s">
        <v>24</v>
      </c>
    </row>
    <row r="214" ht="22.5" customHeight="1">
      <c r="A214" s="2" t="s">
        <v>18</v>
      </c>
      <c r="B214" s="2" t="s">
        <v>170</v>
      </c>
      <c r="C214" s="2" t="s">
        <v>20</v>
      </c>
      <c r="D214" s="2" t="s">
        <v>21</v>
      </c>
      <c r="E214" s="2" t="s">
        <v>41</v>
      </c>
      <c r="F214" s="2" t="s">
        <v>171</v>
      </c>
      <c r="G214" s="2">
        <v>7350.0</v>
      </c>
      <c r="H214" s="2" t="s">
        <v>25</v>
      </c>
    </row>
    <row r="215" ht="22.5" customHeight="1">
      <c r="A215" s="2" t="s">
        <v>18</v>
      </c>
      <c r="B215" s="2" t="s">
        <v>172</v>
      </c>
      <c r="C215" s="2" t="s">
        <v>31</v>
      </c>
      <c r="D215" s="2" t="s">
        <v>54</v>
      </c>
      <c r="F215" s="2" t="s">
        <v>173</v>
      </c>
      <c r="G215" s="3">
        <v>14227.44</v>
      </c>
      <c r="H215" s="2" t="s">
        <v>25</v>
      </c>
    </row>
    <row r="216" ht="22.5" customHeight="1">
      <c r="A216" s="2" t="s">
        <v>18</v>
      </c>
      <c r="B216" s="2" t="s">
        <v>172</v>
      </c>
      <c r="C216" s="2" t="s">
        <v>31</v>
      </c>
      <c r="D216" s="2" t="s">
        <v>54</v>
      </c>
      <c r="F216" s="2" t="s">
        <v>173</v>
      </c>
      <c r="G216" s="2">
        <v>17835.913761</v>
      </c>
      <c r="H216" s="2" t="s">
        <v>26</v>
      </c>
    </row>
    <row r="217" ht="22.5" customHeight="1">
      <c r="A217" s="2" t="s">
        <v>18</v>
      </c>
      <c r="B217" s="2" t="s">
        <v>172</v>
      </c>
      <c r="C217" s="2" t="s">
        <v>31</v>
      </c>
      <c r="D217" s="2" t="s">
        <v>54</v>
      </c>
      <c r="F217" s="2" t="s">
        <v>173</v>
      </c>
      <c r="G217" s="2">
        <v>18180.823</v>
      </c>
      <c r="H217" s="2" t="s">
        <v>24</v>
      </c>
    </row>
    <row r="218" ht="22.5" customHeight="1">
      <c r="A218" s="2" t="s">
        <v>18</v>
      </c>
      <c r="B218" s="2" t="s">
        <v>172</v>
      </c>
      <c r="C218" s="2" t="s">
        <v>31</v>
      </c>
      <c r="D218" s="2" t="s">
        <v>54</v>
      </c>
      <c r="F218" s="2" t="s">
        <v>173</v>
      </c>
      <c r="G218" s="3">
        <v>14227.44</v>
      </c>
      <c r="H218" s="4" t="s">
        <v>27</v>
      </c>
    </row>
    <row r="219" ht="22.5" customHeight="1">
      <c r="A219" s="2" t="s">
        <v>18</v>
      </c>
      <c r="B219" s="2" t="s">
        <v>174</v>
      </c>
      <c r="C219" s="2" t="s">
        <v>31</v>
      </c>
      <c r="D219" s="2" t="s">
        <v>47</v>
      </c>
      <c r="F219" s="2" t="s">
        <v>175</v>
      </c>
      <c r="G219" s="2">
        <v>32765.73604</v>
      </c>
      <c r="H219" s="2" t="s">
        <v>26</v>
      </c>
    </row>
    <row r="220" ht="22.5" customHeight="1">
      <c r="A220" s="2" t="s">
        <v>18</v>
      </c>
      <c r="B220" s="2" t="s">
        <v>174</v>
      </c>
      <c r="C220" s="2" t="s">
        <v>31</v>
      </c>
      <c r="D220" s="2" t="s">
        <v>47</v>
      </c>
      <c r="F220" s="2" t="s">
        <v>175</v>
      </c>
      <c r="G220" s="2">
        <v>33385.36342</v>
      </c>
      <c r="H220" s="2" t="s">
        <v>24</v>
      </c>
    </row>
    <row r="221" ht="22.5" customHeight="1">
      <c r="A221" s="2" t="s">
        <v>18</v>
      </c>
      <c r="B221" s="2" t="s">
        <v>174</v>
      </c>
      <c r="C221" s="2" t="s">
        <v>31</v>
      </c>
      <c r="D221" s="2" t="s">
        <v>47</v>
      </c>
      <c r="F221" s="2" t="s">
        <v>175</v>
      </c>
      <c r="G221" s="2">
        <v>32739.05659</v>
      </c>
      <c r="H221" s="2" t="s">
        <v>25</v>
      </c>
    </row>
    <row r="222" ht="22.5" customHeight="1">
      <c r="A222" s="2" t="s">
        <v>18</v>
      </c>
      <c r="B222" s="2" t="s">
        <v>176</v>
      </c>
      <c r="C222" s="2" t="s">
        <v>20</v>
      </c>
      <c r="D222" s="2" t="s">
        <v>21</v>
      </c>
      <c r="E222" s="2" t="s">
        <v>1651</v>
      </c>
      <c r="F222" s="2" t="s">
        <v>177</v>
      </c>
      <c r="G222" s="2">
        <v>15638.225941</v>
      </c>
      <c r="H222" s="2" t="s">
        <v>26</v>
      </c>
    </row>
    <row r="223" ht="22.5" customHeight="1">
      <c r="A223" s="2" t="s">
        <v>18</v>
      </c>
      <c r="B223" s="2" t="s">
        <v>176</v>
      </c>
      <c r="C223" s="2" t="s">
        <v>20</v>
      </c>
      <c r="D223" s="2" t="s">
        <v>21</v>
      </c>
      <c r="E223" s="2" t="s">
        <v>1651</v>
      </c>
      <c r="F223" s="2" t="s">
        <v>177</v>
      </c>
      <c r="G223" s="2">
        <v>15930.558312</v>
      </c>
      <c r="H223" s="2" t="s">
        <v>25</v>
      </c>
    </row>
    <row r="224" ht="22.5" customHeight="1">
      <c r="A224" s="2" t="s">
        <v>18</v>
      </c>
      <c r="B224" s="2" t="s">
        <v>176</v>
      </c>
      <c r="C224" s="2" t="s">
        <v>20</v>
      </c>
      <c r="D224" s="2" t="s">
        <v>21</v>
      </c>
      <c r="E224" s="2" t="s">
        <v>1651</v>
      </c>
      <c r="F224" s="2" t="s">
        <v>177</v>
      </c>
      <c r="G224" s="2">
        <v>15937.062778</v>
      </c>
      <c r="H224" s="2" t="s">
        <v>24</v>
      </c>
    </row>
    <row r="225" ht="22.5" customHeight="1">
      <c r="A225" s="2" t="s">
        <v>18</v>
      </c>
      <c r="B225" s="2" t="s">
        <v>178</v>
      </c>
      <c r="C225" s="2" t="s">
        <v>31</v>
      </c>
      <c r="D225" s="2" t="s">
        <v>54</v>
      </c>
      <c r="F225" s="2" t="s">
        <v>179</v>
      </c>
      <c r="G225" s="2">
        <v>12911.005941</v>
      </c>
      <c r="H225" s="2" t="s">
        <v>26</v>
      </c>
    </row>
    <row r="226" ht="22.5" customHeight="1">
      <c r="A226" s="2" t="s">
        <v>18</v>
      </c>
      <c r="B226" s="2" t="s">
        <v>178</v>
      </c>
      <c r="C226" s="2" t="s">
        <v>31</v>
      </c>
      <c r="D226" s="2" t="s">
        <v>54</v>
      </c>
      <c r="F226" s="2" t="s">
        <v>179</v>
      </c>
      <c r="G226" s="2">
        <v>13158.862778</v>
      </c>
      <c r="H226" s="2" t="s">
        <v>24</v>
      </c>
    </row>
    <row r="227" ht="22.5" customHeight="1">
      <c r="A227" s="2" t="s">
        <v>18</v>
      </c>
      <c r="B227" s="2" t="s">
        <v>178</v>
      </c>
      <c r="C227" s="2" t="s">
        <v>31</v>
      </c>
      <c r="D227" s="2" t="s">
        <v>54</v>
      </c>
      <c r="F227" s="2" t="s">
        <v>179</v>
      </c>
      <c r="G227" s="2">
        <v>13254.318312</v>
      </c>
      <c r="H227" s="2" t="s">
        <v>25</v>
      </c>
    </row>
    <row r="228" ht="22.5" customHeight="1">
      <c r="A228" s="2" t="s">
        <v>18</v>
      </c>
      <c r="B228" s="2" t="s">
        <v>180</v>
      </c>
      <c r="C228" s="2" t="s">
        <v>20</v>
      </c>
      <c r="D228" s="2" t="s">
        <v>54</v>
      </c>
      <c r="F228" s="2" t="s">
        <v>181</v>
      </c>
      <c r="G228" s="2">
        <v>15879.069051</v>
      </c>
      <c r="H228" s="2" t="s">
        <v>25</v>
      </c>
    </row>
    <row r="229" ht="22.5" customHeight="1">
      <c r="A229" s="2" t="s">
        <v>18</v>
      </c>
      <c r="B229" s="2" t="s">
        <v>180</v>
      </c>
      <c r="C229" s="2" t="s">
        <v>20</v>
      </c>
      <c r="D229" s="2" t="s">
        <v>54</v>
      </c>
      <c r="F229" s="2" t="s">
        <v>181</v>
      </c>
      <c r="G229" s="2">
        <v>15931.39405</v>
      </c>
      <c r="H229" s="2" t="s">
        <v>24</v>
      </c>
    </row>
    <row r="230" ht="22.5" customHeight="1">
      <c r="A230" s="2" t="s">
        <v>18</v>
      </c>
      <c r="B230" s="2" t="s">
        <v>180</v>
      </c>
      <c r="C230" s="2" t="s">
        <v>20</v>
      </c>
      <c r="D230" s="2" t="s">
        <v>54</v>
      </c>
      <c r="F230" s="2" t="s">
        <v>181</v>
      </c>
      <c r="G230" s="2">
        <v>15475.597092</v>
      </c>
      <c r="H230" s="2" t="s">
        <v>26</v>
      </c>
    </row>
    <row r="231" ht="22.5" customHeight="1">
      <c r="A231" s="2" t="s">
        <v>18</v>
      </c>
      <c r="B231" s="2" t="s">
        <v>182</v>
      </c>
      <c r="C231" s="2" t="s">
        <v>20</v>
      </c>
      <c r="D231" s="2" t="s">
        <v>21</v>
      </c>
      <c r="F231" s="2" t="s">
        <v>183</v>
      </c>
      <c r="G231" s="2">
        <v>15961.678181</v>
      </c>
      <c r="H231" s="2" t="s">
        <v>24</v>
      </c>
    </row>
    <row r="232" ht="22.5" customHeight="1">
      <c r="A232" s="2" t="s">
        <v>18</v>
      </c>
      <c r="B232" s="2" t="s">
        <v>184</v>
      </c>
      <c r="C232" s="2" t="s">
        <v>31</v>
      </c>
      <c r="D232" s="4" t="s">
        <v>113</v>
      </c>
      <c r="F232" s="2" t="s">
        <v>185</v>
      </c>
      <c r="G232" s="3">
        <v>43974.899999999994</v>
      </c>
      <c r="H232" s="2" t="s">
        <v>24</v>
      </c>
    </row>
    <row r="233" ht="22.5" customHeight="1">
      <c r="A233" s="2" t="s">
        <v>18</v>
      </c>
      <c r="B233" s="2" t="s">
        <v>184</v>
      </c>
      <c r="C233" s="2" t="s">
        <v>31</v>
      </c>
      <c r="D233" s="4" t="s">
        <v>113</v>
      </c>
      <c r="F233" s="2" t="s">
        <v>185</v>
      </c>
      <c r="G233" s="3">
        <v>43974.899999999994</v>
      </c>
      <c r="H233" s="2" t="s">
        <v>26</v>
      </c>
    </row>
    <row r="234" ht="22.5" customHeight="1">
      <c r="A234" s="2" t="s">
        <v>18</v>
      </c>
      <c r="B234" s="2" t="s">
        <v>184</v>
      </c>
      <c r="C234" s="2" t="s">
        <v>31</v>
      </c>
      <c r="D234" s="4" t="s">
        <v>113</v>
      </c>
      <c r="F234" s="2" t="s">
        <v>185</v>
      </c>
      <c r="G234" s="3">
        <v>43974.899999999994</v>
      </c>
      <c r="H234" s="2" t="s">
        <v>25</v>
      </c>
    </row>
    <row r="235" ht="22.5" customHeight="1">
      <c r="A235" s="2" t="s">
        <v>18</v>
      </c>
      <c r="B235" s="2" t="s">
        <v>184</v>
      </c>
      <c r="C235" s="2" t="s">
        <v>31</v>
      </c>
      <c r="D235" s="4" t="s">
        <v>113</v>
      </c>
      <c r="F235" s="2" t="s">
        <v>185</v>
      </c>
      <c r="G235" s="3">
        <v>43974.899999999994</v>
      </c>
      <c r="H235" s="4" t="s">
        <v>27</v>
      </c>
    </row>
    <row r="236" ht="22.5" customHeight="1">
      <c r="A236" s="2" t="s">
        <v>18</v>
      </c>
      <c r="B236" s="2" t="s">
        <v>186</v>
      </c>
      <c r="C236" s="2" t="s">
        <v>31</v>
      </c>
      <c r="D236" s="2" t="s">
        <v>187</v>
      </c>
      <c r="E236" s="2" t="s">
        <v>22</v>
      </c>
      <c r="F236" s="2" t="s">
        <v>188</v>
      </c>
      <c r="G236" s="2">
        <v>17027.062778</v>
      </c>
      <c r="H236" s="2" t="s">
        <v>24</v>
      </c>
    </row>
    <row r="237" ht="22.5" customHeight="1">
      <c r="A237" s="2" t="s">
        <v>18</v>
      </c>
      <c r="B237" s="2" t="s">
        <v>186</v>
      </c>
      <c r="C237" s="2" t="s">
        <v>31</v>
      </c>
      <c r="D237" s="2" t="s">
        <v>187</v>
      </c>
      <c r="E237" s="2" t="s">
        <v>22</v>
      </c>
      <c r="F237" s="2" t="s">
        <v>188</v>
      </c>
      <c r="G237" s="2">
        <v>16934.78277</v>
      </c>
      <c r="H237" s="2" t="s">
        <v>25</v>
      </c>
    </row>
    <row r="238" ht="22.5" customHeight="1">
      <c r="A238" s="2" t="s">
        <v>18</v>
      </c>
      <c r="B238" s="2" t="s">
        <v>186</v>
      </c>
      <c r="C238" s="2" t="s">
        <v>31</v>
      </c>
      <c r="D238" s="2" t="s">
        <v>187</v>
      </c>
      <c r="E238" s="2" t="s">
        <v>22</v>
      </c>
      <c r="F238" s="2" t="s">
        <v>188</v>
      </c>
      <c r="G238" s="2">
        <v>17652.899441</v>
      </c>
      <c r="H238" s="2" t="s">
        <v>26</v>
      </c>
    </row>
    <row r="239" ht="22.5" customHeight="1">
      <c r="A239" s="2" t="s">
        <v>18</v>
      </c>
      <c r="B239" s="2" t="s">
        <v>189</v>
      </c>
      <c r="C239" s="2" t="s">
        <v>31</v>
      </c>
      <c r="D239" s="2" t="s">
        <v>54</v>
      </c>
      <c r="F239" s="2" t="s">
        <v>190</v>
      </c>
      <c r="G239" s="2">
        <v>20305.36342</v>
      </c>
      <c r="H239" s="2" t="s">
        <v>24</v>
      </c>
    </row>
    <row r="240" ht="22.5" customHeight="1">
      <c r="A240" s="2" t="s">
        <v>18</v>
      </c>
      <c r="B240" s="2" t="s">
        <v>189</v>
      </c>
      <c r="C240" s="2" t="s">
        <v>31</v>
      </c>
      <c r="D240" s="2" t="s">
        <v>54</v>
      </c>
      <c r="F240" s="2" t="s">
        <v>190</v>
      </c>
      <c r="G240" s="2">
        <v>20093.14929</v>
      </c>
      <c r="H240" s="2" t="s">
        <v>25</v>
      </c>
    </row>
    <row r="241" ht="22.5" customHeight="1">
      <c r="A241" s="2" t="s">
        <v>18</v>
      </c>
      <c r="B241" s="2" t="s">
        <v>189</v>
      </c>
      <c r="C241" s="2" t="s">
        <v>31</v>
      </c>
      <c r="D241" s="2" t="s">
        <v>54</v>
      </c>
      <c r="F241" s="2" t="s">
        <v>190</v>
      </c>
      <c r="G241" s="2">
        <v>19925.736044</v>
      </c>
      <c r="H241" s="2" t="s">
        <v>26</v>
      </c>
    </row>
    <row r="242" ht="22.5" customHeight="1">
      <c r="A242" s="2" t="s">
        <v>18</v>
      </c>
      <c r="B242" s="2" t="s">
        <v>191</v>
      </c>
      <c r="C242" s="2" t="s">
        <v>66</v>
      </c>
      <c r="D242" s="2" t="s">
        <v>192</v>
      </c>
      <c r="F242" s="2" t="s">
        <v>193</v>
      </c>
      <c r="G242" s="2">
        <v>16512.962652</v>
      </c>
      <c r="H242" s="2" t="s">
        <v>25</v>
      </c>
    </row>
    <row r="243" ht="22.5" customHeight="1">
      <c r="A243" s="2" t="s">
        <v>18</v>
      </c>
      <c r="B243" s="2" t="s">
        <v>191</v>
      </c>
      <c r="C243" s="2" t="s">
        <v>66</v>
      </c>
      <c r="D243" s="2" t="s">
        <v>192</v>
      </c>
      <c r="F243" s="2" t="s">
        <v>193</v>
      </c>
      <c r="G243" s="2">
        <v>16708.225941</v>
      </c>
      <c r="H243" s="2" t="s">
        <v>26</v>
      </c>
    </row>
    <row r="244" ht="22.5" customHeight="1">
      <c r="A244" s="2" t="s">
        <v>18</v>
      </c>
      <c r="B244" s="2" t="s">
        <v>191</v>
      </c>
      <c r="C244" s="2" t="s">
        <v>66</v>
      </c>
      <c r="D244" s="2" t="s">
        <v>192</v>
      </c>
      <c r="F244" s="2" t="s">
        <v>193</v>
      </c>
      <c r="G244" s="2">
        <v>17027.062778</v>
      </c>
      <c r="H244" s="2" t="s">
        <v>24</v>
      </c>
    </row>
    <row r="245" ht="22.5" customHeight="1">
      <c r="A245" s="2" t="s">
        <v>18</v>
      </c>
      <c r="B245" s="2" t="s">
        <v>194</v>
      </c>
      <c r="C245" s="2" t="s">
        <v>31</v>
      </c>
      <c r="D245" s="2" t="s">
        <v>47</v>
      </c>
      <c r="F245" s="2" t="s">
        <v>195</v>
      </c>
      <c r="G245" s="2">
        <v>18855.736044</v>
      </c>
      <c r="H245" s="2" t="s">
        <v>26</v>
      </c>
    </row>
    <row r="246" ht="22.5" customHeight="1">
      <c r="A246" s="2" t="s">
        <v>18</v>
      </c>
      <c r="B246" s="2" t="s">
        <v>194</v>
      </c>
      <c r="C246" s="2" t="s">
        <v>31</v>
      </c>
      <c r="D246" s="2" t="s">
        <v>47</v>
      </c>
      <c r="F246" s="2" t="s">
        <v>195</v>
      </c>
      <c r="G246" s="2">
        <v>19215.363418</v>
      </c>
      <c r="H246" s="2" t="s">
        <v>24</v>
      </c>
    </row>
    <row r="247" ht="22.5" customHeight="1">
      <c r="A247" s="2" t="s">
        <v>18</v>
      </c>
      <c r="B247" s="2" t="s">
        <v>194</v>
      </c>
      <c r="C247" s="2" t="s">
        <v>31</v>
      </c>
      <c r="D247" s="2" t="s">
        <v>47</v>
      </c>
      <c r="F247" s="2" t="s">
        <v>195</v>
      </c>
      <c r="G247" s="2">
        <v>18459.056587</v>
      </c>
      <c r="H247" s="2" t="s">
        <v>25</v>
      </c>
    </row>
    <row r="248" ht="22.5" customHeight="1">
      <c r="A248" s="2" t="s">
        <v>18</v>
      </c>
      <c r="B248" s="2" t="s">
        <v>196</v>
      </c>
      <c r="C248" s="2" t="s">
        <v>20</v>
      </c>
      <c r="D248" s="2" t="s">
        <v>54</v>
      </c>
      <c r="F248" s="2" t="s">
        <v>197</v>
      </c>
      <c r="G248" s="2">
        <v>40917.85954</v>
      </c>
      <c r="H248" s="2" t="s">
        <v>26</v>
      </c>
    </row>
    <row r="249" ht="22.5" customHeight="1">
      <c r="A249" s="2" t="s">
        <v>18</v>
      </c>
      <c r="B249" s="2" t="s">
        <v>196</v>
      </c>
      <c r="C249" s="2" t="s">
        <v>20</v>
      </c>
      <c r="D249" s="2" t="s">
        <v>54</v>
      </c>
      <c r="F249" s="2" t="s">
        <v>197</v>
      </c>
      <c r="G249" s="2">
        <v>41647.00913</v>
      </c>
      <c r="H249" s="2" t="s">
        <v>24</v>
      </c>
    </row>
    <row r="250" ht="22.5" customHeight="1">
      <c r="A250" s="2" t="s">
        <v>18</v>
      </c>
      <c r="B250" s="2" t="s">
        <v>196</v>
      </c>
      <c r="C250" s="2" t="s">
        <v>20</v>
      </c>
      <c r="D250" s="2" t="s">
        <v>54</v>
      </c>
      <c r="F250" s="2" t="s">
        <v>197</v>
      </c>
      <c r="G250" s="2">
        <v>40675.54158999999</v>
      </c>
      <c r="H250" s="2" t="s">
        <v>25</v>
      </c>
    </row>
    <row r="251" ht="22.5" customHeight="1">
      <c r="A251" s="2" t="s">
        <v>18</v>
      </c>
      <c r="B251" s="2" t="s">
        <v>198</v>
      </c>
      <c r="C251" s="2" t="s">
        <v>31</v>
      </c>
      <c r="D251" s="2" t="s">
        <v>98</v>
      </c>
      <c r="F251" s="2" t="s">
        <v>199</v>
      </c>
      <c r="G251" s="2">
        <v>19340.144052</v>
      </c>
      <c r="H251" s="2" t="s">
        <v>24</v>
      </c>
    </row>
    <row r="252" ht="22.5" customHeight="1">
      <c r="A252" s="2" t="s">
        <v>18</v>
      </c>
      <c r="B252" s="2" t="s">
        <v>198</v>
      </c>
      <c r="C252" s="2" t="s">
        <v>31</v>
      </c>
      <c r="D252" s="2" t="s">
        <v>98</v>
      </c>
      <c r="F252" s="2" t="s">
        <v>199</v>
      </c>
      <c r="G252" s="2">
        <v>18982.853175</v>
      </c>
      <c r="H252" s="2" t="s">
        <v>26</v>
      </c>
    </row>
    <row r="253" ht="22.5" customHeight="1">
      <c r="A253" s="2" t="s">
        <v>18</v>
      </c>
      <c r="B253" s="2" t="s">
        <v>198</v>
      </c>
      <c r="C253" s="2" t="s">
        <v>31</v>
      </c>
      <c r="D253" s="2" t="s">
        <v>98</v>
      </c>
      <c r="F253" s="2" t="s">
        <v>199</v>
      </c>
      <c r="G253" s="2">
        <v>19146.252292</v>
      </c>
      <c r="H253" s="2" t="s">
        <v>25</v>
      </c>
    </row>
    <row r="254" ht="22.5" customHeight="1">
      <c r="A254" s="2" t="s">
        <v>18</v>
      </c>
      <c r="B254" s="2" t="s">
        <v>200</v>
      </c>
      <c r="C254" s="2" t="s">
        <v>20</v>
      </c>
      <c r="D254" s="2" t="s">
        <v>21</v>
      </c>
      <c r="E254" s="2" t="s">
        <v>22</v>
      </c>
      <c r="F254" s="2" t="s">
        <v>201</v>
      </c>
      <c r="G254" s="3">
        <v>12879.87</v>
      </c>
      <c r="H254" s="2" t="s">
        <v>25</v>
      </c>
    </row>
    <row r="255" ht="22.5" customHeight="1">
      <c r="A255" s="2" t="s">
        <v>18</v>
      </c>
      <c r="B255" s="2" t="s">
        <v>200</v>
      </c>
      <c r="C255" s="2" t="s">
        <v>20</v>
      </c>
      <c r="D255" s="2" t="s">
        <v>21</v>
      </c>
      <c r="E255" s="2" t="s">
        <v>22</v>
      </c>
      <c r="F255" s="2" t="s">
        <v>201</v>
      </c>
      <c r="G255" s="2">
        <v>17288.580152</v>
      </c>
      <c r="H255" s="2" t="s">
        <v>26</v>
      </c>
    </row>
    <row r="256" ht="22.5" customHeight="1">
      <c r="A256" s="2" t="s">
        <v>18</v>
      </c>
      <c r="B256" s="2" t="s">
        <v>200</v>
      </c>
      <c r="C256" s="2" t="s">
        <v>20</v>
      </c>
      <c r="D256" s="2" t="s">
        <v>21</v>
      </c>
      <c r="E256" s="2" t="s">
        <v>22</v>
      </c>
      <c r="F256" s="2" t="s">
        <v>201</v>
      </c>
      <c r="G256" s="2">
        <v>15604.598181</v>
      </c>
      <c r="H256" s="2" t="s">
        <v>24</v>
      </c>
    </row>
    <row r="257" ht="22.5" customHeight="1">
      <c r="A257" s="2" t="s">
        <v>18</v>
      </c>
      <c r="B257" s="2" t="s">
        <v>200</v>
      </c>
      <c r="C257" s="2" t="s">
        <v>20</v>
      </c>
      <c r="D257" s="2" t="s">
        <v>21</v>
      </c>
      <c r="E257" s="2" t="s">
        <v>22</v>
      </c>
      <c r="F257" s="2" t="s">
        <v>201</v>
      </c>
      <c r="G257" s="3">
        <v>11689.548</v>
      </c>
      <c r="H257" s="4" t="s">
        <v>27</v>
      </c>
    </row>
    <row r="258" ht="22.5" customHeight="1">
      <c r="A258" s="2" t="s">
        <v>18</v>
      </c>
      <c r="B258" s="2" t="s">
        <v>202</v>
      </c>
      <c r="C258" s="2" t="s">
        <v>31</v>
      </c>
      <c r="D258" s="2" t="s">
        <v>98</v>
      </c>
      <c r="F258" s="2" t="s">
        <v>203</v>
      </c>
      <c r="G258" s="2">
        <v>19337.174718</v>
      </c>
      <c r="H258" s="2" t="s">
        <v>24</v>
      </c>
    </row>
    <row r="259" ht="22.5" customHeight="1">
      <c r="A259" s="2" t="s">
        <v>18</v>
      </c>
      <c r="B259" s="2" t="s">
        <v>202</v>
      </c>
      <c r="C259" s="2" t="s">
        <v>31</v>
      </c>
      <c r="D259" s="2" t="s">
        <v>98</v>
      </c>
      <c r="F259" s="2" t="s">
        <v>203</v>
      </c>
      <c r="G259" s="2">
        <v>19143.282958</v>
      </c>
      <c r="H259" s="2" t="s">
        <v>25</v>
      </c>
    </row>
    <row r="260" ht="22.5" customHeight="1">
      <c r="A260" s="2" t="s">
        <v>18</v>
      </c>
      <c r="B260" s="2" t="s">
        <v>202</v>
      </c>
      <c r="C260" s="2" t="s">
        <v>31</v>
      </c>
      <c r="D260" s="2" t="s">
        <v>98</v>
      </c>
      <c r="F260" s="2" t="s">
        <v>203</v>
      </c>
      <c r="G260" s="2">
        <v>18980.15378</v>
      </c>
      <c r="H260" s="2" t="s">
        <v>26</v>
      </c>
    </row>
    <row r="261" ht="22.5" customHeight="1">
      <c r="A261" s="2" t="s">
        <v>18</v>
      </c>
      <c r="B261" s="2" t="s">
        <v>204</v>
      </c>
      <c r="C261" s="2" t="s">
        <v>20</v>
      </c>
      <c r="D261" s="2" t="s">
        <v>21</v>
      </c>
      <c r="E261" s="2" t="s">
        <v>22</v>
      </c>
      <c r="F261" s="2" t="s">
        <v>205</v>
      </c>
      <c r="G261" s="2">
        <v>18141.678181</v>
      </c>
      <c r="H261" s="2" t="s">
        <v>24</v>
      </c>
    </row>
    <row r="262" ht="22.5" customHeight="1">
      <c r="A262" s="2" t="s">
        <v>18</v>
      </c>
      <c r="B262" s="2" t="s">
        <v>204</v>
      </c>
      <c r="C262" s="2" t="s">
        <v>20</v>
      </c>
      <c r="D262" s="2" t="s">
        <v>21</v>
      </c>
      <c r="E262" s="2" t="s">
        <v>22</v>
      </c>
      <c r="F262" s="2" t="s">
        <v>205</v>
      </c>
      <c r="G262" s="2">
        <v>17823.581037</v>
      </c>
      <c r="H262" s="2" t="s">
        <v>26</v>
      </c>
    </row>
    <row r="263" ht="22.5" customHeight="1">
      <c r="A263" s="2" t="s">
        <v>18</v>
      </c>
      <c r="B263" s="2" t="s">
        <v>204</v>
      </c>
      <c r="C263" s="2" t="s">
        <v>20</v>
      </c>
      <c r="D263" s="2" t="s">
        <v>21</v>
      </c>
      <c r="E263" s="2" t="s">
        <v>22</v>
      </c>
      <c r="F263" s="2" t="s">
        <v>205</v>
      </c>
      <c r="G263" s="3">
        <v>15509.760583000001</v>
      </c>
      <c r="H263" s="2" t="s">
        <v>25</v>
      </c>
    </row>
    <row r="264" ht="22.5" customHeight="1">
      <c r="A264" s="2" t="s">
        <v>18</v>
      </c>
      <c r="B264" s="2" t="s">
        <v>204</v>
      </c>
      <c r="C264" s="2" t="s">
        <v>20</v>
      </c>
      <c r="D264" s="2" t="s">
        <v>21</v>
      </c>
      <c r="E264" s="2" t="s">
        <v>22</v>
      </c>
      <c r="F264" s="2" t="s">
        <v>205</v>
      </c>
      <c r="G264" s="3">
        <v>13715.04</v>
      </c>
      <c r="H264" s="4" t="s">
        <v>27</v>
      </c>
    </row>
    <row r="265" ht="22.5" customHeight="1">
      <c r="A265" s="2" t="s">
        <v>18</v>
      </c>
      <c r="B265" s="2" t="s">
        <v>206</v>
      </c>
      <c r="C265" s="2" t="s">
        <v>31</v>
      </c>
      <c r="D265" s="2" t="s">
        <v>38</v>
      </c>
      <c r="F265" s="2" t="s">
        <v>207</v>
      </c>
      <c r="G265" s="2">
        <v>7350.0</v>
      </c>
      <c r="H265" s="2" t="s">
        <v>26</v>
      </c>
    </row>
    <row r="266" ht="22.5" customHeight="1">
      <c r="A266" s="2" t="s">
        <v>18</v>
      </c>
      <c r="B266" s="2" t="s">
        <v>206</v>
      </c>
      <c r="C266" s="2" t="s">
        <v>31</v>
      </c>
      <c r="D266" s="2" t="s">
        <v>38</v>
      </c>
      <c r="F266" s="2" t="s">
        <v>207</v>
      </c>
      <c r="G266" s="2">
        <v>7350.0</v>
      </c>
      <c r="H266" s="2" t="s">
        <v>25</v>
      </c>
    </row>
    <row r="267" ht="22.5" customHeight="1">
      <c r="A267" s="2" t="s">
        <v>18</v>
      </c>
      <c r="B267" s="2" t="s">
        <v>206</v>
      </c>
      <c r="C267" s="2" t="s">
        <v>31</v>
      </c>
      <c r="D267" s="2" t="s">
        <v>38</v>
      </c>
      <c r="F267" s="2" t="s">
        <v>207</v>
      </c>
      <c r="G267" s="2">
        <v>7350.0</v>
      </c>
      <c r="H267" s="2" t="s">
        <v>24</v>
      </c>
    </row>
    <row r="268" ht="22.5" customHeight="1">
      <c r="A268" s="2" t="s">
        <v>18</v>
      </c>
      <c r="B268" s="2" t="s">
        <v>208</v>
      </c>
      <c r="C268" s="2" t="s">
        <v>20</v>
      </c>
      <c r="D268" s="2" t="s">
        <v>54</v>
      </c>
      <c r="F268" s="2" t="s">
        <v>209</v>
      </c>
      <c r="G268" s="2">
        <v>13202.829051</v>
      </c>
      <c r="H268" s="2" t="s">
        <v>25</v>
      </c>
    </row>
    <row r="269" ht="22.5" customHeight="1">
      <c r="A269" s="2" t="s">
        <v>18</v>
      </c>
      <c r="B269" s="2" t="s">
        <v>208</v>
      </c>
      <c r="C269" s="2" t="s">
        <v>20</v>
      </c>
      <c r="D269" s="2" t="s">
        <v>54</v>
      </c>
      <c r="F269" s="2" t="s">
        <v>209</v>
      </c>
      <c r="G269" s="2">
        <v>10059.743257</v>
      </c>
      <c r="H269" s="2" t="s">
        <v>26</v>
      </c>
    </row>
    <row r="270" ht="22.5" customHeight="1">
      <c r="A270" s="2" t="s">
        <v>18</v>
      </c>
      <c r="B270" s="2" t="s">
        <v>208</v>
      </c>
      <c r="C270" s="2" t="s">
        <v>20</v>
      </c>
      <c r="D270" s="2" t="s">
        <v>54</v>
      </c>
      <c r="F270" s="2" t="s">
        <v>209</v>
      </c>
      <c r="G270" s="2">
        <v>7350.0</v>
      </c>
      <c r="H270" s="2" t="s">
        <v>24</v>
      </c>
    </row>
    <row r="271" ht="22.5" customHeight="1">
      <c r="A271" s="2" t="s">
        <v>18</v>
      </c>
      <c r="B271" s="2" t="s">
        <v>210</v>
      </c>
      <c r="C271" s="2" t="s">
        <v>20</v>
      </c>
      <c r="D271" s="2" t="s">
        <v>21</v>
      </c>
      <c r="F271" s="2" t="s">
        <v>211</v>
      </c>
      <c r="G271" s="2">
        <v>18087.178181</v>
      </c>
      <c r="H271" s="2" t="s">
        <v>24</v>
      </c>
    </row>
    <row r="272" ht="22.5" customHeight="1">
      <c r="A272" s="2" t="s">
        <v>18</v>
      </c>
      <c r="B272" s="2" t="s">
        <v>210</v>
      </c>
      <c r="C272" s="2" t="s">
        <v>20</v>
      </c>
      <c r="D272" s="2" t="s">
        <v>21</v>
      </c>
      <c r="F272" s="2" t="s">
        <v>211</v>
      </c>
      <c r="G272" s="2">
        <v>7290.245537</v>
      </c>
      <c r="H272" s="2" t="s">
        <v>26</v>
      </c>
    </row>
    <row r="273" ht="22.5" customHeight="1">
      <c r="A273" s="2" t="s">
        <v>18</v>
      </c>
      <c r="B273" s="2" t="s">
        <v>212</v>
      </c>
      <c r="C273" s="2" t="s">
        <v>20</v>
      </c>
      <c r="D273" s="2" t="s">
        <v>21</v>
      </c>
      <c r="E273" s="2" t="s">
        <v>61</v>
      </c>
      <c r="F273" s="2" t="s">
        <v>213</v>
      </c>
      <c r="G273" s="2">
        <v>15934.228414</v>
      </c>
      <c r="H273" s="2" t="s">
        <v>24</v>
      </c>
    </row>
    <row r="274" ht="22.5" customHeight="1">
      <c r="A274" s="2" t="s">
        <v>18</v>
      </c>
      <c r="B274" s="2" t="s">
        <v>212</v>
      </c>
      <c r="C274" s="2" t="s">
        <v>20</v>
      </c>
      <c r="D274" s="2" t="s">
        <v>21</v>
      </c>
      <c r="E274" s="2" t="s">
        <v>61</v>
      </c>
      <c r="F274" s="2" t="s">
        <v>213</v>
      </c>
      <c r="G274" s="2">
        <v>15881.92591</v>
      </c>
      <c r="H274" s="2" t="s">
        <v>25</v>
      </c>
    </row>
    <row r="275" ht="22.5" customHeight="1">
      <c r="A275" s="2" t="s">
        <v>18</v>
      </c>
      <c r="B275" s="2" t="s">
        <v>212</v>
      </c>
      <c r="C275" s="2" t="s">
        <v>20</v>
      </c>
      <c r="D275" s="2" t="s">
        <v>21</v>
      </c>
      <c r="E275" s="2" t="s">
        <v>61</v>
      </c>
      <c r="F275" s="2" t="s">
        <v>213</v>
      </c>
      <c r="G275" s="2">
        <v>15635.661516</v>
      </c>
      <c r="H275" s="2" t="s">
        <v>26</v>
      </c>
    </row>
    <row r="276" ht="22.5" customHeight="1">
      <c r="A276" s="2" t="s">
        <v>18</v>
      </c>
      <c r="B276" s="2" t="s">
        <v>214</v>
      </c>
      <c r="C276" s="4" t="s">
        <v>31</v>
      </c>
      <c r="D276" s="2" t="s">
        <v>54</v>
      </c>
      <c r="F276" s="2" t="s">
        <v>215</v>
      </c>
      <c r="G276" s="3">
        <v>35960.1</v>
      </c>
      <c r="H276" s="2" t="s">
        <v>25</v>
      </c>
    </row>
    <row r="277" ht="22.5" customHeight="1">
      <c r="A277" s="2" t="s">
        <v>18</v>
      </c>
      <c r="B277" s="2" t="s">
        <v>214</v>
      </c>
      <c r="C277" s="4" t="s">
        <v>31</v>
      </c>
      <c r="D277" s="2" t="s">
        <v>54</v>
      </c>
      <c r="F277" s="2" t="s">
        <v>215</v>
      </c>
      <c r="G277" s="3">
        <v>32546.1</v>
      </c>
      <c r="H277" s="2" t="s">
        <v>24</v>
      </c>
    </row>
    <row r="278" ht="22.5" customHeight="1">
      <c r="A278" s="2" t="s">
        <v>18</v>
      </c>
      <c r="B278" s="2" t="s">
        <v>214</v>
      </c>
      <c r="C278" s="4" t="s">
        <v>31</v>
      </c>
      <c r="D278" s="2" t="s">
        <v>54</v>
      </c>
      <c r="F278" s="2" t="s">
        <v>215</v>
      </c>
      <c r="G278" s="3">
        <v>32547.6</v>
      </c>
      <c r="H278" s="2" t="s">
        <v>26</v>
      </c>
    </row>
    <row r="279" ht="22.5" customHeight="1">
      <c r="A279" s="2" t="s">
        <v>18</v>
      </c>
      <c r="B279" s="2" t="s">
        <v>214</v>
      </c>
      <c r="C279" s="4" t="s">
        <v>31</v>
      </c>
      <c r="D279" s="2" t="s">
        <v>54</v>
      </c>
      <c r="F279" s="2" t="s">
        <v>215</v>
      </c>
      <c r="G279" s="3">
        <v>58917.79564</v>
      </c>
      <c r="H279" s="4" t="s">
        <v>27</v>
      </c>
    </row>
    <row r="280" ht="22.5" customHeight="1">
      <c r="A280" s="2" t="s">
        <v>18</v>
      </c>
      <c r="B280" s="2" t="s">
        <v>216</v>
      </c>
      <c r="C280" s="2" t="s">
        <v>31</v>
      </c>
      <c r="D280" s="2" t="s">
        <v>38</v>
      </c>
      <c r="F280" s="2" t="s">
        <v>217</v>
      </c>
      <c r="G280" s="2">
        <v>21447.91512</v>
      </c>
      <c r="H280" s="2" t="s">
        <v>24</v>
      </c>
    </row>
    <row r="281" ht="22.5" customHeight="1">
      <c r="A281" s="2" t="s">
        <v>18</v>
      </c>
      <c r="B281" s="2" t="s">
        <v>216</v>
      </c>
      <c r="C281" s="2" t="s">
        <v>31</v>
      </c>
      <c r="D281" s="2" t="s">
        <v>38</v>
      </c>
      <c r="F281" s="2" t="s">
        <v>217</v>
      </c>
      <c r="G281" s="2">
        <v>21043.28283</v>
      </c>
      <c r="H281" s="2" t="s">
        <v>26</v>
      </c>
    </row>
    <row r="282" ht="22.5" customHeight="1">
      <c r="A282" s="2" t="s">
        <v>18</v>
      </c>
      <c r="B282" s="2" t="s">
        <v>218</v>
      </c>
      <c r="C282" s="2" t="s">
        <v>20</v>
      </c>
      <c r="D282" s="2" t="s">
        <v>21</v>
      </c>
      <c r="F282" s="2" t="s">
        <v>219</v>
      </c>
      <c r="G282" s="2">
        <v>12664.666657</v>
      </c>
      <c r="H282" s="2" t="s">
        <v>25</v>
      </c>
    </row>
    <row r="283" ht="22.5" customHeight="1">
      <c r="A283" s="2" t="s">
        <v>18</v>
      </c>
      <c r="B283" s="2" t="s">
        <v>218</v>
      </c>
      <c r="C283" s="2" t="s">
        <v>20</v>
      </c>
      <c r="D283" s="2" t="s">
        <v>21</v>
      </c>
      <c r="F283" s="2" t="s">
        <v>219</v>
      </c>
      <c r="G283" s="2">
        <v>8107.360929</v>
      </c>
      <c r="H283" s="2" t="s">
        <v>26</v>
      </c>
    </row>
    <row r="284" ht="22.5" customHeight="1">
      <c r="A284" s="2" t="s">
        <v>18</v>
      </c>
      <c r="B284" s="2" t="s">
        <v>220</v>
      </c>
      <c r="C284" s="4" t="s">
        <v>20</v>
      </c>
      <c r="D284" s="2" t="s">
        <v>21</v>
      </c>
      <c r="E284" s="2" t="s">
        <v>41</v>
      </c>
      <c r="F284" s="2" t="s">
        <v>221</v>
      </c>
      <c r="G284" s="2">
        <v>24662.52906</v>
      </c>
      <c r="H284" s="2" t="s">
        <v>24</v>
      </c>
    </row>
    <row r="285" ht="22.5" customHeight="1">
      <c r="A285" s="2" t="s">
        <v>18</v>
      </c>
      <c r="B285" s="2" t="s">
        <v>220</v>
      </c>
      <c r="C285" s="4" t="s">
        <v>20</v>
      </c>
      <c r="D285" s="2" t="s">
        <v>21</v>
      </c>
      <c r="E285" s="2" t="s">
        <v>41</v>
      </c>
      <c r="F285" s="2" t="s">
        <v>221</v>
      </c>
      <c r="G285" s="2">
        <v>24290.29243</v>
      </c>
      <c r="H285" s="2" t="s">
        <v>25</v>
      </c>
    </row>
    <row r="286" ht="22.5" customHeight="1">
      <c r="A286" s="2" t="s">
        <v>18</v>
      </c>
      <c r="B286" s="2" t="s">
        <v>220</v>
      </c>
      <c r="C286" s="4" t="s">
        <v>20</v>
      </c>
      <c r="D286" s="2" t="s">
        <v>21</v>
      </c>
      <c r="E286" s="2" t="s">
        <v>41</v>
      </c>
      <c r="F286" s="2" t="s">
        <v>221</v>
      </c>
      <c r="G286" s="2">
        <v>24203.17162</v>
      </c>
      <c r="H286" s="2" t="s">
        <v>26</v>
      </c>
    </row>
    <row r="287" ht="22.5" customHeight="1">
      <c r="A287" s="2" t="s">
        <v>18</v>
      </c>
      <c r="B287" s="2" t="s">
        <v>222</v>
      </c>
      <c r="C287" s="2" t="s">
        <v>31</v>
      </c>
      <c r="D287" s="2" t="s">
        <v>113</v>
      </c>
      <c r="F287" s="2" t="s">
        <v>223</v>
      </c>
      <c r="G287" s="2">
        <v>68390.14405</v>
      </c>
      <c r="H287" s="2" t="s">
        <v>24</v>
      </c>
    </row>
    <row r="288" ht="22.5" customHeight="1">
      <c r="A288" s="2" t="s">
        <v>18</v>
      </c>
      <c r="B288" s="2" t="s">
        <v>222</v>
      </c>
      <c r="C288" s="2" t="s">
        <v>31</v>
      </c>
      <c r="D288" s="2" t="s">
        <v>113</v>
      </c>
      <c r="F288" s="2" t="s">
        <v>223</v>
      </c>
      <c r="G288" s="2">
        <v>76896.25229</v>
      </c>
      <c r="H288" s="2" t="s">
        <v>25</v>
      </c>
    </row>
    <row r="289" ht="22.5" customHeight="1">
      <c r="A289" s="2" t="s">
        <v>18</v>
      </c>
      <c r="B289" s="2" t="s">
        <v>222</v>
      </c>
      <c r="C289" s="2" t="s">
        <v>31</v>
      </c>
      <c r="D289" s="2" t="s">
        <v>113</v>
      </c>
      <c r="F289" s="2" t="s">
        <v>223</v>
      </c>
      <c r="G289" s="2">
        <v>77832.85317</v>
      </c>
      <c r="H289" s="2" t="s">
        <v>26</v>
      </c>
    </row>
    <row r="290" ht="22.5" customHeight="1">
      <c r="A290" s="2" t="s">
        <v>18</v>
      </c>
      <c r="B290" s="2" t="s">
        <v>224</v>
      </c>
      <c r="C290" s="2" t="s">
        <v>31</v>
      </c>
      <c r="D290" s="2" t="s">
        <v>47</v>
      </c>
      <c r="F290" s="2" t="s">
        <v>225</v>
      </c>
      <c r="G290" s="2">
        <v>19207.062778</v>
      </c>
      <c r="H290" s="2" t="s">
        <v>24</v>
      </c>
    </row>
    <row r="291" ht="22.5" customHeight="1">
      <c r="A291" s="2" t="s">
        <v>18</v>
      </c>
      <c r="B291" s="2" t="s">
        <v>224</v>
      </c>
      <c r="C291" s="2" t="s">
        <v>31</v>
      </c>
      <c r="D291" s="2" t="s">
        <v>47</v>
      </c>
      <c r="F291" s="2" t="s">
        <v>225</v>
      </c>
      <c r="G291" s="3">
        <v>8031.52</v>
      </c>
      <c r="H291" s="2" t="s">
        <v>25</v>
      </c>
    </row>
    <row r="292" ht="22.5" customHeight="1">
      <c r="A292" s="2" t="s">
        <v>18</v>
      </c>
      <c r="B292" s="2" t="s">
        <v>224</v>
      </c>
      <c r="C292" s="2" t="s">
        <v>31</v>
      </c>
      <c r="D292" s="2" t="s">
        <v>47</v>
      </c>
      <c r="F292" s="2" t="s">
        <v>225</v>
      </c>
      <c r="G292" s="2">
        <v>18848.225941</v>
      </c>
      <c r="H292" s="2" t="s">
        <v>26</v>
      </c>
    </row>
    <row r="293" ht="22.5" customHeight="1">
      <c r="A293" s="2" t="s">
        <v>18</v>
      </c>
      <c r="B293" s="2" t="s">
        <v>224</v>
      </c>
      <c r="C293" s="2" t="s">
        <v>31</v>
      </c>
      <c r="D293" s="2" t="s">
        <v>47</v>
      </c>
      <c r="F293" s="2" t="s">
        <v>225</v>
      </c>
      <c r="G293" s="3">
        <v>15277.44</v>
      </c>
      <c r="H293" s="4" t="s">
        <v>27</v>
      </c>
    </row>
    <row r="294" ht="22.5" customHeight="1">
      <c r="A294" s="2" t="s">
        <v>18</v>
      </c>
      <c r="B294" s="2" t="s">
        <v>226</v>
      </c>
      <c r="C294" s="2" t="s">
        <v>66</v>
      </c>
      <c r="D294" s="2" t="s">
        <v>192</v>
      </c>
      <c r="F294" s="2" t="s">
        <v>227</v>
      </c>
      <c r="G294" s="2">
        <v>20203.68456</v>
      </c>
      <c r="H294" s="2" t="s">
        <v>25</v>
      </c>
    </row>
    <row r="295" ht="22.5" customHeight="1">
      <c r="A295" s="2" t="s">
        <v>18</v>
      </c>
      <c r="B295" s="2" t="s">
        <v>226</v>
      </c>
      <c r="C295" s="2" t="s">
        <v>66</v>
      </c>
      <c r="D295" s="2" t="s">
        <v>192</v>
      </c>
      <c r="F295" s="2" t="s">
        <v>227</v>
      </c>
      <c r="G295" s="2">
        <v>19963.580155</v>
      </c>
      <c r="H295" s="2" t="s">
        <v>26</v>
      </c>
    </row>
    <row r="296" ht="22.5" customHeight="1">
      <c r="A296" s="2" t="s">
        <v>18</v>
      </c>
      <c r="B296" s="2" t="s">
        <v>226</v>
      </c>
      <c r="C296" s="2" t="s">
        <v>66</v>
      </c>
      <c r="D296" s="2" t="s">
        <v>192</v>
      </c>
      <c r="F296" s="2" t="s">
        <v>227</v>
      </c>
      <c r="G296" s="2">
        <v>20321.67818</v>
      </c>
      <c r="H296" s="2" t="s">
        <v>24</v>
      </c>
    </row>
    <row r="297" ht="22.5" customHeight="1">
      <c r="A297" s="2" t="s">
        <v>18</v>
      </c>
      <c r="B297" s="2" t="s">
        <v>228</v>
      </c>
      <c r="C297" s="2" t="s">
        <v>20</v>
      </c>
      <c r="D297" s="2" t="s">
        <v>21</v>
      </c>
      <c r="F297" s="2" t="s">
        <v>229</v>
      </c>
      <c r="G297" s="2">
        <v>18141.678181</v>
      </c>
      <c r="H297" s="2" t="s">
        <v>24</v>
      </c>
    </row>
    <row r="298" ht="22.5" customHeight="1">
      <c r="A298" s="2" t="s">
        <v>18</v>
      </c>
      <c r="B298" s="9" t="s">
        <v>230</v>
      </c>
      <c r="C298" s="4" t="s">
        <v>20</v>
      </c>
      <c r="D298" s="2" t="s">
        <v>21</v>
      </c>
      <c r="E298" s="4" t="s">
        <v>35</v>
      </c>
      <c r="F298" s="9" t="s">
        <v>230</v>
      </c>
      <c r="G298" s="3">
        <v>630.08</v>
      </c>
      <c r="H298" s="4" t="s">
        <v>25</v>
      </c>
    </row>
    <row r="299" ht="22.5" customHeight="1">
      <c r="A299" s="2" t="s">
        <v>18</v>
      </c>
      <c r="B299" s="9" t="s">
        <v>230</v>
      </c>
      <c r="C299" s="4" t="s">
        <v>20</v>
      </c>
      <c r="D299" s="2" t="s">
        <v>21</v>
      </c>
      <c r="E299" s="4" t="s">
        <v>35</v>
      </c>
      <c r="F299" s="9" t="s">
        <v>230</v>
      </c>
      <c r="G299" s="3">
        <v>19025.856</v>
      </c>
      <c r="H299" s="4" t="s">
        <v>27</v>
      </c>
    </row>
    <row r="300" ht="22.5" customHeight="1">
      <c r="A300" s="2" t="s">
        <v>18</v>
      </c>
      <c r="B300" s="2" t="s">
        <v>231</v>
      </c>
      <c r="C300" s="2" t="s">
        <v>20</v>
      </c>
      <c r="D300" s="2" t="s">
        <v>21</v>
      </c>
      <c r="E300" s="2" t="s">
        <v>41</v>
      </c>
      <c r="F300" s="2" t="s">
        <v>232</v>
      </c>
      <c r="G300" s="2">
        <v>12552.513977</v>
      </c>
      <c r="H300" s="2" t="s">
        <v>25</v>
      </c>
    </row>
    <row r="301" ht="22.5" customHeight="1">
      <c r="A301" s="2" t="s">
        <v>18</v>
      </c>
      <c r="B301" s="9" t="s">
        <v>233</v>
      </c>
      <c r="C301" s="4" t="s">
        <v>20</v>
      </c>
      <c r="D301" s="4" t="s">
        <v>21</v>
      </c>
      <c r="E301" s="4" t="s">
        <v>41</v>
      </c>
      <c r="F301" s="9" t="s">
        <v>233</v>
      </c>
      <c r="G301" s="3">
        <v>15356.2</v>
      </c>
      <c r="H301" s="4" t="s">
        <v>27</v>
      </c>
    </row>
    <row r="302" ht="22.5" customHeight="1">
      <c r="A302" s="2" t="s">
        <v>18</v>
      </c>
      <c r="B302" s="9" t="s">
        <v>234</v>
      </c>
      <c r="C302" s="4" t="s">
        <v>20</v>
      </c>
      <c r="D302" s="4" t="s">
        <v>21</v>
      </c>
      <c r="E302" s="4" t="s">
        <v>22</v>
      </c>
      <c r="F302" s="9" t="s">
        <v>234</v>
      </c>
      <c r="G302" s="3">
        <v>6588.72</v>
      </c>
      <c r="H302" s="4" t="s">
        <v>27</v>
      </c>
    </row>
    <row r="303" ht="22.5" customHeight="1">
      <c r="A303" s="2" t="s">
        <v>18</v>
      </c>
      <c r="B303" s="9" t="s">
        <v>235</v>
      </c>
      <c r="C303" s="4" t="s">
        <v>20</v>
      </c>
      <c r="D303" s="4" t="s">
        <v>21</v>
      </c>
      <c r="E303" s="4" t="s">
        <v>35</v>
      </c>
      <c r="F303" s="9" t="s">
        <v>235</v>
      </c>
      <c r="G303" s="3">
        <v>8163.72</v>
      </c>
      <c r="H303" s="4" t="s">
        <v>27</v>
      </c>
    </row>
    <row r="304" ht="22.5" customHeight="1">
      <c r="A304" s="2" t="s">
        <v>18</v>
      </c>
      <c r="B304" s="9" t="s">
        <v>236</v>
      </c>
      <c r="C304" s="4" t="s">
        <v>20</v>
      </c>
      <c r="D304" s="4" t="s">
        <v>21</v>
      </c>
      <c r="E304" s="4" t="s">
        <v>44</v>
      </c>
      <c r="F304" s="9" t="s">
        <v>236</v>
      </c>
      <c r="G304" s="3">
        <v>1756.9885000000002</v>
      </c>
      <c r="H304" s="4" t="s">
        <v>27</v>
      </c>
    </row>
    <row r="305" ht="22.5" customHeight="1">
      <c r="A305" s="2" t="s">
        <v>18</v>
      </c>
      <c r="B305" s="2" t="s">
        <v>231</v>
      </c>
      <c r="C305" s="2" t="s">
        <v>20</v>
      </c>
      <c r="D305" s="2" t="s">
        <v>21</v>
      </c>
      <c r="E305" s="2" t="s">
        <v>41</v>
      </c>
      <c r="F305" s="2" t="s">
        <v>232</v>
      </c>
      <c r="G305" s="2">
        <v>18893.580152</v>
      </c>
      <c r="H305" s="2" t="s">
        <v>26</v>
      </c>
    </row>
    <row r="306" ht="22.5" customHeight="1">
      <c r="A306" s="2" t="s">
        <v>18</v>
      </c>
      <c r="B306" s="2" t="s">
        <v>231</v>
      </c>
      <c r="C306" s="2" t="s">
        <v>20</v>
      </c>
      <c r="D306" s="2" t="s">
        <v>21</v>
      </c>
      <c r="E306" s="2" t="s">
        <v>41</v>
      </c>
      <c r="F306" s="2" t="s">
        <v>232</v>
      </c>
      <c r="G306" s="2">
        <v>19231.678181</v>
      </c>
      <c r="H306" s="2" t="s">
        <v>24</v>
      </c>
    </row>
    <row r="307" ht="22.5" customHeight="1">
      <c r="A307" s="2" t="s">
        <v>18</v>
      </c>
      <c r="B307" s="2" t="s">
        <v>237</v>
      </c>
      <c r="C307" s="2" t="s">
        <v>20</v>
      </c>
      <c r="D307" s="2" t="s">
        <v>54</v>
      </c>
      <c r="F307" s="2" t="s">
        <v>238</v>
      </c>
      <c r="G307" s="2">
        <v>28074.40406</v>
      </c>
      <c r="H307" s="2" t="s">
        <v>26</v>
      </c>
    </row>
    <row r="308" ht="22.5" customHeight="1">
      <c r="A308" s="2" t="s">
        <v>18</v>
      </c>
      <c r="B308" s="2" t="s">
        <v>237</v>
      </c>
      <c r="C308" s="2" t="s">
        <v>20</v>
      </c>
      <c r="D308" s="2" t="s">
        <v>54</v>
      </c>
      <c r="F308" s="2" t="s">
        <v>238</v>
      </c>
      <c r="G308" s="2">
        <v>28361.56091</v>
      </c>
      <c r="H308" s="2" t="s">
        <v>24</v>
      </c>
    </row>
    <row r="309" ht="22.5" customHeight="1">
      <c r="A309" s="2" t="s">
        <v>18</v>
      </c>
      <c r="B309" s="2" t="s">
        <v>237</v>
      </c>
      <c r="C309" s="2" t="s">
        <v>20</v>
      </c>
      <c r="D309" s="2" t="s">
        <v>54</v>
      </c>
      <c r="F309" s="2" t="s">
        <v>238</v>
      </c>
      <c r="G309" s="2">
        <v>27403.82208</v>
      </c>
      <c r="H309" s="2" t="s">
        <v>25</v>
      </c>
    </row>
    <row r="310" ht="22.5" customHeight="1">
      <c r="A310" s="2" t="s">
        <v>18</v>
      </c>
      <c r="B310" s="2" t="s">
        <v>239</v>
      </c>
      <c r="C310" s="2" t="s">
        <v>20</v>
      </c>
      <c r="D310" s="2" t="s">
        <v>21</v>
      </c>
      <c r="E310" s="2" t="s">
        <v>61</v>
      </c>
      <c r="F310" s="2" t="s">
        <v>240</v>
      </c>
      <c r="G310" s="3">
        <v>9501.84</v>
      </c>
      <c r="H310" s="2" t="s">
        <v>25</v>
      </c>
    </row>
    <row r="311" ht="22.5" customHeight="1">
      <c r="A311" s="2" t="s">
        <v>18</v>
      </c>
      <c r="B311" s="2" t="s">
        <v>239</v>
      </c>
      <c r="C311" s="2" t="s">
        <v>20</v>
      </c>
      <c r="D311" s="2" t="s">
        <v>21</v>
      </c>
      <c r="E311" s="2" t="s">
        <v>61</v>
      </c>
      <c r="F311" s="2" t="s">
        <v>240</v>
      </c>
      <c r="G311" s="2">
        <v>18141.678181</v>
      </c>
      <c r="H311" s="2" t="s">
        <v>24</v>
      </c>
    </row>
    <row r="312" ht="22.5" customHeight="1">
      <c r="A312" s="2" t="s">
        <v>18</v>
      </c>
      <c r="B312" s="2" t="s">
        <v>239</v>
      </c>
      <c r="C312" s="2" t="s">
        <v>20</v>
      </c>
      <c r="D312" s="2" t="s">
        <v>21</v>
      </c>
      <c r="E312" s="2" t="s">
        <v>61</v>
      </c>
      <c r="F312" s="2" t="s">
        <v>240</v>
      </c>
      <c r="G312" s="2">
        <v>17823.580152</v>
      </c>
      <c r="H312" s="2" t="s">
        <v>26</v>
      </c>
    </row>
    <row r="313" ht="22.5" customHeight="1">
      <c r="A313" s="2" t="s">
        <v>18</v>
      </c>
      <c r="B313" s="2" t="s">
        <v>239</v>
      </c>
      <c r="C313" s="2" t="s">
        <v>20</v>
      </c>
      <c r="D313" s="2" t="s">
        <v>21</v>
      </c>
      <c r="E313" s="2" t="s">
        <v>61</v>
      </c>
      <c r="F313" s="2" t="s">
        <v>240</v>
      </c>
      <c r="G313" s="3">
        <v>14227.44</v>
      </c>
      <c r="H313" s="4" t="s">
        <v>27</v>
      </c>
    </row>
    <row r="314" ht="22.5" customHeight="1">
      <c r="A314" s="2" t="s">
        <v>18</v>
      </c>
      <c r="B314" s="2" t="s">
        <v>241</v>
      </c>
      <c r="C314" s="2" t="s">
        <v>20</v>
      </c>
      <c r="D314" s="2" t="s">
        <v>21</v>
      </c>
      <c r="E314" s="2" t="s">
        <v>22</v>
      </c>
      <c r="F314" s="2" t="s">
        <v>242</v>
      </c>
      <c r="G314" s="2">
        <v>7350.0</v>
      </c>
      <c r="H314" s="2" t="s">
        <v>25</v>
      </c>
    </row>
    <row r="315" ht="22.5" customHeight="1">
      <c r="A315" s="2" t="s">
        <v>18</v>
      </c>
      <c r="B315" s="2" t="s">
        <v>241</v>
      </c>
      <c r="C315" s="2" t="s">
        <v>20</v>
      </c>
      <c r="D315" s="2" t="s">
        <v>21</v>
      </c>
      <c r="E315" s="2" t="s">
        <v>22</v>
      </c>
      <c r="F315" s="2" t="s">
        <v>242</v>
      </c>
      <c r="G315" s="2">
        <v>7350.0</v>
      </c>
      <c r="H315" s="2" t="s">
        <v>24</v>
      </c>
    </row>
    <row r="316" ht="22.5" customHeight="1">
      <c r="A316" s="2" t="s">
        <v>18</v>
      </c>
      <c r="B316" s="2" t="s">
        <v>241</v>
      </c>
      <c r="C316" s="2" t="s">
        <v>20</v>
      </c>
      <c r="D316" s="2" t="s">
        <v>21</v>
      </c>
      <c r="E316" s="2" t="s">
        <v>22</v>
      </c>
      <c r="F316" s="2" t="s">
        <v>242</v>
      </c>
      <c r="G316" s="2">
        <v>7350.0</v>
      </c>
      <c r="H316" s="2" t="s">
        <v>26</v>
      </c>
    </row>
    <row r="317" ht="22.5" customHeight="1">
      <c r="A317" s="2" t="s">
        <v>18</v>
      </c>
      <c r="B317" s="2" t="s">
        <v>243</v>
      </c>
      <c r="C317" s="2" t="s">
        <v>20</v>
      </c>
      <c r="D317" s="2" t="s">
        <v>54</v>
      </c>
      <c r="F317" s="2" t="s">
        <v>244</v>
      </c>
      <c r="G317" s="2">
        <v>13202.829051</v>
      </c>
      <c r="H317" s="2" t="s">
        <v>25</v>
      </c>
    </row>
    <row r="318" ht="22.5" customHeight="1">
      <c r="A318" s="2" t="s">
        <v>18</v>
      </c>
      <c r="B318" s="2" t="s">
        <v>243</v>
      </c>
      <c r="C318" s="2" t="s">
        <v>20</v>
      </c>
      <c r="D318" s="2" t="s">
        <v>54</v>
      </c>
      <c r="F318" s="2" t="s">
        <v>244</v>
      </c>
      <c r="G318" s="2">
        <v>12905.877092</v>
      </c>
      <c r="H318" s="2" t="s">
        <v>26</v>
      </c>
    </row>
    <row r="319" ht="22.5" customHeight="1">
      <c r="A319" s="2" t="s">
        <v>18</v>
      </c>
      <c r="B319" s="2" t="s">
        <v>243</v>
      </c>
      <c r="C319" s="2" t="s">
        <v>20</v>
      </c>
      <c r="D319" s="2" t="s">
        <v>54</v>
      </c>
      <c r="F319" s="2" t="s">
        <v>244</v>
      </c>
      <c r="G319" s="2">
        <v>13153.19405</v>
      </c>
      <c r="H319" s="2" t="s">
        <v>24</v>
      </c>
    </row>
    <row r="320" ht="22.5" customHeight="1">
      <c r="A320" s="2" t="s">
        <v>18</v>
      </c>
      <c r="B320" s="2" t="s">
        <v>245</v>
      </c>
      <c r="C320" s="2" t="s">
        <v>20</v>
      </c>
      <c r="D320" s="2" t="s">
        <v>54</v>
      </c>
      <c r="F320" s="2" t="s">
        <v>246</v>
      </c>
      <c r="G320" s="2">
        <v>7350.0</v>
      </c>
      <c r="H320" s="2" t="s">
        <v>24</v>
      </c>
    </row>
    <row r="321" ht="22.5" customHeight="1">
      <c r="A321" s="2" t="s">
        <v>18</v>
      </c>
      <c r="B321" s="2" t="s">
        <v>245</v>
      </c>
      <c r="C321" s="2" t="s">
        <v>20</v>
      </c>
      <c r="D321" s="2" t="s">
        <v>54</v>
      </c>
      <c r="F321" s="2" t="s">
        <v>246</v>
      </c>
      <c r="G321" s="2">
        <v>7350.0</v>
      </c>
      <c r="H321" s="2" t="s">
        <v>25</v>
      </c>
    </row>
    <row r="322" ht="22.5" customHeight="1">
      <c r="A322" s="2" t="s">
        <v>18</v>
      </c>
      <c r="B322" s="2" t="s">
        <v>245</v>
      </c>
      <c r="C322" s="2" t="s">
        <v>20</v>
      </c>
      <c r="D322" s="2" t="s">
        <v>54</v>
      </c>
      <c r="F322" s="2" t="s">
        <v>246</v>
      </c>
      <c r="G322" s="2">
        <v>7350.0</v>
      </c>
      <c r="H322" s="2" t="s">
        <v>26</v>
      </c>
    </row>
    <row r="323" ht="22.5" customHeight="1">
      <c r="A323" s="2" t="s">
        <v>18</v>
      </c>
      <c r="B323" s="2" t="s">
        <v>247</v>
      </c>
      <c r="C323" s="2" t="s">
        <v>31</v>
      </c>
      <c r="D323" s="2" t="s">
        <v>54</v>
      </c>
      <c r="F323" s="2" t="s">
        <v>248</v>
      </c>
      <c r="G323" s="2">
        <v>21139.39677</v>
      </c>
      <c r="H323" s="2" t="s">
        <v>25</v>
      </c>
    </row>
    <row r="324" ht="22.5" customHeight="1">
      <c r="A324" s="2" t="s">
        <v>18</v>
      </c>
      <c r="B324" s="2" t="s">
        <v>247</v>
      </c>
      <c r="C324" s="2" t="s">
        <v>31</v>
      </c>
      <c r="D324" s="2" t="s">
        <v>54</v>
      </c>
      <c r="F324" s="2" t="s">
        <v>248</v>
      </c>
      <c r="G324" s="2">
        <v>19315.770457</v>
      </c>
      <c r="H324" s="2" t="s">
        <v>24</v>
      </c>
    </row>
    <row r="325" ht="22.5" customHeight="1">
      <c r="A325" s="2" t="s">
        <v>18</v>
      </c>
      <c r="B325" s="2" t="s">
        <v>247</v>
      </c>
      <c r="C325" s="2" t="s">
        <v>31</v>
      </c>
      <c r="D325" s="2" t="s">
        <v>54</v>
      </c>
      <c r="F325" s="2" t="s">
        <v>248</v>
      </c>
      <c r="G325" s="2">
        <v>19996.580507</v>
      </c>
      <c r="H325" s="2" t="s">
        <v>26</v>
      </c>
    </row>
    <row r="326" ht="22.5" customHeight="1">
      <c r="A326" s="2" t="s">
        <v>18</v>
      </c>
      <c r="B326" s="2" t="s">
        <v>249</v>
      </c>
      <c r="C326" s="2" t="s">
        <v>20</v>
      </c>
      <c r="D326" s="2" t="s">
        <v>21</v>
      </c>
      <c r="E326" s="2" t="s">
        <v>61</v>
      </c>
      <c r="F326" s="2" t="s">
        <v>250</v>
      </c>
      <c r="G326" s="3">
        <v>16854.666</v>
      </c>
      <c r="H326" s="2" t="s">
        <v>25</v>
      </c>
    </row>
    <row r="327" ht="22.5" customHeight="1">
      <c r="A327" s="2" t="s">
        <v>18</v>
      </c>
      <c r="B327" s="2" t="s">
        <v>249</v>
      </c>
      <c r="C327" s="2" t="s">
        <v>20</v>
      </c>
      <c r="D327" s="2" t="s">
        <v>21</v>
      </c>
      <c r="E327" s="2" t="s">
        <v>61</v>
      </c>
      <c r="F327" s="2" t="s">
        <v>250</v>
      </c>
      <c r="G327" s="2">
        <v>21425.8467</v>
      </c>
      <c r="H327" s="2" t="s">
        <v>24</v>
      </c>
    </row>
    <row r="328" ht="22.5" customHeight="1">
      <c r="A328" s="2" t="s">
        <v>18</v>
      </c>
      <c r="B328" s="2" t="s">
        <v>249</v>
      </c>
      <c r="C328" s="2" t="s">
        <v>20</v>
      </c>
      <c r="D328" s="2" t="s">
        <v>21</v>
      </c>
      <c r="E328" s="2" t="s">
        <v>61</v>
      </c>
      <c r="F328" s="2" t="s">
        <v>250</v>
      </c>
      <c r="G328" s="2">
        <v>21046.5104</v>
      </c>
      <c r="H328" s="2" t="s">
        <v>26</v>
      </c>
    </row>
    <row r="329" ht="22.5" customHeight="1">
      <c r="A329" s="2" t="s">
        <v>18</v>
      </c>
      <c r="B329" s="2" t="s">
        <v>249</v>
      </c>
      <c r="C329" s="2" t="s">
        <v>20</v>
      </c>
      <c r="D329" s="2" t="s">
        <v>21</v>
      </c>
      <c r="E329" s="2" t="s">
        <v>61</v>
      </c>
      <c r="F329" s="2" t="s">
        <v>250</v>
      </c>
      <c r="G329" s="3">
        <v>17377.440000000002</v>
      </c>
      <c r="H329" s="4" t="s">
        <v>27</v>
      </c>
    </row>
    <row r="330" ht="22.5" customHeight="1">
      <c r="A330" s="2" t="s">
        <v>18</v>
      </c>
      <c r="B330" s="2" t="s">
        <v>251</v>
      </c>
      <c r="C330" s="2" t="s">
        <v>31</v>
      </c>
      <c r="D330" s="2" t="s">
        <v>38</v>
      </c>
      <c r="F330" s="2" t="s">
        <v>252</v>
      </c>
      <c r="G330" s="2">
        <v>14700.15378</v>
      </c>
      <c r="H330" s="2" t="s">
        <v>26</v>
      </c>
    </row>
    <row r="331" ht="22.5" customHeight="1">
      <c r="A331" s="2" t="s">
        <v>18</v>
      </c>
      <c r="B331" s="2" t="s">
        <v>251</v>
      </c>
      <c r="C331" s="2" t="s">
        <v>31</v>
      </c>
      <c r="D331" s="2" t="s">
        <v>38</v>
      </c>
      <c r="F331" s="2" t="s">
        <v>252</v>
      </c>
      <c r="G331" s="2">
        <v>14977.174718</v>
      </c>
      <c r="H331" s="2" t="s">
        <v>24</v>
      </c>
    </row>
    <row r="332" ht="22.5" customHeight="1">
      <c r="A332" s="2" t="s">
        <v>18</v>
      </c>
      <c r="B332" s="2" t="s">
        <v>251</v>
      </c>
      <c r="C332" s="2" t="s">
        <v>31</v>
      </c>
      <c r="D332" s="2" t="s">
        <v>38</v>
      </c>
      <c r="F332" s="2" t="s">
        <v>252</v>
      </c>
      <c r="G332" s="2">
        <v>14943.282958</v>
      </c>
      <c r="H332" s="2" t="s">
        <v>25</v>
      </c>
    </row>
    <row r="333" ht="22.5" customHeight="1">
      <c r="A333" s="2" t="s">
        <v>18</v>
      </c>
      <c r="B333" s="2" t="s">
        <v>253</v>
      </c>
      <c r="C333" s="2" t="s">
        <v>20</v>
      </c>
      <c r="D333" s="2" t="s">
        <v>21</v>
      </c>
      <c r="E333" s="2" t="s">
        <v>61</v>
      </c>
      <c r="F333" s="2" t="s">
        <v>254</v>
      </c>
      <c r="G333" s="2">
        <v>16715.736044</v>
      </c>
      <c r="H333" s="2" t="s">
        <v>26</v>
      </c>
    </row>
    <row r="334" ht="22.5" customHeight="1">
      <c r="A334" s="2" t="s">
        <v>18</v>
      </c>
      <c r="B334" s="2" t="s">
        <v>253</v>
      </c>
      <c r="C334" s="2" t="s">
        <v>20</v>
      </c>
      <c r="D334" s="2" t="s">
        <v>21</v>
      </c>
      <c r="E334" s="2" t="s">
        <v>61</v>
      </c>
      <c r="F334" s="2" t="s">
        <v>254</v>
      </c>
      <c r="G334" s="2">
        <v>18670.363418</v>
      </c>
      <c r="H334" s="2" t="s">
        <v>24</v>
      </c>
    </row>
    <row r="335" ht="22.5" customHeight="1">
      <c r="A335" s="2" t="s">
        <v>18</v>
      </c>
      <c r="B335" s="2" t="s">
        <v>253</v>
      </c>
      <c r="C335" s="2" t="s">
        <v>20</v>
      </c>
      <c r="D335" s="2" t="s">
        <v>21</v>
      </c>
      <c r="E335" s="2" t="s">
        <v>61</v>
      </c>
      <c r="F335" s="2" t="s">
        <v>254</v>
      </c>
      <c r="G335" s="2">
        <v>18039.056587</v>
      </c>
      <c r="H335" s="2" t="s">
        <v>25</v>
      </c>
    </row>
    <row r="336" ht="22.5" customHeight="1">
      <c r="A336" s="2" t="s">
        <v>18</v>
      </c>
      <c r="B336" s="2" t="s">
        <v>255</v>
      </c>
      <c r="C336" s="2" t="s">
        <v>20</v>
      </c>
      <c r="D336" s="2" t="s">
        <v>21</v>
      </c>
      <c r="E336" s="2" t="s">
        <v>35</v>
      </c>
      <c r="F336" s="2" t="s">
        <v>256</v>
      </c>
      <c r="G336" s="2">
        <v>15147.448181</v>
      </c>
      <c r="H336" s="2" t="s">
        <v>24</v>
      </c>
    </row>
    <row r="337" ht="22.5" customHeight="1">
      <c r="A337" s="2" t="s">
        <v>18</v>
      </c>
      <c r="B337" s="2" t="s">
        <v>255</v>
      </c>
      <c r="C337" s="2" t="s">
        <v>20</v>
      </c>
      <c r="D337" s="2" t="s">
        <v>21</v>
      </c>
      <c r="E337" s="2" t="s">
        <v>35</v>
      </c>
      <c r="F337" s="2" t="s">
        <v>256</v>
      </c>
      <c r="G337" s="2">
        <v>17038.780152</v>
      </c>
      <c r="H337" s="2" t="s">
        <v>26</v>
      </c>
    </row>
    <row r="338" ht="22.5" customHeight="1">
      <c r="A338" s="2" t="s">
        <v>18</v>
      </c>
      <c r="B338" s="2" t="s">
        <v>255</v>
      </c>
      <c r="C338" s="2" t="s">
        <v>20</v>
      </c>
      <c r="D338" s="2" t="s">
        <v>21</v>
      </c>
      <c r="E338" s="2" t="s">
        <v>35</v>
      </c>
      <c r="F338" s="2" t="s">
        <v>256</v>
      </c>
      <c r="G338" s="3">
        <v>14227.44</v>
      </c>
      <c r="H338" s="2" t="s">
        <v>25</v>
      </c>
    </row>
    <row r="339" ht="22.5" customHeight="1">
      <c r="A339" s="2" t="s">
        <v>18</v>
      </c>
      <c r="B339" s="2" t="s">
        <v>255</v>
      </c>
      <c r="C339" s="2" t="s">
        <v>20</v>
      </c>
      <c r="D339" s="2" t="s">
        <v>21</v>
      </c>
      <c r="E339" s="2" t="s">
        <v>35</v>
      </c>
      <c r="F339" s="2" t="s">
        <v>256</v>
      </c>
      <c r="G339" s="3">
        <v>10075.824</v>
      </c>
      <c r="H339" s="4" t="s">
        <v>27</v>
      </c>
    </row>
    <row r="340" ht="22.5" customHeight="1">
      <c r="A340" s="2" t="s">
        <v>18</v>
      </c>
      <c r="B340" s="2" t="s">
        <v>257</v>
      </c>
      <c r="C340" s="2" t="s">
        <v>20</v>
      </c>
      <c r="D340" s="2" t="s">
        <v>21</v>
      </c>
      <c r="F340" s="2" t="s">
        <v>258</v>
      </c>
      <c r="G340" s="2">
        <v>7350.0</v>
      </c>
      <c r="H340" s="2" t="s">
        <v>26</v>
      </c>
    </row>
    <row r="341" ht="22.5" customHeight="1">
      <c r="A341" s="2" t="s">
        <v>18</v>
      </c>
      <c r="B341" s="2" t="s">
        <v>257</v>
      </c>
      <c r="C341" s="2" t="s">
        <v>20</v>
      </c>
      <c r="D341" s="2" t="s">
        <v>21</v>
      </c>
      <c r="F341" s="2" t="s">
        <v>258</v>
      </c>
      <c r="G341" s="2">
        <v>7350.0</v>
      </c>
      <c r="H341" s="2" t="s">
        <v>24</v>
      </c>
    </row>
    <row r="342" ht="22.5" customHeight="1">
      <c r="A342" s="2" t="s">
        <v>18</v>
      </c>
      <c r="B342" s="2" t="s">
        <v>257</v>
      </c>
      <c r="C342" s="2" t="s">
        <v>20</v>
      </c>
      <c r="D342" s="2" t="s">
        <v>21</v>
      </c>
      <c r="F342" s="2" t="s">
        <v>258</v>
      </c>
      <c r="G342" s="2">
        <v>3675.0</v>
      </c>
      <c r="H342" s="2" t="s">
        <v>25</v>
      </c>
    </row>
    <row r="343" ht="22.5" customHeight="1">
      <c r="A343" s="2" t="s">
        <v>18</v>
      </c>
      <c r="B343" s="2" t="s">
        <v>259</v>
      </c>
      <c r="C343" s="2" t="s">
        <v>31</v>
      </c>
      <c r="D343" s="2" t="s">
        <v>187</v>
      </c>
      <c r="E343" s="2" t="s">
        <v>22</v>
      </c>
      <c r="F343" s="2" t="s">
        <v>260</v>
      </c>
      <c r="G343" s="2">
        <v>23508.75854</v>
      </c>
      <c r="H343" s="2" t="s">
        <v>26</v>
      </c>
    </row>
    <row r="344" ht="22.5" customHeight="1">
      <c r="A344" s="2" t="s">
        <v>18</v>
      </c>
      <c r="B344" s="2" t="s">
        <v>259</v>
      </c>
      <c r="C344" s="2" t="s">
        <v>31</v>
      </c>
      <c r="D344" s="2" t="s">
        <v>187</v>
      </c>
      <c r="E344" s="2" t="s">
        <v>22</v>
      </c>
      <c r="F344" s="2" t="s">
        <v>260</v>
      </c>
      <c r="G344" s="2">
        <v>22304.9482</v>
      </c>
      <c r="H344" s="2" t="s">
        <v>25</v>
      </c>
    </row>
    <row r="345" ht="22.5" customHeight="1">
      <c r="A345" s="2" t="s">
        <v>18</v>
      </c>
      <c r="B345" s="2" t="s">
        <v>259</v>
      </c>
      <c r="C345" s="2" t="s">
        <v>31</v>
      </c>
      <c r="D345" s="2" t="s">
        <v>187</v>
      </c>
      <c r="E345" s="2" t="s">
        <v>22</v>
      </c>
      <c r="F345" s="2" t="s">
        <v>260</v>
      </c>
      <c r="G345" s="2">
        <v>22618.83996</v>
      </c>
      <c r="H345" s="2" t="s">
        <v>24</v>
      </c>
    </row>
    <row r="346" ht="22.5" customHeight="1">
      <c r="A346" s="2" t="s">
        <v>18</v>
      </c>
      <c r="B346" s="2" t="s">
        <v>261</v>
      </c>
      <c r="C346" s="2" t="s">
        <v>20</v>
      </c>
      <c r="D346" s="2" t="s">
        <v>21</v>
      </c>
      <c r="E346" s="2" t="s">
        <v>22</v>
      </c>
      <c r="F346" s="2" t="s">
        <v>262</v>
      </c>
      <c r="G346" s="2">
        <v>7350.0</v>
      </c>
      <c r="H346" s="2" t="s">
        <v>24</v>
      </c>
    </row>
    <row r="347" ht="22.5" customHeight="1">
      <c r="A347" s="2" t="s">
        <v>18</v>
      </c>
      <c r="B347" s="2" t="s">
        <v>261</v>
      </c>
      <c r="C347" s="2" t="s">
        <v>20</v>
      </c>
      <c r="D347" s="2" t="s">
        <v>21</v>
      </c>
      <c r="E347" s="2" t="s">
        <v>22</v>
      </c>
      <c r="F347" s="2" t="s">
        <v>262</v>
      </c>
      <c r="G347" s="2">
        <v>7350.0</v>
      </c>
      <c r="H347" s="2" t="s">
        <v>25</v>
      </c>
    </row>
    <row r="348" ht="22.5" customHeight="1">
      <c r="A348" s="2" t="s">
        <v>18</v>
      </c>
      <c r="B348" s="2" t="s">
        <v>261</v>
      </c>
      <c r="C348" s="2" t="s">
        <v>20</v>
      </c>
      <c r="D348" s="2" t="s">
        <v>21</v>
      </c>
      <c r="E348" s="2" t="s">
        <v>22</v>
      </c>
      <c r="F348" s="2" t="s">
        <v>262</v>
      </c>
      <c r="G348" s="2">
        <v>7350.0</v>
      </c>
      <c r="H348" s="2" t="s">
        <v>26</v>
      </c>
    </row>
    <row r="349" ht="22.5" customHeight="1">
      <c r="A349" s="2" t="s">
        <v>18</v>
      </c>
      <c r="B349" s="2" t="s">
        <v>263</v>
      </c>
      <c r="C349" s="2" t="s">
        <v>20</v>
      </c>
      <c r="D349" s="2" t="s">
        <v>21</v>
      </c>
      <c r="E349" s="2" t="s">
        <v>1648</v>
      </c>
      <c r="F349" s="2" t="s">
        <v>264</v>
      </c>
      <c r="G349" s="2">
        <v>15927.656463</v>
      </c>
      <c r="H349" s="2" t="s">
        <v>25</v>
      </c>
    </row>
    <row r="350" ht="22.5" customHeight="1">
      <c r="A350" s="2" t="s">
        <v>18</v>
      </c>
      <c r="B350" s="2" t="s">
        <v>263</v>
      </c>
      <c r="C350" s="2" t="s">
        <v>20</v>
      </c>
      <c r="D350" s="2" t="s">
        <v>21</v>
      </c>
      <c r="E350" s="2" t="s">
        <v>1648</v>
      </c>
      <c r="F350" s="2" t="s">
        <v>264</v>
      </c>
      <c r="G350" s="2">
        <v>15635.661516</v>
      </c>
      <c r="H350" s="2" t="s">
        <v>26</v>
      </c>
    </row>
    <row r="351" ht="22.5" customHeight="1">
      <c r="A351" s="2" t="s">
        <v>18</v>
      </c>
      <c r="B351" s="2" t="s">
        <v>263</v>
      </c>
      <c r="C351" s="2" t="s">
        <v>20</v>
      </c>
      <c r="D351" s="2" t="s">
        <v>21</v>
      </c>
      <c r="E351" s="2" t="s">
        <v>1648</v>
      </c>
      <c r="F351" s="2" t="s">
        <v>264</v>
      </c>
      <c r="G351" s="2">
        <v>15934.228414</v>
      </c>
      <c r="H351" s="2" t="s">
        <v>24</v>
      </c>
    </row>
    <row r="352" ht="22.5" customHeight="1">
      <c r="A352" s="2" t="s">
        <v>18</v>
      </c>
      <c r="B352" s="2" t="s">
        <v>265</v>
      </c>
      <c r="C352" s="2" t="s">
        <v>31</v>
      </c>
      <c r="D352" s="2" t="s">
        <v>47</v>
      </c>
      <c r="F352" s="2" t="s">
        <v>266</v>
      </c>
      <c r="G352" s="2">
        <v>29400.0</v>
      </c>
      <c r="H352" s="2" t="s">
        <v>25</v>
      </c>
    </row>
    <row r="353" ht="22.5" customHeight="1">
      <c r="A353" s="2" t="s">
        <v>18</v>
      </c>
      <c r="B353" s="2" t="s">
        <v>265</v>
      </c>
      <c r="C353" s="2" t="s">
        <v>31</v>
      </c>
      <c r="D353" s="2" t="s">
        <v>47</v>
      </c>
      <c r="F353" s="2" t="s">
        <v>266</v>
      </c>
      <c r="G353" s="2">
        <v>29400.0</v>
      </c>
      <c r="H353" s="2" t="s">
        <v>26</v>
      </c>
    </row>
    <row r="354" ht="22.5" customHeight="1">
      <c r="A354" s="2" t="s">
        <v>18</v>
      </c>
      <c r="B354" s="2" t="s">
        <v>265</v>
      </c>
      <c r="C354" s="2" t="s">
        <v>31</v>
      </c>
      <c r="D354" s="2" t="s">
        <v>47</v>
      </c>
      <c r="F354" s="2" t="s">
        <v>266</v>
      </c>
      <c r="G354" s="2">
        <v>29400.0</v>
      </c>
      <c r="H354" s="2" t="s">
        <v>24</v>
      </c>
    </row>
    <row r="355" ht="22.5" customHeight="1">
      <c r="A355" s="2" t="s">
        <v>18</v>
      </c>
      <c r="B355" s="2" t="s">
        <v>267</v>
      </c>
      <c r="C355" s="2" t="s">
        <v>20</v>
      </c>
      <c r="D355" s="2" t="s">
        <v>21</v>
      </c>
      <c r="E355" s="2" t="s">
        <v>22</v>
      </c>
      <c r="F355" s="2" t="s">
        <v>268</v>
      </c>
      <c r="G355" s="3">
        <v>15802.44</v>
      </c>
      <c r="H355" s="2" t="s">
        <v>25</v>
      </c>
    </row>
    <row r="356" ht="22.5" customHeight="1">
      <c r="A356" s="2" t="s">
        <v>18</v>
      </c>
      <c r="B356" s="2" t="s">
        <v>267</v>
      </c>
      <c r="C356" s="2" t="s">
        <v>20</v>
      </c>
      <c r="D356" s="2" t="s">
        <v>21</v>
      </c>
      <c r="E356" s="2" t="s">
        <v>22</v>
      </c>
      <c r="F356" s="2" t="s">
        <v>268</v>
      </c>
      <c r="G356" s="2">
        <v>18115.280385000002</v>
      </c>
      <c r="H356" s="2" t="s">
        <v>26</v>
      </c>
    </row>
    <row r="357" ht="22.5" customHeight="1">
      <c r="A357" s="2" t="s">
        <v>18</v>
      </c>
      <c r="B357" s="2" t="s">
        <v>267</v>
      </c>
      <c r="C357" s="2" t="s">
        <v>20</v>
      </c>
      <c r="D357" s="2" t="s">
        <v>21</v>
      </c>
      <c r="E357" s="2" t="s">
        <v>22</v>
      </c>
      <c r="F357" s="2" t="s">
        <v>268</v>
      </c>
      <c r="G357" s="2">
        <v>18822.928181</v>
      </c>
      <c r="H357" s="2" t="s">
        <v>24</v>
      </c>
    </row>
    <row r="358" ht="22.5" customHeight="1">
      <c r="A358" s="2" t="s">
        <v>18</v>
      </c>
      <c r="B358" s="2" t="s">
        <v>267</v>
      </c>
      <c r="C358" s="2" t="s">
        <v>20</v>
      </c>
      <c r="D358" s="2" t="s">
        <v>21</v>
      </c>
      <c r="E358" s="2" t="s">
        <v>22</v>
      </c>
      <c r="F358" s="2" t="s">
        <v>268</v>
      </c>
      <c r="G358" s="3">
        <v>15564.090000000002</v>
      </c>
      <c r="H358" s="4" t="s">
        <v>27</v>
      </c>
    </row>
    <row r="359" ht="22.5" customHeight="1">
      <c r="A359" s="2" t="s">
        <v>18</v>
      </c>
      <c r="B359" s="2" t="s">
        <v>269</v>
      </c>
      <c r="C359" s="2" t="s">
        <v>20</v>
      </c>
      <c r="D359" s="2" t="s">
        <v>21</v>
      </c>
      <c r="E359" s="2" t="s">
        <v>22</v>
      </c>
      <c r="F359" s="2" t="s">
        <v>270</v>
      </c>
      <c r="G359" s="2">
        <v>16974.754614</v>
      </c>
      <c r="H359" s="2" t="s">
        <v>25</v>
      </c>
    </row>
    <row r="360" ht="22.5" customHeight="1">
      <c r="A360" s="2" t="s">
        <v>18</v>
      </c>
      <c r="B360" s="2" t="s">
        <v>269</v>
      </c>
      <c r="C360" s="2" t="s">
        <v>20</v>
      </c>
      <c r="D360" s="2" t="s">
        <v>21</v>
      </c>
      <c r="E360" s="2" t="s">
        <v>22</v>
      </c>
      <c r="F360" s="2" t="s">
        <v>270</v>
      </c>
      <c r="G360" s="2">
        <v>16703.097092</v>
      </c>
      <c r="H360" s="2" t="s">
        <v>26</v>
      </c>
    </row>
    <row r="361" ht="22.5" customHeight="1">
      <c r="A361" s="2" t="s">
        <v>18</v>
      </c>
      <c r="B361" s="2" t="s">
        <v>269</v>
      </c>
      <c r="C361" s="2" t="s">
        <v>20</v>
      </c>
      <c r="D361" s="2" t="s">
        <v>21</v>
      </c>
      <c r="E361" s="2" t="s">
        <v>22</v>
      </c>
      <c r="F361" s="2" t="s">
        <v>270</v>
      </c>
      <c r="G361" s="2">
        <v>17021.39405</v>
      </c>
      <c r="H361" s="2" t="s">
        <v>24</v>
      </c>
    </row>
    <row r="362" ht="22.5" customHeight="1">
      <c r="A362" s="2" t="s">
        <v>18</v>
      </c>
      <c r="B362" s="2" t="s">
        <v>271</v>
      </c>
      <c r="C362" s="2" t="s">
        <v>31</v>
      </c>
      <c r="D362" s="2" t="s">
        <v>54</v>
      </c>
      <c r="F362" s="2" t="s">
        <v>272</v>
      </c>
      <c r="G362" s="2">
        <v>21778.98612</v>
      </c>
      <c r="H362" s="2" t="s">
        <v>25</v>
      </c>
    </row>
    <row r="363" ht="22.5" customHeight="1">
      <c r="A363" s="2" t="s">
        <v>18</v>
      </c>
      <c r="B363" s="2" t="s">
        <v>271</v>
      </c>
      <c r="C363" s="2" t="s">
        <v>31</v>
      </c>
      <c r="D363" s="2" t="s">
        <v>54</v>
      </c>
      <c r="F363" s="2" t="s">
        <v>272</v>
      </c>
      <c r="G363" s="2">
        <v>20697.705549</v>
      </c>
      <c r="H363" s="2" t="s">
        <v>24</v>
      </c>
    </row>
    <row r="364" ht="22.5" customHeight="1">
      <c r="A364" s="2" t="s">
        <v>18</v>
      </c>
      <c r="B364" s="2" t="s">
        <v>271</v>
      </c>
      <c r="C364" s="2" t="s">
        <v>31</v>
      </c>
      <c r="D364" s="2" t="s">
        <v>54</v>
      </c>
      <c r="F364" s="2" t="s">
        <v>272</v>
      </c>
      <c r="G364" s="2">
        <v>21661.06821</v>
      </c>
      <c r="H364" s="2" t="s">
        <v>26</v>
      </c>
    </row>
    <row r="365" ht="22.5" customHeight="1">
      <c r="A365" s="2" t="s">
        <v>18</v>
      </c>
      <c r="B365" s="2" t="s">
        <v>273</v>
      </c>
      <c r="C365" s="4" t="s">
        <v>66</v>
      </c>
      <c r="D365" s="4" t="s">
        <v>67</v>
      </c>
      <c r="E365" s="2"/>
      <c r="F365" s="2" t="s">
        <v>273</v>
      </c>
      <c r="G365" s="8">
        <v>131250.0</v>
      </c>
      <c r="H365" s="4" t="s">
        <v>24</v>
      </c>
    </row>
    <row r="366" ht="22.5" customHeight="1">
      <c r="A366" s="2" t="s">
        <v>18</v>
      </c>
      <c r="B366" s="2" t="s">
        <v>273</v>
      </c>
      <c r="C366" s="4" t="s">
        <v>66</v>
      </c>
      <c r="D366" s="4" t="s">
        <v>67</v>
      </c>
      <c r="E366" s="2"/>
      <c r="F366" s="2" t="s">
        <v>273</v>
      </c>
      <c r="G366" s="8">
        <v>131250.0</v>
      </c>
      <c r="H366" s="4" t="s">
        <v>26</v>
      </c>
    </row>
    <row r="367" ht="22.5" customHeight="1">
      <c r="A367" s="2" t="s">
        <v>18</v>
      </c>
      <c r="B367" s="2" t="s">
        <v>273</v>
      </c>
      <c r="C367" s="4" t="s">
        <v>66</v>
      </c>
      <c r="D367" s="4" t="s">
        <v>67</v>
      </c>
      <c r="E367" s="2"/>
      <c r="F367" s="2" t="s">
        <v>273</v>
      </c>
      <c r="G367" s="8">
        <v>131250.0</v>
      </c>
      <c r="H367" s="4" t="s">
        <v>25</v>
      </c>
    </row>
    <row r="368" ht="22.5" customHeight="1">
      <c r="A368" s="2" t="s">
        <v>18</v>
      </c>
      <c r="B368" s="2" t="s">
        <v>273</v>
      </c>
      <c r="C368" s="4" t="s">
        <v>66</v>
      </c>
      <c r="D368" s="4" t="s">
        <v>67</v>
      </c>
      <c r="E368" s="2"/>
      <c r="F368" s="2" t="s">
        <v>273</v>
      </c>
      <c r="G368" s="8">
        <v>131250.0</v>
      </c>
      <c r="H368" s="4" t="s">
        <v>27</v>
      </c>
    </row>
    <row r="369" ht="22.5" customHeight="1">
      <c r="A369" s="2" t="s">
        <v>18</v>
      </c>
      <c r="B369" s="2" t="s">
        <v>274</v>
      </c>
      <c r="C369" s="2" t="s">
        <v>31</v>
      </c>
      <c r="D369" s="2" t="s">
        <v>187</v>
      </c>
      <c r="E369" s="2" t="s">
        <v>22</v>
      </c>
      <c r="F369" s="2" t="s">
        <v>275</v>
      </c>
      <c r="G369" s="2">
        <v>13291.944052</v>
      </c>
      <c r="H369" s="2" t="s">
        <v>24</v>
      </c>
    </row>
    <row r="370" ht="22.5" customHeight="1">
      <c r="A370" s="2" t="s">
        <v>18</v>
      </c>
      <c r="B370" s="2" t="s">
        <v>274</v>
      </c>
      <c r="C370" s="2" t="s">
        <v>31</v>
      </c>
      <c r="D370" s="2" t="s">
        <v>187</v>
      </c>
      <c r="E370" s="2" t="s">
        <v>22</v>
      </c>
      <c r="F370" s="2" t="s">
        <v>275</v>
      </c>
      <c r="G370" s="2">
        <v>14658.132292</v>
      </c>
      <c r="H370" s="2" t="s">
        <v>25</v>
      </c>
    </row>
    <row r="371" ht="22.5" customHeight="1">
      <c r="A371" s="2" t="s">
        <v>18</v>
      </c>
      <c r="B371" s="2" t="s">
        <v>274</v>
      </c>
      <c r="C371" s="2" t="s">
        <v>31</v>
      </c>
      <c r="D371" s="2" t="s">
        <v>187</v>
      </c>
      <c r="E371" s="2" t="s">
        <v>22</v>
      </c>
      <c r="F371" s="2" t="s">
        <v>275</v>
      </c>
      <c r="G371" s="2">
        <v>13045.633175</v>
      </c>
      <c r="H371" s="2" t="s">
        <v>26</v>
      </c>
    </row>
    <row r="372" ht="22.5" customHeight="1">
      <c r="A372" s="2" t="s">
        <v>18</v>
      </c>
      <c r="B372" s="2" t="s">
        <v>276</v>
      </c>
      <c r="C372" s="2" t="s">
        <v>20</v>
      </c>
      <c r="D372" s="2" t="s">
        <v>54</v>
      </c>
      <c r="F372" s="2" t="s">
        <v>277</v>
      </c>
      <c r="G372" s="2">
        <v>21381.39405</v>
      </c>
      <c r="H372" s="2" t="s">
        <v>24</v>
      </c>
    </row>
    <row r="373" ht="22.5" customHeight="1">
      <c r="A373" s="2" t="s">
        <v>18</v>
      </c>
      <c r="B373" s="2" t="s">
        <v>276</v>
      </c>
      <c r="C373" s="2" t="s">
        <v>20</v>
      </c>
      <c r="D373" s="2" t="s">
        <v>54</v>
      </c>
      <c r="F373" s="2" t="s">
        <v>277</v>
      </c>
      <c r="G373" s="2">
        <v>19452.096152</v>
      </c>
      <c r="H373" s="2" t="s">
        <v>25</v>
      </c>
    </row>
    <row r="374" ht="22.5" customHeight="1">
      <c r="A374" s="2" t="s">
        <v>18</v>
      </c>
      <c r="B374" s="2" t="s">
        <v>276</v>
      </c>
      <c r="C374" s="2" t="s">
        <v>20</v>
      </c>
      <c r="D374" s="2" t="s">
        <v>54</v>
      </c>
      <c r="F374" s="2" t="s">
        <v>277</v>
      </c>
      <c r="G374" s="2">
        <v>14542.782092</v>
      </c>
      <c r="H374" s="2" t="s">
        <v>26</v>
      </c>
    </row>
    <row r="375" ht="22.5" customHeight="1">
      <c r="A375" s="2" t="s">
        <v>18</v>
      </c>
      <c r="B375" s="2" t="s">
        <v>278</v>
      </c>
      <c r="C375" s="2" t="s">
        <v>20</v>
      </c>
      <c r="D375" s="2" t="s">
        <v>21</v>
      </c>
      <c r="E375" s="2" t="s">
        <v>22</v>
      </c>
      <c r="F375" s="2" t="s">
        <v>279</v>
      </c>
      <c r="G375" s="2">
        <v>17778.225941</v>
      </c>
      <c r="H375" s="2" t="s">
        <v>26</v>
      </c>
    </row>
    <row r="376" ht="22.5" customHeight="1">
      <c r="A376" s="2" t="s">
        <v>18</v>
      </c>
      <c r="B376" s="2" t="s">
        <v>278</v>
      </c>
      <c r="C376" s="2" t="s">
        <v>20</v>
      </c>
      <c r="D376" s="2" t="s">
        <v>21</v>
      </c>
      <c r="E376" s="2" t="s">
        <v>22</v>
      </c>
      <c r="F376" s="2" t="s">
        <v>279</v>
      </c>
      <c r="G376" s="2">
        <v>18117.062778</v>
      </c>
      <c r="H376" s="2" t="s">
        <v>24</v>
      </c>
    </row>
    <row r="377" ht="22.5" customHeight="1">
      <c r="A377" s="2" t="s">
        <v>18</v>
      </c>
      <c r="B377" s="2" t="s">
        <v>278</v>
      </c>
      <c r="C377" s="2" t="s">
        <v>20</v>
      </c>
      <c r="D377" s="2" t="s">
        <v>21</v>
      </c>
      <c r="E377" s="2" t="s">
        <v>22</v>
      </c>
      <c r="F377" s="2" t="s">
        <v>279</v>
      </c>
      <c r="G377" s="2">
        <v>18030.558312</v>
      </c>
      <c r="H377" s="2" t="s">
        <v>25</v>
      </c>
    </row>
    <row r="378" ht="22.5" customHeight="1">
      <c r="A378" s="2" t="s">
        <v>18</v>
      </c>
      <c r="B378" s="2" t="s">
        <v>280</v>
      </c>
      <c r="C378" s="2" t="s">
        <v>20</v>
      </c>
      <c r="D378" s="2" t="s">
        <v>21</v>
      </c>
      <c r="E378" s="2" t="s">
        <v>61</v>
      </c>
      <c r="F378" s="2" t="s">
        <v>281</v>
      </c>
      <c r="G378" s="3">
        <v>9292.08</v>
      </c>
      <c r="H378" s="2" t="s">
        <v>25</v>
      </c>
    </row>
    <row r="379" ht="22.5" customHeight="1">
      <c r="A379" s="2" t="s">
        <v>18</v>
      </c>
      <c r="B379" s="2" t="s">
        <v>280</v>
      </c>
      <c r="C379" s="2" t="s">
        <v>20</v>
      </c>
      <c r="D379" s="2" t="s">
        <v>21</v>
      </c>
      <c r="E379" s="2" t="s">
        <v>61</v>
      </c>
      <c r="F379" s="2" t="s">
        <v>281</v>
      </c>
      <c r="G379" s="2">
        <v>15686.20395</v>
      </c>
      <c r="H379" s="2" t="s">
        <v>26</v>
      </c>
    </row>
    <row r="380" ht="22.5" customHeight="1">
      <c r="A380" s="2" t="s">
        <v>18</v>
      </c>
      <c r="B380" s="2" t="s">
        <v>280</v>
      </c>
      <c r="C380" s="2" t="s">
        <v>20</v>
      </c>
      <c r="D380" s="2" t="s">
        <v>21</v>
      </c>
      <c r="E380" s="2" t="s">
        <v>61</v>
      </c>
      <c r="F380" s="2" t="s">
        <v>281</v>
      </c>
      <c r="G380" s="2">
        <v>15964.552952</v>
      </c>
      <c r="H380" s="2" t="s">
        <v>24</v>
      </c>
    </row>
    <row r="381" ht="22.5" customHeight="1">
      <c r="A381" s="2" t="s">
        <v>18</v>
      </c>
      <c r="B381" s="2" t="s">
        <v>280</v>
      </c>
      <c r="C381" s="2" t="s">
        <v>20</v>
      </c>
      <c r="D381" s="2" t="s">
        <v>21</v>
      </c>
      <c r="E381" s="2" t="s">
        <v>61</v>
      </c>
      <c r="F381" s="2" t="s">
        <v>281</v>
      </c>
      <c r="G381" s="3">
        <v>12127.44</v>
      </c>
      <c r="H381" s="4" t="s">
        <v>27</v>
      </c>
    </row>
    <row r="382" ht="22.5" customHeight="1">
      <c r="A382" s="2" t="s">
        <v>18</v>
      </c>
      <c r="B382" s="2" t="s">
        <v>282</v>
      </c>
      <c r="C382" s="2" t="s">
        <v>31</v>
      </c>
      <c r="D382" s="2" t="s">
        <v>47</v>
      </c>
      <c r="F382" s="2" t="s">
        <v>283</v>
      </c>
      <c r="G382" s="2">
        <v>18843.097092</v>
      </c>
      <c r="H382" s="2" t="s">
        <v>26</v>
      </c>
    </row>
    <row r="383" ht="22.5" customHeight="1">
      <c r="A383" s="2" t="s">
        <v>18</v>
      </c>
      <c r="B383" s="2" t="s">
        <v>282</v>
      </c>
      <c r="C383" s="2" t="s">
        <v>31</v>
      </c>
      <c r="D383" s="2" t="s">
        <v>47</v>
      </c>
      <c r="F383" s="2" t="s">
        <v>283</v>
      </c>
      <c r="G383" s="2">
        <v>19201.39405</v>
      </c>
      <c r="H383" s="2" t="s">
        <v>24</v>
      </c>
    </row>
    <row r="384" ht="22.5" customHeight="1">
      <c r="A384" s="2" t="s">
        <v>18</v>
      </c>
      <c r="B384" s="2" t="s">
        <v>282</v>
      </c>
      <c r="C384" s="2" t="s">
        <v>31</v>
      </c>
      <c r="D384" s="2" t="s">
        <v>47</v>
      </c>
      <c r="F384" s="2" t="s">
        <v>283</v>
      </c>
      <c r="G384" s="2">
        <v>19074.754614</v>
      </c>
      <c r="H384" s="2" t="s">
        <v>25</v>
      </c>
    </row>
    <row r="385" ht="22.5" customHeight="1">
      <c r="A385" s="2" t="s">
        <v>18</v>
      </c>
      <c r="B385" s="2" t="s">
        <v>284</v>
      </c>
      <c r="C385" s="2" t="s">
        <v>31</v>
      </c>
      <c r="D385" s="2" t="s">
        <v>54</v>
      </c>
      <c r="F385" s="2" t="s">
        <v>285</v>
      </c>
      <c r="G385" s="2">
        <v>13161.494689</v>
      </c>
      <c r="H385" s="2" t="s">
        <v>24</v>
      </c>
    </row>
    <row r="386" ht="22.5" customHeight="1">
      <c r="A386" s="2" t="s">
        <v>18</v>
      </c>
      <c r="B386" s="2" t="s">
        <v>284</v>
      </c>
      <c r="C386" s="2" t="s">
        <v>31</v>
      </c>
      <c r="D386" s="2" t="s">
        <v>54</v>
      </c>
      <c r="F386" s="2" t="s">
        <v>285</v>
      </c>
      <c r="G386" s="2">
        <v>12913.387193</v>
      </c>
      <c r="H386" s="2" t="s">
        <v>26</v>
      </c>
    </row>
    <row r="387" ht="22.5" customHeight="1">
      <c r="A387" s="2" t="s">
        <v>18</v>
      </c>
      <c r="B387" s="2" t="s">
        <v>284</v>
      </c>
      <c r="C387" s="2" t="s">
        <v>31</v>
      </c>
      <c r="D387" s="2" t="s">
        <v>54</v>
      </c>
      <c r="F387" s="2" t="s">
        <v>285</v>
      </c>
      <c r="G387" s="2">
        <v>13257.012887</v>
      </c>
      <c r="H387" s="2" t="s">
        <v>25</v>
      </c>
    </row>
    <row r="388" ht="22.5" customHeight="1">
      <c r="A388" s="2" t="s">
        <v>18</v>
      </c>
      <c r="B388" s="2" t="s">
        <v>286</v>
      </c>
      <c r="C388" s="2" t="s">
        <v>66</v>
      </c>
      <c r="D388" s="2" t="s">
        <v>192</v>
      </c>
      <c r="F388" s="2" t="s">
        <v>287</v>
      </c>
      <c r="G388" s="2">
        <v>20207.91754</v>
      </c>
      <c r="H388" s="2" t="s">
        <v>25</v>
      </c>
    </row>
    <row r="389" ht="22.5" customHeight="1">
      <c r="A389" s="2" t="s">
        <v>18</v>
      </c>
      <c r="B389" s="2" t="s">
        <v>286</v>
      </c>
      <c r="C389" s="2" t="s">
        <v>66</v>
      </c>
      <c r="D389" s="2" t="s">
        <v>192</v>
      </c>
      <c r="F389" s="2" t="s">
        <v>287</v>
      </c>
      <c r="G389" s="2">
        <v>20063.457943</v>
      </c>
      <c r="H389" s="2" t="s">
        <v>26</v>
      </c>
    </row>
    <row r="390" ht="22.5" customHeight="1">
      <c r="A390" s="2" t="s">
        <v>18</v>
      </c>
      <c r="B390" s="2" t="s">
        <v>286</v>
      </c>
      <c r="C390" s="2" t="s">
        <v>66</v>
      </c>
      <c r="D390" s="2" t="s">
        <v>192</v>
      </c>
      <c r="F390" s="2" t="s">
        <v>287</v>
      </c>
      <c r="G390" s="2">
        <v>20441.8093</v>
      </c>
      <c r="H390" s="2" t="s">
        <v>24</v>
      </c>
    </row>
    <row r="391" ht="22.5" customHeight="1">
      <c r="A391" s="2" t="s">
        <v>18</v>
      </c>
      <c r="B391" s="2" t="s">
        <v>288</v>
      </c>
      <c r="C391" s="4" t="s">
        <v>20</v>
      </c>
      <c r="D391" s="2" t="s">
        <v>21</v>
      </c>
      <c r="E391" s="2" t="s">
        <v>1653</v>
      </c>
      <c r="F391" s="2" t="s">
        <v>289</v>
      </c>
      <c r="G391" s="2">
        <v>24296.58051</v>
      </c>
      <c r="H391" s="2" t="s">
        <v>26</v>
      </c>
    </row>
    <row r="392" ht="22.5" customHeight="1">
      <c r="A392" s="2" t="s">
        <v>18</v>
      </c>
      <c r="B392" s="2" t="s">
        <v>288</v>
      </c>
      <c r="C392" s="4" t="s">
        <v>20</v>
      </c>
      <c r="D392" s="2" t="s">
        <v>21</v>
      </c>
      <c r="E392" s="2" t="s">
        <v>1653</v>
      </c>
      <c r="F392" s="2" t="s">
        <v>289</v>
      </c>
      <c r="G392" s="2">
        <v>24765.77046</v>
      </c>
      <c r="H392" s="2" t="s">
        <v>24</v>
      </c>
    </row>
    <row r="393" ht="22.5" customHeight="1">
      <c r="A393" s="2" t="s">
        <v>18</v>
      </c>
      <c r="B393" s="2" t="s">
        <v>288</v>
      </c>
      <c r="C393" s="4" t="s">
        <v>20</v>
      </c>
      <c r="D393" s="2" t="s">
        <v>21</v>
      </c>
      <c r="E393" s="2" t="s">
        <v>1653</v>
      </c>
      <c r="F393" s="2" t="s">
        <v>289</v>
      </c>
      <c r="G393" s="2">
        <v>24289.39677</v>
      </c>
      <c r="H393" s="2" t="s">
        <v>25</v>
      </c>
    </row>
    <row r="394" ht="22.5" customHeight="1">
      <c r="A394" s="2" t="s">
        <v>18</v>
      </c>
      <c r="B394" s="2" t="s">
        <v>290</v>
      </c>
      <c r="C394" s="2" t="s">
        <v>20</v>
      </c>
      <c r="D394" s="2" t="s">
        <v>21</v>
      </c>
      <c r="E394" s="2" t="s">
        <v>44</v>
      </c>
      <c r="F394" s="2" t="s">
        <v>291</v>
      </c>
      <c r="G394" s="2">
        <v>19153.68456</v>
      </c>
      <c r="H394" s="2" t="s">
        <v>25</v>
      </c>
    </row>
    <row r="395" ht="22.5" customHeight="1">
      <c r="A395" s="2" t="s">
        <v>18</v>
      </c>
      <c r="B395" s="2" t="s">
        <v>290</v>
      </c>
      <c r="C395" s="2" t="s">
        <v>20</v>
      </c>
      <c r="D395" s="2" t="s">
        <v>21</v>
      </c>
      <c r="E395" s="2" t="s">
        <v>44</v>
      </c>
      <c r="F395" s="2" t="s">
        <v>291</v>
      </c>
      <c r="G395" s="2">
        <v>18893.580152</v>
      </c>
      <c r="H395" s="2" t="s">
        <v>26</v>
      </c>
    </row>
    <row r="396" ht="22.5" customHeight="1">
      <c r="A396" s="2" t="s">
        <v>18</v>
      </c>
      <c r="B396" s="2" t="s">
        <v>290</v>
      </c>
      <c r="C396" s="2" t="s">
        <v>20</v>
      </c>
      <c r="D396" s="2" t="s">
        <v>21</v>
      </c>
      <c r="E396" s="2" t="s">
        <v>44</v>
      </c>
      <c r="F396" s="2" t="s">
        <v>291</v>
      </c>
      <c r="G396" s="2">
        <v>19231.678181</v>
      </c>
      <c r="H396" s="2" t="s">
        <v>24</v>
      </c>
    </row>
    <row r="397" ht="22.5" customHeight="1">
      <c r="A397" s="2" t="s">
        <v>18</v>
      </c>
      <c r="B397" s="2" t="s">
        <v>292</v>
      </c>
      <c r="C397" s="2" t="s">
        <v>31</v>
      </c>
      <c r="D397" s="2" t="s">
        <v>187</v>
      </c>
      <c r="E397" s="2" t="s">
        <v>22</v>
      </c>
      <c r="F397" s="2" t="s">
        <v>293</v>
      </c>
      <c r="G397" s="2">
        <v>17773.097092</v>
      </c>
      <c r="H397" s="2" t="s">
        <v>26</v>
      </c>
    </row>
    <row r="398" ht="22.5" customHeight="1">
      <c r="A398" s="2" t="s">
        <v>18</v>
      </c>
      <c r="B398" s="2" t="s">
        <v>292</v>
      </c>
      <c r="C398" s="2" t="s">
        <v>31</v>
      </c>
      <c r="D398" s="2" t="s">
        <v>187</v>
      </c>
      <c r="E398" s="2" t="s">
        <v>22</v>
      </c>
      <c r="F398" s="2" t="s">
        <v>293</v>
      </c>
      <c r="G398" s="2">
        <v>18111.39405</v>
      </c>
      <c r="H398" s="2" t="s">
        <v>24</v>
      </c>
    </row>
    <row r="399" ht="22.5" customHeight="1">
      <c r="A399" s="2" t="s">
        <v>18</v>
      </c>
      <c r="B399" s="2" t="s">
        <v>292</v>
      </c>
      <c r="C399" s="2" t="s">
        <v>31</v>
      </c>
      <c r="D399" s="2" t="s">
        <v>187</v>
      </c>
      <c r="E399" s="2" t="s">
        <v>22</v>
      </c>
      <c r="F399" s="2" t="s">
        <v>293</v>
      </c>
      <c r="G399" s="2">
        <v>18024.754614</v>
      </c>
      <c r="H399" s="2" t="s">
        <v>25</v>
      </c>
    </row>
    <row r="400" ht="22.5" customHeight="1">
      <c r="A400" s="2" t="s">
        <v>18</v>
      </c>
      <c r="B400" s="2" t="s">
        <v>294</v>
      </c>
      <c r="C400" s="2" t="s">
        <v>31</v>
      </c>
      <c r="D400" s="2" t="s">
        <v>54</v>
      </c>
      <c r="F400" s="2" t="s">
        <v>295</v>
      </c>
      <c r="G400" s="2">
        <v>21786.40512</v>
      </c>
      <c r="H400" s="2" t="s">
        <v>25</v>
      </c>
    </row>
    <row r="401" ht="22.5" customHeight="1">
      <c r="A401" s="2" t="s">
        <v>18</v>
      </c>
      <c r="B401" s="2" t="s">
        <v>294</v>
      </c>
      <c r="C401" s="2" t="s">
        <v>31</v>
      </c>
      <c r="D401" s="2" t="s">
        <v>54</v>
      </c>
      <c r="F401" s="2" t="s">
        <v>295</v>
      </c>
      <c r="G401" s="2">
        <v>20686.97919</v>
      </c>
      <c r="H401" s="2" t="s">
        <v>26</v>
      </c>
    </row>
    <row r="402" ht="22.5" customHeight="1">
      <c r="A402" s="2" t="s">
        <v>18</v>
      </c>
      <c r="B402" s="2" t="s">
        <v>294</v>
      </c>
      <c r="C402" s="2" t="s">
        <v>31</v>
      </c>
      <c r="D402" s="2" t="s">
        <v>54</v>
      </c>
      <c r="F402" s="2" t="s">
        <v>295</v>
      </c>
      <c r="G402" s="2">
        <v>20176.369</v>
      </c>
      <c r="H402" s="2" t="s">
        <v>24</v>
      </c>
    </row>
    <row r="403" ht="22.5" customHeight="1">
      <c r="A403" s="2" t="s">
        <v>18</v>
      </c>
      <c r="B403" s="2" t="s">
        <v>296</v>
      </c>
      <c r="C403" s="2" t="s">
        <v>20</v>
      </c>
      <c r="D403" s="2" t="s">
        <v>21</v>
      </c>
      <c r="E403" s="2" t="s">
        <v>41</v>
      </c>
      <c r="F403" s="2" t="s">
        <v>297</v>
      </c>
      <c r="G403" s="3">
        <v>9213.720000000001</v>
      </c>
      <c r="H403" s="4" t="s">
        <v>27</v>
      </c>
    </row>
    <row r="404" ht="22.5" customHeight="1">
      <c r="A404" s="2" t="s">
        <v>18</v>
      </c>
      <c r="B404" s="2" t="s">
        <v>296</v>
      </c>
      <c r="C404" s="2" t="s">
        <v>20</v>
      </c>
      <c r="D404" s="2" t="s">
        <v>21</v>
      </c>
      <c r="E404" s="2" t="s">
        <v>41</v>
      </c>
      <c r="F404" s="2" t="s">
        <v>297</v>
      </c>
      <c r="G404" s="3">
        <v>19567.74224</v>
      </c>
      <c r="H404" s="2" t="s">
        <v>25</v>
      </c>
    </row>
    <row r="405" ht="22.5" customHeight="1">
      <c r="A405" s="2" t="s">
        <v>18</v>
      </c>
      <c r="B405" s="2" t="s">
        <v>298</v>
      </c>
      <c r="C405" s="2" t="s">
        <v>20</v>
      </c>
      <c r="D405" s="2" t="s">
        <v>54</v>
      </c>
      <c r="F405" s="2" t="s">
        <v>299</v>
      </c>
      <c r="G405" s="2">
        <v>9599.206537</v>
      </c>
      <c r="H405" s="2" t="s">
        <v>26</v>
      </c>
    </row>
    <row r="406" ht="22.5" customHeight="1">
      <c r="A406" s="2" t="s">
        <v>18</v>
      </c>
      <c r="B406" s="2" t="s">
        <v>298</v>
      </c>
      <c r="C406" s="2" t="s">
        <v>20</v>
      </c>
      <c r="D406" s="2" t="s">
        <v>54</v>
      </c>
      <c r="F406" s="2" t="s">
        <v>299</v>
      </c>
      <c r="G406" s="2">
        <v>19037.435568</v>
      </c>
      <c r="H406" s="2" t="s">
        <v>25</v>
      </c>
    </row>
    <row r="407" ht="22.5" customHeight="1">
      <c r="A407" s="2" t="s">
        <v>18</v>
      </c>
      <c r="B407" s="2" t="s">
        <v>298</v>
      </c>
      <c r="C407" s="2" t="s">
        <v>20</v>
      </c>
      <c r="D407" s="2" t="s">
        <v>54</v>
      </c>
      <c r="F407" s="2" t="s">
        <v>299</v>
      </c>
      <c r="G407" s="2">
        <v>19265.007247</v>
      </c>
      <c r="H407" s="2" t="s">
        <v>24</v>
      </c>
    </row>
    <row r="408" ht="22.5" customHeight="1">
      <c r="A408" s="2" t="s">
        <v>18</v>
      </c>
      <c r="B408" s="2" t="s">
        <v>300</v>
      </c>
      <c r="C408" s="2" t="s">
        <v>20</v>
      </c>
      <c r="D408" s="2" t="s">
        <v>54</v>
      </c>
      <c r="F408" s="2" t="s">
        <v>301</v>
      </c>
      <c r="G408" s="2">
        <v>7350.0</v>
      </c>
      <c r="H408" s="2" t="s">
        <v>24</v>
      </c>
    </row>
    <row r="409" ht="22.5" customHeight="1">
      <c r="A409" s="2" t="s">
        <v>18</v>
      </c>
      <c r="B409" s="2" t="s">
        <v>300</v>
      </c>
      <c r="C409" s="2" t="s">
        <v>20</v>
      </c>
      <c r="D409" s="2" t="s">
        <v>54</v>
      </c>
      <c r="F409" s="2" t="s">
        <v>301</v>
      </c>
      <c r="G409" s="2">
        <v>10059.743257</v>
      </c>
      <c r="H409" s="2" t="s">
        <v>26</v>
      </c>
    </row>
    <row r="410" ht="22.5" customHeight="1">
      <c r="A410" s="2" t="s">
        <v>18</v>
      </c>
      <c r="B410" s="2" t="s">
        <v>300</v>
      </c>
      <c r="C410" s="2" t="s">
        <v>20</v>
      </c>
      <c r="D410" s="2" t="s">
        <v>54</v>
      </c>
      <c r="F410" s="2" t="s">
        <v>301</v>
      </c>
      <c r="G410" s="2">
        <v>13202.829051</v>
      </c>
      <c r="H410" s="2" t="s">
        <v>25</v>
      </c>
    </row>
    <row r="411" ht="22.5" customHeight="1">
      <c r="A411" s="2" t="s">
        <v>18</v>
      </c>
      <c r="B411" s="2" t="s">
        <v>302</v>
      </c>
      <c r="C411" s="2" t="s">
        <v>20</v>
      </c>
      <c r="D411" s="2" t="s">
        <v>21</v>
      </c>
      <c r="E411" s="2" t="s">
        <v>44</v>
      </c>
      <c r="F411" s="2" t="s">
        <v>303</v>
      </c>
      <c r="G411" s="2">
        <v>17051.678181</v>
      </c>
      <c r="H411" s="2" t="s">
        <v>24</v>
      </c>
    </row>
    <row r="412" ht="22.5" customHeight="1">
      <c r="A412" s="2" t="s">
        <v>18</v>
      </c>
      <c r="B412" s="2" t="s">
        <v>302</v>
      </c>
      <c r="C412" s="2" t="s">
        <v>20</v>
      </c>
      <c r="D412" s="2" t="s">
        <v>21</v>
      </c>
      <c r="E412" s="2" t="s">
        <v>44</v>
      </c>
      <c r="F412" s="2" t="s">
        <v>303</v>
      </c>
      <c r="G412" s="2">
        <v>16753.580152</v>
      </c>
      <c r="H412" s="2" t="s">
        <v>26</v>
      </c>
    </row>
    <row r="413" ht="22.5" customHeight="1">
      <c r="A413" s="2" t="s">
        <v>18</v>
      </c>
      <c r="B413" s="2" t="s">
        <v>302</v>
      </c>
      <c r="C413" s="2" t="s">
        <v>20</v>
      </c>
      <c r="D413" s="2" t="s">
        <v>21</v>
      </c>
      <c r="E413" s="2" t="s">
        <v>44</v>
      </c>
      <c r="F413" s="2" t="s">
        <v>303</v>
      </c>
      <c r="G413" s="2">
        <v>16686.18456</v>
      </c>
      <c r="H413" s="2" t="s">
        <v>25</v>
      </c>
    </row>
    <row r="414" ht="22.5" customHeight="1">
      <c r="A414" s="2" t="s">
        <v>18</v>
      </c>
      <c r="B414" s="2" t="s">
        <v>304</v>
      </c>
      <c r="C414" s="2" t="s">
        <v>20</v>
      </c>
      <c r="D414" s="2" t="s">
        <v>21</v>
      </c>
      <c r="E414" s="2" t="s">
        <v>44</v>
      </c>
      <c r="F414" s="2" t="s">
        <v>305</v>
      </c>
      <c r="G414" s="2">
        <v>14145.9939</v>
      </c>
      <c r="H414" s="2" t="s">
        <v>25</v>
      </c>
    </row>
    <row r="415" ht="22.5" customHeight="1">
      <c r="A415" s="2" t="s">
        <v>18</v>
      </c>
      <c r="B415" s="2" t="s">
        <v>304</v>
      </c>
      <c r="C415" s="2" t="s">
        <v>20</v>
      </c>
      <c r="D415" s="2" t="s">
        <v>21</v>
      </c>
      <c r="E415" s="2" t="s">
        <v>44</v>
      </c>
      <c r="F415" s="2" t="s">
        <v>305</v>
      </c>
      <c r="G415" s="2">
        <v>16753.580152</v>
      </c>
      <c r="H415" s="2" t="s">
        <v>26</v>
      </c>
    </row>
    <row r="416" ht="22.5" customHeight="1">
      <c r="A416" s="2" t="s">
        <v>18</v>
      </c>
      <c r="B416" s="2" t="s">
        <v>304</v>
      </c>
      <c r="C416" s="2" t="s">
        <v>20</v>
      </c>
      <c r="D416" s="2" t="s">
        <v>21</v>
      </c>
      <c r="E416" s="2" t="s">
        <v>44</v>
      </c>
      <c r="F416" s="2" t="s">
        <v>305</v>
      </c>
      <c r="G416" s="2">
        <v>17051.678181</v>
      </c>
      <c r="H416" s="2" t="s">
        <v>24</v>
      </c>
    </row>
    <row r="417" ht="22.5" customHeight="1">
      <c r="A417" s="2" t="s">
        <v>18</v>
      </c>
      <c r="B417" s="2" t="s">
        <v>306</v>
      </c>
      <c r="C417" s="2" t="s">
        <v>20</v>
      </c>
      <c r="D417" s="2" t="s">
        <v>21</v>
      </c>
      <c r="E417" s="2" t="s">
        <v>1653</v>
      </c>
      <c r="F417" s="2" t="s">
        <v>307</v>
      </c>
      <c r="G417" s="2">
        <v>15685.577941</v>
      </c>
      <c r="H417" s="2" t="s">
        <v>26</v>
      </c>
    </row>
    <row r="418" ht="22.5" customHeight="1">
      <c r="A418" s="2" t="s">
        <v>18</v>
      </c>
      <c r="B418" s="2" t="s">
        <v>306</v>
      </c>
      <c r="C418" s="2" t="s">
        <v>20</v>
      </c>
      <c r="D418" s="2" t="s">
        <v>21</v>
      </c>
      <c r="E418" s="2" t="s">
        <v>1653</v>
      </c>
      <c r="F418" s="2" t="s">
        <v>307</v>
      </c>
      <c r="G418" s="2">
        <v>15989.399199</v>
      </c>
      <c r="H418" s="2" t="s">
        <v>24</v>
      </c>
    </row>
    <row r="419" ht="22.5" customHeight="1">
      <c r="A419" s="2" t="s">
        <v>18</v>
      </c>
      <c r="B419" s="2" t="s">
        <v>306</v>
      </c>
      <c r="C419" s="2" t="s">
        <v>20</v>
      </c>
      <c r="D419" s="2" t="s">
        <v>21</v>
      </c>
      <c r="E419" s="2" t="s">
        <v>1653</v>
      </c>
      <c r="F419" s="2" t="s">
        <v>307</v>
      </c>
      <c r="G419" s="2">
        <v>15881.92591</v>
      </c>
      <c r="H419" s="2" t="s">
        <v>25</v>
      </c>
    </row>
    <row r="420" ht="22.5" customHeight="1">
      <c r="A420" s="2" t="s">
        <v>18</v>
      </c>
      <c r="B420" s="2" t="s">
        <v>308</v>
      </c>
      <c r="C420" s="2" t="s">
        <v>31</v>
      </c>
      <c r="D420" s="2" t="s">
        <v>187</v>
      </c>
      <c r="F420" s="2" t="s">
        <v>309</v>
      </c>
      <c r="G420" s="2">
        <v>7350.0</v>
      </c>
      <c r="H420" s="2" t="s">
        <v>24</v>
      </c>
    </row>
    <row r="421" ht="22.5" customHeight="1">
      <c r="A421" s="2" t="s">
        <v>18</v>
      </c>
      <c r="B421" s="2" t="s">
        <v>310</v>
      </c>
      <c r="C421" s="2" t="s">
        <v>20</v>
      </c>
      <c r="D421" s="2" t="s">
        <v>21</v>
      </c>
      <c r="E421" s="2" t="s">
        <v>41</v>
      </c>
      <c r="F421" s="2" t="s">
        <v>311</v>
      </c>
      <c r="G421" s="2">
        <v>16335.548181</v>
      </c>
      <c r="H421" s="2" t="s">
        <v>24</v>
      </c>
    </row>
    <row r="422" ht="22.5" customHeight="1">
      <c r="A422" s="2" t="s">
        <v>18</v>
      </c>
      <c r="B422" s="2" t="s">
        <v>310</v>
      </c>
      <c r="C422" s="2" t="s">
        <v>20</v>
      </c>
      <c r="D422" s="2" t="s">
        <v>21</v>
      </c>
      <c r="E422" s="2" t="s">
        <v>41</v>
      </c>
      <c r="F422" s="2" t="s">
        <v>311</v>
      </c>
      <c r="G422" s="3">
        <v>14227.44</v>
      </c>
      <c r="H422" s="2" t="s">
        <v>25</v>
      </c>
    </row>
    <row r="423" ht="22.5" customHeight="1">
      <c r="A423" s="2" t="s">
        <v>18</v>
      </c>
      <c r="B423" s="2" t="s">
        <v>310</v>
      </c>
      <c r="C423" s="2" t="s">
        <v>20</v>
      </c>
      <c r="D423" s="2" t="s">
        <v>21</v>
      </c>
      <c r="E423" s="2" t="s">
        <v>41</v>
      </c>
      <c r="F423" s="2" t="s">
        <v>311</v>
      </c>
      <c r="G423" s="2">
        <v>17823.580152</v>
      </c>
      <c r="H423" s="2" t="s">
        <v>26</v>
      </c>
    </row>
    <row r="424" ht="22.5" customHeight="1">
      <c r="A424" s="2" t="s">
        <v>18</v>
      </c>
      <c r="B424" s="2" t="s">
        <v>310</v>
      </c>
      <c r="C424" s="2" t="s">
        <v>20</v>
      </c>
      <c r="D424" s="2" t="s">
        <v>21</v>
      </c>
      <c r="E424" s="2" t="s">
        <v>41</v>
      </c>
      <c r="F424" s="2" t="s">
        <v>311</v>
      </c>
      <c r="G424" s="3">
        <v>14227.44</v>
      </c>
      <c r="H424" s="4" t="s">
        <v>27</v>
      </c>
    </row>
    <row r="425" ht="22.5" customHeight="1">
      <c r="A425" s="2" t="s">
        <v>18</v>
      </c>
      <c r="B425" s="2" t="s">
        <v>312</v>
      </c>
      <c r="C425" s="2" t="s">
        <v>31</v>
      </c>
      <c r="D425" s="2" t="s">
        <v>98</v>
      </c>
      <c r="F425" s="2" t="s">
        <v>313</v>
      </c>
      <c r="G425" s="2">
        <v>21120.15378</v>
      </c>
      <c r="H425" s="2" t="s">
        <v>26</v>
      </c>
    </row>
    <row r="426" ht="22.5" customHeight="1">
      <c r="A426" s="2" t="s">
        <v>18</v>
      </c>
      <c r="B426" s="2" t="s">
        <v>312</v>
      </c>
      <c r="C426" s="2" t="s">
        <v>31</v>
      </c>
      <c r="D426" s="2" t="s">
        <v>98</v>
      </c>
      <c r="F426" s="2" t="s">
        <v>313</v>
      </c>
      <c r="G426" s="2">
        <v>21517.17472</v>
      </c>
      <c r="H426" s="2" t="s">
        <v>24</v>
      </c>
    </row>
    <row r="427" ht="22.5" customHeight="1">
      <c r="A427" s="2" t="s">
        <v>18</v>
      </c>
      <c r="B427" s="2" t="s">
        <v>312</v>
      </c>
      <c r="C427" s="2" t="s">
        <v>31</v>
      </c>
      <c r="D427" s="2" t="s">
        <v>98</v>
      </c>
      <c r="F427" s="2" t="s">
        <v>313</v>
      </c>
      <c r="G427" s="2">
        <v>21243.28296</v>
      </c>
      <c r="H427" s="2" t="s">
        <v>25</v>
      </c>
    </row>
    <row r="428" ht="22.5" customHeight="1">
      <c r="A428" s="2" t="s">
        <v>18</v>
      </c>
      <c r="B428" s="2" t="s">
        <v>314</v>
      </c>
      <c r="C428" s="2" t="s">
        <v>31</v>
      </c>
      <c r="D428" s="2" t="s">
        <v>187</v>
      </c>
      <c r="E428" s="2" t="s">
        <v>22</v>
      </c>
      <c r="F428" s="2" t="s">
        <v>315</v>
      </c>
      <c r="G428" s="2">
        <v>13045.633175</v>
      </c>
      <c r="H428" s="2" t="s">
        <v>26</v>
      </c>
    </row>
    <row r="429" ht="22.5" customHeight="1">
      <c r="A429" s="2" t="s">
        <v>18</v>
      </c>
      <c r="B429" s="2" t="s">
        <v>314</v>
      </c>
      <c r="C429" s="2" t="s">
        <v>31</v>
      </c>
      <c r="D429" s="2" t="s">
        <v>187</v>
      </c>
      <c r="E429" s="2" t="s">
        <v>22</v>
      </c>
      <c r="F429" s="2" t="s">
        <v>315</v>
      </c>
      <c r="G429" s="2">
        <v>13291.944052</v>
      </c>
      <c r="H429" s="2" t="s">
        <v>24</v>
      </c>
    </row>
    <row r="430" ht="22.5" customHeight="1">
      <c r="A430" s="2" t="s">
        <v>18</v>
      </c>
      <c r="B430" s="2" t="s">
        <v>314</v>
      </c>
      <c r="C430" s="2" t="s">
        <v>31</v>
      </c>
      <c r="D430" s="2" t="s">
        <v>187</v>
      </c>
      <c r="E430" s="2" t="s">
        <v>22</v>
      </c>
      <c r="F430" s="2" t="s">
        <v>315</v>
      </c>
      <c r="G430" s="2">
        <v>14658.132292</v>
      </c>
      <c r="H430" s="2" t="s">
        <v>25</v>
      </c>
    </row>
    <row r="431" ht="22.5" customHeight="1">
      <c r="A431" s="2" t="s">
        <v>18</v>
      </c>
      <c r="B431" s="2" t="s">
        <v>316</v>
      </c>
      <c r="C431" s="2" t="s">
        <v>20</v>
      </c>
      <c r="D431" s="2" t="s">
        <v>54</v>
      </c>
      <c r="F431" s="2" t="s">
        <v>317</v>
      </c>
      <c r="G431" s="2">
        <v>16518.122589</v>
      </c>
      <c r="H431" s="2" t="s">
        <v>25</v>
      </c>
    </row>
    <row r="432" ht="22.5" customHeight="1">
      <c r="A432" s="2" t="s">
        <v>18</v>
      </c>
      <c r="B432" s="2" t="s">
        <v>316</v>
      </c>
      <c r="C432" s="2" t="s">
        <v>20</v>
      </c>
      <c r="D432" s="2" t="s">
        <v>54</v>
      </c>
      <c r="F432" s="2" t="s">
        <v>317</v>
      </c>
      <c r="G432" s="2">
        <v>16300.94857</v>
      </c>
      <c r="H432" s="2" t="s">
        <v>26</v>
      </c>
    </row>
    <row r="433" ht="22.5" customHeight="1">
      <c r="A433" s="2" t="s">
        <v>18</v>
      </c>
      <c r="B433" s="2" t="s">
        <v>316</v>
      </c>
      <c r="C433" s="2" t="s">
        <v>20</v>
      </c>
      <c r="D433" s="2" t="s">
        <v>54</v>
      </c>
      <c r="F433" s="2" t="s">
        <v>317</v>
      </c>
      <c r="G433" s="2">
        <v>16598.800683</v>
      </c>
      <c r="H433" s="2" t="s">
        <v>24</v>
      </c>
    </row>
    <row r="434" ht="22.5" customHeight="1">
      <c r="A434" s="2" t="s">
        <v>18</v>
      </c>
      <c r="B434" s="2" t="s">
        <v>318</v>
      </c>
      <c r="C434" s="2" t="s">
        <v>31</v>
      </c>
      <c r="D434" s="2" t="s">
        <v>113</v>
      </c>
      <c r="F434" s="2" t="s">
        <v>319</v>
      </c>
      <c r="G434" s="2">
        <v>66396.25229</v>
      </c>
      <c r="H434" s="2" t="s">
        <v>25</v>
      </c>
    </row>
    <row r="435" ht="22.5" customHeight="1">
      <c r="A435" s="2" t="s">
        <v>18</v>
      </c>
      <c r="B435" s="2" t="s">
        <v>320</v>
      </c>
      <c r="C435" s="2" t="s">
        <v>31</v>
      </c>
      <c r="D435" s="2" t="s">
        <v>113</v>
      </c>
      <c r="F435" s="2" t="s">
        <v>319</v>
      </c>
      <c r="G435" s="2">
        <v>68390.14405</v>
      </c>
      <c r="H435" s="2" t="s">
        <v>24</v>
      </c>
    </row>
    <row r="436" ht="22.5" customHeight="1">
      <c r="A436" s="2" t="s">
        <v>18</v>
      </c>
      <c r="B436" s="2" t="s">
        <v>320</v>
      </c>
      <c r="C436" s="2" t="s">
        <v>31</v>
      </c>
      <c r="D436" s="2" t="s">
        <v>113</v>
      </c>
      <c r="F436" s="2" t="s">
        <v>319</v>
      </c>
      <c r="G436" s="2">
        <v>67132.85317</v>
      </c>
      <c r="H436" s="2" t="s">
        <v>26</v>
      </c>
    </row>
    <row r="437" ht="22.5" customHeight="1">
      <c r="A437" s="2" t="s">
        <v>18</v>
      </c>
      <c r="B437" s="2" t="s">
        <v>321</v>
      </c>
      <c r="C437" s="2" t="s">
        <v>20</v>
      </c>
      <c r="D437" s="2" t="s">
        <v>21</v>
      </c>
      <c r="E437" s="2" t="s">
        <v>44</v>
      </c>
      <c r="F437" s="2" t="s">
        <v>322</v>
      </c>
      <c r="G437" s="2">
        <v>12011.248991</v>
      </c>
      <c r="H437" s="2" t="s">
        <v>25</v>
      </c>
    </row>
    <row r="438" ht="22.5" customHeight="1">
      <c r="A438" s="2" t="s">
        <v>18</v>
      </c>
      <c r="B438" s="2" t="s">
        <v>323</v>
      </c>
      <c r="C438" s="2" t="s">
        <v>20</v>
      </c>
      <c r="D438" s="2" t="s">
        <v>21</v>
      </c>
      <c r="E438" s="2" t="s">
        <v>44</v>
      </c>
      <c r="F438" s="2" t="s">
        <v>324</v>
      </c>
      <c r="G438" s="2">
        <v>18118.442615</v>
      </c>
      <c r="H438" s="2" t="s">
        <v>25</v>
      </c>
    </row>
    <row r="439" ht="22.5" customHeight="1">
      <c r="A439" s="2" t="s">
        <v>18</v>
      </c>
      <c r="B439" s="2" t="s">
        <v>323</v>
      </c>
      <c r="C439" s="2" t="s">
        <v>20</v>
      </c>
      <c r="D439" s="2" t="s">
        <v>21</v>
      </c>
      <c r="E439" s="2" t="s">
        <v>44</v>
      </c>
      <c r="F439" s="2" t="s">
        <v>324</v>
      </c>
      <c r="G439" s="2">
        <v>17836.51173</v>
      </c>
      <c r="H439" s="2" t="s">
        <v>26</v>
      </c>
    </row>
    <row r="440" ht="22.5" customHeight="1">
      <c r="A440" s="2" t="s">
        <v>18</v>
      </c>
      <c r="B440" s="2" t="s">
        <v>323</v>
      </c>
      <c r="C440" s="2" t="s">
        <v>20</v>
      </c>
      <c r="D440" s="2" t="s">
        <v>21</v>
      </c>
      <c r="E440" s="2" t="s">
        <v>44</v>
      </c>
      <c r="F440" s="2" t="s">
        <v>324</v>
      </c>
      <c r="G440" s="2">
        <v>17789.606693</v>
      </c>
      <c r="H440" s="2" t="s">
        <v>24</v>
      </c>
    </row>
    <row r="441" ht="22.5" customHeight="1">
      <c r="A441" s="2" t="s">
        <v>18</v>
      </c>
      <c r="B441" s="2" t="s">
        <v>325</v>
      </c>
      <c r="C441" s="2" t="s">
        <v>20</v>
      </c>
      <c r="D441" s="2" t="s">
        <v>21</v>
      </c>
      <c r="E441" s="2" t="s">
        <v>44</v>
      </c>
      <c r="F441" s="2" t="s">
        <v>326</v>
      </c>
      <c r="G441" s="2">
        <v>3184.9965</v>
      </c>
      <c r="H441" s="2" t="s">
        <v>25</v>
      </c>
    </row>
    <row r="442" ht="22.5" customHeight="1">
      <c r="A442" s="2" t="s">
        <v>18</v>
      </c>
      <c r="B442" s="2" t="s">
        <v>327</v>
      </c>
      <c r="C442" s="2" t="s">
        <v>20</v>
      </c>
      <c r="D442" s="2" t="s">
        <v>21</v>
      </c>
      <c r="E442" s="2" t="s">
        <v>44</v>
      </c>
      <c r="F442" s="2" t="s">
        <v>328</v>
      </c>
      <c r="G442" s="3">
        <v>16103.010583000001</v>
      </c>
      <c r="H442" s="2" t="s">
        <v>25</v>
      </c>
    </row>
    <row r="443" ht="22.5" customHeight="1">
      <c r="A443" s="2" t="s">
        <v>18</v>
      </c>
      <c r="B443" s="2" t="s">
        <v>327</v>
      </c>
      <c r="C443" s="2" t="s">
        <v>20</v>
      </c>
      <c r="D443" s="2" t="s">
        <v>21</v>
      </c>
      <c r="E443" s="2" t="s">
        <v>44</v>
      </c>
      <c r="F443" s="2" t="s">
        <v>328</v>
      </c>
      <c r="G443" s="2">
        <v>17823.580152</v>
      </c>
      <c r="H443" s="2" t="s">
        <v>26</v>
      </c>
    </row>
    <row r="444" ht="22.5" customHeight="1">
      <c r="A444" s="2" t="s">
        <v>18</v>
      </c>
      <c r="B444" s="2" t="s">
        <v>327</v>
      </c>
      <c r="C444" s="2" t="s">
        <v>20</v>
      </c>
      <c r="D444" s="2" t="s">
        <v>21</v>
      </c>
      <c r="E444" s="2" t="s">
        <v>44</v>
      </c>
      <c r="F444" s="2" t="s">
        <v>328</v>
      </c>
      <c r="G444" s="2">
        <v>18141.678181</v>
      </c>
      <c r="H444" s="2" t="s">
        <v>24</v>
      </c>
    </row>
    <row r="445" ht="22.5" customHeight="1">
      <c r="A445" s="2" t="s">
        <v>18</v>
      </c>
      <c r="B445" s="2" t="s">
        <v>327</v>
      </c>
      <c r="C445" s="2" t="s">
        <v>20</v>
      </c>
      <c r="D445" s="2" t="s">
        <v>21</v>
      </c>
      <c r="E445" s="2" t="s">
        <v>44</v>
      </c>
      <c r="F445" s="2" t="s">
        <v>328</v>
      </c>
      <c r="G445" s="3">
        <v>14227.44</v>
      </c>
      <c r="H445" s="4" t="s">
        <v>27</v>
      </c>
    </row>
    <row r="446" ht="22.5" customHeight="1">
      <c r="A446" s="2" t="s">
        <v>18</v>
      </c>
      <c r="B446" s="2" t="s">
        <v>329</v>
      </c>
      <c r="C446" s="2" t="s">
        <v>20</v>
      </c>
      <c r="D446" s="2" t="s">
        <v>21</v>
      </c>
      <c r="E446" s="2" t="s">
        <v>41</v>
      </c>
      <c r="F446" s="2" t="s">
        <v>330</v>
      </c>
      <c r="G446" s="3">
        <v>19567.74224</v>
      </c>
      <c r="H446" s="2" t="s">
        <v>25</v>
      </c>
    </row>
    <row r="447" ht="22.5" customHeight="1">
      <c r="A447" s="2" t="s">
        <v>18</v>
      </c>
      <c r="B447" s="2" t="s">
        <v>329</v>
      </c>
      <c r="C447" s="2" t="s">
        <v>20</v>
      </c>
      <c r="D447" s="2" t="s">
        <v>21</v>
      </c>
      <c r="E447" s="2" t="s">
        <v>41</v>
      </c>
      <c r="F447" s="2" t="s">
        <v>330</v>
      </c>
      <c r="G447" s="3">
        <v>13768.16</v>
      </c>
      <c r="H447" s="4" t="s">
        <v>27</v>
      </c>
    </row>
    <row r="448" ht="22.5" customHeight="1">
      <c r="A448" s="2" t="s">
        <v>18</v>
      </c>
      <c r="B448" s="2" t="s">
        <v>331</v>
      </c>
      <c r="C448" s="2" t="s">
        <v>20</v>
      </c>
      <c r="D448" s="2" t="s">
        <v>21</v>
      </c>
      <c r="E448" s="2" t="s">
        <v>22</v>
      </c>
      <c r="F448" s="2" t="s">
        <v>332</v>
      </c>
      <c r="G448" s="2">
        <v>7350.0</v>
      </c>
      <c r="H448" s="2" t="s">
        <v>24</v>
      </c>
    </row>
    <row r="449" ht="22.5" customHeight="1">
      <c r="A449" s="2" t="s">
        <v>18</v>
      </c>
      <c r="B449" s="2" t="s">
        <v>331</v>
      </c>
      <c r="C449" s="2" t="s">
        <v>20</v>
      </c>
      <c r="D449" s="2" t="s">
        <v>21</v>
      </c>
      <c r="E449" s="2" t="s">
        <v>22</v>
      </c>
      <c r="F449" s="2" t="s">
        <v>332</v>
      </c>
      <c r="G449" s="2">
        <v>3675.0</v>
      </c>
      <c r="H449" s="2" t="s">
        <v>26</v>
      </c>
    </row>
    <row r="450" ht="22.5" customHeight="1">
      <c r="A450" s="2" t="s">
        <v>18</v>
      </c>
      <c r="B450" s="2" t="s">
        <v>333</v>
      </c>
      <c r="C450" s="2" t="s">
        <v>20</v>
      </c>
      <c r="D450" s="2" t="s">
        <v>21</v>
      </c>
      <c r="E450" s="2" t="s">
        <v>44</v>
      </c>
      <c r="F450" s="2" t="s">
        <v>334</v>
      </c>
      <c r="G450" s="3">
        <v>18427.440000000002</v>
      </c>
      <c r="H450" s="2" t="s">
        <v>25</v>
      </c>
    </row>
    <row r="451" ht="22.5" customHeight="1">
      <c r="A451" s="2" t="s">
        <v>18</v>
      </c>
      <c r="B451" s="2" t="s">
        <v>333</v>
      </c>
      <c r="C451" s="2" t="s">
        <v>20</v>
      </c>
      <c r="D451" s="2" t="s">
        <v>21</v>
      </c>
      <c r="E451" s="2" t="s">
        <v>44</v>
      </c>
      <c r="F451" s="2" t="s">
        <v>334</v>
      </c>
      <c r="G451" s="2">
        <v>22103.58015</v>
      </c>
      <c r="H451" s="2" t="s">
        <v>26</v>
      </c>
    </row>
    <row r="452" ht="22.5" customHeight="1">
      <c r="A452" s="2" t="s">
        <v>18</v>
      </c>
      <c r="B452" s="2" t="s">
        <v>333</v>
      </c>
      <c r="C452" s="2" t="s">
        <v>20</v>
      </c>
      <c r="D452" s="2" t="s">
        <v>21</v>
      </c>
      <c r="E452" s="2" t="s">
        <v>44</v>
      </c>
      <c r="F452" s="2" t="s">
        <v>334</v>
      </c>
      <c r="G452" s="2">
        <v>8223.170779</v>
      </c>
      <c r="H452" s="2" t="s">
        <v>24</v>
      </c>
    </row>
    <row r="453" ht="22.5" customHeight="1">
      <c r="A453" s="2" t="s">
        <v>18</v>
      </c>
      <c r="B453" s="2" t="s">
        <v>333</v>
      </c>
      <c r="C453" s="2" t="s">
        <v>20</v>
      </c>
      <c r="D453" s="2" t="s">
        <v>21</v>
      </c>
      <c r="E453" s="2" t="s">
        <v>44</v>
      </c>
      <c r="F453" s="2" t="s">
        <v>334</v>
      </c>
      <c r="G453" s="3">
        <v>18427.440000000002</v>
      </c>
      <c r="H453" s="4" t="s">
        <v>27</v>
      </c>
    </row>
    <row r="454" ht="22.5" customHeight="1">
      <c r="A454" s="2" t="s">
        <v>18</v>
      </c>
      <c r="B454" s="2" t="s">
        <v>335</v>
      </c>
      <c r="C454" s="2" t="s">
        <v>20</v>
      </c>
      <c r="D454" s="2" t="s">
        <v>21</v>
      </c>
      <c r="E454" s="2" t="s">
        <v>22</v>
      </c>
      <c r="F454" s="2" t="s">
        <v>336</v>
      </c>
      <c r="G454" s="2">
        <v>14597.59959</v>
      </c>
      <c r="H454" s="2" t="s">
        <v>26</v>
      </c>
    </row>
    <row r="455" ht="22.5" customHeight="1">
      <c r="A455" s="2" t="s">
        <v>18</v>
      </c>
      <c r="B455" s="2" t="s">
        <v>335</v>
      </c>
      <c r="C455" s="2" t="s">
        <v>20</v>
      </c>
      <c r="D455" s="2" t="s">
        <v>21</v>
      </c>
      <c r="E455" s="2" t="s">
        <v>22</v>
      </c>
      <c r="F455" s="2" t="s">
        <v>336</v>
      </c>
      <c r="G455" s="2">
        <v>15931.39405</v>
      </c>
      <c r="H455" s="2" t="s">
        <v>24</v>
      </c>
    </row>
    <row r="456" ht="22.5" customHeight="1">
      <c r="A456" s="2" t="s">
        <v>18</v>
      </c>
      <c r="B456" s="2" t="s">
        <v>335</v>
      </c>
      <c r="C456" s="2" t="s">
        <v>20</v>
      </c>
      <c r="D456" s="2" t="s">
        <v>21</v>
      </c>
      <c r="E456" s="2" t="s">
        <v>22</v>
      </c>
      <c r="F456" s="2" t="s">
        <v>336</v>
      </c>
      <c r="G456" s="2">
        <v>11622.781714</v>
      </c>
      <c r="H456" s="2" t="s">
        <v>25</v>
      </c>
    </row>
    <row r="457" ht="22.5" customHeight="1">
      <c r="A457" s="2" t="s">
        <v>18</v>
      </c>
      <c r="B457" s="2" t="s">
        <v>337</v>
      </c>
      <c r="C457" s="2" t="s">
        <v>20</v>
      </c>
      <c r="D457" s="2" t="s">
        <v>21</v>
      </c>
      <c r="E457" s="2" t="s">
        <v>44</v>
      </c>
      <c r="F457" s="2" t="s">
        <v>338</v>
      </c>
      <c r="G457" s="3">
        <v>28370.03</v>
      </c>
      <c r="H457" s="2" t="s">
        <v>25</v>
      </c>
    </row>
    <row r="458" ht="22.5" customHeight="1">
      <c r="A458" s="2" t="s">
        <v>18</v>
      </c>
      <c r="B458" s="2" t="s">
        <v>337</v>
      </c>
      <c r="C458" s="2" t="s">
        <v>20</v>
      </c>
      <c r="D458" s="2" t="s">
        <v>21</v>
      </c>
      <c r="E458" s="2" t="s">
        <v>44</v>
      </c>
      <c r="F458" s="2" t="s">
        <v>338</v>
      </c>
      <c r="G458" s="3">
        <v>29809.41921</v>
      </c>
      <c r="H458" s="2" t="s">
        <v>26</v>
      </c>
    </row>
    <row r="459" ht="22.5" customHeight="1">
      <c r="A459" s="2" t="s">
        <v>18</v>
      </c>
      <c r="B459" s="2" t="s">
        <v>337</v>
      </c>
      <c r="C459" s="2" t="s">
        <v>20</v>
      </c>
      <c r="D459" s="2" t="s">
        <v>21</v>
      </c>
      <c r="E459" s="2" t="s">
        <v>44</v>
      </c>
      <c r="F459" s="2" t="s">
        <v>338</v>
      </c>
      <c r="G459" s="2">
        <v>22339.29715</v>
      </c>
      <c r="H459" s="2" t="s">
        <v>24</v>
      </c>
    </row>
    <row r="460" ht="22.5" customHeight="1">
      <c r="A460" s="2" t="s">
        <v>18</v>
      </c>
      <c r="B460" s="2" t="s">
        <v>337</v>
      </c>
      <c r="C460" s="2" t="s">
        <v>20</v>
      </c>
      <c r="D460" s="2" t="s">
        <v>21</v>
      </c>
      <c r="E460" s="2" t="s">
        <v>44</v>
      </c>
      <c r="F460" s="2" t="s">
        <v>338</v>
      </c>
      <c r="G460" s="3">
        <v>27877.440000000002</v>
      </c>
      <c r="H460" s="4" t="s">
        <v>27</v>
      </c>
    </row>
    <row r="461" ht="22.5" customHeight="1">
      <c r="A461" s="2" t="s">
        <v>18</v>
      </c>
      <c r="B461" s="2" t="s">
        <v>339</v>
      </c>
      <c r="C461" s="2" t="s">
        <v>20</v>
      </c>
      <c r="D461" s="2" t="s">
        <v>21</v>
      </c>
      <c r="E461" s="2" t="s">
        <v>61</v>
      </c>
      <c r="F461" s="2" t="s">
        <v>340</v>
      </c>
      <c r="G461" s="2">
        <v>14563.097092</v>
      </c>
      <c r="H461" s="2" t="s">
        <v>26</v>
      </c>
    </row>
    <row r="462" ht="22.5" customHeight="1">
      <c r="A462" s="2" t="s">
        <v>18</v>
      </c>
      <c r="B462" s="2" t="s">
        <v>339</v>
      </c>
      <c r="C462" s="2" t="s">
        <v>20</v>
      </c>
      <c r="D462" s="2" t="s">
        <v>21</v>
      </c>
      <c r="E462" s="2" t="s">
        <v>61</v>
      </c>
      <c r="F462" s="2" t="s">
        <v>340</v>
      </c>
      <c r="G462" s="3">
        <v>8242.08</v>
      </c>
      <c r="H462" s="2" t="s">
        <v>25</v>
      </c>
    </row>
    <row r="463" ht="22.5" customHeight="1">
      <c r="A463" s="2" t="s">
        <v>18</v>
      </c>
      <c r="B463" s="2" t="s">
        <v>339</v>
      </c>
      <c r="C463" s="2" t="s">
        <v>20</v>
      </c>
      <c r="D463" s="2" t="s">
        <v>21</v>
      </c>
      <c r="E463" s="2" t="s">
        <v>61</v>
      </c>
      <c r="F463" s="2" t="s">
        <v>340</v>
      </c>
      <c r="G463" s="2">
        <v>8845.99814</v>
      </c>
      <c r="H463" s="2" t="s">
        <v>24</v>
      </c>
    </row>
    <row r="464" ht="22.5" customHeight="1">
      <c r="A464" s="2" t="s">
        <v>18</v>
      </c>
      <c r="B464" s="2" t="s">
        <v>339</v>
      </c>
      <c r="C464" s="2" t="s">
        <v>20</v>
      </c>
      <c r="D464" s="2" t="s">
        <v>21</v>
      </c>
      <c r="E464" s="2" t="s">
        <v>61</v>
      </c>
      <c r="F464" s="2" t="s">
        <v>340</v>
      </c>
      <c r="G464" s="3">
        <v>11077.44</v>
      </c>
      <c r="H464" s="4" t="s">
        <v>27</v>
      </c>
    </row>
    <row r="465" ht="22.5" customHeight="1">
      <c r="A465" s="2" t="s">
        <v>18</v>
      </c>
      <c r="B465" s="2" t="s">
        <v>341</v>
      </c>
      <c r="C465" s="2" t="s">
        <v>20</v>
      </c>
      <c r="D465" s="2" t="s">
        <v>21</v>
      </c>
      <c r="E465" s="2" t="s">
        <v>22</v>
      </c>
      <c r="F465" s="2" t="s">
        <v>342</v>
      </c>
      <c r="G465" s="2">
        <v>18627.68746</v>
      </c>
      <c r="H465" s="2" t="s">
        <v>26</v>
      </c>
    </row>
    <row r="466" ht="22.5" customHeight="1">
      <c r="A466" s="2" t="s">
        <v>18</v>
      </c>
      <c r="B466" s="2" t="s">
        <v>341</v>
      </c>
      <c r="C466" s="2" t="s">
        <v>20</v>
      </c>
      <c r="D466" s="2" t="s">
        <v>21</v>
      </c>
      <c r="E466" s="2" t="s">
        <v>22</v>
      </c>
      <c r="F466" s="2" t="s">
        <v>342</v>
      </c>
      <c r="G466" s="3">
        <v>16820.03</v>
      </c>
      <c r="H466" s="2" t="s">
        <v>25</v>
      </c>
    </row>
    <row r="467" ht="22.5" customHeight="1">
      <c r="A467" s="2" t="s">
        <v>18</v>
      </c>
      <c r="B467" s="2" t="s">
        <v>341</v>
      </c>
      <c r="C467" s="2" t="s">
        <v>20</v>
      </c>
      <c r="D467" s="2" t="s">
        <v>21</v>
      </c>
      <c r="E467" s="2" t="s">
        <v>22</v>
      </c>
      <c r="F467" s="2" t="s">
        <v>342</v>
      </c>
      <c r="G467" s="3">
        <v>16327.44</v>
      </c>
      <c r="H467" s="4" t="s">
        <v>27</v>
      </c>
    </row>
    <row r="468" ht="22.5" customHeight="1">
      <c r="A468" s="2" t="s">
        <v>18</v>
      </c>
      <c r="B468" s="2" t="s">
        <v>341</v>
      </c>
      <c r="C468" s="2" t="s">
        <v>20</v>
      </c>
      <c r="D468" s="2" t="s">
        <v>21</v>
      </c>
      <c r="E468" s="2" t="s">
        <v>22</v>
      </c>
      <c r="F468" s="2" t="s">
        <v>342</v>
      </c>
      <c r="G468" s="2">
        <v>20291.39405</v>
      </c>
      <c r="H468" s="2" t="s">
        <v>24</v>
      </c>
    </row>
    <row r="469" ht="22.5" customHeight="1">
      <c r="A469" s="2" t="s">
        <v>18</v>
      </c>
      <c r="B469" s="2" t="s">
        <v>343</v>
      </c>
      <c r="C469" s="4" t="s">
        <v>20</v>
      </c>
      <c r="D469" s="2" t="s">
        <v>21</v>
      </c>
      <c r="E469" s="2" t="s">
        <v>44</v>
      </c>
      <c r="F469" s="2" t="s">
        <v>344</v>
      </c>
      <c r="G469" s="2">
        <v>33868.44261</v>
      </c>
      <c r="H469" s="2" t="s">
        <v>25</v>
      </c>
    </row>
    <row r="470" ht="22.5" customHeight="1">
      <c r="A470" s="2" t="s">
        <v>18</v>
      </c>
      <c r="B470" s="2" t="s">
        <v>343</v>
      </c>
      <c r="C470" s="4" t="s">
        <v>20</v>
      </c>
      <c r="D470" s="2" t="s">
        <v>21</v>
      </c>
      <c r="E470" s="2" t="s">
        <v>44</v>
      </c>
      <c r="F470" s="2" t="s">
        <v>344</v>
      </c>
      <c r="G470" s="2">
        <v>32935.3767</v>
      </c>
      <c r="H470" s="2" t="s">
        <v>24</v>
      </c>
    </row>
    <row r="471" ht="22.5" customHeight="1">
      <c r="A471" s="2" t="s">
        <v>18</v>
      </c>
      <c r="B471" s="2" t="s">
        <v>343</v>
      </c>
      <c r="C471" s="4" t="s">
        <v>20</v>
      </c>
      <c r="D471" s="2" t="s">
        <v>21</v>
      </c>
      <c r="E471" s="2" t="s">
        <v>44</v>
      </c>
      <c r="F471" s="2" t="s">
        <v>344</v>
      </c>
      <c r="G471" s="2">
        <v>33886.51173</v>
      </c>
      <c r="H471" s="2" t="s">
        <v>26</v>
      </c>
    </row>
    <row r="472" ht="22.5" customHeight="1">
      <c r="A472" s="2" t="s">
        <v>18</v>
      </c>
      <c r="B472" s="2" t="s">
        <v>345</v>
      </c>
      <c r="C472" s="2" t="s">
        <v>20</v>
      </c>
      <c r="D472" s="2" t="s">
        <v>21</v>
      </c>
      <c r="E472" s="2" t="s">
        <v>35</v>
      </c>
      <c r="F472" s="2" t="s">
        <v>346</v>
      </c>
      <c r="G472" s="2">
        <v>21568.41622</v>
      </c>
      <c r="H472" s="2" t="s">
        <v>25</v>
      </c>
    </row>
    <row r="473" ht="22.5" customHeight="1">
      <c r="A473" s="2" t="s">
        <v>18</v>
      </c>
      <c r="B473" s="2" t="s">
        <v>347</v>
      </c>
      <c r="C473" s="2" t="s">
        <v>20</v>
      </c>
      <c r="D473" s="2" t="s">
        <v>21</v>
      </c>
      <c r="E473" s="2" t="s">
        <v>22</v>
      </c>
      <c r="F473" s="2" t="s">
        <v>348</v>
      </c>
      <c r="G473" s="2">
        <v>13042.93378</v>
      </c>
      <c r="H473" s="2" t="s">
        <v>26</v>
      </c>
    </row>
    <row r="474" ht="22.5" customHeight="1">
      <c r="A474" s="2" t="s">
        <v>18</v>
      </c>
      <c r="B474" s="2" t="s">
        <v>347</v>
      </c>
      <c r="C474" s="2" t="s">
        <v>20</v>
      </c>
      <c r="D474" s="2" t="s">
        <v>21</v>
      </c>
      <c r="E474" s="2" t="s">
        <v>22</v>
      </c>
      <c r="F474" s="2" t="s">
        <v>348</v>
      </c>
      <c r="G474" s="2">
        <v>13288.974718</v>
      </c>
      <c r="H474" s="2" t="s">
        <v>24</v>
      </c>
    </row>
    <row r="475" ht="22.5" customHeight="1">
      <c r="A475" s="2" t="s">
        <v>18</v>
      </c>
      <c r="B475" s="2" t="s">
        <v>347</v>
      </c>
      <c r="C475" s="2" t="s">
        <v>20</v>
      </c>
      <c r="D475" s="2" t="s">
        <v>21</v>
      </c>
      <c r="E475" s="2" t="s">
        <v>22</v>
      </c>
      <c r="F475" s="2" t="s">
        <v>348</v>
      </c>
      <c r="G475" s="3">
        <v>12127.44</v>
      </c>
      <c r="H475" s="4" t="s">
        <v>27</v>
      </c>
    </row>
    <row r="476" ht="22.5" customHeight="1">
      <c r="A476" s="2" t="s">
        <v>18</v>
      </c>
      <c r="B476" s="2" t="s">
        <v>347</v>
      </c>
      <c r="C476" s="2" t="s">
        <v>20</v>
      </c>
      <c r="D476" s="2" t="s">
        <v>21</v>
      </c>
      <c r="E476" s="2" t="s">
        <v>22</v>
      </c>
      <c r="F476" s="2" t="s">
        <v>348</v>
      </c>
      <c r="G476" s="3">
        <v>9292.08</v>
      </c>
      <c r="H476" s="2" t="s">
        <v>25</v>
      </c>
    </row>
    <row r="508">
      <c r="B508" s="210" t="s">
        <v>23</v>
      </c>
      <c r="C508" s="211" t="s">
        <v>1654</v>
      </c>
    </row>
    <row r="509">
      <c r="B509" s="212" t="s">
        <v>45</v>
      </c>
      <c r="C509" s="211" t="s">
        <v>1654</v>
      </c>
    </row>
    <row r="510">
      <c r="B510" s="210" t="s">
        <v>52</v>
      </c>
      <c r="C510" s="211" t="s">
        <v>1654</v>
      </c>
    </row>
    <row r="511">
      <c r="B511" s="212" t="s">
        <v>57</v>
      </c>
      <c r="C511" s="211" t="s">
        <v>1654</v>
      </c>
    </row>
    <row r="512">
      <c r="B512" s="210" t="s">
        <v>59</v>
      </c>
      <c r="C512" s="211" t="s">
        <v>1654</v>
      </c>
    </row>
    <row r="513">
      <c r="B513" s="212" t="s">
        <v>65</v>
      </c>
      <c r="C513" s="211" t="s">
        <v>1654</v>
      </c>
    </row>
    <row r="514">
      <c r="B514" s="210" t="s">
        <v>69</v>
      </c>
      <c r="C514" s="211" t="s">
        <v>1654</v>
      </c>
    </row>
    <row r="515">
      <c r="B515" s="212" t="s">
        <v>71</v>
      </c>
      <c r="C515" s="211" t="s">
        <v>1654</v>
      </c>
    </row>
    <row r="516">
      <c r="B516" s="210" t="s">
        <v>72</v>
      </c>
      <c r="C516" s="211" t="s">
        <v>1654</v>
      </c>
    </row>
    <row r="517">
      <c r="B517" s="212" t="s">
        <v>73</v>
      </c>
      <c r="C517" s="211" t="s">
        <v>1654</v>
      </c>
    </row>
    <row r="518">
      <c r="B518" s="210" t="s">
        <v>109</v>
      </c>
      <c r="C518" s="211" t="s">
        <v>1654</v>
      </c>
    </row>
    <row r="519">
      <c r="B519" s="212" t="s">
        <v>114</v>
      </c>
      <c r="C519" s="211" t="s">
        <v>1654</v>
      </c>
    </row>
    <row r="520">
      <c r="B520" s="210" t="s">
        <v>116</v>
      </c>
      <c r="C520" s="211" t="s">
        <v>1654</v>
      </c>
    </row>
    <row r="521">
      <c r="B521" s="212" t="s">
        <v>124</v>
      </c>
      <c r="C521" s="211" t="s">
        <v>1654</v>
      </c>
    </row>
    <row r="522">
      <c r="B522" s="210" t="s">
        <v>128</v>
      </c>
      <c r="C522" s="211" t="s">
        <v>1654</v>
      </c>
    </row>
    <row r="523">
      <c r="B523" s="212" t="s">
        <v>132</v>
      </c>
      <c r="C523" s="211" t="s">
        <v>1654</v>
      </c>
    </row>
    <row r="524">
      <c r="B524" s="210" t="s">
        <v>134</v>
      </c>
      <c r="C524" s="211" t="s">
        <v>1654</v>
      </c>
    </row>
    <row r="525">
      <c r="B525" s="212" t="s">
        <v>148</v>
      </c>
      <c r="C525" s="211" t="s">
        <v>1654</v>
      </c>
    </row>
    <row r="526">
      <c r="B526" s="210" t="s">
        <v>154</v>
      </c>
      <c r="C526" s="211" t="s">
        <v>1654</v>
      </c>
    </row>
    <row r="527">
      <c r="B527" s="212" t="s">
        <v>163</v>
      </c>
      <c r="C527" s="211" t="s">
        <v>1654</v>
      </c>
    </row>
    <row r="528">
      <c r="B528" s="210" t="s">
        <v>165</v>
      </c>
      <c r="C528" s="211" t="s">
        <v>1654</v>
      </c>
    </row>
    <row r="529">
      <c r="B529" s="212" t="s">
        <v>169</v>
      </c>
      <c r="C529" s="211" t="s">
        <v>1654</v>
      </c>
    </row>
    <row r="530">
      <c r="B530" s="210" t="s">
        <v>173</v>
      </c>
      <c r="C530" s="211" t="s">
        <v>1654</v>
      </c>
    </row>
    <row r="531">
      <c r="B531" s="212" t="s">
        <v>185</v>
      </c>
      <c r="C531" s="211" t="s">
        <v>1654</v>
      </c>
    </row>
    <row r="532">
      <c r="B532" s="210" t="s">
        <v>201</v>
      </c>
      <c r="C532" s="211" t="s">
        <v>1654</v>
      </c>
    </row>
    <row r="533">
      <c r="B533" s="212" t="s">
        <v>205</v>
      </c>
      <c r="C533" s="211" t="s">
        <v>1654</v>
      </c>
    </row>
    <row r="534">
      <c r="B534" s="210" t="s">
        <v>215</v>
      </c>
      <c r="C534" s="211" t="s">
        <v>1654</v>
      </c>
    </row>
    <row r="535">
      <c r="B535" s="212" t="s">
        <v>225</v>
      </c>
      <c r="C535" s="211" t="s">
        <v>1654</v>
      </c>
    </row>
    <row r="536">
      <c r="B536" s="210" t="s">
        <v>230</v>
      </c>
      <c r="C536" s="211" t="s">
        <v>1654</v>
      </c>
    </row>
    <row r="537">
      <c r="B537" s="212" t="s">
        <v>233</v>
      </c>
      <c r="C537" s="211" t="s">
        <v>1654</v>
      </c>
    </row>
    <row r="538">
      <c r="B538" s="210" t="s">
        <v>234</v>
      </c>
      <c r="C538" s="211" t="s">
        <v>1654</v>
      </c>
    </row>
    <row r="539">
      <c r="B539" s="212" t="s">
        <v>235</v>
      </c>
      <c r="C539" s="211" t="s">
        <v>1654</v>
      </c>
    </row>
    <row r="540">
      <c r="B540" s="210" t="s">
        <v>236</v>
      </c>
      <c r="C540" s="211" t="s">
        <v>1654</v>
      </c>
    </row>
    <row r="541">
      <c r="B541" s="212" t="s">
        <v>240</v>
      </c>
      <c r="C541" s="211" t="s">
        <v>1654</v>
      </c>
    </row>
    <row r="542">
      <c r="B542" s="210" t="s">
        <v>250</v>
      </c>
      <c r="C542" s="211" t="s">
        <v>1654</v>
      </c>
    </row>
    <row r="543">
      <c r="B543" s="212" t="s">
        <v>256</v>
      </c>
      <c r="C543" s="211" t="s">
        <v>1654</v>
      </c>
    </row>
    <row r="544">
      <c r="B544" s="210" t="s">
        <v>268</v>
      </c>
      <c r="C544" s="211" t="s">
        <v>1654</v>
      </c>
    </row>
    <row r="545">
      <c r="B545" s="212" t="s">
        <v>273</v>
      </c>
      <c r="C545" s="211" t="s">
        <v>1654</v>
      </c>
    </row>
    <row r="546">
      <c r="B546" s="210" t="s">
        <v>281</v>
      </c>
      <c r="C546" s="211" t="s">
        <v>1654</v>
      </c>
    </row>
    <row r="547">
      <c r="B547" s="212" t="s">
        <v>297</v>
      </c>
      <c r="C547" s="211" t="s">
        <v>1654</v>
      </c>
    </row>
    <row r="548">
      <c r="B548" s="210" t="s">
        <v>311</v>
      </c>
      <c r="C548" s="211" t="s">
        <v>1654</v>
      </c>
    </row>
    <row r="549">
      <c r="B549" s="212" t="s">
        <v>328</v>
      </c>
      <c r="C549" s="211" t="s">
        <v>1654</v>
      </c>
    </row>
    <row r="550">
      <c r="B550" s="210" t="s">
        <v>330</v>
      </c>
      <c r="C550" s="211" t="s">
        <v>1654</v>
      </c>
    </row>
    <row r="551">
      <c r="B551" s="212" t="s">
        <v>334</v>
      </c>
      <c r="C551" s="211" t="s">
        <v>1654</v>
      </c>
    </row>
    <row r="552">
      <c r="B552" s="210" t="s">
        <v>338</v>
      </c>
      <c r="C552" s="211" t="s">
        <v>1654</v>
      </c>
    </row>
    <row r="553">
      <c r="B553" s="212" t="s">
        <v>340</v>
      </c>
      <c r="C553" s="211" t="s">
        <v>1654</v>
      </c>
    </row>
    <row r="554">
      <c r="B554" s="210" t="s">
        <v>342</v>
      </c>
      <c r="C554" s="211" t="s">
        <v>1654</v>
      </c>
    </row>
    <row r="555">
      <c r="B555" s="212" t="s">
        <v>348</v>
      </c>
      <c r="C555" s="211" t="s">
        <v>1654</v>
      </c>
    </row>
    <row r="565">
      <c r="A565" s="153" t="s">
        <v>5</v>
      </c>
      <c r="B565" s="153"/>
      <c r="F565" s="158" t="s">
        <v>1655</v>
      </c>
      <c r="G565" s="158" t="s">
        <v>9</v>
      </c>
      <c r="H565" s="158" t="s">
        <v>17</v>
      </c>
      <c r="I565" s="158" t="s">
        <v>1656</v>
      </c>
      <c r="J565" s="158" t="s">
        <v>16</v>
      </c>
      <c r="K565" s="158" t="s">
        <v>1657</v>
      </c>
      <c r="L565" s="158" t="s">
        <v>1658</v>
      </c>
      <c r="M565" s="158" t="s">
        <v>1659</v>
      </c>
      <c r="N565" s="158" t="s">
        <v>1660</v>
      </c>
      <c r="O565" s="158" t="s">
        <v>1661</v>
      </c>
      <c r="P565" s="158" t="s">
        <v>1662</v>
      </c>
      <c r="Q565" s="158" t="s">
        <v>1663</v>
      </c>
      <c r="R565" s="158" t="s">
        <v>1664</v>
      </c>
      <c r="S565" s="158" t="s">
        <v>1665</v>
      </c>
      <c r="T565" s="158" t="s">
        <v>1666</v>
      </c>
      <c r="U565" s="158" t="s">
        <v>1667</v>
      </c>
      <c r="V565" s="158" t="s">
        <v>1668</v>
      </c>
      <c r="W565" s="158" t="s">
        <v>1669</v>
      </c>
      <c r="X565" s="158" t="s">
        <v>1670</v>
      </c>
      <c r="Y565" s="158" t="s">
        <v>1671</v>
      </c>
      <c r="Z565" s="158" t="s">
        <v>1672</v>
      </c>
      <c r="AA565" s="158" t="s">
        <v>1184</v>
      </c>
      <c r="AB565" s="158" t="s">
        <v>1673</v>
      </c>
      <c r="AC565" s="213" t="s">
        <v>1674</v>
      </c>
      <c r="AD565" s="158" t="s">
        <v>1675</v>
      </c>
      <c r="AE565" s="158" t="s">
        <v>1676</v>
      </c>
      <c r="AF565" s="158" t="s">
        <v>1677</v>
      </c>
    </row>
    <row r="566">
      <c r="A566" s="153"/>
      <c r="B566" s="153"/>
      <c r="F566" s="30" t="s">
        <v>19</v>
      </c>
      <c r="G566" s="30" t="s">
        <v>1678</v>
      </c>
      <c r="H566" s="30" t="s">
        <v>1679</v>
      </c>
      <c r="I566" s="30"/>
      <c r="J566" s="30" t="s">
        <v>1680</v>
      </c>
      <c r="K566" s="159">
        <v>50.46</v>
      </c>
      <c r="L566" s="159">
        <v>1274.4</v>
      </c>
      <c r="M566" s="159">
        <v>0.0</v>
      </c>
      <c r="N566" s="159">
        <v>0.0</v>
      </c>
      <c r="O566" s="159">
        <v>0.0</v>
      </c>
      <c r="P566" s="159">
        <v>0.0</v>
      </c>
      <c r="Q566" s="159">
        <v>2.523</v>
      </c>
      <c r="R566" s="159">
        <v>63.72000000000001</v>
      </c>
      <c r="S566" s="159">
        <v>52.983</v>
      </c>
      <c r="T566" s="159">
        <v>1338.12</v>
      </c>
      <c r="U566" s="159">
        <v>8.47728</v>
      </c>
      <c r="V566" s="159">
        <v>214.0992</v>
      </c>
      <c r="W566" s="159">
        <v>61.46028</v>
      </c>
      <c r="X566" s="159">
        <v>1552.2192</v>
      </c>
      <c r="Y566" s="159">
        <v>1324.86</v>
      </c>
      <c r="Z566" s="159">
        <v>0.0</v>
      </c>
      <c r="AA566" s="159">
        <v>0.0</v>
      </c>
      <c r="AB566" s="159">
        <v>66.24300000000001</v>
      </c>
      <c r="AC566" s="214">
        <v>1391.103</v>
      </c>
      <c r="AD566" s="159">
        <v>222.57648</v>
      </c>
      <c r="AE566" s="159">
        <v>1613.67948</v>
      </c>
      <c r="AF566" s="159">
        <v>1391.103</v>
      </c>
    </row>
    <row r="567">
      <c r="A567" s="153" t="s">
        <v>57</v>
      </c>
      <c r="B567" s="153"/>
      <c r="D567" s="153" t="str">
        <f t="shared" ref="D567:D725" si="1">LOOKUP(A567, B$501:B$555,C$501:C$555)</f>
        <v>SI</v>
      </c>
      <c r="F567" s="30" t="s">
        <v>28</v>
      </c>
      <c r="G567" s="30" t="s">
        <v>1678</v>
      </c>
      <c r="H567" s="30" t="s">
        <v>1679</v>
      </c>
      <c r="I567" s="30"/>
      <c r="J567" s="30" t="s">
        <v>1681</v>
      </c>
      <c r="K567" s="159">
        <v>9999.998</v>
      </c>
      <c r="L567" s="159">
        <v>9665.998</v>
      </c>
      <c r="M567" s="159">
        <v>1482.706896029158</v>
      </c>
      <c r="N567" s="159">
        <v>1436.372305528247</v>
      </c>
      <c r="O567" s="159">
        <v>189.02</v>
      </c>
      <c r="P567" s="159">
        <v>189.02</v>
      </c>
      <c r="Q567" s="159">
        <v>499.9999</v>
      </c>
      <c r="R567" s="159">
        <v>483.2999</v>
      </c>
      <c r="S567" s="159">
        <v>12171.72479602916</v>
      </c>
      <c r="T567" s="159">
        <v>11774.69020552825</v>
      </c>
      <c r="U567" s="159">
        <v>1947.475967364665</v>
      </c>
      <c r="V567" s="159">
        <v>1883.950432884519</v>
      </c>
      <c r="W567" s="159">
        <v>14119.20076339382</v>
      </c>
      <c r="X567" s="159">
        <v>13658.64063841277</v>
      </c>
      <c r="Y567" s="159">
        <v>19665.996</v>
      </c>
      <c r="Z567" s="159">
        <v>2919.079201557405</v>
      </c>
      <c r="AA567" s="159">
        <v>378.04</v>
      </c>
      <c r="AB567" s="159">
        <v>983.2998</v>
      </c>
      <c r="AC567" s="214">
        <v>23946.41500155741</v>
      </c>
      <c r="AD567" s="159">
        <v>3831.426400249185</v>
      </c>
      <c r="AE567" s="159">
        <v>27777.84140180659</v>
      </c>
      <c r="AF567" s="159">
        <v>23946.41500155741</v>
      </c>
    </row>
    <row r="568">
      <c r="A568" s="153" t="s">
        <v>52</v>
      </c>
      <c r="B568" s="153"/>
      <c r="D568" s="153" t="str">
        <f t="shared" si="1"/>
        <v>SI</v>
      </c>
      <c r="F568" s="30" t="s">
        <v>30</v>
      </c>
      <c r="G568" s="30" t="s">
        <v>1682</v>
      </c>
      <c r="H568" s="30" t="s">
        <v>1683</v>
      </c>
      <c r="I568" s="30" t="s">
        <v>1684</v>
      </c>
      <c r="J568" s="30" t="s">
        <v>1685</v>
      </c>
      <c r="K568" s="159">
        <v>5999.998000000001</v>
      </c>
      <c r="L568" s="159">
        <v>5999.998000000001</v>
      </c>
      <c r="M568" s="159">
        <v>1461.93801604352</v>
      </c>
      <c r="N568" s="159">
        <v>1416.25245304216</v>
      </c>
      <c r="O568" s="159">
        <v>189.02</v>
      </c>
      <c r="P568" s="159">
        <v>189.02</v>
      </c>
      <c r="Q568" s="159">
        <v>299.9999</v>
      </c>
      <c r="R568" s="159">
        <v>299.9999</v>
      </c>
      <c r="S568" s="159">
        <v>7950.95591604352</v>
      </c>
      <c r="T568" s="159">
        <v>7905.27035304216</v>
      </c>
      <c r="U568" s="159">
        <v>1272.152946566963</v>
      </c>
      <c r="V568" s="159">
        <v>1264.843256486746</v>
      </c>
      <c r="W568" s="159">
        <v>9223.108862610483</v>
      </c>
      <c r="X568" s="159">
        <v>9170.113609528906</v>
      </c>
      <c r="Y568" s="159">
        <v>11999.996</v>
      </c>
      <c r="Z568" s="159">
        <v>2878.19046908568</v>
      </c>
      <c r="AA568" s="159">
        <v>378.04</v>
      </c>
      <c r="AB568" s="159">
        <v>599.9998</v>
      </c>
      <c r="AC568" s="214">
        <v>15856.22626908568</v>
      </c>
      <c r="AD568" s="159">
        <v>2536.996203053709</v>
      </c>
      <c r="AE568" s="159">
        <v>18393.22247213939</v>
      </c>
      <c r="AF568" s="159">
        <v>15856.22626908568</v>
      </c>
    </row>
    <row r="569">
      <c r="A569" s="153" t="s">
        <v>215</v>
      </c>
      <c r="B569" s="153"/>
      <c r="D569" s="153" t="str">
        <f t="shared" si="1"/>
        <v>SI</v>
      </c>
      <c r="F569" s="30" t="s">
        <v>34</v>
      </c>
      <c r="G569" s="30" t="s">
        <v>1682</v>
      </c>
      <c r="H569" s="30" t="s">
        <v>1686</v>
      </c>
      <c r="I569" s="30"/>
      <c r="J569" s="30" t="s">
        <v>1687</v>
      </c>
      <c r="K569" s="159">
        <v>4999.998000000001</v>
      </c>
      <c r="L569" s="159">
        <v>4999.998000000001</v>
      </c>
      <c r="M569" s="159">
        <v>1461.93801604352</v>
      </c>
      <c r="N569" s="159">
        <v>1416.25245304216</v>
      </c>
      <c r="O569" s="159">
        <v>189.02</v>
      </c>
      <c r="P569" s="159">
        <v>189.02</v>
      </c>
      <c r="Q569" s="159">
        <v>249.9999</v>
      </c>
      <c r="R569" s="159">
        <v>249.9999</v>
      </c>
      <c r="S569" s="159">
        <v>6900.95591604352</v>
      </c>
      <c r="T569" s="159">
        <v>6855.27035304216</v>
      </c>
      <c r="U569" s="159">
        <v>1104.152946566963</v>
      </c>
      <c r="V569" s="159">
        <v>1096.843256486746</v>
      </c>
      <c r="W569" s="159">
        <v>8005.108862610483</v>
      </c>
      <c r="X569" s="159">
        <v>7952.113609528906</v>
      </c>
      <c r="Y569" s="159">
        <v>9999.996000000001</v>
      </c>
      <c r="Z569" s="159">
        <v>2878.19046908568</v>
      </c>
      <c r="AA569" s="159">
        <v>378.04</v>
      </c>
      <c r="AB569" s="159">
        <v>499.9998000000001</v>
      </c>
      <c r="AC569" s="214">
        <v>13756.22626908568</v>
      </c>
      <c r="AD569" s="159">
        <v>2200.996203053709</v>
      </c>
      <c r="AE569" s="159">
        <v>15957.22247213939</v>
      </c>
      <c r="AF569" s="159">
        <v>13756.22626908568</v>
      </c>
    </row>
    <row r="570">
      <c r="A570" s="153" t="s">
        <v>55</v>
      </c>
      <c r="B570" s="153"/>
      <c r="D570" s="153" t="str">
        <f t="shared" si="1"/>
        <v>SI</v>
      </c>
      <c r="F570" s="30" t="s">
        <v>37</v>
      </c>
      <c r="G570" s="30" t="s">
        <v>1682</v>
      </c>
      <c r="H570" s="30" t="s">
        <v>1679</v>
      </c>
      <c r="I570" s="30" t="s">
        <v>1688</v>
      </c>
      <c r="J570" s="30" t="s">
        <v>1689</v>
      </c>
      <c r="K570" s="159">
        <v>9499.998</v>
      </c>
      <c r="L570" s="159">
        <v>9499.998</v>
      </c>
      <c r="M570" s="159">
        <v>1484.174283695642</v>
      </c>
      <c r="N570" s="159">
        <v>1437.793837330153</v>
      </c>
      <c r="O570" s="159">
        <v>189.02</v>
      </c>
      <c r="P570" s="159">
        <v>189.02</v>
      </c>
      <c r="Q570" s="159">
        <v>474.9999</v>
      </c>
      <c r="R570" s="159">
        <v>474.9999</v>
      </c>
      <c r="S570" s="159">
        <v>11648.19218369564</v>
      </c>
      <c r="T570" s="159">
        <v>11601.81173733015</v>
      </c>
      <c r="U570" s="159">
        <v>1863.710749391303</v>
      </c>
      <c r="V570" s="159">
        <v>1856.289877972825</v>
      </c>
      <c r="W570" s="159">
        <v>13511.90293308695</v>
      </c>
      <c r="X570" s="159">
        <v>13458.10161530298</v>
      </c>
      <c r="Y570" s="159">
        <v>18999.996</v>
      </c>
      <c r="Z570" s="159">
        <v>2921.968121025795</v>
      </c>
      <c r="AA570" s="159">
        <v>378.04</v>
      </c>
      <c r="AB570" s="159">
        <v>949.9998</v>
      </c>
      <c r="AC570" s="214">
        <v>23250.0039210258</v>
      </c>
      <c r="AD570" s="159">
        <v>3720.000627364127</v>
      </c>
      <c r="AE570" s="159">
        <v>26970.00454838992</v>
      </c>
      <c r="AF570" s="159">
        <v>23250.0039210258</v>
      </c>
    </row>
    <row r="571">
      <c r="A571" s="153" t="s">
        <v>289</v>
      </c>
      <c r="B571" s="153"/>
      <c r="D571" s="153" t="str">
        <f t="shared" si="1"/>
        <v>SI</v>
      </c>
      <c r="F571" s="30" t="s">
        <v>40</v>
      </c>
      <c r="G571" s="30" t="s">
        <v>1682</v>
      </c>
      <c r="H571" s="30" t="s">
        <v>1690</v>
      </c>
      <c r="I571" s="30" t="s">
        <v>1691</v>
      </c>
      <c r="J571" s="30" t="s">
        <v>1692</v>
      </c>
      <c r="K571" s="159">
        <v>6999.998000000001</v>
      </c>
      <c r="L571" s="159">
        <v>6999.998000000001</v>
      </c>
      <c r="M571" s="159">
        <v>1469.03356871168</v>
      </c>
      <c r="N571" s="159">
        <v>1423.12626968944</v>
      </c>
      <c r="O571" s="159">
        <v>189.02</v>
      </c>
      <c r="P571" s="159">
        <v>189.02</v>
      </c>
      <c r="Q571" s="159">
        <v>349.9999</v>
      </c>
      <c r="R571" s="159">
        <v>349.9999</v>
      </c>
      <c r="S571" s="159">
        <v>9008.051468711681</v>
      </c>
      <c r="T571" s="159">
        <v>8962.144169689442</v>
      </c>
      <c r="U571" s="159">
        <v>1441.288234993869</v>
      </c>
      <c r="V571" s="159">
        <v>1433.943067150311</v>
      </c>
      <c r="W571" s="159">
        <v>10449.33970370555</v>
      </c>
      <c r="X571" s="159">
        <v>10396.08723683975</v>
      </c>
      <c r="Y571" s="159">
        <v>13999.996</v>
      </c>
      <c r="Z571" s="159">
        <v>2892.15983840112</v>
      </c>
      <c r="AA571" s="159">
        <v>378.04</v>
      </c>
      <c r="AB571" s="159">
        <v>699.9998</v>
      </c>
      <c r="AC571" s="214">
        <v>17970.19563840112</v>
      </c>
      <c r="AD571" s="159">
        <v>2875.23130214418</v>
      </c>
      <c r="AE571" s="159">
        <v>20845.4269405453</v>
      </c>
      <c r="AF571" s="159">
        <v>17970.19563840112</v>
      </c>
    </row>
    <row r="572">
      <c r="A572" s="153" t="s">
        <v>171</v>
      </c>
      <c r="B572" s="153"/>
      <c r="D572" s="153" t="str">
        <f t="shared" si="1"/>
        <v>SI</v>
      </c>
      <c r="F572" s="30" t="s">
        <v>43</v>
      </c>
      <c r="G572" s="30" t="s">
        <v>1682</v>
      </c>
      <c r="H572" s="30" t="s">
        <v>1679</v>
      </c>
      <c r="I572" s="30" t="s">
        <v>1693</v>
      </c>
      <c r="J572" s="30" t="s">
        <v>1694</v>
      </c>
      <c r="K572" s="159">
        <v>3024.4</v>
      </c>
      <c r="L572" s="159">
        <v>3024.4</v>
      </c>
      <c r="M572" s="159">
        <v>0.0</v>
      </c>
      <c r="N572" s="159">
        <v>0.0</v>
      </c>
      <c r="O572" s="159">
        <v>0.0</v>
      </c>
      <c r="P572" s="159">
        <v>0.0</v>
      </c>
      <c r="Q572" s="159">
        <v>151.22</v>
      </c>
      <c r="R572" s="159">
        <v>151.22</v>
      </c>
      <c r="S572" s="159">
        <v>3175.62</v>
      </c>
      <c r="T572" s="159">
        <v>3175.62</v>
      </c>
      <c r="U572" s="159">
        <v>508.0992</v>
      </c>
      <c r="V572" s="159">
        <v>508.0992</v>
      </c>
      <c r="W572" s="159">
        <v>3683.7192</v>
      </c>
      <c r="X572" s="159">
        <v>3683.7192</v>
      </c>
      <c r="Y572" s="159">
        <v>6048.8</v>
      </c>
      <c r="Z572" s="159">
        <v>0.0</v>
      </c>
      <c r="AA572" s="159">
        <v>0.0</v>
      </c>
      <c r="AB572" s="159">
        <v>302.44</v>
      </c>
      <c r="AC572" s="214">
        <v>6351.24</v>
      </c>
      <c r="AD572" s="159">
        <v>1016.1984</v>
      </c>
      <c r="AE572" s="159">
        <v>7367.4384</v>
      </c>
      <c r="AF572" s="159">
        <v>6351.24</v>
      </c>
    </row>
    <row r="573">
      <c r="A573" s="153" t="s">
        <v>195</v>
      </c>
      <c r="B573" s="153"/>
      <c r="D573" s="153" t="str">
        <f t="shared" si="1"/>
        <v>SI</v>
      </c>
      <c r="F573" s="30" t="s">
        <v>46</v>
      </c>
      <c r="G573" s="30" t="s">
        <v>1682</v>
      </c>
      <c r="H573" s="30" t="s">
        <v>1690</v>
      </c>
      <c r="I573" s="30" t="s">
        <v>1695</v>
      </c>
      <c r="J573" s="30" t="s">
        <v>1696</v>
      </c>
      <c r="K573" s="159">
        <v>7499.998000000001</v>
      </c>
      <c r="L573" s="159">
        <v>7499.998000000001</v>
      </c>
      <c r="M573" s="159">
        <v>1464.81737074944</v>
      </c>
      <c r="N573" s="159">
        <v>1419.04182791352</v>
      </c>
      <c r="O573" s="159">
        <v>189.02</v>
      </c>
      <c r="P573" s="159">
        <v>189.02</v>
      </c>
      <c r="Q573" s="159">
        <v>374.9999</v>
      </c>
      <c r="R573" s="159">
        <v>374.9999</v>
      </c>
      <c r="S573" s="159">
        <v>9528.835270749441</v>
      </c>
      <c r="T573" s="159">
        <v>9483.05972791352</v>
      </c>
      <c r="U573" s="159">
        <v>1524.613643319911</v>
      </c>
      <c r="V573" s="159">
        <v>1517.289556466163</v>
      </c>
      <c r="W573" s="159">
        <v>11053.44891406935</v>
      </c>
      <c r="X573" s="159">
        <v>11000.34928437968</v>
      </c>
      <c r="Y573" s="159">
        <v>14999.996</v>
      </c>
      <c r="Z573" s="159">
        <v>2883.85919866296</v>
      </c>
      <c r="AA573" s="159">
        <v>378.04</v>
      </c>
      <c r="AB573" s="159">
        <v>749.9998</v>
      </c>
      <c r="AC573" s="214">
        <v>19011.89499866296</v>
      </c>
      <c r="AD573" s="159">
        <v>3041.903199786074</v>
      </c>
      <c r="AE573" s="159">
        <v>22053.79819844903</v>
      </c>
      <c r="AF573" s="159">
        <v>19011.89499866296</v>
      </c>
    </row>
    <row r="574">
      <c r="A574" s="153" t="s">
        <v>336</v>
      </c>
      <c r="B574" s="153"/>
      <c r="D574" s="153" t="str">
        <f t="shared" si="1"/>
        <v>SI</v>
      </c>
      <c r="F574" s="30" t="s">
        <v>49</v>
      </c>
      <c r="G574" s="30" t="s">
        <v>1678</v>
      </c>
      <c r="H574" s="30" t="s">
        <v>1683</v>
      </c>
      <c r="I574" s="159">
        <v>0.0</v>
      </c>
      <c r="J574" s="30" t="s">
        <v>1697</v>
      </c>
      <c r="K574" s="159">
        <v>7999.998000000001</v>
      </c>
      <c r="L574" s="159">
        <v>7999.998000000001</v>
      </c>
      <c r="M574" s="159">
        <v>1461.93801604352</v>
      </c>
      <c r="N574" s="159">
        <v>1416.25245304216</v>
      </c>
      <c r="O574" s="159">
        <v>189.02</v>
      </c>
      <c r="P574" s="159">
        <v>189.02</v>
      </c>
      <c r="Q574" s="159">
        <v>399.9999</v>
      </c>
      <c r="R574" s="159">
        <v>399.9999</v>
      </c>
      <c r="S574" s="159">
        <v>10050.95591604352</v>
      </c>
      <c r="T574" s="159">
        <v>10005.27035304216</v>
      </c>
      <c r="U574" s="159">
        <v>1608.152946566963</v>
      </c>
      <c r="V574" s="159">
        <v>1600.843256486746</v>
      </c>
      <c r="W574" s="159">
        <v>11659.10886261048</v>
      </c>
      <c r="X574" s="159">
        <v>11606.11360952891</v>
      </c>
      <c r="Y574" s="159">
        <v>15999.996</v>
      </c>
      <c r="Z574" s="159">
        <v>2878.19046908568</v>
      </c>
      <c r="AA574" s="159">
        <v>378.04</v>
      </c>
      <c r="AB574" s="159">
        <v>799.9998</v>
      </c>
      <c r="AC574" s="214">
        <v>20056.22626908568</v>
      </c>
      <c r="AD574" s="159">
        <v>3208.996203053709</v>
      </c>
      <c r="AE574" s="159">
        <v>23265.22247213939</v>
      </c>
      <c r="AF574" s="159">
        <v>20056.22626908568</v>
      </c>
    </row>
    <row r="575">
      <c r="A575" s="153" t="s">
        <v>230</v>
      </c>
      <c r="B575" s="153"/>
      <c r="D575" s="153" t="str">
        <f t="shared" si="1"/>
        <v>SI</v>
      </c>
      <c r="F575" s="30" t="s">
        <v>51</v>
      </c>
      <c r="G575" s="30" t="s">
        <v>1678</v>
      </c>
      <c r="H575" s="30" t="s">
        <v>1679</v>
      </c>
      <c r="I575" s="30"/>
      <c r="J575" s="30" t="s">
        <v>1681</v>
      </c>
      <c r="K575" s="159">
        <v>4274.4</v>
      </c>
      <c r="L575" s="159">
        <v>4274.4</v>
      </c>
      <c r="M575" s="159">
        <v>0.0</v>
      </c>
      <c r="N575" s="159">
        <v>0.0</v>
      </c>
      <c r="O575" s="159">
        <v>0.0</v>
      </c>
      <c r="P575" s="159">
        <v>0.0</v>
      </c>
      <c r="Q575" s="159">
        <v>213.72</v>
      </c>
      <c r="R575" s="159">
        <v>213.72</v>
      </c>
      <c r="S575" s="159">
        <v>4488.12</v>
      </c>
      <c r="T575" s="159">
        <v>4488.12</v>
      </c>
      <c r="U575" s="159">
        <v>718.0992</v>
      </c>
      <c r="V575" s="159">
        <v>718.0992</v>
      </c>
      <c r="W575" s="159">
        <v>5206.2192</v>
      </c>
      <c r="X575" s="159">
        <v>5206.2192</v>
      </c>
      <c r="Y575" s="159">
        <v>8548.8</v>
      </c>
      <c r="Z575" s="159">
        <v>0.0</v>
      </c>
      <c r="AA575" s="159">
        <v>0.0</v>
      </c>
      <c r="AB575" s="159">
        <v>427.44</v>
      </c>
      <c r="AC575" s="214">
        <v>8976.24</v>
      </c>
      <c r="AD575" s="159">
        <v>1436.1984</v>
      </c>
      <c r="AE575" s="159">
        <v>10412.4384</v>
      </c>
      <c r="AF575" s="159">
        <v>8976.24</v>
      </c>
    </row>
    <row r="576">
      <c r="A576" s="153" t="s">
        <v>344</v>
      </c>
      <c r="B576" s="153"/>
      <c r="D576" s="153" t="str">
        <f t="shared" si="1"/>
        <v>SI</v>
      </c>
      <c r="F576" s="30" t="s">
        <v>53</v>
      </c>
      <c r="G576" s="30" t="s">
        <v>1682</v>
      </c>
      <c r="H576" s="30" t="s">
        <v>1698</v>
      </c>
      <c r="I576" s="30" t="s">
        <v>1699</v>
      </c>
      <c r="J576" s="30" t="s">
        <v>1699</v>
      </c>
      <c r="K576" s="159">
        <v>4725.598000000001</v>
      </c>
      <c r="L576" s="159">
        <v>4725.598000000001</v>
      </c>
      <c r="M576" s="159">
        <v>1461.93801604352</v>
      </c>
      <c r="N576" s="159">
        <v>1416.25245304216</v>
      </c>
      <c r="O576" s="159">
        <v>189.02</v>
      </c>
      <c r="P576" s="159">
        <v>189.02</v>
      </c>
      <c r="Q576" s="159">
        <v>236.2799000000001</v>
      </c>
      <c r="R576" s="159">
        <v>236.2799000000001</v>
      </c>
      <c r="S576" s="159">
        <v>6612.835916043521</v>
      </c>
      <c r="T576" s="159">
        <v>6567.150353042161</v>
      </c>
      <c r="U576" s="159">
        <v>1058.053746566963</v>
      </c>
      <c r="V576" s="159">
        <v>1050.744056486746</v>
      </c>
      <c r="W576" s="159">
        <v>7670.889662610484</v>
      </c>
      <c r="X576" s="159">
        <v>7617.894409528907</v>
      </c>
      <c r="Y576" s="159">
        <v>9451.196000000002</v>
      </c>
      <c r="Z576" s="159">
        <v>2878.19046908568</v>
      </c>
      <c r="AA576" s="159">
        <v>378.04</v>
      </c>
      <c r="AB576" s="159">
        <v>472.5598000000001</v>
      </c>
      <c r="AC576" s="214">
        <v>13179.98626908568</v>
      </c>
      <c r="AD576" s="159">
        <v>2108.797803053709</v>
      </c>
      <c r="AE576" s="159">
        <v>15288.78407213939</v>
      </c>
      <c r="AF576" s="159">
        <v>13179.98626908568</v>
      </c>
    </row>
    <row r="577">
      <c r="A577" s="153" t="s">
        <v>59</v>
      </c>
      <c r="B577" s="153"/>
      <c r="D577" s="153" t="str">
        <f t="shared" si="1"/>
        <v>SI</v>
      </c>
      <c r="F577" s="30" t="s">
        <v>56</v>
      </c>
      <c r="G577" s="30" t="s">
        <v>1678</v>
      </c>
      <c r="H577" s="30" t="s">
        <v>1679</v>
      </c>
      <c r="I577" s="30"/>
      <c r="J577" s="30" t="s">
        <v>1700</v>
      </c>
      <c r="K577" s="159">
        <v>2774.4</v>
      </c>
      <c r="L577" s="159">
        <v>2774.4</v>
      </c>
      <c r="M577" s="159">
        <v>0.0</v>
      </c>
      <c r="N577" s="159">
        <v>0.0</v>
      </c>
      <c r="O577" s="159">
        <v>0.0</v>
      </c>
      <c r="P577" s="159">
        <v>0.0</v>
      </c>
      <c r="Q577" s="159">
        <v>138.72</v>
      </c>
      <c r="R577" s="159">
        <v>138.72</v>
      </c>
      <c r="S577" s="159">
        <v>2913.12</v>
      </c>
      <c r="T577" s="159">
        <v>2913.12</v>
      </c>
      <c r="U577" s="159">
        <v>466.0992</v>
      </c>
      <c r="V577" s="159">
        <v>466.0992</v>
      </c>
      <c r="W577" s="159">
        <v>3379.2192</v>
      </c>
      <c r="X577" s="159">
        <v>3379.2192</v>
      </c>
      <c r="Y577" s="159">
        <v>5548.8</v>
      </c>
      <c r="Z577" s="159">
        <v>0.0</v>
      </c>
      <c r="AA577" s="159">
        <v>0.0</v>
      </c>
      <c r="AB577" s="159">
        <v>277.44</v>
      </c>
      <c r="AC577" s="214">
        <v>5826.24</v>
      </c>
      <c r="AD577" s="159">
        <v>932.1984</v>
      </c>
      <c r="AE577" s="159">
        <v>6758.4384</v>
      </c>
      <c r="AF577" s="159">
        <v>5826.24</v>
      </c>
    </row>
    <row r="578">
      <c r="A578" s="153" t="s">
        <v>219</v>
      </c>
      <c r="B578" s="153"/>
      <c r="D578" s="153" t="str">
        <f t="shared" si="1"/>
        <v>SI</v>
      </c>
      <c r="F578" s="30" t="s">
        <v>58</v>
      </c>
      <c r="G578" s="30" t="s">
        <v>1701</v>
      </c>
      <c r="H578" s="30" t="s">
        <v>1679</v>
      </c>
      <c r="I578" s="30" t="s">
        <v>1693</v>
      </c>
      <c r="J578" s="30" t="s">
        <v>1694</v>
      </c>
      <c r="K578" s="159">
        <v>2274.4</v>
      </c>
      <c r="L578" s="159">
        <v>551.99</v>
      </c>
      <c r="M578" s="159">
        <v>0.0</v>
      </c>
      <c r="N578" s="159">
        <v>0.0</v>
      </c>
      <c r="O578" s="159">
        <v>0.0</v>
      </c>
      <c r="P578" s="159">
        <v>0.0</v>
      </c>
      <c r="Q578" s="159">
        <v>113.72</v>
      </c>
      <c r="R578" s="159">
        <v>27.5995</v>
      </c>
      <c r="S578" s="159">
        <v>2388.12</v>
      </c>
      <c r="T578" s="159">
        <v>579.5895</v>
      </c>
      <c r="U578" s="159">
        <v>382.0992</v>
      </c>
      <c r="V578" s="159">
        <v>92.73432000000001</v>
      </c>
      <c r="W578" s="159">
        <v>2770.2192</v>
      </c>
      <c r="X578" s="159">
        <v>672.3238200000001</v>
      </c>
      <c r="Y578" s="159">
        <v>2826.39</v>
      </c>
      <c r="Z578" s="159">
        <v>0.0</v>
      </c>
      <c r="AA578" s="159">
        <v>0.0</v>
      </c>
      <c r="AB578" s="159">
        <v>141.3195</v>
      </c>
      <c r="AC578" s="214">
        <v>2967.7095</v>
      </c>
      <c r="AD578" s="159">
        <v>474.83352</v>
      </c>
      <c r="AE578" s="159">
        <v>3442.54302</v>
      </c>
      <c r="AF578" s="159">
        <v>2967.7095</v>
      </c>
    </row>
    <row r="579">
      <c r="A579" s="153" t="s">
        <v>84</v>
      </c>
      <c r="B579" s="153"/>
      <c r="D579" s="153" t="str">
        <f t="shared" si="1"/>
        <v>SI</v>
      </c>
      <c r="F579" s="30" t="s">
        <v>60</v>
      </c>
      <c r="G579" s="30" t="s">
        <v>1702</v>
      </c>
      <c r="H579" s="30" t="s">
        <v>1679</v>
      </c>
      <c r="I579" s="30" t="s">
        <v>1693</v>
      </c>
      <c r="J579" s="30" t="s">
        <v>1694</v>
      </c>
      <c r="K579" s="159">
        <v>5999.998000000001</v>
      </c>
      <c r="L579" s="159">
        <v>5999.998000000001</v>
      </c>
      <c r="M579" s="159">
        <v>1484.174283695642</v>
      </c>
      <c r="N579" s="159">
        <v>1437.793837330153</v>
      </c>
      <c r="O579" s="159">
        <v>189.02</v>
      </c>
      <c r="P579" s="159">
        <v>189.02</v>
      </c>
      <c r="Q579" s="159">
        <v>299.9999</v>
      </c>
      <c r="R579" s="159">
        <v>299.9999</v>
      </c>
      <c r="S579" s="159">
        <v>7973.192183695643</v>
      </c>
      <c r="T579" s="159">
        <v>7926.811737330154</v>
      </c>
      <c r="U579" s="159">
        <v>1275.710749391303</v>
      </c>
      <c r="V579" s="159">
        <v>1268.289877972825</v>
      </c>
      <c r="W579" s="159">
        <v>9248.902933086945</v>
      </c>
      <c r="X579" s="159">
        <v>9195.101615302978</v>
      </c>
      <c r="Y579" s="159">
        <v>11999.996</v>
      </c>
      <c r="Z579" s="159">
        <v>2921.968121025795</v>
      </c>
      <c r="AA579" s="159">
        <v>378.04</v>
      </c>
      <c r="AB579" s="159">
        <v>599.9998</v>
      </c>
      <c r="AC579" s="214">
        <v>15900.0039210258</v>
      </c>
      <c r="AD579" s="159">
        <v>2544.000627364127</v>
      </c>
      <c r="AE579" s="159">
        <v>18444.00454838992</v>
      </c>
      <c r="AF579" s="159">
        <v>15900.0039210258</v>
      </c>
    </row>
    <row r="580">
      <c r="A580" s="153" t="s">
        <v>232</v>
      </c>
      <c r="B580" s="153"/>
      <c r="D580" s="153" t="str">
        <f t="shared" si="1"/>
        <v>SI</v>
      </c>
      <c r="F580" s="30" t="s">
        <v>63</v>
      </c>
      <c r="G580" s="30" t="s">
        <v>1703</v>
      </c>
      <c r="H580" s="30" t="s">
        <v>1679</v>
      </c>
      <c r="I580" s="30" t="s">
        <v>1693</v>
      </c>
      <c r="J580" s="30" t="s">
        <v>1694</v>
      </c>
      <c r="K580" s="159">
        <v>6499.998000000001</v>
      </c>
      <c r="L580" s="159">
        <v>6499.998000000001</v>
      </c>
      <c r="M580" s="159">
        <v>1489.939020956826</v>
      </c>
      <c r="N580" s="159">
        <v>1443.378426551925</v>
      </c>
      <c r="O580" s="159">
        <v>189.02</v>
      </c>
      <c r="P580" s="159">
        <v>189.02</v>
      </c>
      <c r="Q580" s="159">
        <v>324.9999</v>
      </c>
      <c r="R580" s="159">
        <v>324.9999</v>
      </c>
      <c r="S580" s="159">
        <v>8503.956920956825</v>
      </c>
      <c r="T580" s="159">
        <v>8457.396326551925</v>
      </c>
      <c r="U580" s="159">
        <v>1360.633107353092</v>
      </c>
      <c r="V580" s="159">
        <v>1353.183412248308</v>
      </c>
      <c r="W580" s="159">
        <v>9864.590028309918</v>
      </c>
      <c r="X580" s="159">
        <v>9810.579738800234</v>
      </c>
      <c r="Y580" s="159">
        <v>12999.996</v>
      </c>
      <c r="Z580" s="159">
        <v>2933.317447508751</v>
      </c>
      <c r="AA580" s="159">
        <v>378.04</v>
      </c>
      <c r="AB580" s="159">
        <v>649.9998</v>
      </c>
      <c r="AC580" s="214">
        <v>16961.35324750875</v>
      </c>
      <c r="AD580" s="159">
        <v>2713.8165196014</v>
      </c>
      <c r="AE580" s="159">
        <v>19675.16976711015</v>
      </c>
      <c r="AF580" s="159">
        <v>16961.35324750875</v>
      </c>
    </row>
    <row r="581">
      <c r="A581" s="153" t="s">
        <v>272</v>
      </c>
      <c r="B581" s="153"/>
      <c r="D581" s="153" t="str">
        <f t="shared" si="1"/>
        <v>SI</v>
      </c>
      <c r="F581" s="30" t="s">
        <v>74</v>
      </c>
      <c r="G581" s="30" t="s">
        <v>1682</v>
      </c>
      <c r="H581" s="30" t="s">
        <v>1704</v>
      </c>
      <c r="I581" s="30" t="s">
        <v>1684</v>
      </c>
      <c r="J581" s="30" t="s">
        <v>1684</v>
      </c>
      <c r="K581" s="159">
        <v>14500.0</v>
      </c>
      <c r="L581" s="159">
        <v>14500.0</v>
      </c>
      <c r="M581" s="159">
        <v>0.0</v>
      </c>
      <c r="N581" s="159">
        <v>0.0</v>
      </c>
      <c r="O581" s="159">
        <v>0.0</v>
      </c>
      <c r="P581" s="159">
        <v>0.0</v>
      </c>
      <c r="Q581" s="159">
        <v>725.0</v>
      </c>
      <c r="R581" s="159">
        <v>725.0</v>
      </c>
      <c r="S581" s="159">
        <v>15225.0</v>
      </c>
      <c r="T581" s="159">
        <v>15225.0</v>
      </c>
      <c r="U581" s="159">
        <v>2436.0</v>
      </c>
      <c r="V581" s="159">
        <v>2436.0</v>
      </c>
      <c r="W581" s="159">
        <v>17661.0</v>
      </c>
      <c r="X581" s="159">
        <v>17661.0</v>
      </c>
      <c r="Y581" s="159">
        <v>29000.0</v>
      </c>
      <c r="Z581" s="159">
        <v>0.0</v>
      </c>
      <c r="AA581" s="159">
        <v>0.0</v>
      </c>
      <c r="AB581" s="159">
        <v>1450.0</v>
      </c>
      <c r="AC581" s="214">
        <v>30450.0</v>
      </c>
      <c r="AD581" s="159">
        <v>4872.0</v>
      </c>
      <c r="AE581" s="159">
        <v>35322.0</v>
      </c>
      <c r="AF581" s="159">
        <v>30450.0</v>
      </c>
    </row>
    <row r="582">
      <c r="A582" s="153" t="s">
        <v>227</v>
      </c>
      <c r="B582" s="153"/>
      <c r="D582" s="153" t="str">
        <f t="shared" si="1"/>
        <v>SI</v>
      </c>
      <c r="F582" s="30" t="s">
        <v>77</v>
      </c>
      <c r="G582" s="30" t="s">
        <v>1682</v>
      </c>
      <c r="H582" s="30" t="s">
        <v>1683</v>
      </c>
      <c r="I582" s="30" t="s">
        <v>1705</v>
      </c>
      <c r="J582" s="30" t="s">
        <v>1705</v>
      </c>
      <c r="K582" s="159">
        <v>14500.098</v>
      </c>
      <c r="L582" s="159">
        <v>14500.098</v>
      </c>
      <c r="M582" s="159">
        <v>1463.37769339648</v>
      </c>
      <c r="N582" s="159">
        <v>1417.64714047784</v>
      </c>
      <c r="O582" s="159">
        <v>189.02</v>
      </c>
      <c r="P582" s="159">
        <v>189.02</v>
      </c>
      <c r="Q582" s="159">
        <v>725.0049000000001</v>
      </c>
      <c r="R582" s="159">
        <v>725.0049000000001</v>
      </c>
      <c r="S582" s="159">
        <v>16877.50059339648</v>
      </c>
      <c r="T582" s="159">
        <v>16831.77004047784</v>
      </c>
      <c r="U582" s="159">
        <v>2700.400094943437</v>
      </c>
      <c r="V582" s="159">
        <v>2693.083206476455</v>
      </c>
      <c r="W582" s="159">
        <v>19577.90068833992</v>
      </c>
      <c r="X582" s="159">
        <v>19524.8532469543</v>
      </c>
      <c r="Y582" s="159">
        <v>29000.196</v>
      </c>
      <c r="Z582" s="159">
        <v>2881.02483387432</v>
      </c>
      <c r="AA582" s="159">
        <v>378.04</v>
      </c>
      <c r="AB582" s="159">
        <v>1450.0098</v>
      </c>
      <c r="AC582" s="214">
        <v>33709.27063387432</v>
      </c>
      <c r="AD582" s="159">
        <v>5393.483301419892</v>
      </c>
      <c r="AE582" s="159">
        <v>39102.75393529421</v>
      </c>
      <c r="AF582" s="159">
        <v>33709.27063387432</v>
      </c>
    </row>
    <row r="583">
      <c r="A583" s="153" t="s">
        <v>138</v>
      </c>
      <c r="B583" s="153"/>
      <c r="D583" s="153" t="str">
        <f t="shared" si="1"/>
        <v>SI</v>
      </c>
      <c r="F583" s="30" t="s">
        <v>79</v>
      </c>
      <c r="G583" s="30" t="s">
        <v>1682</v>
      </c>
      <c r="H583" s="30" t="s">
        <v>1706</v>
      </c>
      <c r="I583" s="30" t="s">
        <v>523</v>
      </c>
      <c r="J583" s="30" t="s">
        <v>523</v>
      </c>
      <c r="K583" s="159">
        <v>5999.998000000001</v>
      </c>
      <c r="L583" s="159">
        <v>5999.998000000001</v>
      </c>
      <c r="M583" s="159">
        <v>1783.98074406592</v>
      </c>
      <c r="N583" s="159">
        <v>1728.23134581386</v>
      </c>
      <c r="O583" s="159">
        <v>189.02</v>
      </c>
      <c r="P583" s="159">
        <v>189.02</v>
      </c>
      <c r="Q583" s="159">
        <v>299.9999</v>
      </c>
      <c r="R583" s="159">
        <v>299.9999</v>
      </c>
      <c r="S583" s="159">
        <v>8272.99864406592</v>
      </c>
      <c r="T583" s="159">
        <v>8217.24924581386</v>
      </c>
      <c r="U583" s="159">
        <v>1323.679783050547</v>
      </c>
      <c r="V583" s="159">
        <v>1314.759879330218</v>
      </c>
      <c r="W583" s="159">
        <v>9596.678427116467</v>
      </c>
      <c r="X583" s="159">
        <v>9532.009125144079</v>
      </c>
      <c r="Y583" s="159">
        <v>11999.996</v>
      </c>
      <c r="Z583" s="159">
        <v>3512.212089879779</v>
      </c>
      <c r="AA583" s="159">
        <v>378.04</v>
      </c>
      <c r="AB583" s="159">
        <v>599.9998</v>
      </c>
      <c r="AC583" s="214">
        <v>16490.24788987978</v>
      </c>
      <c r="AD583" s="159">
        <v>2638.439662380765</v>
      </c>
      <c r="AE583" s="159">
        <v>19128.68755226055</v>
      </c>
      <c r="AF583" s="159">
        <v>16490.24788987978</v>
      </c>
    </row>
    <row r="584">
      <c r="A584" s="153" t="s">
        <v>126</v>
      </c>
      <c r="B584" s="153"/>
      <c r="D584" s="153" t="str">
        <f t="shared" si="1"/>
        <v>SI</v>
      </c>
      <c r="F584" s="30" t="s">
        <v>1707</v>
      </c>
      <c r="G584" s="30" t="s">
        <v>1678</v>
      </c>
      <c r="H584" s="30" t="s">
        <v>1683</v>
      </c>
      <c r="I584" s="30"/>
      <c r="J584" s="30" t="s">
        <v>1708</v>
      </c>
      <c r="K584" s="159">
        <v>8499.998</v>
      </c>
      <c r="L584" s="159">
        <v>8499.998</v>
      </c>
      <c r="M584" s="159">
        <v>1461.93801604352</v>
      </c>
      <c r="N584" s="159">
        <v>1416.25245304216</v>
      </c>
      <c r="O584" s="159">
        <v>189.02</v>
      </c>
      <c r="P584" s="159">
        <v>189.02</v>
      </c>
      <c r="Q584" s="159">
        <v>424.9999</v>
      </c>
      <c r="R584" s="159">
        <v>424.9999</v>
      </c>
      <c r="S584" s="159">
        <v>10575.95591604352</v>
      </c>
      <c r="T584" s="159">
        <v>10530.27035304216</v>
      </c>
      <c r="U584" s="159">
        <v>1692.152946566963</v>
      </c>
      <c r="V584" s="159">
        <v>1684.843256486746</v>
      </c>
      <c r="W584" s="159">
        <v>12268.10886261048</v>
      </c>
      <c r="X584" s="159">
        <v>12215.11360952891</v>
      </c>
      <c r="Y584" s="159">
        <v>16999.996</v>
      </c>
      <c r="Z584" s="159">
        <v>2878.19046908568</v>
      </c>
      <c r="AA584" s="159">
        <v>378.04</v>
      </c>
      <c r="AB584" s="159">
        <v>849.9998</v>
      </c>
      <c r="AC584" s="214">
        <v>21106.22626908568</v>
      </c>
      <c r="AD584" s="159">
        <v>3376.996203053709</v>
      </c>
      <c r="AE584" s="159">
        <v>24483.22247213939</v>
      </c>
      <c r="AF584" s="159">
        <v>21106.22626908568</v>
      </c>
    </row>
    <row r="585">
      <c r="A585" s="153" t="s">
        <v>165</v>
      </c>
      <c r="B585" s="153"/>
      <c r="D585" s="153" t="str">
        <f t="shared" si="1"/>
        <v>SI</v>
      </c>
      <c r="F585" s="30" t="s">
        <v>81</v>
      </c>
      <c r="G585" s="30" t="s">
        <v>1682</v>
      </c>
      <c r="H585" s="30" t="s">
        <v>1690</v>
      </c>
      <c r="I585" s="30" t="s">
        <v>1695</v>
      </c>
      <c r="J585" s="30" t="s">
        <v>1696</v>
      </c>
      <c r="K585" s="159">
        <v>7499.998000000001</v>
      </c>
      <c r="L585" s="159">
        <v>7499.998000000001</v>
      </c>
      <c r="M585" s="159">
        <v>1461.93801604352</v>
      </c>
      <c r="N585" s="159">
        <v>1416.25245304216</v>
      </c>
      <c r="O585" s="159">
        <v>189.02</v>
      </c>
      <c r="P585" s="159">
        <v>189.02</v>
      </c>
      <c r="Q585" s="159">
        <v>374.9999</v>
      </c>
      <c r="R585" s="159">
        <v>374.9999</v>
      </c>
      <c r="S585" s="159">
        <v>9525.95591604352</v>
      </c>
      <c r="T585" s="159">
        <v>9480.27035304216</v>
      </c>
      <c r="U585" s="159">
        <v>1524.152946566963</v>
      </c>
      <c r="V585" s="159">
        <v>1516.843256486746</v>
      </c>
      <c r="W585" s="159">
        <v>11050.10886261048</v>
      </c>
      <c r="X585" s="159">
        <v>10997.11360952891</v>
      </c>
      <c r="Y585" s="159">
        <v>14999.996</v>
      </c>
      <c r="Z585" s="159">
        <v>2878.19046908568</v>
      </c>
      <c r="AA585" s="159">
        <v>378.04</v>
      </c>
      <c r="AB585" s="159">
        <v>749.9998</v>
      </c>
      <c r="AC585" s="214">
        <v>19006.22626908568</v>
      </c>
      <c r="AD585" s="159">
        <v>3040.996203053709</v>
      </c>
      <c r="AE585" s="159">
        <v>22047.22247213939</v>
      </c>
      <c r="AF585" s="159">
        <v>19006.22626908568</v>
      </c>
    </row>
    <row r="586">
      <c r="A586" s="153" t="s">
        <v>326</v>
      </c>
      <c r="B586" s="153"/>
      <c r="D586" s="153" t="str">
        <f t="shared" si="1"/>
        <v>SI</v>
      </c>
      <c r="F586" s="30" t="s">
        <v>83</v>
      </c>
      <c r="G586" s="30" t="s">
        <v>1678</v>
      </c>
      <c r="H586" s="30" t="s">
        <v>1683</v>
      </c>
      <c r="I586" s="159">
        <v>0.0</v>
      </c>
      <c r="J586" s="30" t="s">
        <v>1709</v>
      </c>
      <c r="K586" s="159">
        <v>5249.998000000001</v>
      </c>
      <c r="L586" s="159">
        <v>5249.998000000001</v>
      </c>
      <c r="M586" s="159">
        <v>1461.93801604352</v>
      </c>
      <c r="N586" s="159">
        <v>1416.25245304216</v>
      </c>
      <c r="O586" s="159">
        <v>189.02</v>
      </c>
      <c r="P586" s="159">
        <v>189.02</v>
      </c>
      <c r="Q586" s="159">
        <v>262.4999</v>
      </c>
      <c r="R586" s="159">
        <v>262.4999</v>
      </c>
      <c r="S586" s="159">
        <v>7163.45591604352</v>
      </c>
      <c r="T586" s="159">
        <v>7117.77035304216</v>
      </c>
      <c r="U586" s="159">
        <v>1146.152946566963</v>
      </c>
      <c r="V586" s="159">
        <v>1138.843256486746</v>
      </c>
      <c r="W586" s="159">
        <v>8309.608862610483</v>
      </c>
      <c r="X586" s="159">
        <v>8256.613609528906</v>
      </c>
      <c r="Y586" s="159">
        <v>10499.996</v>
      </c>
      <c r="Z586" s="159">
        <v>2878.19046908568</v>
      </c>
      <c r="AA586" s="159">
        <v>378.04</v>
      </c>
      <c r="AB586" s="159">
        <v>524.9998</v>
      </c>
      <c r="AC586" s="214">
        <v>14281.22626908568</v>
      </c>
      <c r="AD586" s="159">
        <v>2284.996203053709</v>
      </c>
      <c r="AE586" s="159">
        <v>16566.22247213939</v>
      </c>
      <c r="AF586" s="159">
        <v>14281.22626908568</v>
      </c>
    </row>
    <row r="587">
      <c r="A587" s="153" t="s">
        <v>246</v>
      </c>
      <c r="B587" s="153"/>
      <c r="D587" s="153" t="str">
        <f t="shared" si="1"/>
        <v>SI</v>
      </c>
      <c r="F587" s="30" t="s">
        <v>85</v>
      </c>
      <c r="G587" s="30" t="s">
        <v>1682</v>
      </c>
      <c r="H587" s="30" t="s">
        <v>1690</v>
      </c>
      <c r="I587" s="30"/>
      <c r="J587" s="30" t="s">
        <v>1710</v>
      </c>
      <c r="K587" s="159">
        <v>5999.998000000001</v>
      </c>
      <c r="L587" s="159">
        <v>5999.998000000001</v>
      </c>
      <c r="M587" s="159">
        <v>1461.93801604352</v>
      </c>
      <c r="N587" s="159">
        <v>1416.25245304216</v>
      </c>
      <c r="O587" s="159">
        <v>189.02</v>
      </c>
      <c r="P587" s="159">
        <v>189.02</v>
      </c>
      <c r="Q587" s="159">
        <v>299.9999</v>
      </c>
      <c r="R587" s="159">
        <v>299.9999</v>
      </c>
      <c r="S587" s="159">
        <v>7950.95591604352</v>
      </c>
      <c r="T587" s="159">
        <v>7905.27035304216</v>
      </c>
      <c r="U587" s="159">
        <v>1272.152946566963</v>
      </c>
      <c r="V587" s="159">
        <v>1264.843256486746</v>
      </c>
      <c r="W587" s="159">
        <v>9223.108862610483</v>
      </c>
      <c r="X587" s="159">
        <v>9170.113609528906</v>
      </c>
      <c r="Y587" s="159">
        <v>11999.996</v>
      </c>
      <c r="Z587" s="159">
        <v>2878.19046908568</v>
      </c>
      <c r="AA587" s="159">
        <v>378.04</v>
      </c>
      <c r="AB587" s="159">
        <v>599.9998</v>
      </c>
      <c r="AC587" s="214">
        <v>15856.22626908568</v>
      </c>
      <c r="AD587" s="159">
        <v>2536.996203053709</v>
      </c>
      <c r="AE587" s="159">
        <v>18393.22247213939</v>
      </c>
      <c r="AF587" s="159">
        <v>15856.22626908568</v>
      </c>
    </row>
    <row r="588">
      <c r="A588" s="153" t="s">
        <v>262</v>
      </c>
      <c r="B588" s="153"/>
      <c r="D588" s="153" t="str">
        <f t="shared" si="1"/>
        <v>SI</v>
      </c>
      <c r="F588" s="30" t="s">
        <v>1711</v>
      </c>
      <c r="G588" s="30" t="s">
        <v>1678</v>
      </c>
      <c r="H588" s="30" t="s">
        <v>1679</v>
      </c>
      <c r="I588" s="30"/>
      <c r="J588" s="30" t="s">
        <v>1712</v>
      </c>
      <c r="K588" s="30"/>
      <c r="L588" s="159">
        <v>1774.4</v>
      </c>
      <c r="M588" s="30"/>
      <c r="N588" s="159">
        <v>0.0</v>
      </c>
      <c r="O588" s="30"/>
      <c r="P588" s="159">
        <v>0.0</v>
      </c>
      <c r="Q588" s="30"/>
      <c r="R588" s="159">
        <v>88.72000000000001</v>
      </c>
      <c r="S588" s="30"/>
      <c r="T588" s="159">
        <v>1863.12</v>
      </c>
      <c r="U588" s="30"/>
      <c r="V588" s="159">
        <v>298.0992000000001</v>
      </c>
      <c r="W588" s="30"/>
      <c r="X588" s="159">
        <v>2161.2192</v>
      </c>
      <c r="Y588" s="159">
        <v>1774.4</v>
      </c>
      <c r="Z588" s="159">
        <v>0.0</v>
      </c>
      <c r="AA588" s="159">
        <v>0.0</v>
      </c>
      <c r="AB588" s="159">
        <v>88.72000000000001</v>
      </c>
      <c r="AC588" s="214">
        <v>1863.12</v>
      </c>
      <c r="AD588" s="159">
        <v>298.0992000000001</v>
      </c>
      <c r="AE588" s="159">
        <v>2161.2192</v>
      </c>
      <c r="AF588" s="159">
        <v>1863.12</v>
      </c>
    </row>
    <row r="589">
      <c r="A589" s="153" t="s">
        <v>301</v>
      </c>
      <c r="B589" s="153"/>
      <c r="D589" s="153" t="str">
        <f t="shared" si="1"/>
        <v>SI</v>
      </c>
      <c r="F589" s="30" t="s">
        <v>1713</v>
      </c>
      <c r="G589" s="30" t="s">
        <v>1682</v>
      </c>
      <c r="H589" s="30" t="s">
        <v>1706</v>
      </c>
      <c r="I589" s="30"/>
      <c r="J589" s="30" t="s">
        <v>523</v>
      </c>
      <c r="K589" s="159">
        <v>6499.998000000001</v>
      </c>
      <c r="L589" s="159">
        <v>6499.998000000001</v>
      </c>
      <c r="M589" s="159">
        <v>1785.85009817408</v>
      </c>
      <c r="N589" s="159">
        <v>1730.04228260614</v>
      </c>
      <c r="O589" s="159">
        <v>189.02</v>
      </c>
      <c r="P589" s="159">
        <v>189.02</v>
      </c>
      <c r="Q589" s="159">
        <v>324.9999</v>
      </c>
      <c r="R589" s="159">
        <v>324.9999</v>
      </c>
      <c r="S589" s="159">
        <v>8799.86799817408</v>
      </c>
      <c r="T589" s="159">
        <v>8744.060182606141</v>
      </c>
      <c r="U589" s="159">
        <v>1407.978879707853</v>
      </c>
      <c r="V589" s="159">
        <v>1399.049629216983</v>
      </c>
      <c r="W589" s="159">
        <v>10207.84687788193</v>
      </c>
      <c r="X589" s="159">
        <v>10143.10981182312</v>
      </c>
      <c r="Y589" s="159">
        <v>12999.996</v>
      </c>
      <c r="Z589" s="159">
        <v>3515.892380780221</v>
      </c>
      <c r="AA589" s="159">
        <v>378.04</v>
      </c>
      <c r="AB589" s="159">
        <v>649.9998</v>
      </c>
      <c r="AC589" s="214">
        <v>17543.92818078022</v>
      </c>
      <c r="AD589" s="159">
        <v>2807.028508924835</v>
      </c>
      <c r="AE589" s="159">
        <v>20350.95668970506</v>
      </c>
      <c r="AF589" s="159">
        <v>17543.92818078022</v>
      </c>
    </row>
    <row r="590">
      <c r="A590" s="153" t="s">
        <v>177</v>
      </c>
      <c r="B590" s="153"/>
      <c r="D590" s="153" t="str">
        <f t="shared" si="1"/>
        <v>SI</v>
      </c>
      <c r="F590" s="30" t="s">
        <v>1147</v>
      </c>
      <c r="G590" s="30" t="s">
        <v>1682</v>
      </c>
      <c r="H590" s="30" t="s">
        <v>1686</v>
      </c>
      <c r="I590" s="30" t="s">
        <v>1691</v>
      </c>
      <c r="J590" s="30" t="s">
        <v>1692</v>
      </c>
      <c r="K590" s="159">
        <v>3022.1</v>
      </c>
      <c r="L590" s="159">
        <v>5345.124400000001</v>
      </c>
      <c r="M590" s="159">
        <v>1466.15421400576</v>
      </c>
      <c r="N590" s="159">
        <v>1420.33689481808</v>
      </c>
      <c r="O590" s="159">
        <v>0.0</v>
      </c>
      <c r="P590" s="159">
        <v>88.21</v>
      </c>
      <c r="Q590" s="159">
        <v>151.105</v>
      </c>
      <c r="R590" s="159">
        <v>267.25622</v>
      </c>
      <c r="S590" s="159">
        <v>4639.35921400576</v>
      </c>
      <c r="T590" s="159">
        <v>7120.92751481808</v>
      </c>
      <c r="U590" s="159">
        <v>742.2974742409216</v>
      </c>
      <c r="V590" s="159">
        <v>1139.348402370893</v>
      </c>
      <c r="W590" s="159">
        <v>5381.656688246681</v>
      </c>
      <c r="X590" s="159">
        <v>8260.275917188974</v>
      </c>
      <c r="Y590" s="159">
        <v>8367.224400000001</v>
      </c>
      <c r="Z590" s="159">
        <v>2886.49110882384</v>
      </c>
      <c r="AA590" s="159">
        <v>88.21</v>
      </c>
      <c r="AB590" s="159">
        <v>418.36122</v>
      </c>
      <c r="AC590" s="214">
        <v>11760.28672882384</v>
      </c>
      <c r="AD590" s="159">
        <v>1881.645876611814</v>
      </c>
      <c r="AE590" s="159">
        <v>13641.93260543566</v>
      </c>
      <c r="AF590" s="159">
        <v>11760.28672882384</v>
      </c>
    </row>
    <row r="591">
      <c r="A591" s="153" t="s">
        <v>42</v>
      </c>
      <c r="B591" s="153"/>
      <c r="D591" s="153" t="str">
        <f t="shared" si="1"/>
        <v>SI</v>
      </c>
      <c r="F591" s="30" t="s">
        <v>95</v>
      </c>
      <c r="G591" s="30" t="s">
        <v>1682</v>
      </c>
      <c r="H591" s="30" t="s">
        <v>1686</v>
      </c>
      <c r="I591" s="30"/>
      <c r="J591" s="30" t="s">
        <v>1714</v>
      </c>
      <c r="K591" s="159">
        <v>6499.998</v>
      </c>
      <c r="L591" s="159">
        <v>6499.998</v>
      </c>
      <c r="M591" s="159">
        <v>1461.93801604352</v>
      </c>
      <c r="N591" s="159">
        <v>1416.25245304216</v>
      </c>
      <c r="O591" s="159">
        <v>189.02</v>
      </c>
      <c r="P591" s="159">
        <v>189.02</v>
      </c>
      <c r="Q591" s="159">
        <v>324.9999</v>
      </c>
      <c r="R591" s="159">
        <v>324.9999</v>
      </c>
      <c r="S591" s="159">
        <v>8475.95591604352</v>
      </c>
      <c r="T591" s="159">
        <v>8430.27035304216</v>
      </c>
      <c r="U591" s="159">
        <v>1356.152946566963</v>
      </c>
      <c r="V591" s="159">
        <v>1348.843256486746</v>
      </c>
      <c r="W591" s="159">
        <v>9832.108862610483</v>
      </c>
      <c r="X591" s="159">
        <v>9779.113609528906</v>
      </c>
      <c r="Y591" s="159">
        <v>12999.996</v>
      </c>
      <c r="Z591" s="159">
        <v>2878.19046908568</v>
      </c>
      <c r="AA591" s="159">
        <v>378.04</v>
      </c>
      <c r="AB591" s="159">
        <v>649.9998</v>
      </c>
      <c r="AC591" s="214">
        <v>16906.22626908568</v>
      </c>
      <c r="AD591" s="159">
        <v>2704.996203053709</v>
      </c>
      <c r="AE591" s="159">
        <v>19611.22247213939</v>
      </c>
      <c r="AF591" s="159">
        <v>16906.22626908568</v>
      </c>
    </row>
    <row r="592">
      <c r="A592" s="153" t="s">
        <v>311</v>
      </c>
      <c r="B592" s="153"/>
      <c r="D592" s="153" t="str">
        <f t="shared" si="1"/>
        <v>SI</v>
      </c>
      <c r="F592" s="30" t="s">
        <v>97</v>
      </c>
      <c r="G592" s="30" t="s">
        <v>1682</v>
      </c>
      <c r="H592" s="30" t="s">
        <v>1683</v>
      </c>
      <c r="I592" s="30" t="s">
        <v>1705</v>
      </c>
      <c r="J592" s="30" t="s">
        <v>1715</v>
      </c>
      <c r="K592" s="159">
        <v>7499.998000000001</v>
      </c>
      <c r="L592" s="159">
        <v>7499.998000000001</v>
      </c>
      <c r="M592" s="159">
        <v>1463.37769339648</v>
      </c>
      <c r="N592" s="159">
        <v>1417.64714047784</v>
      </c>
      <c r="O592" s="159">
        <v>189.02</v>
      </c>
      <c r="P592" s="159">
        <v>189.02</v>
      </c>
      <c r="Q592" s="159">
        <v>374.9999</v>
      </c>
      <c r="R592" s="159">
        <v>374.9999</v>
      </c>
      <c r="S592" s="159">
        <v>9527.39559339648</v>
      </c>
      <c r="T592" s="159">
        <v>9481.665040477841</v>
      </c>
      <c r="U592" s="159">
        <v>1524.383294943437</v>
      </c>
      <c r="V592" s="159">
        <v>1517.066406476455</v>
      </c>
      <c r="W592" s="159">
        <v>11051.77888833992</v>
      </c>
      <c r="X592" s="159">
        <v>10998.7314469543</v>
      </c>
      <c r="Y592" s="159">
        <v>14999.996</v>
      </c>
      <c r="Z592" s="159">
        <v>2881.02483387432</v>
      </c>
      <c r="AA592" s="159">
        <v>378.04</v>
      </c>
      <c r="AB592" s="159">
        <v>749.9998</v>
      </c>
      <c r="AC592" s="214">
        <v>19009.06063387432</v>
      </c>
      <c r="AD592" s="159">
        <v>3041.449701419891</v>
      </c>
      <c r="AE592" s="159">
        <v>22050.51033529421</v>
      </c>
      <c r="AF592" s="159">
        <v>19009.06063387432</v>
      </c>
    </row>
    <row r="593">
      <c r="A593" s="153" t="s">
        <v>150</v>
      </c>
      <c r="B593" s="153"/>
      <c r="D593" s="153" t="str">
        <f t="shared" si="1"/>
        <v>SI</v>
      </c>
      <c r="F593" s="30" t="s">
        <v>102</v>
      </c>
      <c r="G593" s="30" t="s">
        <v>1682</v>
      </c>
      <c r="H593" s="30" t="s">
        <v>1690</v>
      </c>
      <c r="I593" s="30" t="s">
        <v>1691</v>
      </c>
      <c r="J593" s="30" t="s">
        <v>1716</v>
      </c>
      <c r="K593" s="159">
        <v>7999.998000000001</v>
      </c>
      <c r="L593" s="159">
        <v>7999.998000000001</v>
      </c>
      <c r="M593" s="159">
        <v>1464.81737074944</v>
      </c>
      <c r="N593" s="159">
        <v>1419.04182791352</v>
      </c>
      <c r="O593" s="159">
        <v>189.02</v>
      </c>
      <c r="P593" s="159">
        <v>189.02</v>
      </c>
      <c r="Q593" s="159">
        <v>399.9999</v>
      </c>
      <c r="R593" s="159">
        <v>399.9999</v>
      </c>
      <c r="S593" s="159">
        <v>10053.83527074944</v>
      </c>
      <c r="T593" s="159">
        <v>10008.05972791352</v>
      </c>
      <c r="U593" s="159">
        <v>1608.613643319911</v>
      </c>
      <c r="V593" s="159">
        <v>1601.289556466163</v>
      </c>
      <c r="W593" s="159">
        <v>11662.44891406935</v>
      </c>
      <c r="X593" s="159">
        <v>11609.34928437968</v>
      </c>
      <c r="Y593" s="159">
        <v>15999.996</v>
      </c>
      <c r="Z593" s="159">
        <v>2883.85919866296</v>
      </c>
      <c r="AA593" s="159">
        <v>378.04</v>
      </c>
      <c r="AB593" s="159">
        <v>799.9998</v>
      </c>
      <c r="AC593" s="214">
        <v>20061.89499866296</v>
      </c>
      <c r="AD593" s="159">
        <v>3209.903199786074</v>
      </c>
      <c r="AE593" s="159">
        <v>23271.79819844903</v>
      </c>
      <c r="AF593" s="159">
        <v>20061.89499866296</v>
      </c>
    </row>
    <row r="594">
      <c r="A594" s="153" t="s">
        <v>118</v>
      </c>
      <c r="B594" s="153"/>
      <c r="D594" s="153" t="str">
        <f t="shared" si="1"/>
        <v>SI</v>
      </c>
      <c r="F594" s="30" t="s">
        <v>104</v>
      </c>
      <c r="G594" s="30" t="s">
        <v>1682</v>
      </c>
      <c r="H594" s="30" t="s">
        <v>1690</v>
      </c>
      <c r="I594" s="30"/>
      <c r="J594" s="30" t="s">
        <v>1710</v>
      </c>
      <c r="K594" s="159">
        <v>6499.998000000001</v>
      </c>
      <c r="L594" s="159">
        <v>6499.998000000001</v>
      </c>
      <c r="M594" s="159">
        <v>1461.93801604352</v>
      </c>
      <c r="N594" s="159">
        <v>1416.25245304216</v>
      </c>
      <c r="O594" s="159">
        <v>189.02</v>
      </c>
      <c r="P594" s="159">
        <v>189.02</v>
      </c>
      <c r="Q594" s="159">
        <v>324.9999</v>
      </c>
      <c r="R594" s="159">
        <v>324.9999</v>
      </c>
      <c r="S594" s="159">
        <v>8475.95591604352</v>
      </c>
      <c r="T594" s="159">
        <v>8430.27035304216</v>
      </c>
      <c r="U594" s="159">
        <v>1356.152946566963</v>
      </c>
      <c r="V594" s="159">
        <v>1348.843256486746</v>
      </c>
      <c r="W594" s="159">
        <v>9832.108862610483</v>
      </c>
      <c r="X594" s="159">
        <v>9779.113609528906</v>
      </c>
      <c r="Y594" s="159">
        <v>12999.996</v>
      </c>
      <c r="Z594" s="159">
        <v>2878.19046908568</v>
      </c>
      <c r="AA594" s="159">
        <v>378.04</v>
      </c>
      <c r="AB594" s="159">
        <v>649.9998</v>
      </c>
      <c r="AC594" s="214">
        <v>16906.22626908568</v>
      </c>
      <c r="AD594" s="159">
        <v>2704.996203053709</v>
      </c>
      <c r="AE594" s="159">
        <v>19611.22247213939</v>
      </c>
      <c r="AF594" s="159">
        <v>16906.22626908568</v>
      </c>
    </row>
    <row r="595">
      <c r="A595" s="153" t="s">
        <v>167</v>
      </c>
      <c r="B595" s="153"/>
      <c r="D595" s="153" t="str">
        <f t="shared" si="1"/>
        <v>SI</v>
      </c>
      <c r="F595" s="30" t="s">
        <v>106</v>
      </c>
      <c r="G595" s="30" t="s">
        <v>1682</v>
      </c>
      <c r="H595" s="30" t="s">
        <v>1690</v>
      </c>
      <c r="I595" s="30" t="s">
        <v>1691</v>
      </c>
      <c r="J595" s="30" t="s">
        <v>1692</v>
      </c>
      <c r="K595" s="159">
        <v>5999.998000000001</v>
      </c>
      <c r="L595" s="159">
        <v>5999.998000000001</v>
      </c>
      <c r="M595" s="159">
        <v>1463.37769339648</v>
      </c>
      <c r="N595" s="159">
        <v>1417.64714047784</v>
      </c>
      <c r="O595" s="159">
        <v>189.02</v>
      </c>
      <c r="P595" s="159">
        <v>189.02</v>
      </c>
      <c r="Q595" s="159">
        <v>299.9999</v>
      </c>
      <c r="R595" s="159">
        <v>299.9999</v>
      </c>
      <c r="S595" s="159">
        <v>7952.395593396481</v>
      </c>
      <c r="T595" s="159">
        <v>7906.665040477841</v>
      </c>
      <c r="U595" s="159">
        <v>1272.383294943437</v>
      </c>
      <c r="V595" s="159">
        <v>1265.066406476455</v>
      </c>
      <c r="W595" s="159">
        <v>9224.778888339917</v>
      </c>
      <c r="X595" s="159">
        <v>9171.731446954296</v>
      </c>
      <c r="Y595" s="159">
        <v>11999.996</v>
      </c>
      <c r="Z595" s="159">
        <v>2881.02483387432</v>
      </c>
      <c r="AA595" s="159">
        <v>378.04</v>
      </c>
      <c r="AB595" s="159">
        <v>599.9998</v>
      </c>
      <c r="AC595" s="214">
        <v>15859.06063387432</v>
      </c>
      <c r="AD595" s="159">
        <v>2537.449701419891</v>
      </c>
      <c r="AE595" s="159">
        <v>18396.51033529421</v>
      </c>
      <c r="AF595" s="159">
        <v>15859.06063387432</v>
      </c>
    </row>
    <row r="596">
      <c r="A596" s="153" t="s">
        <v>275</v>
      </c>
      <c r="B596" s="153"/>
      <c r="D596" s="153" t="str">
        <f t="shared" si="1"/>
        <v>SI</v>
      </c>
      <c r="F596" s="30" t="s">
        <v>108</v>
      </c>
      <c r="G596" s="30" t="s">
        <v>1682</v>
      </c>
      <c r="H596" s="30" t="s">
        <v>1686</v>
      </c>
      <c r="I596" s="30" t="s">
        <v>1688</v>
      </c>
      <c r="J596" s="30" t="s">
        <v>1688</v>
      </c>
      <c r="K596" s="159">
        <v>5274.4</v>
      </c>
      <c r="L596" s="159">
        <v>5274.4</v>
      </c>
      <c r="M596" s="159">
        <v>0.0</v>
      </c>
      <c r="N596" s="159">
        <v>0.0</v>
      </c>
      <c r="O596" s="159">
        <v>0.0</v>
      </c>
      <c r="P596" s="159">
        <v>0.0</v>
      </c>
      <c r="Q596" s="159">
        <v>263.72</v>
      </c>
      <c r="R596" s="159">
        <v>263.72</v>
      </c>
      <c r="S596" s="159">
        <v>5538.12</v>
      </c>
      <c r="T596" s="159">
        <v>5538.12</v>
      </c>
      <c r="U596" s="159">
        <v>886.0992</v>
      </c>
      <c r="V596" s="159">
        <v>886.0992</v>
      </c>
      <c r="W596" s="159">
        <v>6424.2192</v>
      </c>
      <c r="X596" s="159">
        <v>6424.2192</v>
      </c>
      <c r="Y596" s="159">
        <v>10548.8</v>
      </c>
      <c r="Z596" s="159">
        <v>0.0</v>
      </c>
      <c r="AA596" s="159">
        <v>0.0</v>
      </c>
      <c r="AB596" s="159">
        <v>527.4399999999999</v>
      </c>
      <c r="AC596" s="214">
        <v>11076.24</v>
      </c>
      <c r="AD596" s="159">
        <v>1772.1984</v>
      </c>
      <c r="AE596" s="159">
        <v>12848.4384</v>
      </c>
      <c r="AF596" s="159">
        <v>11076.24</v>
      </c>
    </row>
    <row r="597">
      <c r="A597" s="153" t="s">
        <v>36</v>
      </c>
      <c r="B597" s="153"/>
      <c r="D597" s="153" t="str">
        <f t="shared" si="1"/>
        <v>SI</v>
      </c>
      <c r="F597" s="30" t="s">
        <v>112</v>
      </c>
      <c r="G597" s="30" t="s">
        <v>1682</v>
      </c>
      <c r="H597" s="30" t="s">
        <v>1704</v>
      </c>
      <c r="I597" s="30" t="s">
        <v>1705</v>
      </c>
      <c r="J597" s="30" t="s">
        <v>1705</v>
      </c>
      <c r="K597" s="159">
        <v>10250.0</v>
      </c>
      <c r="L597" s="159">
        <v>11750.0</v>
      </c>
      <c r="M597" s="159">
        <v>0.0</v>
      </c>
      <c r="N597" s="159">
        <v>0.0</v>
      </c>
      <c r="O597" s="159">
        <v>0.0</v>
      </c>
      <c r="P597" s="159">
        <v>0.0</v>
      </c>
      <c r="Q597" s="159">
        <v>512.5</v>
      </c>
      <c r="R597" s="159">
        <v>587.5</v>
      </c>
      <c r="S597" s="159">
        <v>10762.5</v>
      </c>
      <c r="T597" s="159">
        <v>12337.5</v>
      </c>
      <c r="U597" s="159">
        <v>1722.0</v>
      </c>
      <c r="V597" s="159">
        <v>1974.0</v>
      </c>
      <c r="W597" s="159">
        <v>12484.5</v>
      </c>
      <c r="X597" s="159">
        <v>14311.5</v>
      </c>
      <c r="Y597" s="159">
        <v>22000.0</v>
      </c>
      <c r="Z597" s="159">
        <v>0.0</v>
      </c>
      <c r="AA597" s="159">
        <v>0.0</v>
      </c>
      <c r="AB597" s="159">
        <v>1100.0</v>
      </c>
      <c r="AC597" s="214">
        <v>23100.0</v>
      </c>
      <c r="AD597" s="159">
        <v>3696.0</v>
      </c>
      <c r="AE597" s="159">
        <v>26796.0</v>
      </c>
      <c r="AF597" s="159">
        <v>23100.0</v>
      </c>
    </row>
    <row r="598">
      <c r="A598" s="153" t="s">
        <v>225</v>
      </c>
      <c r="B598" s="153"/>
      <c r="D598" s="153" t="str">
        <f t="shared" si="1"/>
        <v>SI</v>
      </c>
      <c r="F598" s="30" t="s">
        <v>115</v>
      </c>
      <c r="G598" s="30" t="s">
        <v>1678</v>
      </c>
      <c r="H598" s="30" t="s">
        <v>1679</v>
      </c>
      <c r="I598" s="30"/>
      <c r="J598" s="30" t="s">
        <v>1680</v>
      </c>
      <c r="K598" s="159">
        <v>1594.45</v>
      </c>
      <c r="L598" s="159">
        <v>2274.4</v>
      </c>
      <c r="M598" s="159">
        <v>0.0</v>
      </c>
      <c r="N598" s="159">
        <v>0.0</v>
      </c>
      <c r="O598" s="159">
        <v>0.0</v>
      </c>
      <c r="P598" s="159">
        <v>0.0</v>
      </c>
      <c r="Q598" s="159">
        <v>79.72250000000001</v>
      </c>
      <c r="R598" s="159">
        <v>113.72</v>
      </c>
      <c r="S598" s="159">
        <v>1674.1725</v>
      </c>
      <c r="T598" s="159">
        <v>2388.12</v>
      </c>
      <c r="U598" s="159">
        <v>267.8676</v>
      </c>
      <c r="V598" s="159">
        <v>382.0992</v>
      </c>
      <c r="W598" s="159">
        <v>1942.0401</v>
      </c>
      <c r="X598" s="159">
        <v>2770.2192</v>
      </c>
      <c r="Y598" s="159">
        <v>3868.85</v>
      </c>
      <c r="Z598" s="159">
        <v>0.0</v>
      </c>
      <c r="AA598" s="159">
        <v>0.0</v>
      </c>
      <c r="AB598" s="159">
        <v>193.4425</v>
      </c>
      <c r="AC598" s="214">
        <v>4062.2925</v>
      </c>
      <c r="AD598" s="159">
        <v>649.9668</v>
      </c>
      <c r="AE598" s="159">
        <v>4712.2593</v>
      </c>
      <c r="AF598" s="159">
        <v>4062.2925</v>
      </c>
    </row>
    <row r="599">
      <c r="A599" s="153" t="s">
        <v>71</v>
      </c>
      <c r="B599" s="153"/>
      <c r="D599" s="153" t="str">
        <f t="shared" si="1"/>
        <v>SI</v>
      </c>
      <c r="F599" s="30" t="s">
        <v>117</v>
      </c>
      <c r="G599" s="30" t="s">
        <v>1682</v>
      </c>
      <c r="H599" s="30" t="s">
        <v>1690</v>
      </c>
      <c r="I599" s="30" t="s">
        <v>1695</v>
      </c>
      <c r="J599" s="30" t="s">
        <v>1696</v>
      </c>
      <c r="K599" s="159">
        <v>6999.998000000001</v>
      </c>
      <c r="L599" s="159">
        <v>6999.998000000001</v>
      </c>
      <c r="M599" s="159">
        <v>1467.59389135872</v>
      </c>
      <c r="N599" s="159">
        <v>1421.73158225376</v>
      </c>
      <c r="O599" s="159">
        <v>189.02</v>
      </c>
      <c r="P599" s="159">
        <v>189.02</v>
      </c>
      <c r="Q599" s="159">
        <v>349.9999</v>
      </c>
      <c r="R599" s="159">
        <v>349.9999</v>
      </c>
      <c r="S599" s="159">
        <v>9006.61179135872</v>
      </c>
      <c r="T599" s="159">
        <v>8960.749482253761</v>
      </c>
      <c r="U599" s="159">
        <v>1441.057886617395</v>
      </c>
      <c r="V599" s="159">
        <v>1433.719917160602</v>
      </c>
      <c r="W599" s="159">
        <v>10447.66967797612</v>
      </c>
      <c r="X599" s="159">
        <v>10394.46939941436</v>
      </c>
      <c r="Y599" s="159">
        <v>13999.996</v>
      </c>
      <c r="Z599" s="159">
        <v>2889.32547361248</v>
      </c>
      <c r="AA599" s="159">
        <v>378.04</v>
      </c>
      <c r="AB599" s="159">
        <v>699.9998</v>
      </c>
      <c r="AC599" s="214">
        <v>17967.36127361248</v>
      </c>
      <c r="AD599" s="159">
        <v>2874.777803777997</v>
      </c>
      <c r="AE599" s="159">
        <v>20842.13907739048</v>
      </c>
      <c r="AF599" s="159">
        <v>17967.36127361248</v>
      </c>
    </row>
    <row r="600">
      <c r="A600" s="153" t="s">
        <v>185</v>
      </c>
      <c r="B600" s="153"/>
      <c r="D600" s="153" t="str">
        <f t="shared" si="1"/>
        <v>SI</v>
      </c>
      <c r="F600" s="30" t="s">
        <v>121</v>
      </c>
      <c r="G600" s="30" t="s">
        <v>1682</v>
      </c>
      <c r="H600" s="30" t="s">
        <v>1690</v>
      </c>
      <c r="I600" s="30"/>
      <c r="J600" s="30" t="s">
        <v>1717</v>
      </c>
      <c r="K600" s="159">
        <v>5999.998000000001</v>
      </c>
      <c r="L600" s="159">
        <v>5999.998000000001</v>
      </c>
      <c r="M600" s="159">
        <v>1461.93801604352</v>
      </c>
      <c r="N600" s="159">
        <v>1416.25245304216</v>
      </c>
      <c r="O600" s="159">
        <v>189.02</v>
      </c>
      <c r="P600" s="159">
        <v>189.02</v>
      </c>
      <c r="Q600" s="159">
        <v>299.9999</v>
      </c>
      <c r="R600" s="159">
        <v>299.9999</v>
      </c>
      <c r="S600" s="159">
        <v>7950.95591604352</v>
      </c>
      <c r="T600" s="159">
        <v>7905.27035304216</v>
      </c>
      <c r="U600" s="159">
        <v>1272.152946566963</v>
      </c>
      <c r="V600" s="159">
        <v>1264.843256486746</v>
      </c>
      <c r="W600" s="159">
        <v>9223.108862610483</v>
      </c>
      <c r="X600" s="159">
        <v>9170.113609528906</v>
      </c>
      <c r="Y600" s="159">
        <v>11999.996</v>
      </c>
      <c r="Z600" s="159">
        <v>2878.19046908568</v>
      </c>
      <c r="AA600" s="159">
        <v>378.04</v>
      </c>
      <c r="AB600" s="159">
        <v>599.9998</v>
      </c>
      <c r="AC600" s="214">
        <v>15856.22626908568</v>
      </c>
      <c r="AD600" s="159">
        <v>2536.996203053709</v>
      </c>
      <c r="AE600" s="159">
        <v>18393.22247213939</v>
      </c>
      <c r="AF600" s="159">
        <v>15856.22626908568</v>
      </c>
    </row>
    <row r="601">
      <c r="A601" s="153" t="s">
        <v>124</v>
      </c>
      <c r="B601" s="153"/>
      <c r="D601" s="153" t="str">
        <f t="shared" si="1"/>
        <v>SI</v>
      </c>
      <c r="F601" s="30" t="s">
        <v>123</v>
      </c>
      <c r="G601" s="30" t="s">
        <v>1682</v>
      </c>
      <c r="H601" s="30" t="s">
        <v>1679</v>
      </c>
      <c r="I601" s="30" t="s">
        <v>1693</v>
      </c>
      <c r="J601" s="30" t="s">
        <v>1694</v>
      </c>
      <c r="K601" s="159">
        <v>4274.4</v>
      </c>
      <c r="L601" s="159">
        <v>4274.4</v>
      </c>
      <c r="M601" s="159">
        <v>0.0</v>
      </c>
      <c r="N601" s="159">
        <v>0.0</v>
      </c>
      <c r="O601" s="159">
        <v>0.0</v>
      </c>
      <c r="P601" s="159">
        <v>0.0</v>
      </c>
      <c r="Q601" s="159">
        <v>213.72</v>
      </c>
      <c r="R601" s="159">
        <v>213.72</v>
      </c>
      <c r="S601" s="159">
        <v>4488.12</v>
      </c>
      <c r="T601" s="159">
        <v>4488.12</v>
      </c>
      <c r="U601" s="159">
        <v>718.0992</v>
      </c>
      <c r="V601" s="159">
        <v>718.0992</v>
      </c>
      <c r="W601" s="159">
        <v>5206.2192</v>
      </c>
      <c r="X601" s="159">
        <v>5206.2192</v>
      </c>
      <c r="Y601" s="159">
        <v>8548.8</v>
      </c>
      <c r="Z601" s="159">
        <v>0.0</v>
      </c>
      <c r="AA601" s="159">
        <v>0.0</v>
      </c>
      <c r="AB601" s="159">
        <v>427.44</v>
      </c>
      <c r="AC601" s="214">
        <v>8976.24</v>
      </c>
      <c r="AD601" s="159">
        <v>1436.1984</v>
      </c>
      <c r="AE601" s="159">
        <v>10412.4384</v>
      </c>
      <c r="AF601" s="159">
        <v>8976.24</v>
      </c>
    </row>
    <row r="602">
      <c r="A602" s="153" t="s">
        <v>281</v>
      </c>
      <c r="B602" s="153"/>
      <c r="D602" s="153" t="str">
        <f t="shared" si="1"/>
        <v>SI</v>
      </c>
      <c r="F602" s="30" t="s">
        <v>127</v>
      </c>
      <c r="G602" s="30" t="s">
        <v>1682</v>
      </c>
      <c r="H602" s="30" t="s">
        <v>1698</v>
      </c>
      <c r="I602" s="30" t="s">
        <v>1699</v>
      </c>
      <c r="J602" s="30" t="s">
        <v>1718</v>
      </c>
      <c r="K602" s="159">
        <v>0.0</v>
      </c>
      <c r="L602" s="159">
        <v>0.0</v>
      </c>
      <c r="M602" s="159">
        <v>0.0</v>
      </c>
      <c r="N602" s="159">
        <v>0.0</v>
      </c>
      <c r="O602" s="159">
        <v>0.0</v>
      </c>
      <c r="P602" s="159">
        <v>0.0</v>
      </c>
      <c r="Q602" s="159">
        <v>0.0</v>
      </c>
      <c r="R602" s="159">
        <v>0.0</v>
      </c>
      <c r="S602" s="159">
        <v>0.0</v>
      </c>
      <c r="T602" s="159">
        <v>0.0</v>
      </c>
      <c r="U602" s="159">
        <v>0.0</v>
      </c>
      <c r="V602" s="159">
        <v>0.0</v>
      </c>
      <c r="W602" s="159">
        <v>0.0</v>
      </c>
      <c r="X602" s="159">
        <v>0.0</v>
      </c>
      <c r="Y602" s="159">
        <v>0.0</v>
      </c>
      <c r="Z602" s="159">
        <v>0.0</v>
      </c>
      <c r="AA602" s="159">
        <v>0.0</v>
      </c>
      <c r="AB602" s="159">
        <v>0.0</v>
      </c>
      <c r="AC602" s="214">
        <v>0.0</v>
      </c>
      <c r="AD602" s="159">
        <v>0.0</v>
      </c>
      <c r="AE602" s="159">
        <v>0.0</v>
      </c>
      <c r="AF602" s="159">
        <v>0.0</v>
      </c>
    </row>
    <row r="603">
      <c r="A603" s="153" t="s">
        <v>338</v>
      </c>
      <c r="B603" s="153"/>
      <c r="D603" s="153" t="str">
        <f t="shared" si="1"/>
        <v>SI</v>
      </c>
      <c r="F603" s="30" t="s">
        <v>129</v>
      </c>
      <c r="G603" s="30" t="s">
        <v>1682</v>
      </c>
      <c r="H603" s="30" t="s">
        <v>1686</v>
      </c>
      <c r="I603" s="30" t="s">
        <v>388</v>
      </c>
      <c r="J603" s="30" t="s">
        <v>388</v>
      </c>
      <c r="K603" s="159">
        <v>9999.998</v>
      </c>
      <c r="L603" s="159">
        <v>9999.998</v>
      </c>
      <c r="M603" s="159">
        <v>1469.03356871168</v>
      </c>
      <c r="N603" s="159">
        <v>1423.12626968944</v>
      </c>
      <c r="O603" s="159">
        <v>189.02</v>
      </c>
      <c r="P603" s="159">
        <v>189.02</v>
      </c>
      <c r="Q603" s="159">
        <v>499.9999</v>
      </c>
      <c r="R603" s="159">
        <v>499.9999</v>
      </c>
      <c r="S603" s="159">
        <v>12158.05146871168</v>
      </c>
      <c r="T603" s="159">
        <v>12112.14416968944</v>
      </c>
      <c r="U603" s="159">
        <v>1945.288234993869</v>
      </c>
      <c r="V603" s="159">
        <v>1937.943067150311</v>
      </c>
      <c r="W603" s="159">
        <v>14103.33970370555</v>
      </c>
      <c r="X603" s="159">
        <v>14050.08723683975</v>
      </c>
      <c r="Y603" s="159">
        <v>19999.996</v>
      </c>
      <c r="Z603" s="159">
        <v>2892.15983840112</v>
      </c>
      <c r="AA603" s="159">
        <v>378.04</v>
      </c>
      <c r="AB603" s="159">
        <v>999.9998</v>
      </c>
      <c r="AC603" s="214">
        <v>24270.19563840112</v>
      </c>
      <c r="AD603" s="159">
        <v>3883.23130214418</v>
      </c>
      <c r="AE603" s="159">
        <v>28153.4269405453</v>
      </c>
      <c r="AF603" s="159">
        <v>24270.19563840112</v>
      </c>
    </row>
    <row r="604">
      <c r="A604" s="153" t="s">
        <v>295</v>
      </c>
      <c r="B604" s="153"/>
      <c r="D604" s="153" t="str">
        <f t="shared" si="1"/>
        <v>SI</v>
      </c>
      <c r="F604" s="30" t="s">
        <v>1719</v>
      </c>
      <c r="G604" s="30" t="s">
        <v>1678</v>
      </c>
      <c r="H604" s="30" t="s">
        <v>1683</v>
      </c>
      <c r="I604" s="30"/>
      <c r="J604" s="30" t="s">
        <v>1720</v>
      </c>
      <c r="K604" s="159">
        <v>4000.002</v>
      </c>
      <c r="L604" s="159">
        <v>5999.998000000001</v>
      </c>
      <c r="M604" s="159">
        <v>1005.08238602992</v>
      </c>
      <c r="N604" s="159">
        <v>1416.25245304216</v>
      </c>
      <c r="O604" s="159">
        <v>126.02</v>
      </c>
      <c r="P604" s="159">
        <v>189.02</v>
      </c>
      <c r="Q604" s="159">
        <v>200.0001</v>
      </c>
      <c r="R604" s="159">
        <v>299.9999</v>
      </c>
      <c r="S604" s="159">
        <v>5331.104486029921</v>
      </c>
      <c r="T604" s="159">
        <v>7905.27035304216</v>
      </c>
      <c r="U604" s="159">
        <v>852.9767177647873</v>
      </c>
      <c r="V604" s="159">
        <v>1264.843256486746</v>
      </c>
      <c r="W604" s="159">
        <v>6184.081203794708</v>
      </c>
      <c r="X604" s="159">
        <v>9170.113609528906</v>
      </c>
      <c r="Y604" s="159">
        <v>10000.0</v>
      </c>
      <c r="Z604" s="159">
        <v>2421.33483907208</v>
      </c>
      <c r="AA604" s="159">
        <v>315.04</v>
      </c>
      <c r="AB604" s="159">
        <v>500.0000000000001</v>
      </c>
      <c r="AC604" s="214">
        <v>13236.37483907208</v>
      </c>
      <c r="AD604" s="159">
        <v>2117.819974251533</v>
      </c>
      <c r="AE604" s="159">
        <v>15354.19481332361</v>
      </c>
      <c r="AF604" s="159">
        <v>13236.37483907208</v>
      </c>
    </row>
    <row r="605">
      <c r="A605" s="153" t="s">
        <v>80</v>
      </c>
      <c r="B605" s="153"/>
      <c r="D605" s="153" t="str">
        <f t="shared" si="1"/>
        <v>SI</v>
      </c>
      <c r="F605" s="30" t="s">
        <v>1721</v>
      </c>
      <c r="G605" s="30" t="s">
        <v>1678</v>
      </c>
      <c r="H605" s="30" t="s">
        <v>1679</v>
      </c>
      <c r="I605" s="30"/>
      <c r="J605" s="30" t="s">
        <v>1712</v>
      </c>
      <c r="K605" s="159">
        <v>2849.6</v>
      </c>
      <c r="L605" s="159">
        <v>4274.4</v>
      </c>
      <c r="M605" s="159">
        <v>0.0</v>
      </c>
      <c r="N605" s="159">
        <v>0.0</v>
      </c>
      <c r="O605" s="159">
        <v>0.0</v>
      </c>
      <c r="P605" s="159">
        <v>0.0</v>
      </c>
      <c r="Q605" s="159">
        <v>142.48</v>
      </c>
      <c r="R605" s="159">
        <v>213.72</v>
      </c>
      <c r="S605" s="159">
        <v>2992.08</v>
      </c>
      <c r="T605" s="159">
        <v>4488.12</v>
      </c>
      <c r="U605" s="159">
        <v>478.7328</v>
      </c>
      <c r="V605" s="159">
        <v>718.0992</v>
      </c>
      <c r="W605" s="159">
        <v>3470.8128</v>
      </c>
      <c r="X605" s="159">
        <v>5206.2192</v>
      </c>
      <c r="Y605" s="159">
        <v>7124.0</v>
      </c>
      <c r="Z605" s="159">
        <v>0.0</v>
      </c>
      <c r="AA605" s="159">
        <v>0.0</v>
      </c>
      <c r="AB605" s="159">
        <v>356.2</v>
      </c>
      <c r="AC605" s="214">
        <v>7480.2</v>
      </c>
      <c r="AD605" s="159">
        <v>1196.832</v>
      </c>
      <c r="AE605" s="159">
        <v>8677.032</v>
      </c>
      <c r="AF605" s="159">
        <v>7480.2</v>
      </c>
    </row>
    <row r="606">
      <c r="A606" s="153" t="s">
        <v>299</v>
      </c>
      <c r="B606" s="153"/>
      <c r="D606" s="153" t="str">
        <f t="shared" si="1"/>
        <v>SI</v>
      </c>
      <c r="F606" s="30" t="s">
        <v>131</v>
      </c>
      <c r="G606" s="30" t="s">
        <v>1678</v>
      </c>
      <c r="H606" s="30" t="s">
        <v>1679</v>
      </c>
      <c r="I606" s="159">
        <v>0.0</v>
      </c>
      <c r="J606" s="30" t="s">
        <v>1712</v>
      </c>
      <c r="K606" s="159">
        <v>2274.4</v>
      </c>
      <c r="L606" s="159">
        <v>2274.4</v>
      </c>
      <c r="M606" s="159">
        <v>0.0</v>
      </c>
      <c r="N606" s="159">
        <v>0.0</v>
      </c>
      <c r="O606" s="159">
        <v>0.0</v>
      </c>
      <c r="P606" s="159">
        <v>0.0</v>
      </c>
      <c r="Q606" s="159">
        <v>113.72</v>
      </c>
      <c r="R606" s="159">
        <v>113.72</v>
      </c>
      <c r="S606" s="159">
        <v>2388.12</v>
      </c>
      <c r="T606" s="159">
        <v>2388.12</v>
      </c>
      <c r="U606" s="159">
        <v>382.0992</v>
      </c>
      <c r="V606" s="159">
        <v>382.0992</v>
      </c>
      <c r="W606" s="159">
        <v>2770.2192</v>
      </c>
      <c r="X606" s="159">
        <v>2770.2192</v>
      </c>
      <c r="Y606" s="159">
        <v>4548.8</v>
      </c>
      <c r="Z606" s="159">
        <v>0.0</v>
      </c>
      <c r="AA606" s="159">
        <v>0.0</v>
      </c>
      <c r="AB606" s="159">
        <v>227.44</v>
      </c>
      <c r="AC606" s="214">
        <v>4776.24</v>
      </c>
      <c r="AD606" s="159">
        <v>764.1984</v>
      </c>
      <c r="AE606" s="159">
        <v>5540.4384</v>
      </c>
      <c r="AF606" s="159">
        <v>4776.24</v>
      </c>
    </row>
    <row r="607">
      <c r="A607" s="153" t="s">
        <v>120</v>
      </c>
      <c r="B607" s="153"/>
      <c r="D607" s="153" t="str">
        <f t="shared" si="1"/>
        <v>SI</v>
      </c>
      <c r="F607" s="30" t="s">
        <v>133</v>
      </c>
      <c r="G607" s="30" t="s">
        <v>1678</v>
      </c>
      <c r="H607" s="30" t="s">
        <v>1679</v>
      </c>
      <c r="I607" s="30" t="s">
        <v>1693</v>
      </c>
      <c r="J607" s="30" t="s">
        <v>1694</v>
      </c>
      <c r="K607" s="159">
        <v>3024.4</v>
      </c>
      <c r="L607" s="159">
        <v>3024.4</v>
      </c>
      <c r="M607" s="159">
        <v>0.0</v>
      </c>
      <c r="N607" s="159">
        <v>0.0</v>
      </c>
      <c r="O607" s="159">
        <v>0.0</v>
      </c>
      <c r="P607" s="159">
        <v>0.0</v>
      </c>
      <c r="Q607" s="159">
        <v>151.22</v>
      </c>
      <c r="R607" s="159">
        <v>151.22</v>
      </c>
      <c r="S607" s="159">
        <v>3175.62</v>
      </c>
      <c r="T607" s="159">
        <v>3175.62</v>
      </c>
      <c r="U607" s="159">
        <v>508.0992</v>
      </c>
      <c r="V607" s="159">
        <v>508.0992</v>
      </c>
      <c r="W607" s="159">
        <v>3683.7192</v>
      </c>
      <c r="X607" s="159">
        <v>3683.7192</v>
      </c>
      <c r="Y607" s="159">
        <v>6048.8</v>
      </c>
      <c r="Z607" s="159">
        <v>0.0</v>
      </c>
      <c r="AA607" s="159">
        <v>0.0</v>
      </c>
      <c r="AB607" s="159">
        <v>302.44</v>
      </c>
      <c r="AC607" s="214">
        <v>6351.24</v>
      </c>
      <c r="AD607" s="159">
        <v>1016.1984</v>
      </c>
      <c r="AE607" s="159">
        <v>7367.4384</v>
      </c>
      <c r="AF607" s="159">
        <v>6351.24</v>
      </c>
    </row>
    <row r="608">
      <c r="A608" s="153" t="s">
        <v>29</v>
      </c>
      <c r="B608" s="153"/>
      <c r="D608" s="153" t="str">
        <f t="shared" si="1"/>
        <v>SI</v>
      </c>
      <c r="F608" s="30" t="s">
        <v>135</v>
      </c>
      <c r="G608" s="30" t="s">
        <v>1682</v>
      </c>
      <c r="H608" s="30" t="s">
        <v>1698</v>
      </c>
      <c r="I608" s="30" t="s">
        <v>1699</v>
      </c>
      <c r="J608" s="30" t="s">
        <v>1699</v>
      </c>
      <c r="K608" s="159">
        <v>4725.598000000001</v>
      </c>
      <c r="L608" s="159">
        <v>4725.598000000001</v>
      </c>
      <c r="M608" s="159">
        <v>1461.93801604352</v>
      </c>
      <c r="N608" s="159">
        <v>1416.25245304216</v>
      </c>
      <c r="O608" s="159">
        <v>189.02</v>
      </c>
      <c r="P608" s="159">
        <v>189.02</v>
      </c>
      <c r="Q608" s="159">
        <v>236.2799000000001</v>
      </c>
      <c r="R608" s="159">
        <v>236.2799000000001</v>
      </c>
      <c r="S608" s="159">
        <v>6612.835916043521</v>
      </c>
      <c r="T608" s="159">
        <v>6567.150353042161</v>
      </c>
      <c r="U608" s="159">
        <v>1058.053746566963</v>
      </c>
      <c r="V608" s="159">
        <v>1050.744056486746</v>
      </c>
      <c r="W608" s="159">
        <v>7670.889662610484</v>
      </c>
      <c r="X608" s="159">
        <v>7617.894409528907</v>
      </c>
      <c r="Y608" s="159">
        <v>9451.196000000002</v>
      </c>
      <c r="Z608" s="159">
        <v>2878.19046908568</v>
      </c>
      <c r="AA608" s="159">
        <v>378.04</v>
      </c>
      <c r="AB608" s="159">
        <v>472.5598000000001</v>
      </c>
      <c r="AC608" s="214">
        <v>13179.98626908568</v>
      </c>
      <c r="AD608" s="159">
        <v>2108.797803053709</v>
      </c>
      <c r="AE608" s="159">
        <v>15288.78407213939</v>
      </c>
      <c r="AF608" s="159">
        <v>13179.98626908568</v>
      </c>
    </row>
    <row r="609">
      <c r="A609" s="153" t="s">
        <v>175</v>
      </c>
      <c r="B609" s="153"/>
      <c r="D609" s="153" t="str">
        <f t="shared" si="1"/>
        <v>SI</v>
      </c>
      <c r="F609" s="30" t="s">
        <v>137</v>
      </c>
      <c r="G609" s="30" t="s">
        <v>1682</v>
      </c>
      <c r="H609" s="30" t="s">
        <v>1690</v>
      </c>
      <c r="I609" s="30" t="s">
        <v>1691</v>
      </c>
      <c r="J609" s="30" t="s">
        <v>1692</v>
      </c>
      <c r="K609" s="159">
        <v>5499.998000000001</v>
      </c>
      <c r="L609" s="30"/>
      <c r="M609" s="159">
        <v>1461.93801604352</v>
      </c>
      <c r="N609" s="30"/>
      <c r="O609" s="159">
        <v>189.02</v>
      </c>
      <c r="P609" s="30"/>
      <c r="Q609" s="159">
        <v>274.9999</v>
      </c>
      <c r="R609" s="30"/>
      <c r="S609" s="159">
        <v>7425.95591604352</v>
      </c>
      <c r="T609" s="30"/>
      <c r="U609" s="159">
        <v>1188.152946566963</v>
      </c>
      <c r="V609" s="30"/>
      <c r="W609" s="159">
        <v>8614.108862610483</v>
      </c>
      <c r="X609" s="30"/>
      <c r="Y609" s="159">
        <v>5499.998000000001</v>
      </c>
      <c r="Z609" s="159">
        <v>1461.93801604352</v>
      </c>
      <c r="AA609" s="159">
        <v>189.02</v>
      </c>
      <c r="AB609" s="159">
        <v>274.9999</v>
      </c>
      <c r="AC609" s="214">
        <v>7425.95591604352</v>
      </c>
      <c r="AD609" s="159">
        <v>1188.152946566963</v>
      </c>
      <c r="AE609" s="159">
        <v>8614.108862610483</v>
      </c>
      <c r="AF609" s="159">
        <v>7425.95591604352</v>
      </c>
    </row>
    <row r="610">
      <c r="A610" s="153" t="s">
        <v>109</v>
      </c>
      <c r="B610" s="153"/>
      <c r="D610" s="153" t="str">
        <f t="shared" si="1"/>
        <v>SI</v>
      </c>
      <c r="F610" s="30" t="s">
        <v>139</v>
      </c>
      <c r="G610" s="30" t="s">
        <v>1682</v>
      </c>
      <c r="H610" s="30" t="s">
        <v>1690</v>
      </c>
      <c r="I610" s="30"/>
      <c r="J610" s="30" t="s">
        <v>1710</v>
      </c>
      <c r="K610" s="159">
        <v>6499.998000000001</v>
      </c>
      <c r="L610" s="159">
        <v>6499.998000000001</v>
      </c>
      <c r="M610" s="159">
        <v>1461.93801604352</v>
      </c>
      <c r="N610" s="159">
        <v>1416.25245304216</v>
      </c>
      <c r="O610" s="159">
        <v>189.02</v>
      </c>
      <c r="P610" s="159">
        <v>189.02</v>
      </c>
      <c r="Q610" s="159">
        <v>324.9999</v>
      </c>
      <c r="R610" s="159">
        <v>324.9999</v>
      </c>
      <c r="S610" s="159">
        <v>8475.95591604352</v>
      </c>
      <c r="T610" s="159">
        <v>8430.27035304216</v>
      </c>
      <c r="U610" s="159">
        <v>1356.152946566963</v>
      </c>
      <c r="V610" s="159">
        <v>1348.843256486746</v>
      </c>
      <c r="W610" s="159">
        <v>9832.108862610483</v>
      </c>
      <c r="X610" s="159">
        <v>9779.113609528906</v>
      </c>
      <c r="Y610" s="159">
        <v>12999.996</v>
      </c>
      <c r="Z610" s="159">
        <v>2878.19046908568</v>
      </c>
      <c r="AA610" s="159">
        <v>378.04</v>
      </c>
      <c r="AB610" s="159">
        <v>649.9998</v>
      </c>
      <c r="AC610" s="214">
        <v>16906.22626908568</v>
      </c>
      <c r="AD610" s="159">
        <v>2704.996203053709</v>
      </c>
      <c r="AE610" s="159">
        <v>19611.22247213939</v>
      </c>
      <c r="AF610" s="159">
        <v>16906.22626908568</v>
      </c>
    </row>
    <row r="611">
      <c r="A611" s="153" t="s">
        <v>136</v>
      </c>
      <c r="B611" s="153"/>
      <c r="D611" s="153" t="str">
        <f t="shared" si="1"/>
        <v>SI</v>
      </c>
      <c r="F611" s="30" t="s">
        <v>141</v>
      </c>
      <c r="G611" s="30" t="s">
        <v>1678</v>
      </c>
      <c r="H611" s="30" t="s">
        <v>1679</v>
      </c>
      <c r="I611" s="30"/>
      <c r="J611" s="30" t="s">
        <v>1722</v>
      </c>
      <c r="K611" s="159">
        <v>8499.998</v>
      </c>
      <c r="L611" s="159">
        <v>8499.998</v>
      </c>
      <c r="M611" s="159">
        <v>1482.706896029158</v>
      </c>
      <c r="N611" s="159">
        <v>1436.372305528247</v>
      </c>
      <c r="O611" s="159">
        <v>189.02</v>
      </c>
      <c r="P611" s="159">
        <v>189.02</v>
      </c>
      <c r="Q611" s="159">
        <v>424.9999</v>
      </c>
      <c r="R611" s="159">
        <v>424.9999</v>
      </c>
      <c r="S611" s="159">
        <v>10596.72479602916</v>
      </c>
      <c r="T611" s="159">
        <v>10550.39020552825</v>
      </c>
      <c r="U611" s="159">
        <v>1695.475967364665</v>
      </c>
      <c r="V611" s="159">
        <v>1688.062432884519</v>
      </c>
      <c r="W611" s="159">
        <v>12292.20076339382</v>
      </c>
      <c r="X611" s="159">
        <v>12238.45263841277</v>
      </c>
      <c r="Y611" s="159">
        <v>16999.996</v>
      </c>
      <c r="Z611" s="159">
        <v>2919.079201557405</v>
      </c>
      <c r="AA611" s="159">
        <v>378.04</v>
      </c>
      <c r="AB611" s="159">
        <v>849.9998</v>
      </c>
      <c r="AC611" s="214">
        <v>21147.11500155741</v>
      </c>
      <c r="AD611" s="159">
        <v>3383.538400249185</v>
      </c>
      <c r="AE611" s="159">
        <v>24530.65340180659</v>
      </c>
      <c r="AF611" s="159">
        <v>21147.11500155741</v>
      </c>
    </row>
    <row r="612">
      <c r="A612" s="153" t="s">
        <v>287</v>
      </c>
      <c r="B612" s="153"/>
      <c r="D612" s="153" t="str">
        <f t="shared" si="1"/>
        <v>SI</v>
      </c>
      <c r="F612" s="30" t="s">
        <v>1723</v>
      </c>
      <c r="G612" s="30" t="s">
        <v>1682</v>
      </c>
      <c r="H612" s="30" t="s">
        <v>1690</v>
      </c>
      <c r="I612" s="30"/>
      <c r="J612" s="30" t="s">
        <v>1724</v>
      </c>
      <c r="K612" s="159">
        <v>17499.998</v>
      </c>
      <c r="L612" s="159">
        <v>17499.998</v>
      </c>
      <c r="M612" s="159">
        <v>1461.93801604352</v>
      </c>
      <c r="N612" s="159">
        <v>1416.25245304216</v>
      </c>
      <c r="O612" s="159">
        <v>189.02</v>
      </c>
      <c r="P612" s="159">
        <v>189.02</v>
      </c>
      <c r="Q612" s="159">
        <v>874.9999</v>
      </c>
      <c r="R612" s="159">
        <v>874.9999</v>
      </c>
      <c r="S612" s="159">
        <v>20025.95591604352</v>
      </c>
      <c r="T612" s="159">
        <v>19980.27035304216</v>
      </c>
      <c r="U612" s="159">
        <v>3204.152946566963</v>
      </c>
      <c r="V612" s="159">
        <v>3196.843256486746</v>
      </c>
      <c r="W612" s="159">
        <v>23230.10886261048</v>
      </c>
      <c r="X612" s="159">
        <v>23177.11360952891</v>
      </c>
      <c r="Y612" s="159">
        <v>34999.996</v>
      </c>
      <c r="Z612" s="159">
        <v>2878.19046908568</v>
      </c>
      <c r="AA612" s="159">
        <v>378.04</v>
      </c>
      <c r="AB612" s="159">
        <v>1749.9998</v>
      </c>
      <c r="AC612" s="214">
        <v>40006.22626908568</v>
      </c>
      <c r="AD612" s="159">
        <v>6400.996203053709</v>
      </c>
      <c r="AE612" s="159">
        <v>46407.22247213939</v>
      </c>
      <c r="AF612" s="159">
        <v>40006.22626908568</v>
      </c>
    </row>
    <row r="613">
      <c r="A613" s="153" t="s">
        <v>319</v>
      </c>
      <c r="B613" s="153"/>
      <c r="D613" s="153" t="str">
        <f t="shared" si="1"/>
        <v>SI</v>
      </c>
      <c r="F613" s="30" t="s">
        <v>143</v>
      </c>
      <c r="G613" s="30" t="s">
        <v>1682</v>
      </c>
      <c r="H613" s="30" t="s">
        <v>1690</v>
      </c>
      <c r="I613" s="30" t="s">
        <v>1691</v>
      </c>
      <c r="J613" s="30" t="s">
        <v>1692</v>
      </c>
      <c r="K613" s="159">
        <v>11249.998</v>
      </c>
      <c r="L613" s="159">
        <v>11249.998</v>
      </c>
      <c r="M613" s="159">
        <v>1469.03356871168</v>
      </c>
      <c r="N613" s="159">
        <v>1423.12626968944</v>
      </c>
      <c r="O613" s="159">
        <v>189.02</v>
      </c>
      <c r="P613" s="159">
        <v>189.02</v>
      </c>
      <c r="Q613" s="159">
        <v>562.4999</v>
      </c>
      <c r="R613" s="159">
        <v>562.4999</v>
      </c>
      <c r="S613" s="159">
        <v>13470.55146871168</v>
      </c>
      <c r="T613" s="159">
        <v>13424.64416968944</v>
      </c>
      <c r="U613" s="159">
        <v>2155.288234993869</v>
      </c>
      <c r="V613" s="159">
        <v>2147.943067150311</v>
      </c>
      <c r="W613" s="159">
        <v>15625.83970370555</v>
      </c>
      <c r="X613" s="159">
        <v>15572.58723683975</v>
      </c>
      <c r="Y613" s="159">
        <v>22499.996</v>
      </c>
      <c r="Z613" s="159">
        <v>2892.15983840112</v>
      </c>
      <c r="AA613" s="159">
        <v>378.04</v>
      </c>
      <c r="AB613" s="159">
        <v>1124.9998</v>
      </c>
      <c r="AC613" s="214">
        <v>26895.19563840112</v>
      </c>
      <c r="AD613" s="159">
        <v>4303.23130214418</v>
      </c>
      <c r="AE613" s="159">
        <v>31198.4269405453</v>
      </c>
      <c r="AF613" s="159">
        <v>26895.19563840112</v>
      </c>
    </row>
    <row r="614">
      <c r="A614" s="153" t="s">
        <v>183</v>
      </c>
      <c r="B614" s="153"/>
      <c r="D614" s="153" t="str">
        <f t="shared" si="1"/>
        <v>SI</v>
      </c>
      <c r="F614" s="30" t="s">
        <v>145</v>
      </c>
      <c r="G614" s="30" t="s">
        <v>1682</v>
      </c>
      <c r="H614" s="30" t="s">
        <v>1686</v>
      </c>
      <c r="I614" s="30" t="s">
        <v>1695</v>
      </c>
      <c r="J614" s="30" t="s">
        <v>1696</v>
      </c>
      <c r="K614" s="159">
        <v>9999.998</v>
      </c>
      <c r="L614" s="159">
        <v>9999.998</v>
      </c>
      <c r="M614" s="159">
        <v>1467.59389135872</v>
      </c>
      <c r="N614" s="159">
        <v>1421.73158225376</v>
      </c>
      <c r="O614" s="159">
        <v>189.02</v>
      </c>
      <c r="P614" s="159">
        <v>189.02</v>
      </c>
      <c r="Q614" s="159">
        <v>499.9999</v>
      </c>
      <c r="R614" s="159">
        <v>499.9999</v>
      </c>
      <c r="S614" s="159">
        <v>12156.61179135872</v>
      </c>
      <c r="T614" s="159">
        <v>12110.74948225376</v>
      </c>
      <c r="U614" s="159">
        <v>1945.057886617395</v>
      </c>
      <c r="V614" s="159">
        <v>1937.719917160602</v>
      </c>
      <c r="W614" s="159">
        <v>14101.66967797612</v>
      </c>
      <c r="X614" s="159">
        <v>14048.46939941436</v>
      </c>
      <c r="Y614" s="159">
        <v>19999.996</v>
      </c>
      <c r="Z614" s="159">
        <v>2889.32547361248</v>
      </c>
      <c r="AA614" s="159">
        <v>378.04</v>
      </c>
      <c r="AB614" s="159">
        <v>999.9998</v>
      </c>
      <c r="AC614" s="214">
        <v>24267.36127361248</v>
      </c>
      <c r="AD614" s="159">
        <v>3882.777803777997</v>
      </c>
      <c r="AE614" s="159">
        <v>28150.13907739048</v>
      </c>
      <c r="AF614" s="159">
        <v>24267.36127361248</v>
      </c>
    </row>
    <row r="615">
      <c r="A615" s="153" t="s">
        <v>146</v>
      </c>
      <c r="B615" s="153"/>
      <c r="D615" s="153" t="str">
        <f t="shared" si="1"/>
        <v>SI</v>
      </c>
      <c r="F615" s="30" t="s">
        <v>147</v>
      </c>
      <c r="G615" s="30" t="s">
        <v>1678</v>
      </c>
      <c r="H615" s="30" t="s">
        <v>1679</v>
      </c>
      <c r="I615" s="30"/>
      <c r="J615" s="30" t="s">
        <v>1712</v>
      </c>
      <c r="K615" s="159">
        <v>2274.4</v>
      </c>
      <c r="L615" s="159">
        <v>2274.4</v>
      </c>
      <c r="M615" s="159">
        <v>0.0</v>
      </c>
      <c r="N615" s="159">
        <v>0.0</v>
      </c>
      <c r="O615" s="159">
        <v>0.0</v>
      </c>
      <c r="P615" s="159">
        <v>0.0</v>
      </c>
      <c r="Q615" s="159">
        <v>113.72</v>
      </c>
      <c r="R615" s="159">
        <v>113.72</v>
      </c>
      <c r="S615" s="159">
        <v>2388.12</v>
      </c>
      <c r="T615" s="159">
        <v>2388.12</v>
      </c>
      <c r="U615" s="159">
        <v>382.0992</v>
      </c>
      <c r="V615" s="159">
        <v>382.0992</v>
      </c>
      <c r="W615" s="159">
        <v>2770.2192</v>
      </c>
      <c r="X615" s="159">
        <v>2770.2192</v>
      </c>
      <c r="Y615" s="159">
        <v>4548.8</v>
      </c>
      <c r="Z615" s="159">
        <v>0.0</v>
      </c>
      <c r="AA615" s="159">
        <v>0.0</v>
      </c>
      <c r="AB615" s="159">
        <v>227.44</v>
      </c>
      <c r="AC615" s="214">
        <v>4776.24</v>
      </c>
      <c r="AD615" s="159">
        <v>764.1984</v>
      </c>
      <c r="AE615" s="159">
        <v>5540.4384</v>
      </c>
      <c r="AF615" s="159">
        <v>4776.24</v>
      </c>
    </row>
    <row r="616">
      <c r="A616" s="153" t="s">
        <v>132</v>
      </c>
      <c r="B616" s="153"/>
      <c r="D616" s="153" t="str">
        <f t="shared" si="1"/>
        <v>SI</v>
      </c>
      <c r="F616" s="30" t="s">
        <v>149</v>
      </c>
      <c r="G616" s="30" t="s">
        <v>1682</v>
      </c>
      <c r="H616" s="30" t="s">
        <v>1683</v>
      </c>
      <c r="I616" s="30" t="s">
        <v>1691</v>
      </c>
      <c r="J616" s="30" t="s">
        <v>1716</v>
      </c>
      <c r="K616" s="159">
        <v>7903.998000000001</v>
      </c>
      <c r="L616" s="159">
        <v>7999.998000000001</v>
      </c>
      <c r="M616" s="159">
        <v>1469.03356871168</v>
      </c>
      <c r="N616" s="159">
        <v>1423.12626968944</v>
      </c>
      <c r="O616" s="159">
        <v>189.02</v>
      </c>
      <c r="P616" s="159">
        <v>189.02</v>
      </c>
      <c r="Q616" s="159">
        <v>395.1999000000001</v>
      </c>
      <c r="R616" s="159">
        <v>399.9999</v>
      </c>
      <c r="S616" s="159">
        <v>9957.251468711682</v>
      </c>
      <c r="T616" s="159">
        <v>10012.14416968944</v>
      </c>
      <c r="U616" s="159">
        <v>1593.160234993869</v>
      </c>
      <c r="V616" s="159">
        <v>1601.943067150311</v>
      </c>
      <c r="W616" s="159">
        <v>11550.41170370555</v>
      </c>
      <c r="X616" s="159">
        <v>11614.08723683975</v>
      </c>
      <c r="Y616" s="159">
        <v>15903.996</v>
      </c>
      <c r="Z616" s="159">
        <v>2892.15983840112</v>
      </c>
      <c r="AA616" s="159">
        <v>378.04</v>
      </c>
      <c r="AB616" s="159">
        <v>795.1998000000001</v>
      </c>
      <c r="AC616" s="214">
        <v>19969.39563840113</v>
      </c>
      <c r="AD616" s="159">
        <v>3195.10330214418</v>
      </c>
      <c r="AE616" s="159">
        <v>23164.4989405453</v>
      </c>
      <c r="AF616" s="159">
        <v>19969.39563840113</v>
      </c>
    </row>
    <row r="617">
      <c r="A617" s="153" t="s">
        <v>260</v>
      </c>
      <c r="B617" s="153"/>
      <c r="D617" s="153" t="str">
        <f t="shared" si="1"/>
        <v>SI</v>
      </c>
      <c r="F617" s="30" t="s">
        <v>151</v>
      </c>
      <c r="G617" s="30" t="s">
        <v>1682</v>
      </c>
      <c r="H617" s="30" t="s">
        <v>1686</v>
      </c>
      <c r="I617" s="159">
        <v>0.0</v>
      </c>
      <c r="J617" s="30" t="s">
        <v>1687</v>
      </c>
      <c r="K617" s="159">
        <v>4999.998000000001</v>
      </c>
      <c r="L617" s="159">
        <v>4999.998000000001</v>
      </c>
      <c r="M617" s="159">
        <v>1461.93801604352</v>
      </c>
      <c r="N617" s="159">
        <v>1416.25245304216</v>
      </c>
      <c r="O617" s="159">
        <v>189.02</v>
      </c>
      <c r="P617" s="159">
        <v>189.02</v>
      </c>
      <c r="Q617" s="159">
        <v>249.9999</v>
      </c>
      <c r="R617" s="159">
        <v>249.9999</v>
      </c>
      <c r="S617" s="159">
        <v>6900.95591604352</v>
      </c>
      <c r="T617" s="159">
        <v>6855.27035304216</v>
      </c>
      <c r="U617" s="159">
        <v>1104.152946566963</v>
      </c>
      <c r="V617" s="159">
        <v>1096.843256486746</v>
      </c>
      <c r="W617" s="159">
        <v>8005.108862610483</v>
      </c>
      <c r="X617" s="159">
        <v>7952.113609528906</v>
      </c>
      <c r="Y617" s="159">
        <v>9999.996000000001</v>
      </c>
      <c r="Z617" s="159">
        <v>2878.19046908568</v>
      </c>
      <c r="AA617" s="159">
        <v>378.04</v>
      </c>
      <c r="AB617" s="159">
        <v>499.9998000000001</v>
      </c>
      <c r="AC617" s="214">
        <v>13756.22626908568</v>
      </c>
      <c r="AD617" s="159">
        <v>2200.996203053709</v>
      </c>
      <c r="AE617" s="159">
        <v>15957.22247213939</v>
      </c>
      <c r="AF617" s="159">
        <v>13756.22626908568</v>
      </c>
    </row>
    <row r="618">
      <c r="A618" s="153" t="s">
        <v>213</v>
      </c>
      <c r="B618" s="153"/>
      <c r="D618" s="153" t="str">
        <f t="shared" si="1"/>
        <v>SI</v>
      </c>
      <c r="F618" s="30" t="s">
        <v>153</v>
      </c>
      <c r="G618" s="30" t="s">
        <v>1682</v>
      </c>
      <c r="H618" s="30" t="s">
        <v>1679</v>
      </c>
      <c r="I618" s="30" t="s">
        <v>1693</v>
      </c>
      <c r="J618" s="30" t="s">
        <v>1694</v>
      </c>
      <c r="K618" s="159">
        <v>3076.4</v>
      </c>
      <c r="L618" s="159">
        <v>3283.31</v>
      </c>
      <c r="M618" s="159">
        <v>0.0</v>
      </c>
      <c r="N618" s="159">
        <v>0.0</v>
      </c>
      <c r="O618" s="159">
        <v>0.0</v>
      </c>
      <c r="P618" s="159">
        <v>0.0</v>
      </c>
      <c r="Q618" s="159">
        <v>153.82</v>
      </c>
      <c r="R618" s="159">
        <v>164.1655</v>
      </c>
      <c r="S618" s="159">
        <v>3230.22</v>
      </c>
      <c r="T618" s="159">
        <v>3447.4755</v>
      </c>
      <c r="U618" s="159">
        <v>516.8352000000001</v>
      </c>
      <c r="V618" s="159">
        <v>551.59608</v>
      </c>
      <c r="W618" s="159">
        <v>3747.0552</v>
      </c>
      <c r="X618" s="159">
        <v>3999.07158</v>
      </c>
      <c r="Y618" s="159">
        <v>6359.71</v>
      </c>
      <c r="Z618" s="159">
        <v>0.0</v>
      </c>
      <c r="AA618" s="159">
        <v>0.0</v>
      </c>
      <c r="AB618" s="159">
        <v>317.9855</v>
      </c>
      <c r="AC618" s="214">
        <v>6677.6955</v>
      </c>
      <c r="AD618" s="159">
        <v>1068.43128</v>
      </c>
      <c r="AE618" s="159">
        <v>7746.126780000001</v>
      </c>
      <c r="AF618" s="159">
        <v>6677.6955</v>
      </c>
    </row>
    <row r="619">
      <c r="A619" s="153" t="s">
        <v>309</v>
      </c>
      <c r="B619" s="153"/>
      <c r="D619" s="153" t="str">
        <f t="shared" si="1"/>
        <v>SI</v>
      </c>
      <c r="F619" s="30" t="s">
        <v>157</v>
      </c>
      <c r="G619" s="30" t="s">
        <v>1678</v>
      </c>
      <c r="H619" s="30" t="s">
        <v>1679</v>
      </c>
      <c r="I619" s="30" t="s">
        <v>1620</v>
      </c>
      <c r="J619" s="30" t="s">
        <v>1725</v>
      </c>
      <c r="K619" s="159">
        <v>5999.998000000001</v>
      </c>
      <c r="L619" s="159">
        <v>5999.998000000001</v>
      </c>
      <c r="M619" s="159">
        <v>1482.706896029158</v>
      </c>
      <c r="N619" s="159">
        <v>1436.372305528247</v>
      </c>
      <c r="O619" s="159">
        <v>189.02</v>
      </c>
      <c r="P619" s="159">
        <v>189.02</v>
      </c>
      <c r="Q619" s="159">
        <v>299.9999</v>
      </c>
      <c r="R619" s="159">
        <v>299.9999</v>
      </c>
      <c r="S619" s="159">
        <v>7971.724796029159</v>
      </c>
      <c r="T619" s="159">
        <v>7925.390205528248</v>
      </c>
      <c r="U619" s="159">
        <v>1275.475967364665</v>
      </c>
      <c r="V619" s="159">
        <v>1268.06243288452</v>
      </c>
      <c r="W619" s="159">
        <v>9247.200763393825</v>
      </c>
      <c r="X619" s="159">
        <v>9193.452638412768</v>
      </c>
      <c r="Y619" s="159">
        <v>11999.996</v>
      </c>
      <c r="Z619" s="159">
        <v>2919.079201557405</v>
      </c>
      <c r="AA619" s="159">
        <v>378.04</v>
      </c>
      <c r="AB619" s="159">
        <v>599.9998</v>
      </c>
      <c r="AC619" s="214">
        <v>15897.11500155741</v>
      </c>
      <c r="AD619" s="159">
        <v>2543.538400249185</v>
      </c>
      <c r="AE619" s="159">
        <v>18440.65340180659</v>
      </c>
      <c r="AF619" s="159">
        <v>15897.11500155741</v>
      </c>
    </row>
    <row r="620">
      <c r="A620" s="153" t="s">
        <v>76</v>
      </c>
      <c r="B620" s="153"/>
      <c r="D620" s="153" t="str">
        <f t="shared" si="1"/>
        <v>SI</v>
      </c>
      <c r="F620" s="30" t="s">
        <v>159</v>
      </c>
      <c r="G620" s="30" t="s">
        <v>1682</v>
      </c>
      <c r="H620" s="30" t="s">
        <v>1726</v>
      </c>
      <c r="I620" s="30" t="s">
        <v>1693</v>
      </c>
      <c r="J620" s="30" t="s">
        <v>1694</v>
      </c>
      <c r="K620" s="159">
        <v>11499.998</v>
      </c>
      <c r="L620" s="159">
        <v>11499.998</v>
      </c>
      <c r="M620" s="159">
        <v>1470.035775975936</v>
      </c>
      <c r="N620" s="159">
        <v>1424.097157976688</v>
      </c>
      <c r="O620" s="159">
        <v>189.02</v>
      </c>
      <c r="P620" s="159">
        <v>189.02</v>
      </c>
      <c r="Q620" s="159">
        <v>574.9999</v>
      </c>
      <c r="R620" s="159">
        <v>574.9999</v>
      </c>
      <c r="S620" s="159">
        <v>13734.05367597594</v>
      </c>
      <c r="T620" s="159">
        <v>13688.11505797669</v>
      </c>
      <c r="U620" s="159">
        <v>2197.44858815615</v>
      </c>
      <c r="V620" s="159">
        <v>2190.09840927627</v>
      </c>
      <c r="W620" s="159">
        <v>15931.50226413209</v>
      </c>
      <c r="X620" s="159">
        <v>15878.21346725296</v>
      </c>
      <c r="Y620" s="159">
        <v>22999.996</v>
      </c>
      <c r="Z620" s="159">
        <v>2894.132933952624</v>
      </c>
      <c r="AA620" s="159">
        <v>378.04</v>
      </c>
      <c r="AB620" s="159">
        <v>1149.9998</v>
      </c>
      <c r="AC620" s="214">
        <v>27422.16873395263</v>
      </c>
      <c r="AD620" s="159">
        <v>4387.546997432421</v>
      </c>
      <c r="AE620" s="159">
        <v>31809.71573138505</v>
      </c>
      <c r="AF620" s="159">
        <v>27422.16873395263</v>
      </c>
    </row>
    <row r="621">
      <c r="A621" s="153" t="s">
        <v>65</v>
      </c>
      <c r="B621" s="153"/>
      <c r="D621" s="153" t="str">
        <f t="shared" si="1"/>
        <v>SI</v>
      </c>
      <c r="F621" s="30" t="s">
        <v>162</v>
      </c>
      <c r="G621" s="30" t="s">
        <v>1682</v>
      </c>
      <c r="H621" s="30" t="s">
        <v>1679</v>
      </c>
      <c r="I621" s="30" t="s">
        <v>1693</v>
      </c>
      <c r="J621" s="30" t="s">
        <v>1694</v>
      </c>
      <c r="K621" s="159">
        <v>0.0</v>
      </c>
      <c r="L621" s="159">
        <v>0.0</v>
      </c>
      <c r="M621" s="159">
        <v>0.0</v>
      </c>
      <c r="N621" s="159">
        <v>0.0</v>
      </c>
      <c r="O621" s="159">
        <v>0.0</v>
      </c>
      <c r="P621" s="159">
        <v>0.0</v>
      </c>
      <c r="Q621" s="159">
        <v>0.0</v>
      </c>
      <c r="R621" s="159">
        <v>0.0</v>
      </c>
      <c r="S621" s="159">
        <v>0.0</v>
      </c>
      <c r="T621" s="159">
        <v>0.0</v>
      </c>
      <c r="U621" s="159">
        <v>0.0</v>
      </c>
      <c r="V621" s="159">
        <v>0.0</v>
      </c>
      <c r="W621" s="159">
        <v>0.0</v>
      </c>
      <c r="X621" s="159">
        <v>0.0</v>
      </c>
      <c r="Y621" s="159">
        <v>0.0</v>
      </c>
      <c r="Z621" s="159">
        <v>0.0</v>
      </c>
      <c r="AA621" s="159">
        <v>0.0</v>
      </c>
      <c r="AB621" s="159">
        <v>0.0</v>
      </c>
      <c r="AC621" s="214">
        <v>0.0</v>
      </c>
      <c r="AD621" s="159">
        <v>0.0</v>
      </c>
      <c r="AE621" s="159">
        <v>0.0</v>
      </c>
      <c r="AF621" s="159">
        <v>0.0</v>
      </c>
    </row>
    <row r="622">
      <c r="A622" s="153" t="s">
        <v>39</v>
      </c>
      <c r="B622" s="153"/>
      <c r="D622" s="153" t="str">
        <f t="shared" si="1"/>
        <v>SI</v>
      </c>
      <c r="F622" s="30" t="s">
        <v>164</v>
      </c>
      <c r="G622" s="30" t="s">
        <v>1682</v>
      </c>
      <c r="H622" s="30" t="s">
        <v>1679</v>
      </c>
      <c r="I622" s="30" t="s">
        <v>1699</v>
      </c>
      <c r="J622" s="30" t="s">
        <v>1727</v>
      </c>
      <c r="K622" s="159">
        <v>1774.4</v>
      </c>
      <c r="L622" s="159">
        <v>1774.4</v>
      </c>
      <c r="M622" s="159">
        <v>0.0</v>
      </c>
      <c r="N622" s="159">
        <v>0.0</v>
      </c>
      <c r="O622" s="159">
        <v>0.0</v>
      </c>
      <c r="P622" s="159">
        <v>0.0</v>
      </c>
      <c r="Q622" s="159">
        <v>88.72000000000001</v>
      </c>
      <c r="R622" s="159">
        <v>88.72000000000001</v>
      </c>
      <c r="S622" s="159">
        <v>1863.12</v>
      </c>
      <c r="T622" s="159">
        <v>1863.12</v>
      </c>
      <c r="U622" s="159">
        <v>298.0992000000001</v>
      </c>
      <c r="V622" s="159">
        <v>298.0992000000001</v>
      </c>
      <c r="W622" s="159">
        <v>2161.2192</v>
      </c>
      <c r="X622" s="159">
        <v>2161.2192</v>
      </c>
      <c r="Y622" s="159">
        <v>3548.8</v>
      </c>
      <c r="Z622" s="159">
        <v>0.0</v>
      </c>
      <c r="AA622" s="159">
        <v>0.0</v>
      </c>
      <c r="AB622" s="159">
        <v>177.44</v>
      </c>
      <c r="AC622" s="214">
        <v>3726.24</v>
      </c>
      <c r="AD622" s="159">
        <v>596.1984000000001</v>
      </c>
      <c r="AE622" s="159">
        <v>4322.4384</v>
      </c>
      <c r="AF622" s="159">
        <v>3726.24</v>
      </c>
    </row>
    <row r="623">
      <c r="A623" s="153" t="s">
        <v>190</v>
      </c>
      <c r="B623" s="153"/>
      <c r="D623" s="153" t="str">
        <f t="shared" si="1"/>
        <v>SI</v>
      </c>
      <c r="F623" s="30" t="s">
        <v>1652</v>
      </c>
      <c r="G623" s="30" t="s">
        <v>1682</v>
      </c>
      <c r="H623" s="30" t="s">
        <v>1690</v>
      </c>
      <c r="I623" s="30" t="s">
        <v>1691</v>
      </c>
      <c r="J623" s="30" t="s">
        <v>1692</v>
      </c>
      <c r="K623" s="159">
        <v>5999.998000000001</v>
      </c>
      <c r="L623" s="159">
        <v>5999.998000000001</v>
      </c>
      <c r="M623" s="159">
        <v>1463.37769339648</v>
      </c>
      <c r="N623" s="159">
        <v>1417.64714047784</v>
      </c>
      <c r="O623" s="159">
        <v>189.02</v>
      </c>
      <c r="P623" s="159">
        <v>189.02</v>
      </c>
      <c r="Q623" s="159">
        <v>299.9999</v>
      </c>
      <c r="R623" s="159">
        <v>299.9999</v>
      </c>
      <c r="S623" s="159">
        <v>7952.395593396481</v>
      </c>
      <c r="T623" s="159">
        <v>7906.665040477841</v>
      </c>
      <c r="U623" s="159">
        <v>1272.383294943437</v>
      </c>
      <c r="V623" s="159">
        <v>1265.066406476455</v>
      </c>
      <c r="W623" s="159">
        <v>9224.778888339917</v>
      </c>
      <c r="X623" s="159">
        <v>9171.731446954296</v>
      </c>
      <c r="Y623" s="159">
        <v>11999.996</v>
      </c>
      <c r="Z623" s="159">
        <v>2881.02483387432</v>
      </c>
      <c r="AA623" s="159">
        <v>378.04</v>
      </c>
      <c r="AB623" s="159">
        <v>599.9998</v>
      </c>
      <c r="AC623" s="214">
        <v>15859.06063387432</v>
      </c>
      <c r="AD623" s="159">
        <v>2537.449701419891</v>
      </c>
      <c r="AE623" s="159">
        <v>18396.51033529421</v>
      </c>
      <c r="AF623" s="159">
        <v>15859.06063387432</v>
      </c>
    </row>
    <row r="624">
      <c r="A624" s="153" t="s">
        <v>229</v>
      </c>
      <c r="B624" s="153"/>
      <c r="D624" s="153" t="str">
        <f t="shared" si="1"/>
        <v>SI</v>
      </c>
      <c r="F624" s="30" t="s">
        <v>168</v>
      </c>
      <c r="G624" s="30" t="s">
        <v>1728</v>
      </c>
      <c r="H624" s="30" t="s">
        <v>1679</v>
      </c>
      <c r="I624" s="30" t="s">
        <v>1693</v>
      </c>
      <c r="J624" s="30" t="s">
        <v>1694</v>
      </c>
      <c r="K624" s="159">
        <v>1274.4</v>
      </c>
      <c r="L624" s="159">
        <v>1274.4</v>
      </c>
      <c r="M624" s="159">
        <v>0.0</v>
      </c>
      <c r="N624" s="159">
        <v>0.0</v>
      </c>
      <c r="O624" s="159">
        <v>0.0</v>
      </c>
      <c r="P624" s="159">
        <v>0.0</v>
      </c>
      <c r="Q624" s="159">
        <v>63.72000000000001</v>
      </c>
      <c r="R624" s="159">
        <v>63.72000000000001</v>
      </c>
      <c r="S624" s="159">
        <v>1338.12</v>
      </c>
      <c r="T624" s="159">
        <v>1338.12</v>
      </c>
      <c r="U624" s="159">
        <v>214.0992</v>
      </c>
      <c r="V624" s="159">
        <v>214.0992</v>
      </c>
      <c r="W624" s="159">
        <v>1552.2192</v>
      </c>
      <c r="X624" s="159">
        <v>1552.2192</v>
      </c>
      <c r="Y624" s="159">
        <v>2548.8</v>
      </c>
      <c r="Z624" s="159">
        <v>0.0</v>
      </c>
      <c r="AA624" s="159">
        <v>0.0</v>
      </c>
      <c r="AB624" s="159">
        <v>127.44</v>
      </c>
      <c r="AC624" s="214">
        <v>2676.24</v>
      </c>
      <c r="AD624" s="159">
        <v>428.1984</v>
      </c>
      <c r="AE624" s="159">
        <v>3104.4384</v>
      </c>
      <c r="AF624" s="159">
        <v>2676.24</v>
      </c>
    </row>
    <row r="625">
      <c r="A625" s="153" t="s">
        <v>252</v>
      </c>
      <c r="B625" s="153"/>
      <c r="D625" s="153" t="str">
        <f t="shared" si="1"/>
        <v>SI</v>
      </c>
      <c r="F625" s="30" t="s">
        <v>170</v>
      </c>
      <c r="G625" s="30" t="s">
        <v>1682</v>
      </c>
      <c r="H625" s="30" t="s">
        <v>1704</v>
      </c>
      <c r="I625" s="30"/>
      <c r="J625" s="30" t="s">
        <v>1729</v>
      </c>
      <c r="K625" s="159">
        <v>3500.0</v>
      </c>
      <c r="L625" s="159">
        <v>1166.67</v>
      </c>
      <c r="M625" s="159">
        <v>0.0</v>
      </c>
      <c r="N625" s="159">
        <v>0.0</v>
      </c>
      <c r="O625" s="159">
        <v>0.0</v>
      </c>
      <c r="P625" s="159">
        <v>0.0</v>
      </c>
      <c r="Q625" s="159">
        <v>175.0</v>
      </c>
      <c r="R625" s="159">
        <v>58.33350000000001</v>
      </c>
      <c r="S625" s="159">
        <v>3675.0</v>
      </c>
      <c r="T625" s="159">
        <v>1225.0035</v>
      </c>
      <c r="U625" s="159">
        <v>588.0</v>
      </c>
      <c r="V625" s="159">
        <v>196.00056</v>
      </c>
      <c r="W625" s="159">
        <v>4263.0</v>
      </c>
      <c r="X625" s="159">
        <v>1421.00406</v>
      </c>
      <c r="Y625" s="159">
        <v>4666.67</v>
      </c>
      <c r="Z625" s="159">
        <v>0.0</v>
      </c>
      <c r="AA625" s="159">
        <v>0.0</v>
      </c>
      <c r="AB625" s="159">
        <v>233.3335</v>
      </c>
      <c r="AC625" s="214">
        <v>4900.0035</v>
      </c>
      <c r="AD625" s="159">
        <v>784.00056</v>
      </c>
      <c r="AE625" s="159">
        <v>5684.00406</v>
      </c>
      <c r="AF625" s="159">
        <v>4900.0035</v>
      </c>
    </row>
    <row r="626">
      <c r="A626" s="153" t="s">
        <v>142</v>
      </c>
      <c r="B626" s="153"/>
      <c r="D626" s="153" t="str">
        <f t="shared" si="1"/>
        <v>SI</v>
      </c>
      <c r="F626" s="30" t="s">
        <v>172</v>
      </c>
      <c r="G626" s="30" t="s">
        <v>1682</v>
      </c>
      <c r="H626" s="30" t="s">
        <v>1698</v>
      </c>
      <c r="I626" s="30" t="s">
        <v>1730</v>
      </c>
      <c r="J626" s="30" t="s">
        <v>1731</v>
      </c>
      <c r="K626" s="159">
        <v>2274.4</v>
      </c>
      <c r="L626" s="159">
        <v>2274.4</v>
      </c>
      <c r="M626" s="159">
        <v>0.0</v>
      </c>
      <c r="N626" s="159">
        <v>0.0</v>
      </c>
      <c r="O626" s="159">
        <v>0.0</v>
      </c>
      <c r="P626" s="159">
        <v>0.0</v>
      </c>
      <c r="Q626" s="159">
        <v>113.72</v>
      </c>
      <c r="R626" s="159">
        <v>113.72</v>
      </c>
      <c r="S626" s="159">
        <v>2388.12</v>
      </c>
      <c r="T626" s="159">
        <v>2388.12</v>
      </c>
      <c r="U626" s="159">
        <v>382.0992</v>
      </c>
      <c r="V626" s="159">
        <v>382.0992</v>
      </c>
      <c r="W626" s="159">
        <v>2770.2192</v>
      </c>
      <c r="X626" s="159">
        <v>2770.2192</v>
      </c>
      <c r="Y626" s="159">
        <v>4548.8</v>
      </c>
      <c r="Z626" s="159">
        <v>0.0</v>
      </c>
      <c r="AA626" s="159">
        <v>0.0</v>
      </c>
      <c r="AB626" s="159">
        <v>227.44</v>
      </c>
      <c r="AC626" s="214">
        <v>4776.24</v>
      </c>
      <c r="AD626" s="159">
        <v>764.1984</v>
      </c>
      <c r="AE626" s="159">
        <v>5540.4384</v>
      </c>
      <c r="AF626" s="159">
        <v>4776.24</v>
      </c>
    </row>
    <row r="627">
      <c r="A627" s="153" t="s">
        <v>23</v>
      </c>
      <c r="B627" s="153"/>
      <c r="D627" s="153" t="str">
        <f t="shared" si="1"/>
        <v>SI</v>
      </c>
      <c r="F627" s="30" t="s">
        <v>174</v>
      </c>
      <c r="G627" s="30" t="s">
        <v>1682</v>
      </c>
      <c r="H627" s="30" t="s">
        <v>1690</v>
      </c>
      <c r="I627" s="30" t="s">
        <v>1695</v>
      </c>
      <c r="J627" s="30" t="s">
        <v>1696</v>
      </c>
      <c r="K627" s="159">
        <v>13999.998</v>
      </c>
      <c r="L627" s="159">
        <v>13999.998</v>
      </c>
      <c r="M627" s="159">
        <v>1469.03356871168</v>
      </c>
      <c r="N627" s="159">
        <v>1423.12626968944</v>
      </c>
      <c r="O627" s="159">
        <v>189.02</v>
      </c>
      <c r="P627" s="159">
        <v>189.02</v>
      </c>
      <c r="Q627" s="159">
        <v>699.9999</v>
      </c>
      <c r="R627" s="159">
        <v>699.9999</v>
      </c>
      <c r="S627" s="159">
        <v>16358.05146871168</v>
      </c>
      <c r="T627" s="159">
        <v>16312.14416968944</v>
      </c>
      <c r="U627" s="159">
        <v>2617.288234993869</v>
      </c>
      <c r="V627" s="159">
        <v>2609.943067150311</v>
      </c>
      <c r="W627" s="159">
        <v>18975.33970370555</v>
      </c>
      <c r="X627" s="159">
        <v>18922.08723683975</v>
      </c>
      <c r="Y627" s="159">
        <v>27999.996</v>
      </c>
      <c r="Z627" s="159">
        <v>2892.15983840112</v>
      </c>
      <c r="AA627" s="159">
        <v>378.04</v>
      </c>
      <c r="AB627" s="159">
        <v>1399.9998</v>
      </c>
      <c r="AC627" s="214">
        <v>32670.19563840112</v>
      </c>
      <c r="AD627" s="159">
        <v>5227.23130214418</v>
      </c>
      <c r="AE627" s="159">
        <v>37897.42694054531</v>
      </c>
      <c r="AF627" s="159">
        <v>32670.19563840112</v>
      </c>
    </row>
    <row r="628">
      <c r="A628" s="153" t="s">
        <v>114</v>
      </c>
      <c r="B628" s="153"/>
      <c r="D628" s="153" t="str">
        <f t="shared" si="1"/>
        <v>SI</v>
      </c>
      <c r="F628" s="30" t="s">
        <v>176</v>
      </c>
      <c r="G628" s="30" t="s">
        <v>1682</v>
      </c>
      <c r="H628" s="30" t="s">
        <v>1690</v>
      </c>
      <c r="I628" s="30" t="s">
        <v>1691</v>
      </c>
      <c r="J628" s="30" t="s">
        <v>1692</v>
      </c>
      <c r="K628" s="159">
        <v>5999.998000000001</v>
      </c>
      <c r="L628" s="159">
        <v>5999.998000000001</v>
      </c>
      <c r="M628" s="159">
        <v>1464.81737074944</v>
      </c>
      <c r="N628" s="159">
        <v>1419.04182791352</v>
      </c>
      <c r="O628" s="159">
        <v>189.02</v>
      </c>
      <c r="P628" s="159">
        <v>189.02</v>
      </c>
      <c r="Q628" s="159">
        <v>299.9999</v>
      </c>
      <c r="R628" s="159">
        <v>299.9999</v>
      </c>
      <c r="S628" s="159">
        <v>7953.835270749441</v>
      </c>
      <c r="T628" s="159">
        <v>7908.059727913521</v>
      </c>
      <c r="U628" s="159">
        <v>1272.613643319911</v>
      </c>
      <c r="V628" s="159">
        <v>1265.289556466163</v>
      </c>
      <c r="W628" s="159">
        <v>9226.448914069351</v>
      </c>
      <c r="X628" s="159">
        <v>9173.349284379685</v>
      </c>
      <c r="Y628" s="159">
        <v>11999.996</v>
      </c>
      <c r="Z628" s="159">
        <v>2883.85919866296</v>
      </c>
      <c r="AA628" s="159">
        <v>378.04</v>
      </c>
      <c r="AB628" s="159">
        <v>599.9998</v>
      </c>
      <c r="AC628" s="214">
        <v>15861.89499866296</v>
      </c>
      <c r="AD628" s="159">
        <v>2537.903199786074</v>
      </c>
      <c r="AE628" s="159">
        <v>18399.79819844904</v>
      </c>
      <c r="AF628" s="159">
        <v>15861.89499866296</v>
      </c>
    </row>
    <row r="629">
      <c r="A629" s="153" t="s">
        <v>340</v>
      </c>
      <c r="B629" s="153"/>
      <c r="D629" s="153" t="str">
        <f t="shared" si="1"/>
        <v>SI</v>
      </c>
      <c r="F629" s="30" t="s">
        <v>178</v>
      </c>
      <c r="G629" s="30" t="s">
        <v>1682</v>
      </c>
      <c r="H629" s="30" t="s">
        <v>1690</v>
      </c>
      <c r="I629" s="30" t="s">
        <v>1732</v>
      </c>
      <c r="J629" s="30" t="s">
        <v>1733</v>
      </c>
      <c r="K629" s="159">
        <v>4725.598000000001</v>
      </c>
      <c r="L629" s="159">
        <v>4725.598000000001</v>
      </c>
      <c r="M629" s="159">
        <v>1464.81737074944</v>
      </c>
      <c r="N629" s="159">
        <v>1419.04182791352</v>
      </c>
      <c r="O629" s="159">
        <v>189.02</v>
      </c>
      <c r="P629" s="159">
        <v>189.02</v>
      </c>
      <c r="Q629" s="159">
        <v>236.2799000000001</v>
      </c>
      <c r="R629" s="159">
        <v>236.2799000000001</v>
      </c>
      <c r="S629" s="159">
        <v>6615.715270749442</v>
      </c>
      <c r="T629" s="159">
        <v>6569.939727913522</v>
      </c>
      <c r="U629" s="159">
        <v>1058.514443319911</v>
      </c>
      <c r="V629" s="159">
        <v>1051.190356466164</v>
      </c>
      <c r="W629" s="159">
        <v>7674.229714069354</v>
      </c>
      <c r="X629" s="159">
        <v>7621.130084379685</v>
      </c>
      <c r="Y629" s="159">
        <v>9451.196000000002</v>
      </c>
      <c r="Z629" s="159">
        <v>2883.85919866296</v>
      </c>
      <c r="AA629" s="159">
        <v>378.04</v>
      </c>
      <c r="AB629" s="159">
        <v>472.5598000000001</v>
      </c>
      <c r="AC629" s="214">
        <v>13185.65499866297</v>
      </c>
      <c r="AD629" s="159">
        <v>2109.704799786075</v>
      </c>
      <c r="AE629" s="159">
        <v>15295.35979844904</v>
      </c>
      <c r="AF629" s="159">
        <v>13185.65499866297</v>
      </c>
    </row>
    <row r="630">
      <c r="A630" s="153" t="s">
        <v>273</v>
      </c>
      <c r="B630" s="153"/>
      <c r="D630" s="153" t="str">
        <f t="shared" si="1"/>
        <v>SI</v>
      </c>
      <c r="F630" s="30" t="s">
        <v>180</v>
      </c>
      <c r="G630" s="30" t="s">
        <v>1682</v>
      </c>
      <c r="H630" s="30" t="s">
        <v>1686</v>
      </c>
      <c r="I630" s="30" t="s">
        <v>388</v>
      </c>
      <c r="J630" s="30" t="s">
        <v>388</v>
      </c>
      <c r="K630" s="159">
        <v>5999.998000000001</v>
      </c>
      <c r="L630" s="159">
        <v>5999.998000000001</v>
      </c>
      <c r="M630" s="159">
        <v>1461.93801604352</v>
      </c>
      <c r="N630" s="159">
        <v>1416.25245304216</v>
      </c>
      <c r="O630" s="159">
        <v>189.02</v>
      </c>
      <c r="P630" s="159">
        <v>189.02</v>
      </c>
      <c r="Q630" s="159">
        <v>299.9999</v>
      </c>
      <c r="R630" s="159">
        <v>299.9999</v>
      </c>
      <c r="S630" s="159">
        <v>7950.95591604352</v>
      </c>
      <c r="T630" s="159">
        <v>7905.27035304216</v>
      </c>
      <c r="U630" s="159">
        <v>1272.152946566963</v>
      </c>
      <c r="V630" s="159">
        <v>1264.843256486746</v>
      </c>
      <c r="W630" s="159">
        <v>9223.108862610483</v>
      </c>
      <c r="X630" s="159">
        <v>9170.113609528906</v>
      </c>
      <c r="Y630" s="159">
        <v>11999.996</v>
      </c>
      <c r="Z630" s="159">
        <v>2878.19046908568</v>
      </c>
      <c r="AA630" s="159">
        <v>378.04</v>
      </c>
      <c r="AB630" s="159">
        <v>599.9998</v>
      </c>
      <c r="AC630" s="214">
        <v>15856.22626908568</v>
      </c>
      <c r="AD630" s="159">
        <v>2536.996203053709</v>
      </c>
      <c r="AE630" s="159">
        <v>18393.22247213939</v>
      </c>
      <c r="AF630" s="159">
        <v>15856.22626908568</v>
      </c>
    </row>
    <row r="631">
      <c r="A631" s="153" t="s">
        <v>90</v>
      </c>
      <c r="B631" s="153"/>
      <c r="D631" s="153" t="str">
        <f t="shared" si="1"/>
        <v>SI</v>
      </c>
      <c r="F631" s="30" t="s">
        <v>184</v>
      </c>
      <c r="G631" s="30" t="s">
        <v>1682</v>
      </c>
      <c r="H631" s="30" t="s">
        <v>1704</v>
      </c>
      <c r="I631" s="30" t="s">
        <v>523</v>
      </c>
      <c r="J631" s="30" t="s">
        <v>523</v>
      </c>
      <c r="K631" s="159">
        <v>14750.0</v>
      </c>
      <c r="L631" s="159">
        <v>14750.0</v>
      </c>
      <c r="M631" s="159">
        <v>0.0</v>
      </c>
      <c r="N631" s="159">
        <v>0.0</v>
      </c>
      <c r="O631" s="159">
        <v>0.0</v>
      </c>
      <c r="P631" s="159">
        <v>0.0</v>
      </c>
      <c r="Q631" s="159">
        <v>737.5</v>
      </c>
      <c r="R631" s="159">
        <v>737.5</v>
      </c>
      <c r="S631" s="159">
        <v>15487.5</v>
      </c>
      <c r="T631" s="159">
        <v>15487.5</v>
      </c>
      <c r="U631" s="159">
        <v>2478.0</v>
      </c>
      <c r="V631" s="159">
        <v>2478.0</v>
      </c>
      <c r="W631" s="159">
        <v>17965.5</v>
      </c>
      <c r="X631" s="159">
        <v>17965.5</v>
      </c>
      <c r="Y631" s="159">
        <v>29500.0</v>
      </c>
      <c r="Z631" s="159">
        <v>0.0</v>
      </c>
      <c r="AA631" s="159">
        <v>0.0</v>
      </c>
      <c r="AB631" s="159">
        <v>1475.0</v>
      </c>
      <c r="AC631" s="214">
        <v>30975.0</v>
      </c>
      <c r="AD631" s="159">
        <v>4956.0</v>
      </c>
      <c r="AE631" s="159">
        <v>35931.0</v>
      </c>
      <c r="AF631" s="159">
        <v>30975.0</v>
      </c>
    </row>
    <row r="632">
      <c r="A632" s="153" t="s">
        <v>111</v>
      </c>
      <c r="B632" s="153"/>
      <c r="D632" s="153" t="str">
        <f t="shared" si="1"/>
        <v>SI</v>
      </c>
      <c r="F632" s="30" t="s">
        <v>186</v>
      </c>
      <c r="G632" s="30" t="s">
        <v>1682</v>
      </c>
      <c r="H632" s="30" t="s">
        <v>1686</v>
      </c>
      <c r="I632" s="30" t="s">
        <v>1732</v>
      </c>
      <c r="J632" s="30" t="s">
        <v>1734</v>
      </c>
      <c r="K632" s="159">
        <v>6499.998000000001</v>
      </c>
      <c r="L632" s="159">
        <v>6499.998000000001</v>
      </c>
      <c r="M632" s="159">
        <v>1464.81737074944</v>
      </c>
      <c r="N632" s="159">
        <v>1419.04182791352</v>
      </c>
      <c r="O632" s="159">
        <v>189.02</v>
      </c>
      <c r="P632" s="159">
        <v>189.02</v>
      </c>
      <c r="Q632" s="159">
        <v>324.9999</v>
      </c>
      <c r="R632" s="159">
        <v>324.9999</v>
      </c>
      <c r="S632" s="159">
        <v>8478.835270749441</v>
      </c>
      <c r="T632" s="159">
        <v>8433.05972791352</v>
      </c>
      <c r="U632" s="159">
        <v>1356.613643319911</v>
      </c>
      <c r="V632" s="159">
        <v>1349.289556466163</v>
      </c>
      <c r="W632" s="159">
        <v>9835.448914069351</v>
      </c>
      <c r="X632" s="159">
        <v>9782.349284379683</v>
      </c>
      <c r="Y632" s="159">
        <v>12999.996</v>
      </c>
      <c r="Z632" s="159">
        <v>2883.85919866296</v>
      </c>
      <c r="AA632" s="159">
        <v>378.04</v>
      </c>
      <c r="AB632" s="159">
        <v>649.9998</v>
      </c>
      <c r="AC632" s="214">
        <v>16911.89499866296</v>
      </c>
      <c r="AD632" s="159">
        <v>2705.903199786074</v>
      </c>
      <c r="AE632" s="159">
        <v>19617.79819844903</v>
      </c>
      <c r="AF632" s="159">
        <v>16911.89499866296</v>
      </c>
    </row>
    <row r="633">
      <c r="A633" s="153" t="s">
        <v>173</v>
      </c>
      <c r="B633" s="153"/>
      <c r="D633" s="153" t="str">
        <f t="shared" si="1"/>
        <v>SI</v>
      </c>
      <c r="F633" s="30" t="s">
        <v>189</v>
      </c>
      <c r="G633" s="30" t="s">
        <v>1682</v>
      </c>
      <c r="H633" s="30" t="s">
        <v>1686</v>
      </c>
      <c r="I633" s="30" t="s">
        <v>388</v>
      </c>
      <c r="J633" s="30" t="s">
        <v>388</v>
      </c>
      <c r="K633" s="159">
        <v>7999.998000000001</v>
      </c>
      <c r="L633" s="159">
        <v>7999.998000000001</v>
      </c>
      <c r="M633" s="159">
        <v>1469.03356871168</v>
      </c>
      <c r="N633" s="159">
        <v>1423.12626968944</v>
      </c>
      <c r="O633" s="159">
        <v>189.02</v>
      </c>
      <c r="P633" s="159">
        <v>189.02</v>
      </c>
      <c r="Q633" s="159">
        <v>399.9999</v>
      </c>
      <c r="R633" s="159">
        <v>399.9999</v>
      </c>
      <c r="S633" s="159">
        <v>10058.05146871168</v>
      </c>
      <c r="T633" s="159">
        <v>10012.14416968944</v>
      </c>
      <c r="U633" s="159">
        <v>1609.288234993869</v>
      </c>
      <c r="V633" s="159">
        <v>1601.943067150311</v>
      </c>
      <c r="W633" s="159">
        <v>11667.33970370555</v>
      </c>
      <c r="X633" s="159">
        <v>11614.08723683975</v>
      </c>
      <c r="Y633" s="159">
        <v>15999.996</v>
      </c>
      <c r="Z633" s="159">
        <v>2892.15983840112</v>
      </c>
      <c r="AA633" s="159">
        <v>378.04</v>
      </c>
      <c r="AB633" s="159">
        <v>799.9998</v>
      </c>
      <c r="AC633" s="214">
        <v>20070.19563840112</v>
      </c>
      <c r="AD633" s="159">
        <v>3211.23130214418</v>
      </c>
      <c r="AE633" s="159">
        <v>23281.4269405453</v>
      </c>
      <c r="AF633" s="159">
        <v>20070.19563840112</v>
      </c>
    </row>
    <row r="634">
      <c r="A634" s="153" t="s">
        <v>154</v>
      </c>
      <c r="B634" s="153"/>
      <c r="D634" s="153" t="str">
        <f t="shared" si="1"/>
        <v>SI</v>
      </c>
      <c r="F634" s="30" t="s">
        <v>191</v>
      </c>
      <c r="G634" s="30" t="s">
        <v>1682</v>
      </c>
      <c r="H634" s="30" t="s">
        <v>1690</v>
      </c>
      <c r="I634" s="30" t="s">
        <v>1730</v>
      </c>
      <c r="J634" s="30" t="s">
        <v>1730</v>
      </c>
      <c r="K634" s="159">
        <v>6499.998000000001</v>
      </c>
      <c r="L634" s="159">
        <v>6499.998000000001</v>
      </c>
      <c r="M634" s="159">
        <v>1464.81737074944</v>
      </c>
      <c r="N634" s="159">
        <v>1419.04182791352</v>
      </c>
      <c r="O634" s="159">
        <v>189.02</v>
      </c>
      <c r="P634" s="159">
        <v>189.02</v>
      </c>
      <c r="Q634" s="159">
        <v>324.9999</v>
      </c>
      <c r="R634" s="159">
        <v>324.9999</v>
      </c>
      <c r="S634" s="159">
        <v>8478.835270749441</v>
      </c>
      <c r="T634" s="159">
        <v>8433.05972791352</v>
      </c>
      <c r="U634" s="159">
        <v>1356.613643319911</v>
      </c>
      <c r="V634" s="159">
        <v>1349.289556466163</v>
      </c>
      <c r="W634" s="159">
        <v>9835.448914069351</v>
      </c>
      <c r="X634" s="159">
        <v>9782.349284379683</v>
      </c>
      <c r="Y634" s="159">
        <v>12999.996</v>
      </c>
      <c r="Z634" s="159">
        <v>2883.85919866296</v>
      </c>
      <c r="AA634" s="159">
        <v>378.04</v>
      </c>
      <c r="AB634" s="159">
        <v>649.9998</v>
      </c>
      <c r="AC634" s="214">
        <v>16911.89499866296</v>
      </c>
      <c r="AD634" s="159">
        <v>2705.903199786074</v>
      </c>
      <c r="AE634" s="159">
        <v>19617.79819844903</v>
      </c>
      <c r="AF634" s="159">
        <v>16911.89499866296</v>
      </c>
    </row>
    <row r="635">
      <c r="A635" s="153" t="s">
        <v>161</v>
      </c>
      <c r="B635" s="153"/>
      <c r="D635" s="153" t="str">
        <f t="shared" si="1"/>
        <v>SI</v>
      </c>
      <c r="F635" s="30" t="s">
        <v>194</v>
      </c>
      <c r="G635" s="30" t="s">
        <v>1682</v>
      </c>
      <c r="H635" s="30" t="s">
        <v>1690</v>
      </c>
      <c r="I635" s="30" t="s">
        <v>1695</v>
      </c>
      <c r="J635" s="30" t="s">
        <v>1696</v>
      </c>
      <c r="K635" s="159">
        <v>7499.998000000001</v>
      </c>
      <c r="L635" s="159">
        <v>7499.998</v>
      </c>
      <c r="M635" s="159">
        <v>1469.03356871168</v>
      </c>
      <c r="N635" s="159">
        <v>1423.12626968944</v>
      </c>
      <c r="O635" s="159">
        <v>189.02</v>
      </c>
      <c r="P635" s="159">
        <v>189.02</v>
      </c>
      <c r="Q635" s="159">
        <v>374.9999</v>
      </c>
      <c r="R635" s="159">
        <v>374.9999</v>
      </c>
      <c r="S635" s="159">
        <v>9533.051468711681</v>
      </c>
      <c r="T635" s="159">
        <v>9487.14416968944</v>
      </c>
      <c r="U635" s="159">
        <v>1525.288234993869</v>
      </c>
      <c r="V635" s="159">
        <v>1517.94306715031</v>
      </c>
      <c r="W635" s="159">
        <v>11058.33970370555</v>
      </c>
      <c r="X635" s="159">
        <v>11005.08723683975</v>
      </c>
      <c r="Y635" s="159">
        <v>14999.996</v>
      </c>
      <c r="Z635" s="159">
        <v>2892.15983840112</v>
      </c>
      <c r="AA635" s="159">
        <v>378.04</v>
      </c>
      <c r="AB635" s="159">
        <v>749.9998</v>
      </c>
      <c r="AC635" s="214">
        <v>19020.19563840112</v>
      </c>
      <c r="AD635" s="159">
        <v>3043.23130214418</v>
      </c>
      <c r="AE635" s="159">
        <v>22063.4269405453</v>
      </c>
      <c r="AF635" s="159">
        <v>19020.19563840112</v>
      </c>
    </row>
    <row r="636">
      <c r="A636" s="153" t="s">
        <v>88</v>
      </c>
      <c r="B636" s="153"/>
      <c r="D636" s="153" t="str">
        <f t="shared" si="1"/>
        <v>SI</v>
      </c>
      <c r="F636" s="30" t="s">
        <v>196</v>
      </c>
      <c r="G636" s="30" t="s">
        <v>1682</v>
      </c>
      <c r="H636" s="30" t="s">
        <v>1706</v>
      </c>
      <c r="I636" s="30" t="s">
        <v>523</v>
      </c>
      <c r="J636" s="30" t="s">
        <v>523</v>
      </c>
      <c r="K636" s="159">
        <v>17499.998</v>
      </c>
      <c r="L636" s="159">
        <v>17499.998</v>
      </c>
      <c r="M636" s="159">
        <v>1787.71945228224</v>
      </c>
      <c r="N636" s="159">
        <v>1731.85321939842</v>
      </c>
      <c r="O636" s="159">
        <v>189.02</v>
      </c>
      <c r="P636" s="159">
        <v>189.02</v>
      </c>
      <c r="Q636" s="159">
        <v>874.9999</v>
      </c>
      <c r="R636" s="159">
        <v>874.9999</v>
      </c>
      <c r="S636" s="159">
        <v>20351.73735228224</v>
      </c>
      <c r="T636" s="159">
        <v>20295.87111939842</v>
      </c>
      <c r="U636" s="159">
        <v>3256.277976365158</v>
      </c>
      <c r="V636" s="159">
        <v>3247.339379103747</v>
      </c>
      <c r="W636" s="159">
        <v>23608.0153286474</v>
      </c>
      <c r="X636" s="159">
        <v>23543.21049850217</v>
      </c>
      <c r="Y636" s="159">
        <v>34999.996</v>
      </c>
      <c r="Z636" s="159">
        <v>3519.57267168066</v>
      </c>
      <c r="AA636" s="159">
        <v>378.04</v>
      </c>
      <c r="AB636" s="159">
        <v>1749.9998</v>
      </c>
      <c r="AC636" s="214">
        <v>40647.60847168066</v>
      </c>
      <c r="AD636" s="159">
        <v>6503.617355468906</v>
      </c>
      <c r="AE636" s="159">
        <v>47151.22582714957</v>
      </c>
      <c r="AF636" s="159">
        <v>40647.60847168066</v>
      </c>
    </row>
    <row r="637">
      <c r="A637" s="153" t="s">
        <v>250</v>
      </c>
      <c r="B637" s="153"/>
      <c r="D637" s="153" t="str">
        <f t="shared" si="1"/>
        <v>SI</v>
      </c>
      <c r="F637" s="30" t="s">
        <v>198</v>
      </c>
      <c r="G637" s="30" t="s">
        <v>1728</v>
      </c>
      <c r="H637" s="30" t="s">
        <v>1683</v>
      </c>
      <c r="I637" s="30" t="s">
        <v>1705</v>
      </c>
      <c r="J637" s="30" t="s">
        <v>1735</v>
      </c>
      <c r="K637" s="159">
        <v>7499.998000000001</v>
      </c>
      <c r="L637" s="159">
        <v>7499.998000000001</v>
      </c>
      <c r="M637" s="159">
        <v>1463.37769339648</v>
      </c>
      <c r="N637" s="159">
        <v>1417.64714047784</v>
      </c>
      <c r="O637" s="159">
        <v>189.02</v>
      </c>
      <c r="P637" s="159">
        <v>189.02</v>
      </c>
      <c r="Q637" s="159">
        <v>374.9999</v>
      </c>
      <c r="R637" s="159">
        <v>374.9999</v>
      </c>
      <c r="S637" s="159">
        <v>9527.39559339648</v>
      </c>
      <c r="T637" s="159">
        <v>9481.665040477841</v>
      </c>
      <c r="U637" s="159">
        <v>1524.383294943437</v>
      </c>
      <c r="V637" s="159">
        <v>1517.066406476455</v>
      </c>
      <c r="W637" s="159">
        <v>11051.77888833992</v>
      </c>
      <c r="X637" s="159">
        <v>10998.7314469543</v>
      </c>
      <c r="Y637" s="159">
        <v>14999.996</v>
      </c>
      <c r="Z637" s="159">
        <v>2881.02483387432</v>
      </c>
      <c r="AA637" s="159">
        <v>378.04</v>
      </c>
      <c r="AB637" s="159">
        <v>749.9998</v>
      </c>
      <c r="AC637" s="214">
        <v>19009.06063387432</v>
      </c>
      <c r="AD637" s="159">
        <v>3041.449701419891</v>
      </c>
      <c r="AE637" s="159">
        <v>22050.51033529421</v>
      </c>
      <c r="AF637" s="159">
        <v>19009.06063387432</v>
      </c>
    </row>
    <row r="638">
      <c r="A638" s="153" t="s">
        <v>254</v>
      </c>
      <c r="B638" s="153"/>
      <c r="D638" s="153" t="str">
        <f t="shared" si="1"/>
        <v>SI</v>
      </c>
      <c r="F638" s="30" t="s">
        <v>200</v>
      </c>
      <c r="G638" s="30" t="s">
        <v>1678</v>
      </c>
      <c r="H638" s="30" t="s">
        <v>1679</v>
      </c>
      <c r="I638" s="30"/>
      <c r="J638" s="30" t="s">
        <v>1712</v>
      </c>
      <c r="K638" s="159">
        <v>107.36</v>
      </c>
      <c r="L638" s="159">
        <v>2024.4</v>
      </c>
      <c r="M638" s="159">
        <v>0.0</v>
      </c>
      <c r="N638" s="159">
        <v>0.0</v>
      </c>
      <c r="O638" s="159">
        <v>0.0</v>
      </c>
      <c r="P638" s="159">
        <v>0.0</v>
      </c>
      <c r="Q638" s="159">
        <v>5.368</v>
      </c>
      <c r="R638" s="159">
        <v>101.22</v>
      </c>
      <c r="S638" s="159">
        <v>112.728</v>
      </c>
      <c r="T638" s="159">
        <v>2125.62</v>
      </c>
      <c r="U638" s="159">
        <v>18.03648</v>
      </c>
      <c r="V638" s="159">
        <v>340.0992</v>
      </c>
      <c r="W638" s="159">
        <v>130.76448</v>
      </c>
      <c r="X638" s="159">
        <v>2465.7192</v>
      </c>
      <c r="Y638" s="159">
        <v>2131.76</v>
      </c>
      <c r="Z638" s="159">
        <v>0.0</v>
      </c>
      <c r="AA638" s="159">
        <v>0.0</v>
      </c>
      <c r="AB638" s="159">
        <v>106.588</v>
      </c>
      <c r="AC638" s="214">
        <v>2238.348</v>
      </c>
      <c r="AD638" s="159">
        <v>358.13568</v>
      </c>
      <c r="AE638" s="159">
        <v>2596.48368</v>
      </c>
      <c r="AF638" s="159">
        <v>2238.348</v>
      </c>
    </row>
    <row r="639">
      <c r="A639" s="153" t="s">
        <v>92</v>
      </c>
      <c r="B639" s="153"/>
      <c r="D639" s="153" t="str">
        <f t="shared" si="1"/>
        <v>SI</v>
      </c>
      <c r="F639" s="30" t="s">
        <v>202</v>
      </c>
      <c r="G639" s="30" t="s">
        <v>1678</v>
      </c>
      <c r="H639" s="30" t="s">
        <v>1683</v>
      </c>
      <c r="I639" s="30" t="s">
        <v>1705</v>
      </c>
      <c r="J639" s="30" t="s">
        <v>1736</v>
      </c>
      <c r="K639" s="159">
        <v>7499.998000000001</v>
      </c>
      <c r="L639" s="159">
        <v>7499.998000000001</v>
      </c>
      <c r="M639" s="159">
        <v>1461.93801604352</v>
      </c>
      <c r="N639" s="159">
        <v>1416.25245304216</v>
      </c>
      <c r="O639" s="159">
        <v>189.02</v>
      </c>
      <c r="P639" s="159">
        <v>189.02</v>
      </c>
      <c r="Q639" s="159">
        <v>374.9999</v>
      </c>
      <c r="R639" s="159">
        <v>374.9999</v>
      </c>
      <c r="S639" s="159">
        <v>9525.95591604352</v>
      </c>
      <c r="T639" s="159">
        <v>9480.27035304216</v>
      </c>
      <c r="U639" s="159">
        <v>1524.152946566963</v>
      </c>
      <c r="V639" s="159">
        <v>1516.843256486746</v>
      </c>
      <c r="W639" s="159">
        <v>11050.10886261048</v>
      </c>
      <c r="X639" s="159">
        <v>10997.11360952891</v>
      </c>
      <c r="Y639" s="159">
        <v>14999.996</v>
      </c>
      <c r="Z639" s="159">
        <v>2878.19046908568</v>
      </c>
      <c r="AA639" s="159">
        <v>378.04</v>
      </c>
      <c r="AB639" s="159">
        <v>749.9998</v>
      </c>
      <c r="AC639" s="214">
        <v>19006.22626908568</v>
      </c>
      <c r="AD639" s="159">
        <v>3040.996203053709</v>
      </c>
      <c r="AE639" s="159">
        <v>22047.22247213939</v>
      </c>
      <c r="AF639" s="159">
        <v>19006.22626908568</v>
      </c>
    </row>
    <row r="640">
      <c r="A640" s="153" t="s">
        <v>328</v>
      </c>
      <c r="B640" s="153"/>
      <c r="D640" s="153" t="str">
        <f t="shared" si="1"/>
        <v>SI</v>
      </c>
      <c r="F640" s="30" t="s">
        <v>204</v>
      </c>
      <c r="G640" s="30" t="s">
        <v>1678</v>
      </c>
      <c r="H640" s="30" t="s">
        <v>1679</v>
      </c>
      <c r="I640" s="30"/>
      <c r="J640" s="30" t="s">
        <v>1712</v>
      </c>
      <c r="K640" s="159">
        <v>2274.4</v>
      </c>
      <c r="L640" s="159">
        <v>1786.4</v>
      </c>
      <c r="M640" s="159">
        <v>0.0</v>
      </c>
      <c r="N640" s="159">
        <v>0.0</v>
      </c>
      <c r="O640" s="159">
        <v>0.0</v>
      </c>
      <c r="P640" s="159">
        <v>0.0</v>
      </c>
      <c r="Q640" s="159">
        <v>113.72</v>
      </c>
      <c r="R640" s="159">
        <v>89.32000000000001</v>
      </c>
      <c r="S640" s="159">
        <v>2388.12</v>
      </c>
      <c r="T640" s="159">
        <v>1875.72</v>
      </c>
      <c r="U640" s="159">
        <v>382.0992</v>
      </c>
      <c r="V640" s="159">
        <v>300.1152</v>
      </c>
      <c r="W640" s="159">
        <v>2770.2192</v>
      </c>
      <c r="X640" s="159">
        <v>2175.8352</v>
      </c>
      <c r="Y640" s="159">
        <v>4060.8</v>
      </c>
      <c r="Z640" s="159">
        <v>0.0</v>
      </c>
      <c r="AA640" s="159">
        <v>0.0</v>
      </c>
      <c r="AB640" s="159">
        <v>203.04</v>
      </c>
      <c r="AC640" s="214">
        <v>4263.84</v>
      </c>
      <c r="AD640" s="159">
        <v>682.2144000000001</v>
      </c>
      <c r="AE640" s="159">
        <v>4946.0544</v>
      </c>
      <c r="AF640" s="159">
        <v>4263.84</v>
      </c>
    </row>
    <row r="641">
      <c r="A641" s="153" t="s">
        <v>156</v>
      </c>
      <c r="B641" s="153"/>
      <c r="D641" s="153" t="str">
        <f t="shared" si="1"/>
        <v>SI</v>
      </c>
      <c r="F641" s="30" t="s">
        <v>206</v>
      </c>
      <c r="G641" s="30" t="s">
        <v>1682</v>
      </c>
      <c r="H641" s="30" t="s">
        <v>1704</v>
      </c>
      <c r="I641" s="30" t="s">
        <v>1689</v>
      </c>
      <c r="J641" s="30" t="s">
        <v>1737</v>
      </c>
      <c r="K641" s="159">
        <v>3500.0</v>
      </c>
      <c r="L641" s="159">
        <v>3500.0</v>
      </c>
      <c r="M641" s="159">
        <v>0.0</v>
      </c>
      <c r="N641" s="159">
        <v>0.0</v>
      </c>
      <c r="O641" s="159">
        <v>0.0</v>
      </c>
      <c r="P641" s="159">
        <v>0.0</v>
      </c>
      <c r="Q641" s="159">
        <v>175.0</v>
      </c>
      <c r="R641" s="159">
        <v>175.0</v>
      </c>
      <c r="S641" s="159">
        <v>3675.0</v>
      </c>
      <c r="T641" s="159">
        <v>3675.0</v>
      </c>
      <c r="U641" s="159">
        <v>588.0</v>
      </c>
      <c r="V641" s="159">
        <v>588.0</v>
      </c>
      <c r="W641" s="159">
        <v>4263.0</v>
      </c>
      <c r="X641" s="159">
        <v>4263.0</v>
      </c>
      <c r="Y641" s="159">
        <v>7000.0</v>
      </c>
      <c r="Z641" s="159">
        <v>0.0</v>
      </c>
      <c r="AA641" s="159">
        <v>0.0</v>
      </c>
      <c r="AB641" s="159">
        <v>350.0</v>
      </c>
      <c r="AC641" s="214">
        <v>7350.0</v>
      </c>
      <c r="AD641" s="159">
        <v>1176.0</v>
      </c>
      <c r="AE641" s="159">
        <v>8526.0</v>
      </c>
      <c r="AF641" s="159">
        <v>7350.0</v>
      </c>
    </row>
    <row r="642">
      <c r="A642" s="153" t="s">
        <v>244</v>
      </c>
      <c r="B642" s="153"/>
      <c r="D642" s="153" t="str">
        <f t="shared" si="1"/>
        <v>SI</v>
      </c>
      <c r="F642" s="30" t="s">
        <v>1738</v>
      </c>
      <c r="G642" s="30" t="s">
        <v>1682</v>
      </c>
      <c r="H642" s="30" t="s">
        <v>1690</v>
      </c>
      <c r="I642" s="30"/>
      <c r="J642" s="30" t="s">
        <v>1739</v>
      </c>
      <c r="K642" s="159">
        <v>34999.998</v>
      </c>
      <c r="L642" s="159">
        <v>34999.998</v>
      </c>
      <c r="M642" s="159">
        <v>1461.93801604352</v>
      </c>
      <c r="N642" s="159">
        <v>1416.25245304216</v>
      </c>
      <c r="O642" s="159">
        <v>189.02</v>
      </c>
      <c r="P642" s="159">
        <v>189.02</v>
      </c>
      <c r="Q642" s="159">
        <v>1749.9999</v>
      </c>
      <c r="R642" s="159">
        <v>1749.9999</v>
      </c>
      <c r="S642" s="159">
        <v>38400.95591604352</v>
      </c>
      <c r="T642" s="159">
        <v>38355.27035304216</v>
      </c>
      <c r="U642" s="159">
        <v>6144.152946566963</v>
      </c>
      <c r="V642" s="159">
        <v>6136.843256486745</v>
      </c>
      <c r="W642" s="159">
        <v>44545.10886261048</v>
      </c>
      <c r="X642" s="159">
        <v>44492.1136095289</v>
      </c>
      <c r="Y642" s="159">
        <v>69999.996</v>
      </c>
      <c r="Z642" s="159">
        <v>2878.19046908568</v>
      </c>
      <c r="AA642" s="159">
        <v>378.04</v>
      </c>
      <c r="AB642" s="159">
        <v>3499.9998</v>
      </c>
      <c r="AC642" s="214">
        <v>76756.22626908567</v>
      </c>
      <c r="AD642" s="159">
        <v>12280.99620305371</v>
      </c>
      <c r="AE642" s="159">
        <v>89037.22247213937</v>
      </c>
      <c r="AF642" s="159">
        <v>76756.22626908567</v>
      </c>
    </row>
    <row r="643">
      <c r="A643" s="153" t="s">
        <v>236</v>
      </c>
      <c r="B643" s="153"/>
      <c r="D643" s="153" t="str">
        <f t="shared" si="1"/>
        <v>SI</v>
      </c>
      <c r="F643" s="30" t="s">
        <v>208</v>
      </c>
      <c r="G643" s="30" t="s">
        <v>1682</v>
      </c>
      <c r="H643" s="30" t="s">
        <v>1698</v>
      </c>
      <c r="I643" s="30" t="s">
        <v>1620</v>
      </c>
      <c r="J643" s="30" t="s">
        <v>1740</v>
      </c>
      <c r="K643" s="159">
        <v>4725.598000000001</v>
      </c>
      <c r="L643" s="159">
        <v>4725.598000000001</v>
      </c>
      <c r="M643" s="159">
        <v>1461.93801604352</v>
      </c>
      <c r="N643" s="159">
        <v>1416.25245304216</v>
      </c>
      <c r="O643" s="159">
        <v>189.02</v>
      </c>
      <c r="P643" s="159">
        <v>189.02</v>
      </c>
      <c r="Q643" s="159">
        <v>236.2799000000001</v>
      </c>
      <c r="R643" s="159">
        <v>236.2799000000001</v>
      </c>
      <c r="S643" s="159">
        <v>6612.835916043521</v>
      </c>
      <c r="T643" s="159">
        <v>6567.150353042161</v>
      </c>
      <c r="U643" s="159">
        <v>1058.053746566963</v>
      </c>
      <c r="V643" s="159">
        <v>1050.744056486746</v>
      </c>
      <c r="W643" s="159">
        <v>7670.889662610484</v>
      </c>
      <c r="X643" s="159">
        <v>7617.894409528907</v>
      </c>
      <c r="Y643" s="159">
        <v>9451.196000000002</v>
      </c>
      <c r="Z643" s="159">
        <v>2878.19046908568</v>
      </c>
      <c r="AA643" s="159">
        <v>378.04</v>
      </c>
      <c r="AB643" s="159">
        <v>472.5598000000001</v>
      </c>
      <c r="AC643" s="214">
        <v>13179.98626908568</v>
      </c>
      <c r="AD643" s="159">
        <v>2108.797803053709</v>
      </c>
      <c r="AE643" s="159">
        <v>15288.78407213939</v>
      </c>
      <c r="AF643" s="159">
        <v>13179.98626908568</v>
      </c>
    </row>
    <row r="644">
      <c r="A644" s="153" t="s">
        <v>235</v>
      </c>
      <c r="B644" s="153"/>
      <c r="D644" s="153" t="str">
        <f t="shared" si="1"/>
        <v>SI</v>
      </c>
      <c r="F644" s="30" t="s">
        <v>1741</v>
      </c>
      <c r="G644" s="30" t="s">
        <v>1682</v>
      </c>
      <c r="H644" s="30" t="s">
        <v>1686</v>
      </c>
      <c r="I644" s="30"/>
      <c r="J644" s="30" t="s">
        <v>1742</v>
      </c>
      <c r="K644" s="159">
        <v>1599.9976</v>
      </c>
      <c r="L644" s="159">
        <v>7999.998000000001</v>
      </c>
      <c r="M644" s="159">
        <v>365.48450401088</v>
      </c>
      <c r="N644" s="159">
        <v>1416.25245304216</v>
      </c>
      <c r="O644" s="159">
        <v>37.8</v>
      </c>
      <c r="P644" s="159">
        <v>189.02</v>
      </c>
      <c r="Q644" s="159">
        <v>79.99988</v>
      </c>
      <c r="R644" s="159">
        <v>399.9999</v>
      </c>
      <c r="S644" s="159">
        <v>2083.28198401088</v>
      </c>
      <c r="T644" s="159">
        <v>10005.27035304216</v>
      </c>
      <c r="U644" s="159">
        <v>333.3251174417408</v>
      </c>
      <c r="V644" s="159">
        <v>1600.843256486746</v>
      </c>
      <c r="W644" s="159">
        <v>2416.607101452621</v>
      </c>
      <c r="X644" s="159">
        <v>11606.11360952891</v>
      </c>
      <c r="Y644" s="159">
        <v>9599.9956</v>
      </c>
      <c r="Z644" s="159">
        <v>1781.73695705304</v>
      </c>
      <c r="AA644" s="159">
        <v>226.82</v>
      </c>
      <c r="AB644" s="159">
        <v>479.99978</v>
      </c>
      <c r="AC644" s="214">
        <v>12088.55233705304</v>
      </c>
      <c r="AD644" s="159">
        <v>1934.168373928487</v>
      </c>
      <c r="AE644" s="159">
        <v>14022.72071098153</v>
      </c>
      <c r="AF644" s="159">
        <v>12088.55233705304</v>
      </c>
    </row>
    <row r="645">
      <c r="A645" s="153" t="s">
        <v>238</v>
      </c>
      <c r="B645" s="153"/>
      <c r="D645" s="153" t="str">
        <f t="shared" si="1"/>
        <v>SI</v>
      </c>
      <c r="F645" s="30" t="s">
        <v>212</v>
      </c>
      <c r="G645" s="30" t="s">
        <v>1682</v>
      </c>
      <c r="H645" s="30" t="s">
        <v>1686</v>
      </c>
      <c r="I645" s="30" t="s">
        <v>1691</v>
      </c>
      <c r="J645" s="30" t="s">
        <v>1692</v>
      </c>
      <c r="K645" s="159">
        <v>5999.998000000001</v>
      </c>
      <c r="L645" s="159">
        <v>5999.998000000001</v>
      </c>
      <c r="M645" s="159">
        <v>1463.37769339648</v>
      </c>
      <c r="N645" s="159">
        <v>1417.64714047784</v>
      </c>
      <c r="O645" s="159">
        <v>189.02</v>
      </c>
      <c r="P645" s="159">
        <v>189.02</v>
      </c>
      <c r="Q645" s="159">
        <v>299.9999</v>
      </c>
      <c r="R645" s="159">
        <v>299.9999</v>
      </c>
      <c r="S645" s="159">
        <v>7952.395593396481</v>
      </c>
      <c r="T645" s="159">
        <v>7906.665040477841</v>
      </c>
      <c r="U645" s="159">
        <v>1272.383294943437</v>
      </c>
      <c r="V645" s="159">
        <v>1265.066406476455</v>
      </c>
      <c r="W645" s="159">
        <v>9224.778888339917</v>
      </c>
      <c r="X645" s="159">
        <v>9171.731446954296</v>
      </c>
      <c r="Y645" s="159">
        <v>11999.996</v>
      </c>
      <c r="Z645" s="159">
        <v>2881.02483387432</v>
      </c>
      <c r="AA645" s="159">
        <v>378.04</v>
      </c>
      <c r="AB645" s="159">
        <v>599.9998</v>
      </c>
      <c r="AC645" s="214">
        <v>15859.06063387432</v>
      </c>
      <c r="AD645" s="159">
        <v>2537.449701419891</v>
      </c>
      <c r="AE645" s="159">
        <v>18396.51033529421</v>
      </c>
      <c r="AF645" s="159">
        <v>15859.06063387432</v>
      </c>
    </row>
    <row r="646">
      <c r="A646" s="153" t="s">
        <v>211</v>
      </c>
      <c r="B646" s="153"/>
      <c r="D646" s="153" t="str">
        <f t="shared" si="1"/>
        <v>SI</v>
      </c>
      <c r="F646" s="30" t="s">
        <v>214</v>
      </c>
      <c r="G646" s="30" t="s">
        <v>1682</v>
      </c>
      <c r="H646" s="30" t="s">
        <v>1704</v>
      </c>
      <c r="I646" s="30" t="s">
        <v>1684</v>
      </c>
      <c r="J646" s="30" t="s">
        <v>1684</v>
      </c>
      <c r="K646" s="159">
        <v>6250.0</v>
      </c>
      <c r="L646" s="159">
        <v>6250.0</v>
      </c>
      <c r="M646" s="159">
        <v>0.0</v>
      </c>
      <c r="N646" s="159">
        <v>0.0</v>
      </c>
      <c r="O646" s="159">
        <v>0.0</v>
      </c>
      <c r="P646" s="159">
        <v>0.0</v>
      </c>
      <c r="Q646" s="159">
        <v>312.5</v>
      </c>
      <c r="R646" s="159">
        <v>312.5</v>
      </c>
      <c r="S646" s="159">
        <v>6562.5</v>
      </c>
      <c r="T646" s="159">
        <v>6562.5</v>
      </c>
      <c r="U646" s="159">
        <v>1050.0</v>
      </c>
      <c r="V646" s="159">
        <v>1050.0</v>
      </c>
      <c r="W646" s="159">
        <v>7612.5</v>
      </c>
      <c r="X646" s="159">
        <v>7612.5</v>
      </c>
      <c r="Y646" s="159">
        <v>12500.0</v>
      </c>
      <c r="Z646" s="159">
        <v>0.0</v>
      </c>
      <c r="AA646" s="159">
        <v>0.0</v>
      </c>
      <c r="AB646" s="159">
        <v>625.0</v>
      </c>
      <c r="AC646" s="214">
        <v>13125.0</v>
      </c>
      <c r="AD646" s="159">
        <v>2100.0</v>
      </c>
      <c r="AE646" s="159">
        <v>15225.0</v>
      </c>
      <c r="AF646" s="159">
        <v>13125.0</v>
      </c>
    </row>
    <row r="647">
      <c r="A647" s="153" t="s">
        <v>72</v>
      </c>
      <c r="B647" s="153"/>
      <c r="D647" s="153" t="str">
        <f t="shared" si="1"/>
        <v>SI</v>
      </c>
      <c r="F647" s="30" t="s">
        <v>218</v>
      </c>
      <c r="G647" s="30" t="s">
        <v>1678</v>
      </c>
      <c r="H647" s="30" t="s">
        <v>1679</v>
      </c>
      <c r="I647" s="30"/>
      <c r="J647" s="30" t="s">
        <v>1743</v>
      </c>
      <c r="K647" s="159">
        <v>0.0</v>
      </c>
      <c r="L647" s="30"/>
      <c r="M647" s="159">
        <v>1634.445086010934</v>
      </c>
      <c r="N647" s="30"/>
      <c r="O647" s="159">
        <v>0.0</v>
      </c>
      <c r="P647" s="30"/>
      <c r="Q647" s="159">
        <v>0.0</v>
      </c>
      <c r="R647" s="30"/>
      <c r="S647" s="159">
        <v>1634.445086010934</v>
      </c>
      <c r="T647" s="30"/>
      <c r="U647" s="159">
        <v>261.5112137617494</v>
      </c>
      <c r="V647" s="30"/>
      <c r="W647" s="159">
        <v>1895.956299772683</v>
      </c>
      <c r="X647" s="30"/>
      <c r="Y647" s="159">
        <v>0.0</v>
      </c>
      <c r="Z647" s="159">
        <v>1634.445086010934</v>
      </c>
      <c r="AA647" s="159">
        <v>0.0</v>
      </c>
      <c r="AB647" s="159">
        <v>0.0</v>
      </c>
      <c r="AC647" s="214">
        <v>1634.445086010934</v>
      </c>
      <c r="AD647" s="159">
        <v>261.5112137617494</v>
      </c>
      <c r="AE647" s="159">
        <v>1895.956299772683</v>
      </c>
      <c r="AF647" s="159">
        <v>1634.445086010934</v>
      </c>
    </row>
    <row r="648">
      <c r="A648" s="153" t="s">
        <v>68</v>
      </c>
      <c r="B648" s="153"/>
      <c r="D648" s="153" t="str">
        <f t="shared" si="1"/>
        <v>SI</v>
      </c>
      <c r="F648" s="30" t="s">
        <v>220</v>
      </c>
      <c r="G648" s="30" t="s">
        <v>1682</v>
      </c>
      <c r="H648" s="30" t="s">
        <v>1686</v>
      </c>
      <c r="I648" s="30" t="s">
        <v>1691</v>
      </c>
      <c r="J648" s="30" t="s">
        <v>1688</v>
      </c>
      <c r="K648" s="159">
        <v>9999.998</v>
      </c>
      <c r="L648" s="159">
        <v>9729.998</v>
      </c>
      <c r="M648" s="159">
        <v>1467.59389135872</v>
      </c>
      <c r="N648" s="159">
        <v>1421.73158225376</v>
      </c>
      <c r="O648" s="159">
        <v>189.02</v>
      </c>
      <c r="P648" s="159">
        <v>189.02</v>
      </c>
      <c r="Q648" s="159">
        <v>499.9999</v>
      </c>
      <c r="R648" s="159">
        <v>486.4999</v>
      </c>
      <c r="S648" s="159">
        <v>12156.61179135872</v>
      </c>
      <c r="T648" s="159">
        <v>11827.24948225376</v>
      </c>
      <c r="U648" s="159">
        <v>1945.057886617395</v>
      </c>
      <c r="V648" s="159">
        <v>1892.359917160602</v>
      </c>
      <c r="W648" s="159">
        <v>14101.66967797612</v>
      </c>
      <c r="X648" s="159">
        <v>13719.60939941436</v>
      </c>
      <c r="Y648" s="159">
        <v>19729.996</v>
      </c>
      <c r="Z648" s="159">
        <v>2889.32547361248</v>
      </c>
      <c r="AA648" s="159">
        <v>378.04</v>
      </c>
      <c r="AB648" s="159">
        <v>986.4998</v>
      </c>
      <c r="AC648" s="214">
        <v>23983.86127361248</v>
      </c>
      <c r="AD648" s="159">
        <v>3837.417803777997</v>
      </c>
      <c r="AE648" s="159">
        <v>27821.27907739048</v>
      </c>
      <c r="AF648" s="159">
        <v>23983.86127361248</v>
      </c>
    </row>
    <row r="649">
      <c r="A649" s="153" t="s">
        <v>130</v>
      </c>
      <c r="B649" s="153"/>
      <c r="D649" s="153" t="str">
        <f t="shared" si="1"/>
        <v>SI</v>
      </c>
      <c r="F649" s="30" t="s">
        <v>222</v>
      </c>
      <c r="G649" s="30" t="s">
        <v>1682</v>
      </c>
      <c r="H649" s="30" t="s">
        <v>1683</v>
      </c>
      <c r="I649" s="30" t="s">
        <v>1691</v>
      </c>
      <c r="J649" s="30" t="s">
        <v>1691</v>
      </c>
      <c r="K649" s="159">
        <v>34999.998</v>
      </c>
      <c r="L649" s="159">
        <v>34999.998</v>
      </c>
      <c r="M649" s="159">
        <v>1463.37769339648</v>
      </c>
      <c r="N649" s="159">
        <v>1417.64714047784</v>
      </c>
      <c r="O649" s="159">
        <v>189.02</v>
      </c>
      <c r="P649" s="159">
        <v>189.02</v>
      </c>
      <c r="Q649" s="159">
        <v>1749.9999</v>
      </c>
      <c r="R649" s="159">
        <v>1749.9999</v>
      </c>
      <c r="S649" s="159">
        <v>38402.39559339648</v>
      </c>
      <c r="T649" s="159">
        <v>38356.66504047784</v>
      </c>
      <c r="U649" s="159">
        <v>6144.383294943437</v>
      </c>
      <c r="V649" s="159">
        <v>6137.066406476455</v>
      </c>
      <c r="W649" s="159">
        <v>44546.77888833992</v>
      </c>
      <c r="X649" s="159">
        <v>44493.7314469543</v>
      </c>
      <c r="Y649" s="159">
        <v>69999.996</v>
      </c>
      <c r="Z649" s="159">
        <v>2881.02483387432</v>
      </c>
      <c r="AA649" s="159">
        <v>378.04</v>
      </c>
      <c r="AB649" s="159">
        <v>3499.9998</v>
      </c>
      <c r="AC649" s="214">
        <v>76759.06063387432</v>
      </c>
      <c r="AD649" s="159">
        <v>12281.44970141989</v>
      </c>
      <c r="AE649" s="159">
        <v>89040.51033529421</v>
      </c>
      <c r="AF649" s="159">
        <v>76759.06063387432</v>
      </c>
    </row>
    <row r="650">
      <c r="A650" s="153" t="s">
        <v>134</v>
      </c>
      <c r="B650" s="153"/>
      <c r="D650" s="153" t="str">
        <f t="shared" si="1"/>
        <v>SI</v>
      </c>
      <c r="F650" s="30" t="s">
        <v>224</v>
      </c>
      <c r="G650" s="30" t="s">
        <v>1682</v>
      </c>
      <c r="H650" s="30" t="s">
        <v>1690</v>
      </c>
      <c r="I650" s="30" t="s">
        <v>1695</v>
      </c>
      <c r="J650" s="30" t="s">
        <v>1696</v>
      </c>
      <c r="K650" s="159">
        <v>2774.4</v>
      </c>
      <c r="L650" s="159">
        <v>2774.4</v>
      </c>
      <c r="M650" s="159">
        <v>0.0</v>
      </c>
      <c r="N650" s="159">
        <v>0.0</v>
      </c>
      <c r="O650" s="159">
        <v>0.0</v>
      </c>
      <c r="P650" s="159">
        <v>0.0</v>
      </c>
      <c r="Q650" s="159">
        <v>138.72</v>
      </c>
      <c r="R650" s="159">
        <v>138.72</v>
      </c>
      <c r="S650" s="159">
        <v>2913.12</v>
      </c>
      <c r="T650" s="159">
        <v>2913.12</v>
      </c>
      <c r="U650" s="159">
        <v>466.0992</v>
      </c>
      <c r="V650" s="159">
        <v>466.0992</v>
      </c>
      <c r="W650" s="159">
        <v>3379.2192</v>
      </c>
      <c r="X650" s="159">
        <v>3379.2192</v>
      </c>
      <c r="Y650" s="159">
        <v>5548.8</v>
      </c>
      <c r="Z650" s="159">
        <v>0.0</v>
      </c>
      <c r="AA650" s="159">
        <v>0.0</v>
      </c>
      <c r="AB650" s="159">
        <v>277.44</v>
      </c>
      <c r="AC650" s="214">
        <v>5826.24</v>
      </c>
      <c r="AD650" s="159">
        <v>932.1984</v>
      </c>
      <c r="AE650" s="159">
        <v>6758.4384</v>
      </c>
      <c r="AF650" s="159">
        <v>5826.24</v>
      </c>
    </row>
    <row r="651">
      <c r="A651" s="153" t="s">
        <v>324</v>
      </c>
      <c r="B651" s="153"/>
      <c r="D651" s="153" t="str">
        <f t="shared" si="1"/>
        <v>SI</v>
      </c>
      <c r="F651" s="30" t="s">
        <v>226</v>
      </c>
      <c r="G651" s="30" t="s">
        <v>1682</v>
      </c>
      <c r="H651" s="30" t="s">
        <v>1679</v>
      </c>
      <c r="I651" s="30" t="s">
        <v>1730</v>
      </c>
      <c r="J651" s="30" t="s">
        <v>1730</v>
      </c>
      <c r="K651" s="159">
        <v>7999.998000000001</v>
      </c>
      <c r="L651" s="159">
        <v>7999.998000000001</v>
      </c>
      <c r="M651" s="159">
        <v>1482.706896029158</v>
      </c>
      <c r="N651" s="159">
        <v>1436.372305528247</v>
      </c>
      <c r="O651" s="159">
        <v>189.02</v>
      </c>
      <c r="P651" s="159">
        <v>189.02</v>
      </c>
      <c r="Q651" s="159">
        <v>399.9999</v>
      </c>
      <c r="R651" s="159">
        <v>399.9999</v>
      </c>
      <c r="S651" s="159">
        <v>10071.72479602916</v>
      </c>
      <c r="T651" s="159">
        <v>10025.39020552825</v>
      </c>
      <c r="U651" s="159">
        <v>1611.475967364665</v>
      </c>
      <c r="V651" s="159">
        <v>1604.062432884519</v>
      </c>
      <c r="W651" s="159">
        <v>11683.20076339382</v>
      </c>
      <c r="X651" s="159">
        <v>11629.45263841277</v>
      </c>
      <c r="Y651" s="159">
        <v>15999.996</v>
      </c>
      <c r="Z651" s="159">
        <v>2919.079201557405</v>
      </c>
      <c r="AA651" s="159">
        <v>378.04</v>
      </c>
      <c r="AB651" s="159">
        <v>799.9998</v>
      </c>
      <c r="AC651" s="214">
        <v>20097.11500155741</v>
      </c>
      <c r="AD651" s="159">
        <v>3215.538400249185</v>
      </c>
      <c r="AE651" s="159">
        <v>23312.65340180659</v>
      </c>
      <c r="AF651" s="159">
        <v>20097.11500155741</v>
      </c>
    </row>
    <row r="652">
      <c r="A652" s="153" t="s">
        <v>305</v>
      </c>
      <c r="B652" s="153"/>
      <c r="D652" s="153" t="str">
        <f t="shared" si="1"/>
        <v>SI</v>
      </c>
      <c r="F652" s="30" t="s">
        <v>231</v>
      </c>
      <c r="G652" s="30" t="s">
        <v>1678</v>
      </c>
      <c r="H652" s="30" t="s">
        <v>1679</v>
      </c>
      <c r="I652" s="30" t="s">
        <v>1620</v>
      </c>
      <c r="J652" s="30" t="s">
        <v>1712</v>
      </c>
      <c r="K652" s="159">
        <v>7499.998000000001</v>
      </c>
      <c r="L652" s="159">
        <v>7499.998000000001</v>
      </c>
      <c r="M652" s="159">
        <v>1482.706896029158</v>
      </c>
      <c r="N652" s="159">
        <v>1436.372305528247</v>
      </c>
      <c r="O652" s="159">
        <v>189.02</v>
      </c>
      <c r="P652" s="159">
        <v>189.02</v>
      </c>
      <c r="Q652" s="159">
        <v>374.9999</v>
      </c>
      <c r="R652" s="159">
        <v>374.9999</v>
      </c>
      <c r="S652" s="159">
        <v>9546.724796029159</v>
      </c>
      <c r="T652" s="159">
        <v>9500.390205528247</v>
      </c>
      <c r="U652" s="159">
        <v>1527.475967364665</v>
      </c>
      <c r="V652" s="159">
        <v>1520.062432884519</v>
      </c>
      <c r="W652" s="159">
        <v>11074.20076339382</v>
      </c>
      <c r="X652" s="159">
        <v>11020.45263841277</v>
      </c>
      <c r="Y652" s="159">
        <v>14999.996</v>
      </c>
      <c r="Z652" s="159">
        <v>2919.079201557405</v>
      </c>
      <c r="AA652" s="159">
        <v>378.04</v>
      </c>
      <c r="AB652" s="159">
        <v>749.9998</v>
      </c>
      <c r="AC652" s="214">
        <v>19047.11500155741</v>
      </c>
      <c r="AD652" s="159">
        <v>3047.538400249185</v>
      </c>
      <c r="AE652" s="159">
        <v>22094.65340180659</v>
      </c>
      <c r="AF652" s="159">
        <v>19047.11500155741</v>
      </c>
    </row>
    <row r="653">
      <c r="A653" s="153" t="s">
        <v>188</v>
      </c>
      <c r="B653" s="153"/>
      <c r="D653" s="153" t="str">
        <f t="shared" si="1"/>
        <v>SI</v>
      </c>
      <c r="F653" s="30" t="s">
        <v>237</v>
      </c>
      <c r="G653" s="30" t="s">
        <v>1682</v>
      </c>
      <c r="H653" s="30" t="s">
        <v>1706</v>
      </c>
      <c r="I653" s="30" t="s">
        <v>523</v>
      </c>
      <c r="J653" s="30" t="s">
        <v>523</v>
      </c>
      <c r="K653" s="159">
        <v>10867.998</v>
      </c>
      <c r="L653" s="159">
        <v>9904.088</v>
      </c>
      <c r="M653" s="159">
        <v>1785.85009817408</v>
      </c>
      <c r="N653" s="159">
        <v>1730.04228260614</v>
      </c>
      <c r="O653" s="159">
        <v>189.02</v>
      </c>
      <c r="P653" s="159">
        <v>189.02</v>
      </c>
      <c r="Q653" s="159">
        <v>543.3999</v>
      </c>
      <c r="R653" s="159">
        <v>495.2044</v>
      </c>
      <c r="S653" s="159">
        <v>13386.26799817408</v>
      </c>
      <c r="T653" s="159">
        <v>12318.35468260614</v>
      </c>
      <c r="U653" s="159">
        <v>2141.802879707853</v>
      </c>
      <c r="V653" s="159">
        <v>1970.936749216983</v>
      </c>
      <c r="W653" s="159">
        <v>15528.07087788193</v>
      </c>
      <c r="X653" s="159">
        <v>14289.29143182312</v>
      </c>
      <c r="Y653" s="159">
        <v>20772.086</v>
      </c>
      <c r="Z653" s="159">
        <v>3515.892380780221</v>
      </c>
      <c r="AA653" s="159">
        <v>378.04</v>
      </c>
      <c r="AB653" s="159">
        <v>1038.6043</v>
      </c>
      <c r="AC653" s="214">
        <v>25704.62268078022</v>
      </c>
      <c r="AD653" s="159">
        <v>4112.739628924835</v>
      </c>
      <c r="AE653" s="159">
        <v>29817.36230970506</v>
      </c>
      <c r="AF653" s="159">
        <v>25704.62268078022</v>
      </c>
    </row>
    <row r="654">
      <c r="A654" s="153" t="s">
        <v>248</v>
      </c>
      <c r="B654" s="153"/>
      <c r="D654" s="153" t="str">
        <f t="shared" si="1"/>
        <v>SI</v>
      </c>
      <c r="F654" s="30" t="s">
        <v>239</v>
      </c>
      <c r="G654" s="30" t="s">
        <v>1728</v>
      </c>
      <c r="H654" s="30" t="s">
        <v>1679</v>
      </c>
      <c r="I654" s="30" t="s">
        <v>1693</v>
      </c>
      <c r="J654" s="30" t="s">
        <v>1694</v>
      </c>
      <c r="K654" s="159">
        <v>2274.4</v>
      </c>
      <c r="L654" s="159">
        <v>2274.4</v>
      </c>
      <c r="M654" s="159">
        <v>0.0</v>
      </c>
      <c r="N654" s="159">
        <v>0.0</v>
      </c>
      <c r="O654" s="159">
        <v>0.0</v>
      </c>
      <c r="P654" s="159">
        <v>0.0</v>
      </c>
      <c r="Q654" s="159">
        <v>113.72</v>
      </c>
      <c r="R654" s="159">
        <v>113.72</v>
      </c>
      <c r="S654" s="159">
        <v>2388.12</v>
      </c>
      <c r="T654" s="159">
        <v>2388.12</v>
      </c>
      <c r="U654" s="159">
        <v>382.0992</v>
      </c>
      <c r="V654" s="159">
        <v>382.0992</v>
      </c>
      <c r="W654" s="159">
        <v>2770.2192</v>
      </c>
      <c r="X654" s="159">
        <v>2770.2192</v>
      </c>
      <c r="Y654" s="159">
        <v>4548.8</v>
      </c>
      <c r="Z654" s="159">
        <v>0.0</v>
      </c>
      <c r="AA654" s="159">
        <v>0.0</v>
      </c>
      <c r="AB654" s="159">
        <v>227.44</v>
      </c>
      <c r="AC654" s="214">
        <v>4776.24</v>
      </c>
      <c r="AD654" s="159">
        <v>764.1984</v>
      </c>
      <c r="AE654" s="159">
        <v>5540.4384</v>
      </c>
      <c r="AF654" s="159">
        <v>4776.24</v>
      </c>
    </row>
    <row r="655">
      <c r="A655" s="153" t="s">
        <v>99</v>
      </c>
      <c r="B655" s="153"/>
      <c r="D655" s="153" t="str">
        <f t="shared" si="1"/>
        <v>SI</v>
      </c>
      <c r="F655" s="30" t="s">
        <v>241</v>
      </c>
      <c r="G655" s="30" t="s">
        <v>1682</v>
      </c>
      <c r="H655" s="30" t="s">
        <v>1704</v>
      </c>
      <c r="I655" s="30"/>
      <c r="J655" s="30" t="s">
        <v>1744</v>
      </c>
      <c r="K655" s="159">
        <v>3500.0</v>
      </c>
      <c r="L655" s="30"/>
      <c r="M655" s="159">
        <v>0.0</v>
      </c>
      <c r="N655" s="30"/>
      <c r="O655" s="159">
        <v>0.0</v>
      </c>
      <c r="P655" s="30"/>
      <c r="Q655" s="159">
        <v>175.0</v>
      </c>
      <c r="R655" s="30"/>
      <c r="S655" s="159">
        <v>3675.0</v>
      </c>
      <c r="T655" s="30"/>
      <c r="U655" s="159">
        <v>588.0</v>
      </c>
      <c r="V655" s="30"/>
      <c r="W655" s="159">
        <v>4263.0</v>
      </c>
      <c r="X655" s="30"/>
      <c r="Y655" s="159">
        <v>3500.0</v>
      </c>
      <c r="Z655" s="159">
        <v>0.0</v>
      </c>
      <c r="AA655" s="159">
        <v>0.0</v>
      </c>
      <c r="AB655" s="159">
        <v>175.0</v>
      </c>
      <c r="AC655" s="214">
        <v>3675.0</v>
      </c>
      <c r="AD655" s="159">
        <v>588.0</v>
      </c>
      <c r="AE655" s="159">
        <v>4263.0</v>
      </c>
      <c r="AF655" s="159">
        <v>3675.0</v>
      </c>
    </row>
    <row r="656">
      <c r="A656" s="153" t="s">
        <v>242</v>
      </c>
      <c r="B656" s="153"/>
      <c r="D656" s="153" t="str">
        <f t="shared" si="1"/>
        <v>SI</v>
      </c>
      <c r="F656" s="30" t="s">
        <v>243</v>
      </c>
      <c r="G656" s="30" t="s">
        <v>1682</v>
      </c>
      <c r="H656" s="30" t="s">
        <v>1686</v>
      </c>
      <c r="I656" s="30" t="s">
        <v>1620</v>
      </c>
      <c r="J656" s="30" t="s">
        <v>1745</v>
      </c>
      <c r="K656" s="159">
        <v>4725.598000000001</v>
      </c>
      <c r="L656" s="159">
        <v>4725.598000000001</v>
      </c>
      <c r="M656" s="159">
        <v>1461.93801604352</v>
      </c>
      <c r="N656" s="159">
        <v>1416.25245304216</v>
      </c>
      <c r="O656" s="159">
        <v>189.02</v>
      </c>
      <c r="P656" s="159">
        <v>189.02</v>
      </c>
      <c r="Q656" s="159">
        <v>236.2799000000001</v>
      </c>
      <c r="R656" s="159">
        <v>236.2799000000001</v>
      </c>
      <c r="S656" s="159">
        <v>6612.835916043521</v>
      </c>
      <c r="T656" s="159">
        <v>6567.150353042161</v>
      </c>
      <c r="U656" s="159">
        <v>1058.053746566963</v>
      </c>
      <c r="V656" s="159">
        <v>1050.744056486746</v>
      </c>
      <c r="W656" s="159">
        <v>7670.889662610484</v>
      </c>
      <c r="X656" s="159">
        <v>7617.894409528907</v>
      </c>
      <c r="Y656" s="159">
        <v>9451.196000000002</v>
      </c>
      <c r="Z656" s="159">
        <v>2878.19046908568</v>
      </c>
      <c r="AA656" s="159">
        <v>378.04</v>
      </c>
      <c r="AB656" s="159">
        <v>472.5598000000001</v>
      </c>
      <c r="AC656" s="214">
        <v>13179.98626908568</v>
      </c>
      <c r="AD656" s="159">
        <v>2108.797803053709</v>
      </c>
      <c r="AE656" s="159">
        <v>15288.78407213939</v>
      </c>
      <c r="AF656" s="159">
        <v>13179.98626908568</v>
      </c>
    </row>
    <row r="657">
      <c r="A657" s="153" t="s">
        <v>285</v>
      </c>
      <c r="B657" s="153"/>
      <c r="D657" s="153" t="str">
        <f t="shared" si="1"/>
        <v>SI</v>
      </c>
      <c r="F657" s="30" t="s">
        <v>245</v>
      </c>
      <c r="G657" s="30" t="s">
        <v>1682</v>
      </c>
      <c r="H657" s="30" t="s">
        <v>1704</v>
      </c>
      <c r="I657" s="30"/>
      <c r="J657" s="30" t="s">
        <v>1746</v>
      </c>
      <c r="K657" s="159">
        <v>3500.0</v>
      </c>
      <c r="L657" s="30"/>
      <c r="M657" s="159">
        <v>0.0</v>
      </c>
      <c r="N657" s="30"/>
      <c r="O657" s="159">
        <v>0.0</v>
      </c>
      <c r="P657" s="30"/>
      <c r="Q657" s="159">
        <v>175.0</v>
      </c>
      <c r="R657" s="30"/>
      <c r="S657" s="159">
        <v>3675.0</v>
      </c>
      <c r="T657" s="30"/>
      <c r="U657" s="159">
        <v>588.0</v>
      </c>
      <c r="V657" s="30"/>
      <c r="W657" s="159">
        <v>4263.0</v>
      </c>
      <c r="X657" s="30"/>
      <c r="Y657" s="159">
        <v>3500.0</v>
      </c>
      <c r="Z657" s="159">
        <v>0.0</v>
      </c>
      <c r="AA657" s="159">
        <v>0.0</v>
      </c>
      <c r="AB657" s="159">
        <v>175.0</v>
      </c>
      <c r="AC657" s="214">
        <v>3675.0</v>
      </c>
      <c r="AD657" s="159">
        <v>588.0</v>
      </c>
      <c r="AE657" s="159">
        <v>4263.0</v>
      </c>
      <c r="AF657" s="159">
        <v>3675.0</v>
      </c>
    </row>
    <row r="658">
      <c r="A658" s="153" t="s">
        <v>169</v>
      </c>
      <c r="B658" s="153"/>
      <c r="D658" s="153" t="str">
        <f t="shared" si="1"/>
        <v>SI</v>
      </c>
      <c r="F658" s="30" t="s">
        <v>247</v>
      </c>
      <c r="G658" s="30" t="s">
        <v>1678</v>
      </c>
      <c r="H658" s="30" t="s">
        <v>1726</v>
      </c>
      <c r="I658" s="30" t="s">
        <v>1620</v>
      </c>
      <c r="J658" s="30" t="s">
        <v>1747</v>
      </c>
      <c r="K658" s="159">
        <v>8499.998</v>
      </c>
      <c r="L658" s="159">
        <v>8499.998</v>
      </c>
      <c r="M658" s="159">
        <v>1467.142533298688</v>
      </c>
      <c r="N658" s="159">
        <v>1421.294329133104</v>
      </c>
      <c r="O658" s="159">
        <v>189.02</v>
      </c>
      <c r="P658" s="159">
        <v>189.02</v>
      </c>
      <c r="Q658" s="159">
        <v>424.9999</v>
      </c>
      <c r="R658" s="159">
        <v>424.9999</v>
      </c>
      <c r="S658" s="159">
        <v>10581.16043329869</v>
      </c>
      <c r="T658" s="159">
        <v>10535.3122291331</v>
      </c>
      <c r="U658" s="159">
        <v>1692.98566932779</v>
      </c>
      <c r="V658" s="159">
        <v>1685.649956661297</v>
      </c>
      <c r="W658" s="159">
        <v>12274.14610262648</v>
      </c>
      <c r="X658" s="159">
        <v>12220.9621857944</v>
      </c>
      <c r="Y658" s="159">
        <v>16999.996</v>
      </c>
      <c r="Z658" s="159">
        <v>2888.436862431791</v>
      </c>
      <c r="AA658" s="159">
        <v>378.04</v>
      </c>
      <c r="AB658" s="159">
        <v>849.9998</v>
      </c>
      <c r="AC658" s="214">
        <v>21116.47266243179</v>
      </c>
      <c r="AD658" s="159">
        <v>3378.635625989087</v>
      </c>
      <c r="AE658" s="159">
        <v>24495.10828842088</v>
      </c>
      <c r="AF658" s="159">
        <v>21116.47266243179</v>
      </c>
    </row>
    <row r="659">
      <c r="A659" s="153" t="s">
        <v>197</v>
      </c>
      <c r="B659" s="153"/>
      <c r="D659" s="153" t="str">
        <f t="shared" si="1"/>
        <v>SI</v>
      </c>
      <c r="F659" s="30" t="s">
        <v>249</v>
      </c>
      <c r="G659" s="30" t="s">
        <v>1678</v>
      </c>
      <c r="H659" s="30" t="s">
        <v>1679</v>
      </c>
      <c r="I659" s="30" t="s">
        <v>1727</v>
      </c>
      <c r="J659" s="30" t="s">
        <v>1727</v>
      </c>
      <c r="K659" s="159">
        <v>3774.4</v>
      </c>
      <c r="L659" s="159">
        <v>3774.4</v>
      </c>
      <c r="M659" s="159">
        <v>0.0</v>
      </c>
      <c r="N659" s="159">
        <v>0.0</v>
      </c>
      <c r="O659" s="159">
        <v>0.0</v>
      </c>
      <c r="P659" s="159">
        <v>0.0</v>
      </c>
      <c r="Q659" s="159">
        <v>188.72</v>
      </c>
      <c r="R659" s="159">
        <v>188.72</v>
      </c>
      <c r="S659" s="159">
        <v>3963.12</v>
      </c>
      <c r="T659" s="159">
        <v>3963.12</v>
      </c>
      <c r="U659" s="159">
        <v>634.0992</v>
      </c>
      <c r="V659" s="159">
        <v>634.0992</v>
      </c>
      <c r="W659" s="159">
        <v>4597.2192</v>
      </c>
      <c r="X659" s="159">
        <v>4597.2192</v>
      </c>
      <c r="Y659" s="159">
        <v>7548.8</v>
      </c>
      <c r="Z659" s="159">
        <v>0.0</v>
      </c>
      <c r="AA659" s="159">
        <v>0.0</v>
      </c>
      <c r="AB659" s="159">
        <v>377.4400000000001</v>
      </c>
      <c r="AC659" s="214">
        <v>7926.24</v>
      </c>
      <c r="AD659" s="159">
        <v>1268.1984</v>
      </c>
      <c r="AE659" s="159">
        <v>9194.4384</v>
      </c>
      <c r="AF659" s="159">
        <v>7926.24</v>
      </c>
    </row>
    <row r="660">
      <c r="A660" s="153" t="s">
        <v>297</v>
      </c>
      <c r="B660" s="153"/>
      <c r="D660" s="153" t="str">
        <f t="shared" si="1"/>
        <v>SI</v>
      </c>
      <c r="F660" s="30" t="s">
        <v>251</v>
      </c>
      <c r="G660" s="30" t="s">
        <v>1678</v>
      </c>
      <c r="H660" s="30" t="s">
        <v>1683</v>
      </c>
      <c r="I660" s="30" t="s">
        <v>1689</v>
      </c>
      <c r="J660" s="30" t="s">
        <v>356</v>
      </c>
      <c r="K660" s="159">
        <v>5499.998000000001</v>
      </c>
      <c r="L660" s="159">
        <v>5499.998000000001</v>
      </c>
      <c r="M660" s="159">
        <v>1461.93801604352</v>
      </c>
      <c r="N660" s="159">
        <v>1416.25245304216</v>
      </c>
      <c r="O660" s="159">
        <v>189.02</v>
      </c>
      <c r="P660" s="159">
        <v>189.02</v>
      </c>
      <c r="Q660" s="159">
        <v>274.9999</v>
      </c>
      <c r="R660" s="159">
        <v>274.9999</v>
      </c>
      <c r="S660" s="159">
        <v>7425.95591604352</v>
      </c>
      <c r="T660" s="159">
        <v>7380.27035304216</v>
      </c>
      <c r="U660" s="159">
        <v>1188.152946566963</v>
      </c>
      <c r="V660" s="159">
        <v>1180.843256486746</v>
      </c>
      <c r="W660" s="159">
        <v>8614.108862610483</v>
      </c>
      <c r="X660" s="159">
        <v>8561.113609528906</v>
      </c>
      <c r="Y660" s="159">
        <v>10999.996</v>
      </c>
      <c r="Z660" s="159">
        <v>2878.19046908568</v>
      </c>
      <c r="AA660" s="159">
        <v>378.04</v>
      </c>
      <c r="AB660" s="159">
        <v>549.9998</v>
      </c>
      <c r="AC660" s="214">
        <v>14806.22626908568</v>
      </c>
      <c r="AD660" s="159">
        <v>2368.996203053709</v>
      </c>
      <c r="AE660" s="159">
        <v>17175.22247213939</v>
      </c>
      <c r="AF660" s="159">
        <v>14806.22626908568</v>
      </c>
    </row>
    <row r="661">
      <c r="A661" s="153" t="s">
        <v>303</v>
      </c>
      <c r="B661" s="153"/>
      <c r="D661" s="153" t="str">
        <f t="shared" si="1"/>
        <v>SI</v>
      </c>
      <c r="F661" s="30" t="s">
        <v>253</v>
      </c>
      <c r="G661" s="30" t="s">
        <v>1678</v>
      </c>
      <c r="H661" s="30" t="s">
        <v>1690</v>
      </c>
      <c r="I661" s="30" t="s">
        <v>1691</v>
      </c>
      <c r="J661" s="30" t="s">
        <v>1692</v>
      </c>
      <c r="K661" s="159">
        <v>7999.998000000001</v>
      </c>
      <c r="L661" s="159">
        <v>7999.998000000001</v>
      </c>
      <c r="M661" s="159">
        <v>1469.03356871168</v>
      </c>
      <c r="N661" s="159">
        <v>1423.12626968944</v>
      </c>
      <c r="O661" s="159">
        <v>189.02</v>
      </c>
      <c r="P661" s="159">
        <v>189.02</v>
      </c>
      <c r="Q661" s="159">
        <v>399.9999</v>
      </c>
      <c r="R661" s="159">
        <v>399.9999</v>
      </c>
      <c r="S661" s="159">
        <v>10058.05146871168</v>
      </c>
      <c r="T661" s="159">
        <v>10012.14416968944</v>
      </c>
      <c r="U661" s="159">
        <v>1609.288234993869</v>
      </c>
      <c r="V661" s="159">
        <v>1601.943067150311</v>
      </c>
      <c r="W661" s="159">
        <v>11667.33970370555</v>
      </c>
      <c r="X661" s="159">
        <v>11614.08723683975</v>
      </c>
      <c r="Y661" s="159">
        <v>15999.996</v>
      </c>
      <c r="Z661" s="159">
        <v>2892.15983840112</v>
      </c>
      <c r="AA661" s="159">
        <v>378.04</v>
      </c>
      <c r="AB661" s="159">
        <v>799.9998</v>
      </c>
      <c r="AC661" s="214">
        <v>20070.19563840112</v>
      </c>
      <c r="AD661" s="159">
        <v>3211.23130214418</v>
      </c>
      <c r="AE661" s="159">
        <v>23281.4269405453</v>
      </c>
      <c r="AF661" s="159">
        <v>20070.19563840112</v>
      </c>
    </row>
    <row r="662">
      <c r="A662" s="153" t="s">
        <v>317</v>
      </c>
      <c r="B662" s="153"/>
      <c r="D662" s="153" t="str">
        <f t="shared" si="1"/>
        <v>SI</v>
      </c>
      <c r="F662" s="30" t="s">
        <v>255</v>
      </c>
      <c r="G662" s="30" t="s">
        <v>1748</v>
      </c>
      <c r="H662" s="30" t="s">
        <v>1679</v>
      </c>
      <c r="I662" s="30" t="s">
        <v>1693</v>
      </c>
      <c r="J662" s="30" t="s">
        <v>1694</v>
      </c>
      <c r="K662" s="159">
        <v>0.0</v>
      </c>
      <c r="L662" s="159">
        <v>594.88</v>
      </c>
      <c r="M662" s="159">
        <v>0.0</v>
      </c>
      <c r="N662" s="159">
        <v>0.0</v>
      </c>
      <c r="O662" s="159">
        <v>0.0</v>
      </c>
      <c r="P662" s="159">
        <v>0.0</v>
      </c>
      <c r="Q662" s="159">
        <v>0.0</v>
      </c>
      <c r="R662" s="159">
        <v>29.744</v>
      </c>
      <c r="S662" s="159">
        <v>0.0</v>
      </c>
      <c r="T662" s="159">
        <v>624.624</v>
      </c>
      <c r="U662" s="159">
        <v>0.0</v>
      </c>
      <c r="V662" s="159">
        <v>99.93984</v>
      </c>
      <c r="W662" s="159">
        <v>0.0</v>
      </c>
      <c r="X662" s="159">
        <v>724.56384</v>
      </c>
      <c r="Y662" s="159">
        <v>594.88</v>
      </c>
      <c r="Z662" s="159">
        <v>0.0</v>
      </c>
      <c r="AA662" s="159">
        <v>0.0</v>
      </c>
      <c r="AB662" s="159">
        <v>29.744</v>
      </c>
      <c r="AC662" s="214">
        <v>624.624</v>
      </c>
      <c r="AD662" s="159">
        <v>99.93984</v>
      </c>
      <c r="AE662" s="159">
        <v>724.56384</v>
      </c>
      <c r="AF662" s="159">
        <v>624.624</v>
      </c>
    </row>
    <row r="663">
      <c r="A663" s="153" t="s">
        <v>258</v>
      </c>
      <c r="B663" s="153"/>
      <c r="D663" s="153" t="str">
        <f t="shared" si="1"/>
        <v>SI</v>
      </c>
      <c r="F663" s="30" t="s">
        <v>259</v>
      </c>
      <c r="G663" s="30" t="s">
        <v>1682</v>
      </c>
      <c r="H663" s="30" t="s">
        <v>1683</v>
      </c>
      <c r="I663" s="30" t="s">
        <v>1732</v>
      </c>
      <c r="J663" s="30" t="s">
        <v>1749</v>
      </c>
      <c r="K663" s="159">
        <v>8999.998</v>
      </c>
      <c r="L663" s="159">
        <v>8999.998</v>
      </c>
      <c r="M663" s="159">
        <v>1467.59389135872</v>
      </c>
      <c r="N663" s="159">
        <v>1421.73158225376</v>
      </c>
      <c r="O663" s="159">
        <v>189.02</v>
      </c>
      <c r="P663" s="159">
        <v>189.02</v>
      </c>
      <c r="Q663" s="159">
        <v>449.9999</v>
      </c>
      <c r="R663" s="159">
        <v>449.9999</v>
      </c>
      <c r="S663" s="159">
        <v>11106.61179135872</v>
      </c>
      <c r="T663" s="159">
        <v>11060.74948225376</v>
      </c>
      <c r="U663" s="159">
        <v>1777.057886617395</v>
      </c>
      <c r="V663" s="159">
        <v>1769.719917160602</v>
      </c>
      <c r="W663" s="159">
        <v>12883.66967797612</v>
      </c>
      <c r="X663" s="159">
        <v>12830.46939941436</v>
      </c>
      <c r="Y663" s="159">
        <v>17999.996</v>
      </c>
      <c r="Z663" s="159">
        <v>2889.32547361248</v>
      </c>
      <c r="AA663" s="159">
        <v>378.04</v>
      </c>
      <c r="AB663" s="159">
        <v>899.9998</v>
      </c>
      <c r="AC663" s="214">
        <v>22167.36127361248</v>
      </c>
      <c r="AD663" s="159">
        <v>3546.777803777997</v>
      </c>
      <c r="AE663" s="159">
        <v>25714.13907739048</v>
      </c>
      <c r="AF663" s="159">
        <v>22167.36127361248</v>
      </c>
    </row>
    <row r="664">
      <c r="A664" s="153" t="s">
        <v>334</v>
      </c>
      <c r="B664" s="153"/>
      <c r="D664" s="153" t="str">
        <f t="shared" si="1"/>
        <v>SI</v>
      </c>
      <c r="F664" s="30" t="s">
        <v>261</v>
      </c>
      <c r="G664" s="30" t="s">
        <v>1682</v>
      </c>
      <c r="H664" s="30" t="s">
        <v>1704</v>
      </c>
      <c r="I664" s="30"/>
      <c r="J664" s="30" t="s">
        <v>1744</v>
      </c>
      <c r="K664" s="159">
        <v>3500.0</v>
      </c>
      <c r="L664" s="30"/>
      <c r="M664" s="159">
        <v>0.0</v>
      </c>
      <c r="N664" s="30"/>
      <c r="O664" s="159">
        <v>0.0</v>
      </c>
      <c r="P664" s="30"/>
      <c r="Q664" s="159">
        <v>175.0</v>
      </c>
      <c r="R664" s="30"/>
      <c r="S664" s="159">
        <v>3675.0</v>
      </c>
      <c r="T664" s="30"/>
      <c r="U664" s="159">
        <v>588.0</v>
      </c>
      <c r="V664" s="30"/>
      <c r="W664" s="159">
        <v>4263.0</v>
      </c>
      <c r="X664" s="30"/>
      <c r="Y664" s="159">
        <v>3500.0</v>
      </c>
      <c r="Z664" s="159">
        <v>0.0</v>
      </c>
      <c r="AA664" s="159">
        <v>0.0</v>
      </c>
      <c r="AB664" s="159">
        <v>175.0</v>
      </c>
      <c r="AC664" s="214">
        <v>3675.0</v>
      </c>
      <c r="AD664" s="159">
        <v>588.0</v>
      </c>
      <c r="AE664" s="159">
        <v>4263.0</v>
      </c>
      <c r="AF664" s="159">
        <v>3675.0</v>
      </c>
    </row>
    <row r="665">
      <c r="A665" s="153" t="s">
        <v>158</v>
      </c>
      <c r="B665" s="153"/>
      <c r="D665" s="153" t="str">
        <f t="shared" si="1"/>
        <v>SI</v>
      </c>
      <c r="F665" s="30" t="s">
        <v>263</v>
      </c>
      <c r="G665" s="30" t="s">
        <v>1682</v>
      </c>
      <c r="H665" s="30" t="s">
        <v>1690</v>
      </c>
      <c r="I665" s="30" t="s">
        <v>1691</v>
      </c>
      <c r="J665" s="30" t="s">
        <v>1692</v>
      </c>
      <c r="K665" s="159">
        <v>5999.998000000001</v>
      </c>
      <c r="L665" s="159">
        <v>5999.998000000001</v>
      </c>
      <c r="M665" s="159">
        <v>1463.37769339648</v>
      </c>
      <c r="N665" s="159">
        <v>1417.64714047784</v>
      </c>
      <c r="O665" s="159">
        <v>189.02</v>
      </c>
      <c r="P665" s="159">
        <v>189.02</v>
      </c>
      <c r="Q665" s="159">
        <v>299.9999</v>
      </c>
      <c r="R665" s="159">
        <v>299.9999</v>
      </c>
      <c r="S665" s="159">
        <v>7952.395593396481</v>
      </c>
      <c r="T665" s="159">
        <v>7906.665040477841</v>
      </c>
      <c r="U665" s="159">
        <v>1272.383294943437</v>
      </c>
      <c r="V665" s="159">
        <v>1265.066406476455</v>
      </c>
      <c r="W665" s="159">
        <v>9224.778888339917</v>
      </c>
      <c r="X665" s="159">
        <v>9171.731446954296</v>
      </c>
      <c r="Y665" s="159">
        <v>11999.996</v>
      </c>
      <c r="Z665" s="159">
        <v>2881.02483387432</v>
      </c>
      <c r="AA665" s="159">
        <v>378.04</v>
      </c>
      <c r="AB665" s="159">
        <v>599.9998</v>
      </c>
      <c r="AC665" s="214">
        <v>15859.06063387432</v>
      </c>
      <c r="AD665" s="159">
        <v>2537.449701419891</v>
      </c>
      <c r="AE665" s="159">
        <v>18396.51033529421</v>
      </c>
      <c r="AF665" s="159">
        <v>15859.06063387432</v>
      </c>
    </row>
    <row r="666">
      <c r="A666" s="153" t="s">
        <v>279</v>
      </c>
      <c r="B666" s="153"/>
      <c r="D666" s="153" t="str">
        <f t="shared" si="1"/>
        <v>SI</v>
      </c>
      <c r="F666" s="30" t="s">
        <v>265</v>
      </c>
      <c r="G666" s="30" t="s">
        <v>1682</v>
      </c>
      <c r="H666" s="30" t="s">
        <v>1704</v>
      </c>
      <c r="I666" s="30" t="s">
        <v>1691</v>
      </c>
      <c r="J666" s="30" t="s">
        <v>1716</v>
      </c>
      <c r="K666" s="159">
        <v>14000.0</v>
      </c>
      <c r="L666" s="159">
        <v>14000.0</v>
      </c>
      <c r="M666" s="159">
        <v>0.0</v>
      </c>
      <c r="N666" s="159">
        <v>0.0</v>
      </c>
      <c r="O666" s="159">
        <v>0.0</v>
      </c>
      <c r="P666" s="159">
        <v>0.0</v>
      </c>
      <c r="Q666" s="159">
        <v>700.0</v>
      </c>
      <c r="R666" s="159">
        <v>700.0</v>
      </c>
      <c r="S666" s="159">
        <v>14700.0</v>
      </c>
      <c r="T666" s="159">
        <v>14700.0</v>
      </c>
      <c r="U666" s="159">
        <v>2352.0</v>
      </c>
      <c r="V666" s="159">
        <v>2352.0</v>
      </c>
      <c r="W666" s="159">
        <v>17052.0</v>
      </c>
      <c r="X666" s="159">
        <v>17052.0</v>
      </c>
      <c r="Y666" s="159">
        <v>28000.0</v>
      </c>
      <c r="Z666" s="159">
        <v>0.0</v>
      </c>
      <c r="AA666" s="159">
        <v>0.0</v>
      </c>
      <c r="AB666" s="159">
        <v>1400.0</v>
      </c>
      <c r="AC666" s="214">
        <v>29400.0</v>
      </c>
      <c r="AD666" s="159">
        <v>4704.0</v>
      </c>
      <c r="AE666" s="159">
        <v>34104.0</v>
      </c>
      <c r="AF666" s="159">
        <v>29400.0</v>
      </c>
    </row>
    <row r="667">
      <c r="A667" s="153" t="s">
        <v>240</v>
      </c>
      <c r="B667" s="153"/>
      <c r="D667" s="153" t="str">
        <f t="shared" si="1"/>
        <v>SI</v>
      </c>
      <c r="F667" s="30" t="s">
        <v>267</v>
      </c>
      <c r="G667" s="30" t="s">
        <v>1682</v>
      </c>
      <c r="H667" s="30" t="s">
        <v>1679</v>
      </c>
      <c r="I667" s="30" t="s">
        <v>1693</v>
      </c>
      <c r="J667" s="30" t="s">
        <v>1694</v>
      </c>
      <c r="K667" s="159">
        <v>3024.4</v>
      </c>
      <c r="L667" s="159">
        <v>2797.4</v>
      </c>
      <c r="M667" s="159">
        <v>0.0</v>
      </c>
      <c r="N667" s="159">
        <v>0.0</v>
      </c>
      <c r="O667" s="159">
        <v>0.0</v>
      </c>
      <c r="P667" s="159">
        <v>0.0</v>
      </c>
      <c r="Q667" s="159">
        <v>151.22</v>
      </c>
      <c r="R667" s="159">
        <v>139.87</v>
      </c>
      <c r="S667" s="159">
        <v>3175.62</v>
      </c>
      <c r="T667" s="159">
        <v>2937.27</v>
      </c>
      <c r="U667" s="159">
        <v>508.0992</v>
      </c>
      <c r="V667" s="159">
        <v>469.9632</v>
      </c>
      <c r="W667" s="159">
        <v>3683.7192</v>
      </c>
      <c r="X667" s="159">
        <v>3407.2332</v>
      </c>
      <c r="Y667" s="159">
        <v>5821.8</v>
      </c>
      <c r="Z667" s="159">
        <v>0.0</v>
      </c>
      <c r="AA667" s="159">
        <v>0.0</v>
      </c>
      <c r="AB667" s="159">
        <v>291.09</v>
      </c>
      <c r="AC667" s="214">
        <v>6112.889999999999</v>
      </c>
      <c r="AD667" s="159">
        <v>978.0624</v>
      </c>
      <c r="AE667" s="159">
        <v>7090.9524</v>
      </c>
      <c r="AF667" s="159">
        <v>6112.889999999999</v>
      </c>
    </row>
    <row r="668">
      <c r="A668" s="153" t="s">
        <v>234</v>
      </c>
      <c r="B668" s="153"/>
      <c r="D668" s="153" t="str">
        <f t="shared" si="1"/>
        <v>SI</v>
      </c>
      <c r="F668" s="30" t="s">
        <v>269</v>
      </c>
      <c r="G668" s="30" t="s">
        <v>1682</v>
      </c>
      <c r="H668" s="30" t="s">
        <v>1690</v>
      </c>
      <c r="I668" s="30" t="s">
        <v>1691</v>
      </c>
      <c r="J668" s="30" t="s">
        <v>1692</v>
      </c>
      <c r="K668" s="159">
        <v>6499.998000000001</v>
      </c>
      <c r="L668" s="159">
        <v>6499.998000000001</v>
      </c>
      <c r="M668" s="159">
        <v>1461.93801604352</v>
      </c>
      <c r="N668" s="159">
        <v>1416.25245304216</v>
      </c>
      <c r="O668" s="159">
        <v>189.02</v>
      </c>
      <c r="P668" s="159">
        <v>189.02</v>
      </c>
      <c r="Q668" s="159">
        <v>324.9999</v>
      </c>
      <c r="R668" s="159">
        <v>324.9999</v>
      </c>
      <c r="S668" s="159">
        <v>8475.95591604352</v>
      </c>
      <c r="T668" s="159">
        <v>8430.27035304216</v>
      </c>
      <c r="U668" s="159">
        <v>1356.152946566963</v>
      </c>
      <c r="V668" s="159">
        <v>1348.843256486746</v>
      </c>
      <c r="W668" s="159">
        <v>9832.108862610483</v>
      </c>
      <c r="X668" s="159">
        <v>9779.113609528906</v>
      </c>
      <c r="Y668" s="159">
        <v>12999.996</v>
      </c>
      <c r="Z668" s="159">
        <v>2878.19046908568</v>
      </c>
      <c r="AA668" s="159">
        <v>378.04</v>
      </c>
      <c r="AB668" s="159">
        <v>649.9998</v>
      </c>
      <c r="AC668" s="214">
        <v>16906.22626908568</v>
      </c>
      <c r="AD668" s="159">
        <v>2704.996203053709</v>
      </c>
      <c r="AE668" s="159">
        <v>19611.22247213939</v>
      </c>
      <c r="AF668" s="159">
        <v>16906.22626908568</v>
      </c>
    </row>
    <row r="669">
      <c r="A669" s="153" t="s">
        <v>96</v>
      </c>
      <c r="B669" s="153"/>
      <c r="D669" s="153" t="str">
        <f t="shared" si="1"/>
        <v>SI</v>
      </c>
      <c r="F669" s="30" t="s">
        <v>271</v>
      </c>
      <c r="G669" s="30" t="s">
        <v>1682</v>
      </c>
      <c r="H669" s="30" t="s">
        <v>1706</v>
      </c>
      <c r="I669" s="30" t="s">
        <v>1750</v>
      </c>
      <c r="J669" s="30" t="s">
        <v>1750</v>
      </c>
      <c r="K669" s="159">
        <v>8240.598000000002</v>
      </c>
      <c r="L669" s="159">
        <v>8299.998</v>
      </c>
      <c r="M669" s="159">
        <v>1789.45528109696</v>
      </c>
      <c r="N669" s="159">
        <v>1733.53480356268</v>
      </c>
      <c r="O669" s="159">
        <v>189.02</v>
      </c>
      <c r="P669" s="159">
        <v>189.02</v>
      </c>
      <c r="Q669" s="159">
        <v>412.0299000000001</v>
      </c>
      <c r="R669" s="159">
        <v>414.9999</v>
      </c>
      <c r="S669" s="159">
        <v>10631.10318109696</v>
      </c>
      <c r="T669" s="159">
        <v>10637.55270356268</v>
      </c>
      <c r="U669" s="159">
        <v>1700.976508975514</v>
      </c>
      <c r="V669" s="159">
        <v>1702.008432570029</v>
      </c>
      <c r="W669" s="159">
        <v>12332.07969007248</v>
      </c>
      <c r="X669" s="159">
        <v>12339.56113613271</v>
      </c>
      <c r="Y669" s="159">
        <v>16540.596</v>
      </c>
      <c r="Z669" s="159">
        <v>3522.99008465964</v>
      </c>
      <c r="AA669" s="159">
        <v>378.04</v>
      </c>
      <c r="AB669" s="159">
        <v>827.0298000000001</v>
      </c>
      <c r="AC669" s="214">
        <v>21268.65588465964</v>
      </c>
      <c r="AD669" s="159">
        <v>3402.984941545543</v>
      </c>
      <c r="AE669" s="159">
        <v>24671.64082620518</v>
      </c>
      <c r="AF669" s="159">
        <v>21268.65588465964</v>
      </c>
    </row>
    <row r="670">
      <c r="A670" s="153" t="s">
        <v>315</v>
      </c>
      <c r="B670" s="153"/>
      <c r="D670" s="153" t="str">
        <f t="shared" si="1"/>
        <v>SI</v>
      </c>
      <c r="F670" s="30" t="s">
        <v>274</v>
      </c>
      <c r="G670" s="30" t="s">
        <v>1682</v>
      </c>
      <c r="H670" s="30" t="s">
        <v>1683</v>
      </c>
      <c r="I670" s="30" t="s">
        <v>1732</v>
      </c>
      <c r="J670" s="30" t="s">
        <v>1751</v>
      </c>
      <c r="K670" s="159">
        <v>6249.998000000001</v>
      </c>
      <c r="L670" s="159">
        <v>6249.998000000001</v>
      </c>
      <c r="M670" s="159">
        <v>1463.37769339648</v>
      </c>
      <c r="N670" s="159">
        <v>1417.64714047784</v>
      </c>
      <c r="O670" s="159">
        <v>189.02</v>
      </c>
      <c r="P670" s="159">
        <v>189.02</v>
      </c>
      <c r="Q670" s="159">
        <v>312.4999</v>
      </c>
      <c r="R670" s="159">
        <v>312.4999</v>
      </c>
      <c r="S670" s="159">
        <v>8214.89559339648</v>
      </c>
      <c r="T670" s="159">
        <v>8169.165040477841</v>
      </c>
      <c r="U670" s="159">
        <v>1314.383294943437</v>
      </c>
      <c r="V670" s="159">
        <v>1307.066406476455</v>
      </c>
      <c r="W670" s="159">
        <v>9529.278888339917</v>
      </c>
      <c r="X670" s="159">
        <v>9476.231446954296</v>
      </c>
      <c r="Y670" s="159">
        <v>12499.996</v>
      </c>
      <c r="Z670" s="159">
        <v>2881.02483387432</v>
      </c>
      <c r="AA670" s="159">
        <v>378.04</v>
      </c>
      <c r="AB670" s="159">
        <v>624.9998</v>
      </c>
      <c r="AC670" s="214">
        <v>16384.06063387432</v>
      </c>
      <c r="AD670" s="159">
        <v>2621.449701419891</v>
      </c>
      <c r="AE670" s="159">
        <v>19005.51033529421</v>
      </c>
      <c r="AF670" s="159">
        <v>16384.06063387432</v>
      </c>
    </row>
    <row r="671">
      <c r="A671" s="153" t="s">
        <v>64</v>
      </c>
      <c r="B671" s="153"/>
      <c r="D671" s="153" t="str">
        <f t="shared" si="1"/>
        <v>SI</v>
      </c>
      <c r="F671" s="30" t="s">
        <v>276</v>
      </c>
      <c r="G671" s="30" t="s">
        <v>1682</v>
      </c>
      <c r="H671" s="30" t="s">
        <v>1686</v>
      </c>
      <c r="I671" s="30" t="s">
        <v>388</v>
      </c>
      <c r="J671" s="30" t="s">
        <v>388</v>
      </c>
      <c r="K671" s="159">
        <v>3541.45</v>
      </c>
      <c r="L671" s="159">
        <v>6847.152</v>
      </c>
      <c r="M671" s="159">
        <v>1461.93801604352</v>
      </c>
      <c r="N671" s="159">
        <v>1416.25245304216</v>
      </c>
      <c r="O671" s="159">
        <v>0.0</v>
      </c>
      <c r="P671" s="159">
        <v>126.02</v>
      </c>
      <c r="Q671" s="159">
        <v>177.0725</v>
      </c>
      <c r="R671" s="159">
        <v>342.3576</v>
      </c>
      <c r="S671" s="159">
        <v>5180.46051604352</v>
      </c>
      <c r="T671" s="159">
        <v>8731.782053042161</v>
      </c>
      <c r="U671" s="159">
        <v>828.8736825669632</v>
      </c>
      <c r="V671" s="159">
        <v>1397.085128486746</v>
      </c>
      <c r="W671" s="159">
        <v>6009.334198610483</v>
      </c>
      <c r="X671" s="159">
        <v>10128.86718152891</v>
      </c>
      <c r="Y671" s="159">
        <v>10388.602</v>
      </c>
      <c r="Z671" s="159">
        <v>2878.19046908568</v>
      </c>
      <c r="AA671" s="159">
        <v>126.02</v>
      </c>
      <c r="AB671" s="159">
        <v>519.4301</v>
      </c>
      <c r="AC671" s="214">
        <v>13912.24256908568</v>
      </c>
      <c r="AD671" s="159">
        <v>2225.958811053709</v>
      </c>
      <c r="AE671" s="159">
        <v>16138.20138013939</v>
      </c>
      <c r="AF671" s="159">
        <v>13912.24256908568</v>
      </c>
    </row>
    <row r="672">
      <c r="A672" s="153" t="s">
        <v>122</v>
      </c>
      <c r="B672" s="153"/>
      <c r="D672" s="153" t="str">
        <f t="shared" si="1"/>
        <v>SI</v>
      </c>
      <c r="F672" s="30" t="s">
        <v>278</v>
      </c>
      <c r="G672" s="30" t="s">
        <v>1682</v>
      </c>
      <c r="H672" s="30" t="s">
        <v>1690</v>
      </c>
      <c r="I672" s="30" t="s">
        <v>1691</v>
      </c>
      <c r="J672" s="30" t="s">
        <v>1692</v>
      </c>
      <c r="K672" s="159">
        <v>6999.998000000001</v>
      </c>
      <c r="L672" s="159">
        <v>6999.998000000001</v>
      </c>
      <c r="M672" s="159">
        <v>1464.81737074944</v>
      </c>
      <c r="N672" s="159">
        <v>1419.04182791352</v>
      </c>
      <c r="O672" s="159">
        <v>189.02</v>
      </c>
      <c r="P672" s="159">
        <v>189.02</v>
      </c>
      <c r="Q672" s="159">
        <v>349.9999</v>
      </c>
      <c r="R672" s="159">
        <v>349.9999</v>
      </c>
      <c r="S672" s="159">
        <v>9003.835270749441</v>
      </c>
      <c r="T672" s="159">
        <v>8958.05972791352</v>
      </c>
      <c r="U672" s="159">
        <v>1440.613643319911</v>
      </c>
      <c r="V672" s="159">
        <v>1433.289556466163</v>
      </c>
      <c r="W672" s="159">
        <v>10444.44891406935</v>
      </c>
      <c r="X672" s="159">
        <v>10391.34928437968</v>
      </c>
      <c r="Y672" s="159">
        <v>13999.996</v>
      </c>
      <c r="Z672" s="159">
        <v>2883.85919866296</v>
      </c>
      <c r="AA672" s="159">
        <v>378.04</v>
      </c>
      <c r="AB672" s="159">
        <v>699.9998</v>
      </c>
      <c r="AC672" s="214">
        <v>17961.89499866296</v>
      </c>
      <c r="AD672" s="159">
        <v>2873.903199786074</v>
      </c>
      <c r="AE672" s="159">
        <v>20835.79819844903</v>
      </c>
      <c r="AF672" s="159">
        <v>17961.89499866296</v>
      </c>
    </row>
    <row r="673">
      <c r="A673" s="153" t="s">
        <v>152</v>
      </c>
      <c r="B673" s="153"/>
      <c r="D673" s="153" t="str">
        <f t="shared" si="1"/>
        <v>SI</v>
      </c>
      <c r="F673" s="30" t="s">
        <v>280</v>
      </c>
      <c r="G673" s="30" t="s">
        <v>1728</v>
      </c>
      <c r="H673" s="30" t="s">
        <v>1679</v>
      </c>
      <c r="I673" s="30" t="s">
        <v>1693</v>
      </c>
      <c r="J673" s="30" t="s">
        <v>1694</v>
      </c>
      <c r="K673" s="159">
        <v>1274.4</v>
      </c>
      <c r="L673" s="159">
        <v>1274.4</v>
      </c>
      <c r="M673" s="159">
        <v>0.0</v>
      </c>
      <c r="N673" s="159">
        <v>0.0</v>
      </c>
      <c r="O673" s="159">
        <v>0.0</v>
      </c>
      <c r="P673" s="159">
        <v>0.0</v>
      </c>
      <c r="Q673" s="159">
        <v>63.72000000000001</v>
      </c>
      <c r="R673" s="159">
        <v>63.72000000000001</v>
      </c>
      <c r="S673" s="159">
        <v>1338.12</v>
      </c>
      <c r="T673" s="159">
        <v>1338.12</v>
      </c>
      <c r="U673" s="159">
        <v>214.0992</v>
      </c>
      <c r="V673" s="159">
        <v>214.0992</v>
      </c>
      <c r="W673" s="159">
        <v>1552.2192</v>
      </c>
      <c r="X673" s="159">
        <v>1552.2192</v>
      </c>
      <c r="Y673" s="159">
        <v>2548.8</v>
      </c>
      <c r="Z673" s="159">
        <v>0.0</v>
      </c>
      <c r="AA673" s="159">
        <v>0.0</v>
      </c>
      <c r="AB673" s="159">
        <v>127.44</v>
      </c>
      <c r="AC673" s="214">
        <v>2676.24</v>
      </c>
      <c r="AD673" s="159">
        <v>428.1984</v>
      </c>
      <c r="AE673" s="159">
        <v>3104.4384</v>
      </c>
      <c r="AF673" s="159">
        <v>2676.24</v>
      </c>
    </row>
    <row r="674">
      <c r="A674" s="153" t="s">
        <v>277</v>
      </c>
      <c r="B674" s="153"/>
      <c r="D674" s="153" t="str">
        <f t="shared" si="1"/>
        <v>SI</v>
      </c>
      <c r="F674" s="30" t="s">
        <v>282</v>
      </c>
      <c r="G674" s="30" t="s">
        <v>1682</v>
      </c>
      <c r="H674" s="30" t="s">
        <v>1690</v>
      </c>
      <c r="I674" s="30" t="s">
        <v>1695</v>
      </c>
      <c r="J674" s="30" t="s">
        <v>1696</v>
      </c>
      <c r="K674" s="159">
        <v>7499.998000000001</v>
      </c>
      <c r="L674" s="159">
        <v>7499.998</v>
      </c>
      <c r="M674" s="159">
        <v>1461.93801604352</v>
      </c>
      <c r="N674" s="159">
        <v>1416.25245304216</v>
      </c>
      <c r="O674" s="159">
        <v>189.02</v>
      </c>
      <c r="P674" s="159">
        <v>189.02</v>
      </c>
      <c r="Q674" s="159">
        <v>374.9999</v>
      </c>
      <c r="R674" s="159">
        <v>374.9999</v>
      </c>
      <c r="S674" s="159">
        <v>9525.95591604352</v>
      </c>
      <c r="T674" s="159">
        <v>9480.27035304216</v>
      </c>
      <c r="U674" s="159">
        <v>1524.152946566963</v>
      </c>
      <c r="V674" s="159">
        <v>1516.843256486746</v>
      </c>
      <c r="W674" s="159">
        <v>11050.10886261048</v>
      </c>
      <c r="X674" s="159">
        <v>10997.11360952891</v>
      </c>
      <c r="Y674" s="159">
        <v>14999.996</v>
      </c>
      <c r="Z674" s="159">
        <v>2878.19046908568</v>
      </c>
      <c r="AA674" s="159">
        <v>378.04</v>
      </c>
      <c r="AB674" s="159">
        <v>749.9998</v>
      </c>
      <c r="AC674" s="214">
        <v>19006.22626908568</v>
      </c>
      <c r="AD674" s="159">
        <v>3040.996203053709</v>
      </c>
      <c r="AE674" s="159">
        <v>22047.22247213939</v>
      </c>
      <c r="AF674" s="159">
        <v>19006.22626908568</v>
      </c>
    </row>
    <row r="675">
      <c r="A675" s="153" t="s">
        <v>322</v>
      </c>
      <c r="B675" s="153"/>
      <c r="D675" s="153" t="str">
        <f t="shared" si="1"/>
        <v>SI</v>
      </c>
      <c r="F675" s="30" t="s">
        <v>284</v>
      </c>
      <c r="G675" s="30" t="s">
        <v>1682</v>
      </c>
      <c r="H675" s="30" t="s">
        <v>1690</v>
      </c>
      <c r="I675" s="30" t="s">
        <v>1732</v>
      </c>
      <c r="J675" s="30" t="s">
        <v>1733</v>
      </c>
      <c r="K675" s="159">
        <v>4725.598000000001</v>
      </c>
      <c r="L675" s="159">
        <v>4725.598000000001</v>
      </c>
      <c r="M675" s="159">
        <v>1466.15421400576</v>
      </c>
      <c r="N675" s="159">
        <v>1420.33689481808</v>
      </c>
      <c r="O675" s="159">
        <v>189.02</v>
      </c>
      <c r="P675" s="159">
        <v>189.02</v>
      </c>
      <c r="Q675" s="159">
        <v>236.2799000000001</v>
      </c>
      <c r="R675" s="159">
        <v>236.2799000000001</v>
      </c>
      <c r="S675" s="159">
        <v>6617.052114005762</v>
      </c>
      <c r="T675" s="159">
        <v>6571.234794818081</v>
      </c>
      <c r="U675" s="159">
        <v>1058.728338240922</v>
      </c>
      <c r="V675" s="159">
        <v>1051.397567170893</v>
      </c>
      <c r="W675" s="159">
        <v>7675.780452246683</v>
      </c>
      <c r="X675" s="159">
        <v>7622.632361988974</v>
      </c>
      <c r="Y675" s="159">
        <v>9451.196000000002</v>
      </c>
      <c r="Z675" s="159">
        <v>2886.49110882384</v>
      </c>
      <c r="AA675" s="159">
        <v>378.04</v>
      </c>
      <c r="AB675" s="159">
        <v>472.5598000000001</v>
      </c>
      <c r="AC675" s="214">
        <v>13188.28690882384</v>
      </c>
      <c r="AD675" s="159">
        <v>2110.125905411815</v>
      </c>
      <c r="AE675" s="159">
        <v>15298.41281423566</v>
      </c>
      <c r="AF675" s="159">
        <v>13188.28690882384</v>
      </c>
    </row>
    <row r="676">
      <c r="A676" s="153" t="s">
        <v>181</v>
      </c>
      <c r="B676" s="153"/>
      <c r="D676" s="153" t="str">
        <f t="shared" si="1"/>
        <v>SI</v>
      </c>
      <c r="F676" s="30" t="s">
        <v>286</v>
      </c>
      <c r="G676" s="30" t="s">
        <v>1682</v>
      </c>
      <c r="H676" s="30" t="s">
        <v>1683</v>
      </c>
      <c r="I676" s="30" t="s">
        <v>1689</v>
      </c>
      <c r="J676" s="30" t="s">
        <v>1689</v>
      </c>
      <c r="K676" s="159">
        <v>7999.998000000001</v>
      </c>
      <c r="L676" s="159">
        <v>7999.998000000001</v>
      </c>
      <c r="M676" s="159">
        <v>1469.03356871168</v>
      </c>
      <c r="N676" s="159">
        <v>1423.12626968944</v>
      </c>
      <c r="O676" s="159">
        <v>189.02</v>
      </c>
      <c r="P676" s="159">
        <v>189.02</v>
      </c>
      <c r="Q676" s="159">
        <v>399.9999</v>
      </c>
      <c r="R676" s="159">
        <v>399.9999</v>
      </c>
      <c r="S676" s="159">
        <v>10058.05146871168</v>
      </c>
      <c r="T676" s="159">
        <v>10012.14416968944</v>
      </c>
      <c r="U676" s="159">
        <v>1609.288234993869</v>
      </c>
      <c r="V676" s="159">
        <v>1601.943067150311</v>
      </c>
      <c r="W676" s="159">
        <v>11667.33970370555</v>
      </c>
      <c r="X676" s="159">
        <v>11614.08723683975</v>
      </c>
      <c r="Y676" s="159">
        <v>15999.996</v>
      </c>
      <c r="Z676" s="159">
        <v>2892.15983840112</v>
      </c>
      <c r="AA676" s="159">
        <v>378.04</v>
      </c>
      <c r="AB676" s="159">
        <v>799.9998</v>
      </c>
      <c r="AC676" s="214">
        <v>20070.19563840112</v>
      </c>
      <c r="AD676" s="159">
        <v>3211.23130214418</v>
      </c>
      <c r="AE676" s="159">
        <v>23281.4269405453</v>
      </c>
      <c r="AF676" s="159">
        <v>20070.19563840112</v>
      </c>
    </row>
    <row r="677">
      <c r="A677" s="153" t="s">
        <v>86</v>
      </c>
      <c r="B677" s="153"/>
      <c r="D677" s="153" t="str">
        <f t="shared" si="1"/>
        <v>SI</v>
      </c>
      <c r="F677" s="30" t="s">
        <v>1752</v>
      </c>
      <c r="G677" s="30" t="s">
        <v>1678</v>
      </c>
      <c r="H677" s="30" t="s">
        <v>1679</v>
      </c>
      <c r="I677" s="30"/>
      <c r="J677" s="30" t="s">
        <v>1712</v>
      </c>
      <c r="K677" s="159">
        <v>4844.32</v>
      </c>
      <c r="L677" s="159">
        <v>4274.4</v>
      </c>
      <c r="M677" s="159">
        <v>0.0</v>
      </c>
      <c r="N677" s="159">
        <v>0.0</v>
      </c>
      <c r="O677" s="159">
        <v>0.0</v>
      </c>
      <c r="P677" s="159">
        <v>0.0</v>
      </c>
      <c r="Q677" s="159">
        <v>242.216</v>
      </c>
      <c r="R677" s="159">
        <v>213.72</v>
      </c>
      <c r="S677" s="159">
        <v>5086.536</v>
      </c>
      <c r="T677" s="159">
        <v>4488.12</v>
      </c>
      <c r="U677" s="159">
        <v>813.84576</v>
      </c>
      <c r="V677" s="159">
        <v>718.0992</v>
      </c>
      <c r="W677" s="159">
        <v>5900.38176</v>
      </c>
      <c r="X677" s="159">
        <v>5206.2192</v>
      </c>
      <c r="Y677" s="159">
        <v>9118.72</v>
      </c>
      <c r="Z677" s="159">
        <v>0.0</v>
      </c>
      <c r="AA677" s="159">
        <v>0.0</v>
      </c>
      <c r="AB677" s="159">
        <v>455.936</v>
      </c>
      <c r="AC677" s="214">
        <v>9574.655999999999</v>
      </c>
      <c r="AD677" s="159">
        <v>1531.94496</v>
      </c>
      <c r="AE677" s="159">
        <v>11106.60096</v>
      </c>
      <c r="AF677" s="159">
        <v>9574.655999999999</v>
      </c>
    </row>
    <row r="678">
      <c r="A678" s="153" t="s">
        <v>193</v>
      </c>
      <c r="B678" s="153"/>
      <c r="D678" s="153" t="str">
        <f t="shared" si="1"/>
        <v>SI</v>
      </c>
      <c r="F678" s="30" t="s">
        <v>1753</v>
      </c>
      <c r="G678" s="30" t="s">
        <v>1678</v>
      </c>
      <c r="H678" s="30" t="s">
        <v>1679</v>
      </c>
      <c r="I678" s="30"/>
      <c r="J678" s="30" t="s">
        <v>1712</v>
      </c>
      <c r="K678" s="30"/>
      <c r="L678" s="159">
        <v>473.17</v>
      </c>
      <c r="M678" s="30"/>
      <c r="N678" s="159">
        <v>0.0</v>
      </c>
      <c r="O678" s="30"/>
      <c r="P678" s="159">
        <v>0.0</v>
      </c>
      <c r="Q678" s="30"/>
      <c r="R678" s="159">
        <v>23.6585</v>
      </c>
      <c r="S678" s="30"/>
      <c r="T678" s="159">
        <v>496.8285</v>
      </c>
      <c r="U678" s="30"/>
      <c r="V678" s="159">
        <v>79.49256000000001</v>
      </c>
      <c r="W678" s="30"/>
      <c r="X678" s="159">
        <v>576.32106</v>
      </c>
      <c r="Y678" s="159">
        <v>473.17</v>
      </c>
      <c r="Z678" s="159">
        <v>0.0</v>
      </c>
      <c r="AA678" s="159">
        <v>0.0</v>
      </c>
      <c r="AB678" s="159">
        <v>23.6585</v>
      </c>
      <c r="AC678" s="214">
        <v>496.8285</v>
      </c>
      <c r="AD678" s="159">
        <v>79.49256000000001</v>
      </c>
      <c r="AE678" s="159">
        <v>576.32106</v>
      </c>
      <c r="AF678" s="159">
        <v>496.8285</v>
      </c>
    </row>
    <row r="679">
      <c r="A679" s="153" t="s">
        <v>107</v>
      </c>
      <c r="B679" s="153"/>
      <c r="D679" s="153" t="str">
        <f t="shared" si="1"/>
        <v>SI</v>
      </c>
      <c r="F679" s="30" t="s">
        <v>288</v>
      </c>
      <c r="G679" s="30" t="s">
        <v>1678</v>
      </c>
      <c r="H679" s="30" t="s">
        <v>1726</v>
      </c>
      <c r="I679" s="30"/>
      <c r="J679" s="30" t="s">
        <v>1754</v>
      </c>
      <c r="K679" s="159">
        <v>9999.998</v>
      </c>
      <c r="L679" s="159">
        <v>9999.998</v>
      </c>
      <c r="M679" s="159">
        <v>1467.142533298688</v>
      </c>
      <c r="N679" s="159">
        <v>1421.294329133104</v>
      </c>
      <c r="O679" s="159">
        <v>189.02</v>
      </c>
      <c r="P679" s="159">
        <v>189.02</v>
      </c>
      <c r="Q679" s="159">
        <v>499.9999</v>
      </c>
      <c r="R679" s="159">
        <v>499.9999</v>
      </c>
      <c r="S679" s="159">
        <v>12156.16043329869</v>
      </c>
      <c r="T679" s="159">
        <v>12110.3122291331</v>
      </c>
      <c r="U679" s="159">
        <v>1944.98566932779</v>
      </c>
      <c r="V679" s="159">
        <v>1937.649956661297</v>
      </c>
      <c r="W679" s="159">
        <v>14101.14610262648</v>
      </c>
      <c r="X679" s="159">
        <v>14047.9621857944</v>
      </c>
      <c r="Y679" s="159">
        <v>19999.996</v>
      </c>
      <c r="Z679" s="159">
        <v>2888.436862431791</v>
      </c>
      <c r="AA679" s="159">
        <v>378.04</v>
      </c>
      <c r="AB679" s="159">
        <v>999.9998</v>
      </c>
      <c r="AC679" s="214">
        <v>24266.47266243179</v>
      </c>
      <c r="AD679" s="159">
        <v>3882.635625989087</v>
      </c>
      <c r="AE679" s="159">
        <v>28149.10828842088</v>
      </c>
      <c r="AF679" s="159">
        <v>24266.47266243179</v>
      </c>
    </row>
    <row r="680">
      <c r="A680" s="153" t="s">
        <v>144</v>
      </c>
      <c r="B680" s="153"/>
      <c r="D680" s="153" t="str">
        <f t="shared" si="1"/>
        <v>SI</v>
      </c>
      <c r="F680" s="30" t="s">
        <v>290</v>
      </c>
      <c r="G680" s="30" t="s">
        <v>1682</v>
      </c>
      <c r="H680" s="30" t="s">
        <v>1679</v>
      </c>
      <c r="I680" s="30" t="s">
        <v>1693</v>
      </c>
      <c r="J680" s="30" t="s">
        <v>1694</v>
      </c>
      <c r="K680" s="159">
        <v>7499.998000000001</v>
      </c>
      <c r="L680" s="159">
        <v>7499.998000000001</v>
      </c>
      <c r="M680" s="159">
        <v>1482.706896029158</v>
      </c>
      <c r="N680" s="159">
        <v>1436.372305528247</v>
      </c>
      <c r="O680" s="159">
        <v>189.02</v>
      </c>
      <c r="P680" s="159">
        <v>189.02</v>
      </c>
      <c r="Q680" s="159">
        <v>374.9999</v>
      </c>
      <c r="R680" s="159">
        <v>374.9999</v>
      </c>
      <c r="S680" s="159">
        <v>9546.724796029159</v>
      </c>
      <c r="T680" s="159">
        <v>9500.390205528247</v>
      </c>
      <c r="U680" s="159">
        <v>1527.475967364665</v>
      </c>
      <c r="V680" s="159">
        <v>1520.062432884519</v>
      </c>
      <c r="W680" s="159">
        <v>11074.20076339382</v>
      </c>
      <c r="X680" s="159">
        <v>11020.45263841277</v>
      </c>
      <c r="Y680" s="159">
        <v>14999.996</v>
      </c>
      <c r="Z680" s="159">
        <v>2919.079201557405</v>
      </c>
      <c r="AA680" s="159">
        <v>378.04</v>
      </c>
      <c r="AB680" s="159">
        <v>749.9998</v>
      </c>
      <c r="AC680" s="214">
        <v>19047.11500155741</v>
      </c>
      <c r="AD680" s="159">
        <v>3047.538400249185</v>
      </c>
      <c r="AE680" s="159">
        <v>22094.65340180659</v>
      </c>
      <c r="AF680" s="159">
        <v>19047.11500155741</v>
      </c>
    </row>
    <row r="681">
      <c r="A681" s="153" t="s">
        <v>342</v>
      </c>
      <c r="B681" s="153"/>
      <c r="D681" s="153" t="str">
        <f t="shared" si="1"/>
        <v>SI</v>
      </c>
      <c r="F681" s="30" t="s">
        <v>292</v>
      </c>
      <c r="G681" s="30" t="s">
        <v>1682</v>
      </c>
      <c r="H681" s="30" t="s">
        <v>1690</v>
      </c>
      <c r="I681" s="30" t="s">
        <v>1732</v>
      </c>
      <c r="J681" s="30" t="s">
        <v>1755</v>
      </c>
      <c r="K681" s="159">
        <v>6999.998</v>
      </c>
      <c r="L681" s="159">
        <v>6999.998</v>
      </c>
      <c r="M681" s="159">
        <v>1461.93801604352</v>
      </c>
      <c r="N681" s="159">
        <v>1416.25245304216</v>
      </c>
      <c r="O681" s="159">
        <v>189.02</v>
      </c>
      <c r="P681" s="159">
        <v>189.02</v>
      </c>
      <c r="Q681" s="159">
        <v>349.9999</v>
      </c>
      <c r="R681" s="159">
        <v>349.9999</v>
      </c>
      <c r="S681" s="159">
        <v>9000.95591604352</v>
      </c>
      <c r="T681" s="159">
        <v>8955.27035304216</v>
      </c>
      <c r="U681" s="159">
        <v>1440.152946566963</v>
      </c>
      <c r="V681" s="159">
        <v>1432.843256486746</v>
      </c>
      <c r="W681" s="159">
        <v>10441.10886261048</v>
      </c>
      <c r="X681" s="159">
        <v>10388.11360952891</v>
      </c>
      <c r="Y681" s="159">
        <v>13999.996</v>
      </c>
      <c r="Z681" s="159">
        <v>2878.19046908568</v>
      </c>
      <c r="AA681" s="159">
        <v>378.04</v>
      </c>
      <c r="AB681" s="159">
        <v>699.9998</v>
      </c>
      <c r="AC681" s="214">
        <v>17956.22626908568</v>
      </c>
      <c r="AD681" s="159">
        <v>2872.996203053709</v>
      </c>
      <c r="AE681" s="159">
        <v>20829.22247213939</v>
      </c>
      <c r="AF681" s="159">
        <v>17956.22626908568</v>
      </c>
    </row>
    <row r="682">
      <c r="A682" s="153" t="s">
        <v>101</v>
      </c>
      <c r="B682" s="153"/>
      <c r="D682" s="153" t="str">
        <f t="shared" si="1"/>
        <v>SI</v>
      </c>
      <c r="F682" s="30" t="s">
        <v>294</v>
      </c>
      <c r="G682" s="30" t="s">
        <v>1682</v>
      </c>
      <c r="H682" s="30" t="s">
        <v>1706</v>
      </c>
      <c r="I682" s="30" t="s">
        <v>1684</v>
      </c>
      <c r="J682" s="30" t="s">
        <v>1684</v>
      </c>
      <c r="K682" s="159">
        <v>8499.998</v>
      </c>
      <c r="L682" s="159">
        <v>7810.668000000001</v>
      </c>
      <c r="M682" s="159">
        <v>1793.19398931328</v>
      </c>
      <c r="N682" s="159">
        <v>1737.15667714724</v>
      </c>
      <c r="O682" s="159">
        <v>189.02</v>
      </c>
      <c r="P682" s="159">
        <v>189.02</v>
      </c>
      <c r="Q682" s="159">
        <v>424.9999</v>
      </c>
      <c r="R682" s="159">
        <v>390.5334</v>
      </c>
      <c r="S682" s="159">
        <v>10907.21188931328</v>
      </c>
      <c r="T682" s="159">
        <v>10127.37807714724</v>
      </c>
      <c r="U682" s="159">
        <v>1745.153902290125</v>
      </c>
      <c r="V682" s="159">
        <v>1620.380492343559</v>
      </c>
      <c r="W682" s="159">
        <v>12652.36579160341</v>
      </c>
      <c r="X682" s="159">
        <v>11747.7585694908</v>
      </c>
      <c r="Y682" s="159">
        <v>16310.666</v>
      </c>
      <c r="Z682" s="159">
        <v>3530.35066646052</v>
      </c>
      <c r="AA682" s="159">
        <v>378.04</v>
      </c>
      <c r="AB682" s="159">
        <v>815.5333</v>
      </c>
      <c r="AC682" s="214">
        <v>21034.58996646052</v>
      </c>
      <c r="AD682" s="159">
        <v>3365.534394633683</v>
      </c>
      <c r="AE682" s="159">
        <v>24400.1243610942</v>
      </c>
      <c r="AF682" s="159">
        <v>21034.58996646052</v>
      </c>
    </row>
    <row r="683">
      <c r="A683" s="153" t="s">
        <v>223</v>
      </c>
      <c r="B683" s="153"/>
      <c r="D683" s="153" t="str">
        <f t="shared" si="1"/>
        <v>SI</v>
      </c>
      <c r="F683" s="30" t="s">
        <v>296</v>
      </c>
      <c r="G683" s="30" t="s">
        <v>1678</v>
      </c>
      <c r="H683" s="30" t="s">
        <v>1679</v>
      </c>
      <c r="I683" s="30"/>
      <c r="J683" s="30" t="s">
        <v>1756</v>
      </c>
      <c r="K683" s="159">
        <v>4274.4</v>
      </c>
      <c r="L683" s="30"/>
      <c r="M683" s="159">
        <v>0.0</v>
      </c>
      <c r="N683" s="30"/>
      <c r="O683" s="159">
        <v>0.0</v>
      </c>
      <c r="P683" s="30"/>
      <c r="Q683" s="159">
        <v>213.72</v>
      </c>
      <c r="R683" s="30"/>
      <c r="S683" s="159">
        <v>4488.12</v>
      </c>
      <c r="T683" s="30"/>
      <c r="U683" s="159">
        <v>718.0992</v>
      </c>
      <c r="V683" s="30"/>
      <c r="W683" s="159">
        <v>5206.2192</v>
      </c>
      <c r="X683" s="30"/>
      <c r="Y683" s="159">
        <v>4274.4</v>
      </c>
      <c r="Z683" s="159">
        <v>0.0</v>
      </c>
      <c r="AA683" s="159">
        <v>0.0</v>
      </c>
      <c r="AB683" s="159">
        <v>213.72</v>
      </c>
      <c r="AC683" s="214">
        <v>4488.12</v>
      </c>
      <c r="AD683" s="159">
        <v>718.0992</v>
      </c>
      <c r="AE683" s="159">
        <v>5206.2192</v>
      </c>
      <c r="AF683" s="159">
        <v>4488.12</v>
      </c>
    </row>
    <row r="684">
      <c r="A684" s="153" t="s">
        <v>94</v>
      </c>
      <c r="B684" s="153"/>
      <c r="D684" s="153" t="str">
        <f t="shared" si="1"/>
        <v>SI</v>
      </c>
      <c r="F684" s="30" t="s">
        <v>298</v>
      </c>
      <c r="G684" s="30" t="s">
        <v>1682</v>
      </c>
      <c r="H684" s="30" t="s">
        <v>1698</v>
      </c>
      <c r="I684" s="30" t="s">
        <v>1699</v>
      </c>
      <c r="J684" s="30" t="s">
        <v>1699</v>
      </c>
      <c r="K684" s="159">
        <v>7499.998000000001</v>
      </c>
      <c r="L684" s="159">
        <v>7499.998000000001</v>
      </c>
      <c r="M684" s="159">
        <v>1466.15421400576</v>
      </c>
      <c r="N684" s="159">
        <v>1420.33689481808</v>
      </c>
      <c r="O684" s="159">
        <v>189.02</v>
      </c>
      <c r="P684" s="159">
        <v>189.02</v>
      </c>
      <c r="Q684" s="159">
        <v>374.9999</v>
      </c>
      <c r="R684" s="159">
        <v>374.9999</v>
      </c>
      <c r="S684" s="159">
        <v>9530.17211400576</v>
      </c>
      <c r="T684" s="159">
        <v>9484.35479481808</v>
      </c>
      <c r="U684" s="159">
        <v>1524.827538240922</v>
      </c>
      <c r="V684" s="159">
        <v>1517.496767170893</v>
      </c>
      <c r="W684" s="159">
        <v>11054.99965224668</v>
      </c>
      <c r="X684" s="159">
        <v>11001.85156198897</v>
      </c>
      <c r="Y684" s="159">
        <v>14999.996</v>
      </c>
      <c r="Z684" s="159">
        <v>2886.49110882384</v>
      </c>
      <c r="AA684" s="159">
        <v>378.04</v>
      </c>
      <c r="AB684" s="159">
        <v>749.9998</v>
      </c>
      <c r="AC684" s="214">
        <v>19014.52690882384</v>
      </c>
      <c r="AD684" s="159">
        <v>3042.324305411814</v>
      </c>
      <c r="AE684" s="159">
        <v>22056.85121423566</v>
      </c>
      <c r="AF684" s="159">
        <v>19014.52690882384</v>
      </c>
    </row>
    <row r="685">
      <c r="A685" s="153" t="s">
        <v>209</v>
      </c>
      <c r="B685" s="153"/>
      <c r="D685" s="153" t="str">
        <f t="shared" si="1"/>
        <v>SI</v>
      </c>
      <c r="F685" s="30" t="s">
        <v>300</v>
      </c>
      <c r="G685" s="30" t="s">
        <v>1682</v>
      </c>
      <c r="H685" s="30" t="s">
        <v>1698</v>
      </c>
      <c r="I685" s="30" t="s">
        <v>1620</v>
      </c>
      <c r="J685" s="30" t="s">
        <v>1725</v>
      </c>
      <c r="K685" s="159">
        <v>4725.598000000001</v>
      </c>
      <c r="L685" s="159">
        <v>4725.598000000001</v>
      </c>
      <c r="M685" s="159">
        <v>1461.93801604352</v>
      </c>
      <c r="N685" s="159">
        <v>1416.25245304216</v>
      </c>
      <c r="O685" s="159">
        <v>189.02</v>
      </c>
      <c r="P685" s="159">
        <v>189.02</v>
      </c>
      <c r="Q685" s="159">
        <v>236.2799000000001</v>
      </c>
      <c r="R685" s="159">
        <v>236.2799000000001</v>
      </c>
      <c r="S685" s="159">
        <v>6612.835916043521</v>
      </c>
      <c r="T685" s="159">
        <v>6567.150353042161</v>
      </c>
      <c r="U685" s="159">
        <v>1058.053746566963</v>
      </c>
      <c r="V685" s="159">
        <v>1050.744056486746</v>
      </c>
      <c r="W685" s="159">
        <v>7670.889662610484</v>
      </c>
      <c r="X685" s="159">
        <v>7617.894409528907</v>
      </c>
      <c r="Y685" s="159">
        <v>9451.196000000002</v>
      </c>
      <c r="Z685" s="159">
        <v>2878.19046908568</v>
      </c>
      <c r="AA685" s="159">
        <v>378.04</v>
      </c>
      <c r="AB685" s="159">
        <v>472.5598000000001</v>
      </c>
      <c r="AC685" s="214">
        <v>13179.98626908568</v>
      </c>
      <c r="AD685" s="159">
        <v>2108.797803053709</v>
      </c>
      <c r="AE685" s="159">
        <v>15288.78407213939</v>
      </c>
      <c r="AF685" s="159">
        <v>13179.98626908568</v>
      </c>
    </row>
    <row r="686">
      <c r="A686" s="153" t="s">
        <v>330</v>
      </c>
      <c r="B686" s="153"/>
      <c r="D686" s="153" t="str">
        <f t="shared" si="1"/>
        <v>SI</v>
      </c>
      <c r="F686" s="30" t="s">
        <v>302</v>
      </c>
      <c r="G686" s="30" t="s">
        <v>1703</v>
      </c>
      <c r="H686" s="30" t="s">
        <v>1679</v>
      </c>
      <c r="I686" s="30" t="s">
        <v>1620</v>
      </c>
      <c r="J686" s="30" t="s">
        <v>1712</v>
      </c>
      <c r="K686" s="159">
        <v>6499.998000000001</v>
      </c>
      <c r="L686" s="159">
        <v>6499.998000000001</v>
      </c>
      <c r="M686" s="159">
        <v>1482.706896029158</v>
      </c>
      <c r="N686" s="159">
        <v>1436.372305528247</v>
      </c>
      <c r="O686" s="159">
        <v>189.02</v>
      </c>
      <c r="P686" s="159">
        <v>189.02</v>
      </c>
      <c r="Q686" s="159">
        <v>324.9999</v>
      </c>
      <c r="R686" s="159">
        <v>324.9999</v>
      </c>
      <c r="S686" s="159">
        <v>8496.724796029159</v>
      </c>
      <c r="T686" s="159">
        <v>8450.390205528247</v>
      </c>
      <c r="U686" s="159">
        <v>1359.475967364665</v>
      </c>
      <c r="V686" s="159">
        <v>1352.062432884519</v>
      </c>
      <c r="W686" s="159">
        <v>9856.200763393825</v>
      </c>
      <c r="X686" s="159">
        <v>9802.452638412766</v>
      </c>
      <c r="Y686" s="159">
        <v>12999.996</v>
      </c>
      <c r="Z686" s="159">
        <v>2919.079201557405</v>
      </c>
      <c r="AA686" s="159">
        <v>378.04</v>
      </c>
      <c r="AB686" s="159">
        <v>649.9998</v>
      </c>
      <c r="AC686" s="214">
        <v>16947.11500155741</v>
      </c>
      <c r="AD686" s="159">
        <v>2711.538400249185</v>
      </c>
      <c r="AE686" s="159">
        <v>19658.65340180659</v>
      </c>
      <c r="AF686" s="159">
        <v>16947.11500155741</v>
      </c>
    </row>
    <row r="687">
      <c r="A687" s="153" t="s">
        <v>50</v>
      </c>
      <c r="B687" s="153"/>
      <c r="D687" s="153" t="str">
        <f t="shared" si="1"/>
        <v>SI</v>
      </c>
      <c r="F687" s="30" t="s">
        <v>304</v>
      </c>
      <c r="G687" s="30" t="s">
        <v>1678</v>
      </c>
      <c r="H687" s="30" t="s">
        <v>1679</v>
      </c>
      <c r="I687" s="30"/>
      <c r="J687" s="30" t="s">
        <v>1712</v>
      </c>
      <c r="K687" s="159">
        <v>4799.998000000001</v>
      </c>
      <c r="L687" s="159">
        <v>6362.998000000001</v>
      </c>
      <c r="M687" s="159">
        <v>1482.706896029158</v>
      </c>
      <c r="N687" s="159">
        <v>1436.372305528247</v>
      </c>
      <c r="O687" s="159">
        <v>189.02</v>
      </c>
      <c r="P687" s="159">
        <v>189.02</v>
      </c>
      <c r="Q687" s="159">
        <v>239.9999</v>
      </c>
      <c r="R687" s="159">
        <v>318.1499000000001</v>
      </c>
      <c r="S687" s="159">
        <v>6711.724796029159</v>
      </c>
      <c r="T687" s="159">
        <v>8306.540205528248</v>
      </c>
      <c r="U687" s="159">
        <v>1073.875967364665</v>
      </c>
      <c r="V687" s="159">
        <v>1329.04643288452</v>
      </c>
      <c r="W687" s="159">
        <v>7785.600763393824</v>
      </c>
      <c r="X687" s="159">
        <v>9635.586638412768</v>
      </c>
      <c r="Y687" s="159">
        <v>11162.996</v>
      </c>
      <c r="Z687" s="159">
        <v>2919.079201557405</v>
      </c>
      <c r="AA687" s="159">
        <v>378.04</v>
      </c>
      <c r="AB687" s="159">
        <v>558.1498000000001</v>
      </c>
      <c r="AC687" s="214">
        <v>15018.26500155741</v>
      </c>
      <c r="AD687" s="159">
        <v>2402.922400249186</v>
      </c>
      <c r="AE687" s="159">
        <v>17421.18740180659</v>
      </c>
      <c r="AF687" s="159">
        <v>15018.26500155741</v>
      </c>
    </row>
    <row r="688">
      <c r="A688" s="153" t="s">
        <v>33</v>
      </c>
      <c r="B688" s="153"/>
      <c r="D688" s="153" t="str">
        <f t="shared" si="1"/>
        <v>SI</v>
      </c>
      <c r="F688" s="30" t="s">
        <v>306</v>
      </c>
      <c r="G688" s="30" t="s">
        <v>1682</v>
      </c>
      <c r="H688" s="30" t="s">
        <v>1698</v>
      </c>
      <c r="I688" s="30" t="s">
        <v>1691</v>
      </c>
      <c r="J688" s="30" t="s">
        <v>1688</v>
      </c>
      <c r="K688" s="159">
        <v>5999.998000000001</v>
      </c>
      <c r="L688" s="159">
        <v>5999.998000000001</v>
      </c>
      <c r="M688" s="159">
        <v>1463.37769339648</v>
      </c>
      <c r="N688" s="159">
        <v>1417.64714047784</v>
      </c>
      <c r="O688" s="159">
        <v>189.02</v>
      </c>
      <c r="P688" s="159">
        <v>189.02</v>
      </c>
      <c r="Q688" s="159">
        <v>299.9999</v>
      </c>
      <c r="R688" s="159">
        <v>299.9999</v>
      </c>
      <c r="S688" s="159">
        <v>7952.395593396481</v>
      </c>
      <c r="T688" s="159">
        <v>7906.665040477841</v>
      </c>
      <c r="U688" s="159">
        <v>1272.383294943437</v>
      </c>
      <c r="V688" s="159">
        <v>1265.066406476455</v>
      </c>
      <c r="W688" s="159">
        <v>9224.778888339917</v>
      </c>
      <c r="X688" s="159">
        <v>9171.731446954296</v>
      </c>
      <c r="Y688" s="159">
        <v>11999.996</v>
      </c>
      <c r="Z688" s="159">
        <v>2881.02483387432</v>
      </c>
      <c r="AA688" s="159">
        <v>378.04</v>
      </c>
      <c r="AB688" s="159">
        <v>599.9998</v>
      </c>
      <c r="AC688" s="214">
        <v>15859.06063387432</v>
      </c>
      <c r="AD688" s="159">
        <v>2537.449701419891</v>
      </c>
      <c r="AE688" s="159">
        <v>18396.51033529421</v>
      </c>
      <c r="AF688" s="159">
        <v>15859.06063387432</v>
      </c>
    </row>
    <row r="689">
      <c r="A689" s="153" t="s">
        <v>283</v>
      </c>
      <c r="B689" s="153"/>
      <c r="D689" s="153" t="str">
        <f t="shared" si="1"/>
        <v>SI</v>
      </c>
      <c r="F689" s="30" t="s">
        <v>310</v>
      </c>
      <c r="G689" s="30" t="s">
        <v>1757</v>
      </c>
      <c r="H689" s="30" t="s">
        <v>1679</v>
      </c>
      <c r="I689" s="30" t="s">
        <v>1620</v>
      </c>
      <c r="J689" s="30" t="s">
        <v>1694</v>
      </c>
      <c r="K689" s="159">
        <v>2274.4</v>
      </c>
      <c r="L689" s="159">
        <v>2274.4</v>
      </c>
      <c r="M689" s="159">
        <v>0.0</v>
      </c>
      <c r="N689" s="159">
        <v>0.0</v>
      </c>
      <c r="O689" s="159">
        <v>0.0</v>
      </c>
      <c r="P689" s="159">
        <v>0.0</v>
      </c>
      <c r="Q689" s="159">
        <v>113.72</v>
      </c>
      <c r="R689" s="159">
        <v>113.72</v>
      </c>
      <c r="S689" s="159">
        <v>2388.12</v>
      </c>
      <c r="T689" s="159">
        <v>2388.12</v>
      </c>
      <c r="U689" s="159">
        <v>382.0992</v>
      </c>
      <c r="V689" s="159">
        <v>382.0992</v>
      </c>
      <c r="W689" s="159">
        <v>2770.2192</v>
      </c>
      <c r="X689" s="159">
        <v>2770.2192</v>
      </c>
      <c r="Y689" s="159">
        <v>4548.8</v>
      </c>
      <c r="Z689" s="159">
        <v>0.0</v>
      </c>
      <c r="AA689" s="159">
        <v>0.0</v>
      </c>
      <c r="AB689" s="159">
        <v>227.44</v>
      </c>
      <c r="AC689" s="214">
        <v>4776.24</v>
      </c>
      <c r="AD689" s="159">
        <v>764.1984</v>
      </c>
      <c r="AE689" s="159">
        <v>5540.4384</v>
      </c>
      <c r="AF689" s="159">
        <v>4776.24</v>
      </c>
    </row>
    <row r="690">
      <c r="A690" s="153" t="s">
        <v>291</v>
      </c>
      <c r="B690" s="153"/>
      <c r="D690" s="153" t="str">
        <f t="shared" si="1"/>
        <v>SI</v>
      </c>
      <c r="F690" s="30" t="s">
        <v>312</v>
      </c>
      <c r="G690" s="30" t="s">
        <v>1682</v>
      </c>
      <c r="H690" s="30" t="s">
        <v>1683</v>
      </c>
      <c r="I690" s="30" t="s">
        <v>1705</v>
      </c>
      <c r="J690" s="30" t="s">
        <v>1758</v>
      </c>
      <c r="K690" s="159">
        <v>8499.998</v>
      </c>
      <c r="L690" s="159">
        <v>8499.998</v>
      </c>
      <c r="M690" s="159">
        <v>1461.93801604352</v>
      </c>
      <c r="N690" s="159">
        <v>1416.25245304216</v>
      </c>
      <c r="O690" s="159">
        <v>189.02</v>
      </c>
      <c r="P690" s="159">
        <v>189.02</v>
      </c>
      <c r="Q690" s="159">
        <v>424.9999</v>
      </c>
      <c r="R690" s="159">
        <v>424.9999</v>
      </c>
      <c r="S690" s="159">
        <v>10575.95591604352</v>
      </c>
      <c r="T690" s="159">
        <v>10530.27035304216</v>
      </c>
      <c r="U690" s="159">
        <v>1692.152946566963</v>
      </c>
      <c r="V690" s="159">
        <v>1684.843256486746</v>
      </c>
      <c r="W690" s="159">
        <v>12268.10886261048</v>
      </c>
      <c r="X690" s="159">
        <v>12215.11360952891</v>
      </c>
      <c r="Y690" s="159">
        <v>16999.996</v>
      </c>
      <c r="Z690" s="159">
        <v>2878.19046908568</v>
      </c>
      <c r="AA690" s="159">
        <v>378.04</v>
      </c>
      <c r="AB690" s="159">
        <v>849.9998</v>
      </c>
      <c r="AC690" s="214">
        <v>21106.22626908568</v>
      </c>
      <c r="AD690" s="159">
        <v>3376.996203053709</v>
      </c>
      <c r="AE690" s="159">
        <v>24483.22247213939</v>
      </c>
      <c r="AF690" s="159">
        <v>21106.22626908568</v>
      </c>
    </row>
    <row r="691">
      <c r="A691" s="153" t="s">
        <v>73</v>
      </c>
      <c r="B691" s="153"/>
      <c r="D691" s="153" t="str">
        <f t="shared" si="1"/>
        <v>SI</v>
      </c>
      <c r="F691" s="30" t="s">
        <v>1759</v>
      </c>
      <c r="G691" s="30" t="s">
        <v>1682</v>
      </c>
      <c r="H691" s="30" t="s">
        <v>1706</v>
      </c>
      <c r="I691" s="30"/>
      <c r="J691" s="30" t="s">
        <v>1760</v>
      </c>
      <c r="K691" s="159">
        <v>1699.9976</v>
      </c>
      <c r="L691" s="159">
        <v>8499.998</v>
      </c>
      <c r="M691" s="159">
        <v>445.9951860164799</v>
      </c>
      <c r="N691" s="159">
        <v>1728.23134581386</v>
      </c>
      <c r="O691" s="159">
        <v>37.8</v>
      </c>
      <c r="P691" s="159">
        <v>189.02</v>
      </c>
      <c r="Q691" s="159">
        <v>84.99988</v>
      </c>
      <c r="R691" s="159">
        <v>424.9999</v>
      </c>
      <c r="S691" s="159">
        <v>2268.79266601648</v>
      </c>
      <c r="T691" s="159">
        <v>10842.24924581386</v>
      </c>
      <c r="U691" s="159">
        <v>363.0068265626368</v>
      </c>
      <c r="V691" s="159">
        <v>1734.759879330218</v>
      </c>
      <c r="W691" s="159">
        <v>2631.799492579117</v>
      </c>
      <c r="X691" s="159">
        <v>12577.00912514408</v>
      </c>
      <c r="Y691" s="159">
        <v>10199.9956</v>
      </c>
      <c r="Z691" s="159">
        <v>2174.22653183034</v>
      </c>
      <c r="AA691" s="159">
        <v>226.82</v>
      </c>
      <c r="AB691" s="159">
        <v>509.99978</v>
      </c>
      <c r="AC691" s="214">
        <v>13111.04191183034</v>
      </c>
      <c r="AD691" s="159">
        <v>2097.766705892855</v>
      </c>
      <c r="AE691" s="159">
        <v>15208.8086177232</v>
      </c>
      <c r="AF691" s="159">
        <v>13111.04191183034</v>
      </c>
    </row>
    <row r="692">
      <c r="A692" s="153" t="s">
        <v>82</v>
      </c>
      <c r="B692" s="153"/>
      <c r="D692" s="153" t="str">
        <f t="shared" si="1"/>
        <v>SI</v>
      </c>
      <c r="F692" s="30" t="s">
        <v>314</v>
      </c>
      <c r="G692" s="30" t="s">
        <v>1682</v>
      </c>
      <c r="H692" s="30" t="s">
        <v>1683</v>
      </c>
      <c r="I692" s="30" t="s">
        <v>1732</v>
      </c>
      <c r="J692" s="30" t="s">
        <v>1751</v>
      </c>
      <c r="K692" s="159">
        <v>6249.998000000001</v>
      </c>
      <c r="L692" s="159">
        <v>6249.998000000001</v>
      </c>
      <c r="M692" s="159">
        <v>1463.37769339648</v>
      </c>
      <c r="N692" s="159">
        <v>1417.64714047784</v>
      </c>
      <c r="O692" s="159">
        <v>189.02</v>
      </c>
      <c r="P692" s="159">
        <v>189.02</v>
      </c>
      <c r="Q692" s="159">
        <v>312.4999</v>
      </c>
      <c r="R692" s="159">
        <v>312.4999</v>
      </c>
      <c r="S692" s="159">
        <v>8214.89559339648</v>
      </c>
      <c r="T692" s="159">
        <v>8169.165040477841</v>
      </c>
      <c r="U692" s="159">
        <v>1314.383294943437</v>
      </c>
      <c r="V692" s="159">
        <v>1307.066406476455</v>
      </c>
      <c r="W692" s="159">
        <v>9529.278888339917</v>
      </c>
      <c r="X692" s="159">
        <v>9476.231446954296</v>
      </c>
      <c r="Y692" s="159">
        <v>12499.996</v>
      </c>
      <c r="Z692" s="159">
        <v>2881.02483387432</v>
      </c>
      <c r="AA692" s="159">
        <v>378.04</v>
      </c>
      <c r="AB692" s="159">
        <v>624.9998</v>
      </c>
      <c r="AC692" s="214">
        <v>16384.06063387432</v>
      </c>
      <c r="AD692" s="159">
        <v>2621.449701419891</v>
      </c>
      <c r="AE692" s="159">
        <v>19005.51033529421</v>
      </c>
      <c r="AF692" s="159">
        <v>16384.06063387432</v>
      </c>
    </row>
    <row r="693">
      <c r="A693" s="153" t="s">
        <v>266</v>
      </c>
      <c r="B693" s="153"/>
      <c r="D693" s="153" t="str">
        <f t="shared" si="1"/>
        <v>SI</v>
      </c>
      <c r="F693" s="30" t="s">
        <v>316</v>
      </c>
      <c r="G693" s="30" t="s">
        <v>1682</v>
      </c>
      <c r="H693" s="30" t="s">
        <v>1706</v>
      </c>
      <c r="I693" s="30" t="s">
        <v>1620</v>
      </c>
      <c r="J693" s="30" t="s">
        <v>1761</v>
      </c>
      <c r="K693" s="159">
        <v>5999.998000000001</v>
      </c>
      <c r="L693" s="159">
        <v>5999.998000000001</v>
      </c>
      <c r="M693" s="159">
        <v>1783.98074406592</v>
      </c>
      <c r="N693" s="159">
        <v>1728.23134581386</v>
      </c>
      <c r="O693" s="159">
        <v>189.02</v>
      </c>
      <c r="P693" s="159">
        <v>189.02</v>
      </c>
      <c r="Q693" s="159">
        <v>299.9999</v>
      </c>
      <c r="R693" s="159">
        <v>299.9999</v>
      </c>
      <c r="S693" s="159">
        <v>8272.99864406592</v>
      </c>
      <c r="T693" s="159">
        <v>8217.24924581386</v>
      </c>
      <c r="U693" s="159">
        <v>1323.679783050547</v>
      </c>
      <c r="V693" s="159">
        <v>1314.759879330218</v>
      </c>
      <c r="W693" s="159">
        <v>9596.678427116467</v>
      </c>
      <c r="X693" s="159">
        <v>9532.009125144079</v>
      </c>
      <c r="Y693" s="159">
        <v>11999.996</v>
      </c>
      <c r="Z693" s="159">
        <v>3512.212089879779</v>
      </c>
      <c r="AA693" s="159">
        <v>378.04</v>
      </c>
      <c r="AB693" s="159">
        <v>599.9998</v>
      </c>
      <c r="AC693" s="214">
        <v>16490.24788987978</v>
      </c>
      <c r="AD693" s="159">
        <v>2638.439662380765</v>
      </c>
      <c r="AE693" s="159">
        <v>19128.68755226055</v>
      </c>
      <c r="AF693" s="159">
        <v>16490.24788987978</v>
      </c>
    </row>
    <row r="694">
      <c r="A694" s="153" t="s">
        <v>116</v>
      </c>
      <c r="B694" s="153"/>
      <c r="D694" s="153" t="str">
        <f t="shared" si="1"/>
        <v>SI</v>
      </c>
      <c r="F694" s="30" t="s">
        <v>318</v>
      </c>
      <c r="G694" s="30" t="s">
        <v>1682</v>
      </c>
      <c r="H694" s="30" t="s">
        <v>1683</v>
      </c>
      <c r="I694" s="30"/>
      <c r="J694" s="30" t="s">
        <v>1732</v>
      </c>
      <c r="K694" s="159">
        <v>29999.998</v>
      </c>
      <c r="L694" s="159">
        <v>29999.998</v>
      </c>
      <c r="M694" s="159">
        <v>1463.37769339648</v>
      </c>
      <c r="N694" s="159">
        <v>1417.64714047784</v>
      </c>
      <c r="O694" s="159">
        <v>189.02</v>
      </c>
      <c r="P694" s="159">
        <v>189.02</v>
      </c>
      <c r="Q694" s="159">
        <v>1499.9999</v>
      </c>
      <c r="R694" s="159">
        <v>1499.9999</v>
      </c>
      <c r="S694" s="159">
        <v>33152.39559339648</v>
      </c>
      <c r="T694" s="159">
        <v>33106.66504047783</v>
      </c>
      <c r="U694" s="159">
        <v>5304.383294943436</v>
      </c>
      <c r="V694" s="159">
        <v>5297.066406476453</v>
      </c>
      <c r="W694" s="159">
        <v>38456.77888833991</v>
      </c>
      <c r="X694" s="159">
        <v>38403.73144695429</v>
      </c>
      <c r="Y694" s="159">
        <v>59999.996</v>
      </c>
      <c r="Z694" s="159">
        <v>2881.02483387432</v>
      </c>
      <c r="AA694" s="159">
        <v>378.04</v>
      </c>
      <c r="AB694" s="159">
        <v>2999.9998</v>
      </c>
      <c r="AC694" s="214">
        <v>66259.06063387431</v>
      </c>
      <c r="AD694" s="159">
        <v>10601.44970141989</v>
      </c>
      <c r="AE694" s="159">
        <v>76860.51033529421</v>
      </c>
      <c r="AF694" s="159">
        <v>66259.06063387431</v>
      </c>
    </row>
    <row r="695">
      <c r="A695" s="153" t="s">
        <v>348</v>
      </c>
      <c r="B695" s="153"/>
      <c r="D695" s="153" t="str">
        <f t="shared" si="1"/>
        <v>SI</v>
      </c>
      <c r="F695" s="30" t="s">
        <v>321</v>
      </c>
      <c r="G695" s="30" t="s">
        <v>1678</v>
      </c>
      <c r="H695" s="30" t="s">
        <v>1679</v>
      </c>
      <c r="I695" s="30"/>
      <c r="J695" s="30" t="s">
        <v>1712</v>
      </c>
      <c r="K695" s="159">
        <v>6499.998000000001</v>
      </c>
      <c r="L695" s="159">
        <v>6499.998000000001</v>
      </c>
      <c r="M695" s="159">
        <v>1482.706896029158</v>
      </c>
      <c r="N695" s="159">
        <v>1436.372305528247</v>
      </c>
      <c r="O695" s="159">
        <v>189.02</v>
      </c>
      <c r="P695" s="159">
        <v>189.02</v>
      </c>
      <c r="Q695" s="159">
        <v>324.9999</v>
      </c>
      <c r="R695" s="159">
        <v>324.9999</v>
      </c>
      <c r="S695" s="159">
        <v>8496.724796029159</v>
      </c>
      <c r="T695" s="159">
        <v>8450.390205528247</v>
      </c>
      <c r="U695" s="159">
        <v>1359.475967364665</v>
      </c>
      <c r="V695" s="159">
        <v>1352.062432884519</v>
      </c>
      <c r="W695" s="159">
        <v>9856.200763393825</v>
      </c>
      <c r="X695" s="159">
        <v>9802.452638412766</v>
      </c>
      <c r="Y695" s="159">
        <v>12999.996</v>
      </c>
      <c r="Z695" s="159">
        <v>2919.079201557405</v>
      </c>
      <c r="AA695" s="159">
        <v>378.04</v>
      </c>
      <c r="AB695" s="159">
        <v>649.9998</v>
      </c>
      <c r="AC695" s="214">
        <v>16947.11500155741</v>
      </c>
      <c r="AD695" s="159">
        <v>2711.538400249185</v>
      </c>
      <c r="AE695" s="159">
        <v>19658.65340180659</v>
      </c>
      <c r="AF695" s="159">
        <v>16947.11500155741</v>
      </c>
    </row>
    <row r="696">
      <c r="A696" s="153" t="s">
        <v>207</v>
      </c>
      <c r="B696" s="153"/>
      <c r="D696" s="153" t="str">
        <f t="shared" si="1"/>
        <v>SI</v>
      </c>
      <c r="F696" s="30" t="s">
        <v>1762</v>
      </c>
      <c r="G696" s="30" t="s">
        <v>1678</v>
      </c>
      <c r="H696" s="30" t="s">
        <v>1679</v>
      </c>
      <c r="I696" s="30"/>
      <c r="J696" s="30" t="s">
        <v>1712</v>
      </c>
      <c r="K696" s="30"/>
      <c r="L696" s="159">
        <v>3274.4</v>
      </c>
      <c r="M696" s="30"/>
      <c r="N696" s="159">
        <v>0.0</v>
      </c>
      <c r="O696" s="30"/>
      <c r="P696" s="159">
        <v>0.0</v>
      </c>
      <c r="Q696" s="30"/>
      <c r="R696" s="159">
        <v>163.72</v>
      </c>
      <c r="S696" s="30"/>
      <c r="T696" s="159">
        <v>3438.12</v>
      </c>
      <c r="U696" s="30"/>
      <c r="V696" s="159">
        <v>550.0992</v>
      </c>
      <c r="W696" s="30"/>
      <c r="X696" s="159">
        <v>3988.2192</v>
      </c>
      <c r="Y696" s="159">
        <v>3274.4</v>
      </c>
      <c r="Z696" s="159">
        <v>0.0</v>
      </c>
      <c r="AA696" s="159">
        <v>0.0</v>
      </c>
      <c r="AB696" s="159">
        <v>163.72</v>
      </c>
      <c r="AC696" s="214">
        <v>3438.12</v>
      </c>
      <c r="AD696" s="159">
        <v>550.0992</v>
      </c>
      <c r="AE696" s="159">
        <v>3988.2192</v>
      </c>
      <c r="AF696" s="159">
        <v>3438.12</v>
      </c>
    </row>
    <row r="697">
      <c r="A697" s="153" t="s">
        <v>268</v>
      </c>
      <c r="B697" s="153"/>
      <c r="D697" s="153" t="str">
        <f t="shared" si="1"/>
        <v>SI</v>
      </c>
      <c r="F697" s="30" t="s">
        <v>323</v>
      </c>
      <c r="G697" s="30" t="s">
        <v>1678</v>
      </c>
      <c r="H697" s="30" t="s">
        <v>1679</v>
      </c>
      <c r="I697" s="30" t="s">
        <v>1693</v>
      </c>
      <c r="J697" s="30" t="s">
        <v>1694</v>
      </c>
      <c r="K697" s="159">
        <v>6999.998000000001</v>
      </c>
      <c r="L697" s="159">
        <v>6999.998000000001</v>
      </c>
      <c r="M697" s="159">
        <v>1489.939020956826</v>
      </c>
      <c r="N697" s="159">
        <v>1443.378426551925</v>
      </c>
      <c r="O697" s="159">
        <v>189.02</v>
      </c>
      <c r="P697" s="159">
        <v>189.02</v>
      </c>
      <c r="Q697" s="159">
        <v>349.9999</v>
      </c>
      <c r="R697" s="159">
        <v>349.9999</v>
      </c>
      <c r="S697" s="159">
        <v>9028.956920956825</v>
      </c>
      <c r="T697" s="159">
        <v>8982.396326551925</v>
      </c>
      <c r="U697" s="159">
        <v>1444.633107353092</v>
      </c>
      <c r="V697" s="159">
        <v>1437.183412248308</v>
      </c>
      <c r="W697" s="159">
        <v>10473.59002830992</v>
      </c>
      <c r="X697" s="159">
        <v>10419.57973880023</v>
      </c>
      <c r="Y697" s="159">
        <v>13999.996</v>
      </c>
      <c r="Z697" s="159">
        <v>2933.317447508751</v>
      </c>
      <c r="AA697" s="159">
        <v>378.04</v>
      </c>
      <c r="AB697" s="159">
        <v>699.9998</v>
      </c>
      <c r="AC697" s="214">
        <v>18011.35324750875</v>
      </c>
      <c r="AD697" s="159">
        <v>2881.8165196014</v>
      </c>
      <c r="AE697" s="159">
        <v>20893.16976711015</v>
      </c>
      <c r="AF697" s="159">
        <v>18011.35324750875</v>
      </c>
    </row>
    <row r="698">
      <c r="A698" s="153" t="s">
        <v>203</v>
      </c>
      <c r="B698" s="153"/>
      <c r="D698" s="153" t="str">
        <f t="shared" si="1"/>
        <v>SI</v>
      </c>
      <c r="F698" s="30" t="s">
        <v>325</v>
      </c>
      <c r="G698" s="30" t="s">
        <v>1682</v>
      </c>
      <c r="H698" s="30" t="s">
        <v>1704</v>
      </c>
      <c r="I698" s="30"/>
      <c r="J698" s="30" t="s">
        <v>1763</v>
      </c>
      <c r="K698" s="159">
        <v>3033.33</v>
      </c>
      <c r="L698" s="159">
        <v>3500.0</v>
      </c>
      <c r="M698" s="159">
        <v>0.0</v>
      </c>
      <c r="N698" s="159">
        <v>0.0</v>
      </c>
      <c r="O698" s="159">
        <v>0.0</v>
      </c>
      <c r="P698" s="159">
        <v>0.0</v>
      </c>
      <c r="Q698" s="159">
        <v>151.6665</v>
      </c>
      <c r="R698" s="159">
        <v>175.0</v>
      </c>
      <c r="S698" s="159">
        <v>3184.9965</v>
      </c>
      <c r="T698" s="159">
        <v>3675.0</v>
      </c>
      <c r="U698" s="159">
        <v>509.59944</v>
      </c>
      <c r="V698" s="159">
        <v>588.0</v>
      </c>
      <c r="W698" s="159">
        <v>3694.59594</v>
      </c>
      <c r="X698" s="159">
        <v>4263.0</v>
      </c>
      <c r="Y698" s="159">
        <v>6533.33</v>
      </c>
      <c r="Z698" s="159">
        <v>0.0</v>
      </c>
      <c r="AA698" s="159">
        <v>0.0</v>
      </c>
      <c r="AB698" s="159">
        <v>326.6665</v>
      </c>
      <c r="AC698" s="214">
        <v>6859.996499999999</v>
      </c>
      <c r="AD698" s="159">
        <v>1097.59944</v>
      </c>
      <c r="AE698" s="159">
        <v>7957.595939999999</v>
      </c>
      <c r="AF698" s="159">
        <v>6859.996499999999</v>
      </c>
    </row>
    <row r="699">
      <c r="A699" s="153" t="s">
        <v>201</v>
      </c>
      <c r="B699" s="153"/>
      <c r="D699" s="153" t="str">
        <f t="shared" si="1"/>
        <v>SI</v>
      </c>
      <c r="F699" s="30" t="s">
        <v>1764</v>
      </c>
      <c r="G699" s="30" t="s">
        <v>1678</v>
      </c>
      <c r="H699" s="30" t="s">
        <v>1683</v>
      </c>
      <c r="I699" s="30"/>
      <c r="J699" s="30" t="s">
        <v>1765</v>
      </c>
      <c r="K699" s="159">
        <v>5999.997600000001</v>
      </c>
      <c r="L699" s="159">
        <v>30000.0</v>
      </c>
      <c r="M699" s="159">
        <v>365.48450401088</v>
      </c>
      <c r="N699" s="159">
        <v>1416.25245304216</v>
      </c>
      <c r="O699" s="159">
        <v>37.8</v>
      </c>
      <c r="P699" s="159">
        <v>189.02</v>
      </c>
      <c r="Q699" s="159">
        <v>299.99988</v>
      </c>
      <c r="R699" s="159">
        <v>1500.0</v>
      </c>
      <c r="S699" s="159">
        <v>6703.281984010881</v>
      </c>
      <c r="T699" s="159">
        <v>33105.27245304215</v>
      </c>
      <c r="U699" s="159">
        <v>1072.525117441741</v>
      </c>
      <c r="V699" s="159">
        <v>5296.843592486744</v>
      </c>
      <c r="W699" s="159">
        <v>7775.807101452622</v>
      </c>
      <c r="X699" s="159">
        <v>38402.1160455289</v>
      </c>
      <c r="Y699" s="159">
        <v>35999.9976</v>
      </c>
      <c r="Z699" s="159">
        <v>1781.73695705304</v>
      </c>
      <c r="AA699" s="159">
        <v>226.82</v>
      </c>
      <c r="AB699" s="159">
        <v>1799.99988</v>
      </c>
      <c r="AC699" s="214">
        <v>39808.55443705303</v>
      </c>
      <c r="AD699" s="159">
        <v>6369.368709928485</v>
      </c>
      <c r="AE699" s="159">
        <v>46177.92314698152</v>
      </c>
      <c r="AF699" s="159">
        <v>39808.55443705303</v>
      </c>
    </row>
    <row r="700">
      <c r="A700" s="153" t="s">
        <v>217</v>
      </c>
      <c r="B700" s="153"/>
      <c r="D700" s="153" t="str">
        <f t="shared" si="1"/>
        <v>SI</v>
      </c>
      <c r="F700" s="30" t="s">
        <v>1766</v>
      </c>
      <c r="G700" s="30" t="s">
        <v>1678</v>
      </c>
      <c r="H700" s="30" t="s">
        <v>1679</v>
      </c>
      <c r="I700" s="30"/>
      <c r="J700" s="30" t="s">
        <v>1712</v>
      </c>
      <c r="K700" s="159">
        <v>2274.4</v>
      </c>
      <c r="L700" s="159">
        <v>2274.4</v>
      </c>
      <c r="M700" s="159">
        <v>0.0</v>
      </c>
      <c r="N700" s="159">
        <v>0.0</v>
      </c>
      <c r="O700" s="159">
        <v>0.0</v>
      </c>
      <c r="P700" s="159">
        <v>0.0</v>
      </c>
      <c r="Q700" s="159">
        <v>113.72</v>
      </c>
      <c r="R700" s="159">
        <v>113.72</v>
      </c>
      <c r="S700" s="159">
        <v>2388.12</v>
      </c>
      <c r="T700" s="159">
        <v>2388.12</v>
      </c>
      <c r="U700" s="159">
        <v>382.0992</v>
      </c>
      <c r="V700" s="159">
        <v>382.0992</v>
      </c>
      <c r="W700" s="159">
        <v>2770.2192</v>
      </c>
      <c r="X700" s="159">
        <v>2770.2192</v>
      </c>
      <c r="Y700" s="159">
        <v>4548.8</v>
      </c>
      <c r="Z700" s="159">
        <v>0.0</v>
      </c>
      <c r="AA700" s="159">
        <v>0.0</v>
      </c>
      <c r="AB700" s="159">
        <v>227.44</v>
      </c>
      <c r="AC700" s="214">
        <v>4776.24</v>
      </c>
      <c r="AD700" s="159">
        <v>764.1984</v>
      </c>
      <c r="AE700" s="159">
        <v>5540.4384</v>
      </c>
      <c r="AF700" s="159">
        <v>4776.24</v>
      </c>
    </row>
    <row r="701">
      <c r="A701" s="153" t="s">
        <v>45</v>
      </c>
      <c r="B701" s="153"/>
      <c r="D701" s="153" t="str">
        <f t="shared" si="1"/>
        <v>SI</v>
      </c>
      <c r="F701" s="30" t="s">
        <v>329</v>
      </c>
      <c r="G701" s="30" t="s">
        <v>1678</v>
      </c>
      <c r="H701" s="30" t="s">
        <v>1679</v>
      </c>
      <c r="I701" s="30"/>
      <c r="J701" s="30" t="s">
        <v>1743</v>
      </c>
      <c r="K701" s="159">
        <v>4274.4</v>
      </c>
      <c r="L701" s="159">
        <v>4274.4</v>
      </c>
      <c r="M701" s="159">
        <v>0.0</v>
      </c>
      <c r="N701" s="159">
        <v>0.0</v>
      </c>
      <c r="O701" s="159">
        <v>0.0</v>
      </c>
      <c r="P701" s="159">
        <v>0.0</v>
      </c>
      <c r="Q701" s="159">
        <v>213.72</v>
      </c>
      <c r="R701" s="159">
        <v>213.72</v>
      </c>
      <c r="S701" s="159">
        <v>4488.12</v>
      </c>
      <c r="T701" s="159">
        <v>4488.12</v>
      </c>
      <c r="U701" s="159">
        <v>718.0992</v>
      </c>
      <c r="V701" s="159">
        <v>718.0992</v>
      </c>
      <c r="W701" s="159">
        <v>5206.2192</v>
      </c>
      <c r="X701" s="159">
        <v>5206.2192</v>
      </c>
      <c r="Y701" s="159">
        <v>8548.8</v>
      </c>
      <c r="Z701" s="159">
        <v>0.0</v>
      </c>
      <c r="AA701" s="159">
        <v>0.0</v>
      </c>
      <c r="AB701" s="159">
        <v>427.44</v>
      </c>
      <c r="AC701" s="214">
        <v>8976.24</v>
      </c>
      <c r="AD701" s="159">
        <v>1436.1984</v>
      </c>
      <c r="AE701" s="159">
        <v>10412.4384</v>
      </c>
      <c r="AF701" s="159">
        <v>8976.24</v>
      </c>
    </row>
    <row r="702">
      <c r="A702" s="153" t="s">
        <v>256</v>
      </c>
      <c r="B702" s="153"/>
      <c r="D702" s="153" t="str">
        <f t="shared" si="1"/>
        <v>SI</v>
      </c>
      <c r="F702" s="30" t="s">
        <v>333</v>
      </c>
      <c r="G702" s="30" t="s">
        <v>1678</v>
      </c>
      <c r="H702" s="30" t="s">
        <v>1679</v>
      </c>
      <c r="I702" s="30"/>
      <c r="J702" s="30" t="s">
        <v>1700</v>
      </c>
      <c r="K702" s="159">
        <v>4274.4</v>
      </c>
      <c r="L702" s="159">
        <v>4274.4</v>
      </c>
      <c r="M702" s="159">
        <v>0.0</v>
      </c>
      <c r="N702" s="159">
        <v>0.0</v>
      </c>
      <c r="O702" s="159">
        <v>0.0</v>
      </c>
      <c r="P702" s="159">
        <v>0.0</v>
      </c>
      <c r="Q702" s="159">
        <v>213.72</v>
      </c>
      <c r="R702" s="159">
        <v>213.72</v>
      </c>
      <c r="S702" s="159">
        <v>4488.12</v>
      </c>
      <c r="T702" s="159">
        <v>4488.12</v>
      </c>
      <c r="U702" s="159">
        <v>718.0992</v>
      </c>
      <c r="V702" s="159">
        <v>718.0992</v>
      </c>
      <c r="W702" s="159">
        <v>5206.2192</v>
      </c>
      <c r="X702" s="159">
        <v>5206.2192</v>
      </c>
      <c r="Y702" s="159">
        <v>8548.8</v>
      </c>
      <c r="Z702" s="159">
        <v>0.0</v>
      </c>
      <c r="AA702" s="159">
        <v>0.0</v>
      </c>
      <c r="AB702" s="159">
        <v>427.44</v>
      </c>
      <c r="AC702" s="214">
        <v>8976.24</v>
      </c>
      <c r="AD702" s="159">
        <v>1436.1984</v>
      </c>
      <c r="AE702" s="159">
        <v>10412.4384</v>
      </c>
      <c r="AF702" s="159">
        <v>8976.24</v>
      </c>
    </row>
    <row r="703">
      <c r="A703" s="153" t="s">
        <v>293</v>
      </c>
      <c r="B703" s="153"/>
      <c r="D703" s="153" t="str">
        <f t="shared" si="1"/>
        <v>SI</v>
      </c>
      <c r="F703" s="30" t="s">
        <v>335</v>
      </c>
      <c r="G703" s="30" t="s">
        <v>1682</v>
      </c>
      <c r="H703" s="30" t="s">
        <v>1690</v>
      </c>
      <c r="I703" s="30" t="s">
        <v>1691</v>
      </c>
      <c r="J703" s="30" t="s">
        <v>1692</v>
      </c>
      <c r="K703" s="159">
        <v>1041.45</v>
      </c>
      <c r="L703" s="159">
        <v>1041.45</v>
      </c>
      <c r="M703" s="159">
        <v>1461.93801604352</v>
      </c>
      <c r="N703" s="159">
        <v>1416.25245304216</v>
      </c>
      <c r="O703" s="159">
        <v>0.0</v>
      </c>
      <c r="P703" s="159">
        <v>0.0</v>
      </c>
      <c r="Q703" s="159">
        <v>52.07250000000001</v>
      </c>
      <c r="R703" s="159">
        <v>52.07250000000001</v>
      </c>
      <c r="S703" s="159">
        <v>2555.46051604352</v>
      </c>
      <c r="T703" s="159">
        <v>2509.77495304216</v>
      </c>
      <c r="U703" s="159">
        <v>408.8736825669632</v>
      </c>
      <c r="V703" s="159">
        <v>401.5639924867456</v>
      </c>
      <c r="W703" s="159">
        <v>2964.334198610483</v>
      </c>
      <c r="X703" s="159">
        <v>2911.338945528905</v>
      </c>
      <c r="Y703" s="159">
        <v>2082.9</v>
      </c>
      <c r="Z703" s="159">
        <v>2878.19046908568</v>
      </c>
      <c r="AA703" s="159">
        <v>0.0</v>
      </c>
      <c r="AB703" s="159">
        <v>104.145</v>
      </c>
      <c r="AC703" s="214">
        <v>5065.235469085679</v>
      </c>
      <c r="AD703" s="159">
        <v>810.4376750537087</v>
      </c>
      <c r="AE703" s="159">
        <v>5875.673144139388</v>
      </c>
      <c r="AF703" s="159">
        <v>5065.235469085679</v>
      </c>
    </row>
    <row r="704">
      <c r="A704" s="153" t="s">
        <v>233</v>
      </c>
      <c r="B704" s="153"/>
      <c r="D704" s="153" t="str">
        <f t="shared" si="1"/>
        <v>SI</v>
      </c>
      <c r="F704" s="30" t="s">
        <v>337</v>
      </c>
      <c r="G704" s="30" t="s">
        <v>1682</v>
      </c>
      <c r="H704" s="30" t="s">
        <v>1679</v>
      </c>
      <c r="I704" s="30" t="s">
        <v>1691</v>
      </c>
      <c r="J704" s="30" t="s">
        <v>1694</v>
      </c>
      <c r="K704" s="159">
        <v>8774.4</v>
      </c>
      <c r="L704" s="159">
        <v>8774.4</v>
      </c>
      <c r="M704" s="159">
        <v>0.0</v>
      </c>
      <c r="N704" s="159">
        <v>0.0</v>
      </c>
      <c r="O704" s="159">
        <v>0.0</v>
      </c>
      <c r="P704" s="159">
        <v>0.0</v>
      </c>
      <c r="Q704" s="159">
        <v>438.72</v>
      </c>
      <c r="R704" s="159">
        <v>438.72</v>
      </c>
      <c r="S704" s="159">
        <v>9213.119999999999</v>
      </c>
      <c r="T704" s="159">
        <v>9213.119999999999</v>
      </c>
      <c r="U704" s="159">
        <v>1474.0992</v>
      </c>
      <c r="V704" s="159">
        <v>1474.0992</v>
      </c>
      <c r="W704" s="159">
        <v>10687.2192</v>
      </c>
      <c r="X704" s="159">
        <v>10687.2192</v>
      </c>
      <c r="Y704" s="159">
        <v>17548.8</v>
      </c>
      <c r="Z704" s="159">
        <v>0.0</v>
      </c>
      <c r="AA704" s="159">
        <v>0.0</v>
      </c>
      <c r="AB704" s="159">
        <v>877.44</v>
      </c>
      <c r="AC704" s="214">
        <v>18426.24</v>
      </c>
      <c r="AD704" s="159">
        <v>2948.1984</v>
      </c>
      <c r="AE704" s="159">
        <v>21374.4384</v>
      </c>
      <c r="AF704" s="159">
        <v>18426.24</v>
      </c>
    </row>
    <row r="705">
      <c r="A705" s="153" t="s">
        <v>128</v>
      </c>
      <c r="B705" s="153"/>
      <c r="D705" s="153" t="str">
        <f t="shared" si="1"/>
        <v>SI</v>
      </c>
      <c r="F705" s="30" t="s">
        <v>339</v>
      </c>
      <c r="G705" s="30" t="s">
        <v>1682</v>
      </c>
      <c r="H705" s="30" t="s">
        <v>1690</v>
      </c>
      <c r="I705" s="30"/>
      <c r="J705" s="30" t="s">
        <v>1687</v>
      </c>
      <c r="K705" s="159">
        <v>774.4</v>
      </c>
      <c r="L705" s="159">
        <v>774.4</v>
      </c>
      <c r="M705" s="159">
        <v>0.0</v>
      </c>
      <c r="N705" s="159">
        <v>0.0</v>
      </c>
      <c r="O705" s="159">
        <v>0.0</v>
      </c>
      <c r="P705" s="159">
        <v>0.0</v>
      </c>
      <c r="Q705" s="159">
        <v>38.72</v>
      </c>
      <c r="R705" s="159">
        <v>38.72</v>
      </c>
      <c r="S705" s="159">
        <v>813.12</v>
      </c>
      <c r="T705" s="159">
        <v>813.12</v>
      </c>
      <c r="U705" s="159">
        <v>130.0992</v>
      </c>
      <c r="V705" s="159">
        <v>130.0992</v>
      </c>
      <c r="W705" s="159">
        <v>943.2192</v>
      </c>
      <c r="X705" s="159">
        <v>943.2192</v>
      </c>
      <c r="Y705" s="159">
        <v>1548.8</v>
      </c>
      <c r="Z705" s="159">
        <v>0.0</v>
      </c>
      <c r="AA705" s="159">
        <v>0.0</v>
      </c>
      <c r="AB705" s="159">
        <v>77.44</v>
      </c>
      <c r="AC705" s="214">
        <v>1626.24</v>
      </c>
      <c r="AD705" s="159">
        <v>260.1984</v>
      </c>
      <c r="AE705" s="159">
        <v>1886.4384</v>
      </c>
      <c r="AF705" s="159">
        <v>1626.24</v>
      </c>
    </row>
    <row r="706">
      <c r="A706" s="153" t="s">
        <v>199</v>
      </c>
      <c r="B706" s="153"/>
      <c r="D706" s="153" t="str">
        <f t="shared" si="1"/>
        <v>SI</v>
      </c>
      <c r="F706" s="30" t="s">
        <v>341</v>
      </c>
      <c r="G706" s="30" t="s">
        <v>1682</v>
      </c>
      <c r="H706" s="30" t="s">
        <v>1767</v>
      </c>
      <c r="I706" s="30" t="s">
        <v>1620</v>
      </c>
      <c r="J706" s="30" t="s">
        <v>1620</v>
      </c>
      <c r="K706" s="159">
        <v>3274.4</v>
      </c>
      <c r="L706" s="159">
        <v>3274.4</v>
      </c>
      <c r="M706" s="159">
        <v>0.0</v>
      </c>
      <c r="N706" s="159">
        <v>0.0</v>
      </c>
      <c r="O706" s="159">
        <v>0.0</v>
      </c>
      <c r="P706" s="159">
        <v>0.0</v>
      </c>
      <c r="Q706" s="159">
        <v>163.72</v>
      </c>
      <c r="R706" s="159">
        <v>163.72</v>
      </c>
      <c r="S706" s="159">
        <v>3438.12</v>
      </c>
      <c r="T706" s="159">
        <v>3438.12</v>
      </c>
      <c r="U706" s="159">
        <v>550.0992</v>
      </c>
      <c r="V706" s="159">
        <v>550.0992</v>
      </c>
      <c r="W706" s="159">
        <v>3988.2192</v>
      </c>
      <c r="X706" s="159">
        <v>3988.2192</v>
      </c>
      <c r="Y706" s="159">
        <v>6548.8</v>
      </c>
      <c r="Z706" s="159">
        <v>0.0</v>
      </c>
      <c r="AA706" s="159">
        <v>0.0</v>
      </c>
      <c r="AB706" s="159">
        <v>327.4400000000001</v>
      </c>
      <c r="AC706" s="214">
        <v>6876.24</v>
      </c>
      <c r="AD706" s="159">
        <v>1100.1984</v>
      </c>
      <c r="AE706" s="159">
        <v>7976.4384</v>
      </c>
      <c r="AF706" s="159">
        <v>6876.24</v>
      </c>
    </row>
    <row r="707">
      <c r="A707" s="153" t="s">
        <v>105</v>
      </c>
      <c r="B707" s="153"/>
      <c r="D707" s="153" t="str">
        <f t="shared" si="1"/>
        <v>SI</v>
      </c>
      <c r="F707" s="30" t="s">
        <v>343</v>
      </c>
      <c r="G707" s="30" t="s">
        <v>1682</v>
      </c>
      <c r="H707" s="30" t="s">
        <v>1679</v>
      </c>
      <c r="I707" s="30" t="s">
        <v>1693</v>
      </c>
      <c r="J707" s="30" t="s">
        <v>1694</v>
      </c>
      <c r="K707" s="159">
        <v>14499.998</v>
      </c>
      <c r="L707" s="159">
        <v>14499.998</v>
      </c>
      <c r="M707" s="159">
        <v>1489.939020956826</v>
      </c>
      <c r="N707" s="159">
        <v>1443.378426551925</v>
      </c>
      <c r="O707" s="159">
        <v>189.02</v>
      </c>
      <c r="P707" s="159">
        <v>189.02</v>
      </c>
      <c r="Q707" s="159">
        <v>724.9999</v>
      </c>
      <c r="R707" s="159">
        <v>724.9999</v>
      </c>
      <c r="S707" s="159">
        <v>16903.95692095683</v>
      </c>
      <c r="T707" s="159">
        <v>16857.39632655193</v>
      </c>
      <c r="U707" s="159">
        <v>2704.633107353092</v>
      </c>
      <c r="V707" s="159">
        <v>2697.183412248308</v>
      </c>
      <c r="W707" s="159">
        <v>19608.59002830992</v>
      </c>
      <c r="X707" s="159">
        <v>19554.57973880024</v>
      </c>
      <c r="Y707" s="159">
        <v>28999.996</v>
      </c>
      <c r="Z707" s="159">
        <v>2933.317447508751</v>
      </c>
      <c r="AA707" s="159">
        <v>378.04</v>
      </c>
      <c r="AB707" s="159">
        <v>1449.9998</v>
      </c>
      <c r="AC707" s="214">
        <v>33761.35324750876</v>
      </c>
      <c r="AD707" s="159">
        <v>5401.816519601401</v>
      </c>
      <c r="AE707" s="159">
        <v>39163.16976711016</v>
      </c>
      <c r="AF707" s="159">
        <v>33761.35324750876</v>
      </c>
    </row>
    <row r="708">
      <c r="A708" s="153" t="s">
        <v>62</v>
      </c>
      <c r="B708" s="153"/>
      <c r="D708" s="153" t="str">
        <f t="shared" si="1"/>
        <v>SI</v>
      </c>
      <c r="F708" s="30" t="s">
        <v>345</v>
      </c>
      <c r="G708" s="30" t="s">
        <v>1678</v>
      </c>
      <c r="H708" s="30" t="s">
        <v>1679</v>
      </c>
      <c r="I708" s="30"/>
      <c r="J708" s="30" t="s">
        <v>1681</v>
      </c>
      <c r="K708" s="159">
        <v>8999.998</v>
      </c>
      <c r="L708" s="159">
        <v>8999.998</v>
      </c>
      <c r="M708" s="159">
        <v>1482.706896029158</v>
      </c>
      <c r="N708" s="159">
        <v>1436.372305528247</v>
      </c>
      <c r="O708" s="159">
        <v>189.02</v>
      </c>
      <c r="P708" s="159">
        <v>189.02</v>
      </c>
      <c r="Q708" s="159">
        <v>449.9999</v>
      </c>
      <c r="R708" s="159">
        <v>449.9999</v>
      </c>
      <c r="S708" s="159">
        <v>11121.72479602916</v>
      </c>
      <c r="T708" s="159">
        <v>11075.39020552825</v>
      </c>
      <c r="U708" s="159">
        <v>1779.475967364665</v>
      </c>
      <c r="V708" s="159">
        <v>1772.062432884519</v>
      </c>
      <c r="W708" s="159">
        <v>12901.20076339382</v>
      </c>
      <c r="X708" s="159">
        <v>12847.45263841277</v>
      </c>
      <c r="Y708" s="159">
        <v>17999.996</v>
      </c>
      <c r="Z708" s="159">
        <v>2919.079201557405</v>
      </c>
      <c r="AA708" s="159">
        <v>378.04</v>
      </c>
      <c r="AB708" s="159">
        <v>899.9998</v>
      </c>
      <c r="AC708" s="214">
        <v>22197.11500155741</v>
      </c>
      <c r="AD708" s="159">
        <v>3551.538400249185</v>
      </c>
      <c r="AE708" s="159">
        <v>25748.65340180659</v>
      </c>
      <c r="AF708" s="159">
        <v>22197.11500155741</v>
      </c>
    </row>
    <row r="709">
      <c r="A709" s="153" t="s">
        <v>179</v>
      </c>
      <c r="B709" s="153"/>
      <c r="D709" s="153" t="str">
        <f t="shared" si="1"/>
        <v>SI</v>
      </c>
      <c r="F709" s="30" t="s">
        <v>347</v>
      </c>
      <c r="G709" s="30" t="s">
        <v>1678</v>
      </c>
      <c r="H709" s="30" t="s">
        <v>1683</v>
      </c>
      <c r="I709" s="30"/>
      <c r="J709" s="30" t="s">
        <v>1768</v>
      </c>
      <c r="K709" s="159">
        <v>1274.4</v>
      </c>
      <c r="L709" s="159">
        <v>1274.4</v>
      </c>
      <c r="M709" s="159">
        <v>0.0</v>
      </c>
      <c r="N709" s="159">
        <v>0.0</v>
      </c>
      <c r="O709" s="159">
        <v>0.0</v>
      </c>
      <c r="P709" s="159">
        <v>0.0</v>
      </c>
      <c r="Q709" s="159">
        <v>63.72000000000001</v>
      </c>
      <c r="R709" s="159">
        <v>63.72000000000001</v>
      </c>
      <c r="S709" s="159">
        <v>1338.12</v>
      </c>
      <c r="T709" s="159">
        <v>1338.12</v>
      </c>
      <c r="U709" s="159">
        <v>214.0992</v>
      </c>
      <c r="V709" s="159">
        <v>214.0992</v>
      </c>
      <c r="W709" s="159">
        <v>1552.2192</v>
      </c>
      <c r="X709" s="159">
        <v>1552.2192</v>
      </c>
      <c r="Y709" s="159">
        <v>2548.8</v>
      </c>
      <c r="Z709" s="159">
        <v>0.0</v>
      </c>
      <c r="AA709" s="159">
        <v>0.0</v>
      </c>
      <c r="AB709" s="159">
        <v>127.44</v>
      </c>
      <c r="AC709" s="214">
        <v>2676.24</v>
      </c>
      <c r="AD709" s="159">
        <v>428.1984</v>
      </c>
      <c r="AE709" s="159">
        <v>3104.4384</v>
      </c>
      <c r="AF709" s="159">
        <v>2676.24</v>
      </c>
    </row>
    <row r="710">
      <c r="A710" s="153" t="s">
        <v>205</v>
      </c>
      <c r="B710" s="153"/>
      <c r="D710" s="153" t="str">
        <f t="shared" si="1"/>
        <v>SI</v>
      </c>
    </row>
    <row r="711">
      <c r="A711" s="153" t="s">
        <v>140</v>
      </c>
      <c r="B711" s="153"/>
      <c r="D711" s="153" t="str">
        <f t="shared" si="1"/>
        <v>SI</v>
      </c>
    </row>
    <row r="712">
      <c r="A712" s="153" t="s">
        <v>78</v>
      </c>
      <c r="B712" s="153"/>
      <c r="D712" s="153" t="str">
        <f t="shared" si="1"/>
        <v>SI</v>
      </c>
    </row>
    <row r="713">
      <c r="A713" s="153" t="s">
        <v>332</v>
      </c>
      <c r="B713" s="153"/>
      <c r="D713" s="153" t="str">
        <f t="shared" si="1"/>
        <v>SI</v>
      </c>
    </row>
    <row r="714">
      <c r="A714" s="153" t="s">
        <v>69</v>
      </c>
      <c r="B714" s="153"/>
      <c r="D714" s="153" t="str">
        <f t="shared" si="1"/>
        <v>SI</v>
      </c>
    </row>
    <row r="715">
      <c r="A715" s="153" t="s">
        <v>307</v>
      </c>
      <c r="B715" s="153"/>
      <c r="D715" s="153" t="str">
        <f t="shared" si="1"/>
        <v>SI</v>
      </c>
    </row>
    <row r="716">
      <c r="A716" s="153" t="s">
        <v>103</v>
      </c>
      <c r="B716" s="153"/>
      <c r="D716" s="153" t="str">
        <f t="shared" si="1"/>
        <v>SI</v>
      </c>
    </row>
    <row r="717">
      <c r="A717" s="153" t="s">
        <v>163</v>
      </c>
      <c r="B717" s="153"/>
      <c r="D717" s="153" t="str">
        <f t="shared" si="1"/>
        <v>SI</v>
      </c>
    </row>
    <row r="718">
      <c r="A718" s="153" t="s">
        <v>48</v>
      </c>
      <c r="B718" s="153"/>
      <c r="D718" s="153" t="str">
        <f t="shared" si="1"/>
        <v>SI</v>
      </c>
    </row>
    <row r="719">
      <c r="A719" s="153" t="s">
        <v>346</v>
      </c>
      <c r="B719" s="153"/>
      <c r="D719" s="153" t="str">
        <f t="shared" si="1"/>
        <v>SI</v>
      </c>
    </row>
    <row r="720">
      <c r="A720" s="153" t="s">
        <v>221</v>
      </c>
      <c r="B720" s="153"/>
      <c r="D720" s="153" t="str">
        <f t="shared" si="1"/>
        <v>SI</v>
      </c>
    </row>
    <row r="721">
      <c r="A721" s="153" t="s">
        <v>270</v>
      </c>
      <c r="B721" s="153"/>
      <c r="D721" s="153" t="str">
        <f t="shared" si="1"/>
        <v>SI</v>
      </c>
    </row>
    <row r="722">
      <c r="A722" s="153" t="s">
        <v>148</v>
      </c>
      <c r="B722" s="153"/>
      <c r="D722" s="153" t="str">
        <f t="shared" si="1"/>
        <v>SI</v>
      </c>
    </row>
    <row r="723">
      <c r="A723" s="153" t="s">
        <v>264</v>
      </c>
      <c r="B723" s="153"/>
      <c r="D723" s="153" t="str">
        <f t="shared" si="1"/>
        <v>SI</v>
      </c>
    </row>
    <row r="724">
      <c r="A724" s="153" t="s">
        <v>313</v>
      </c>
      <c r="B724" s="153"/>
      <c r="D724" s="153" t="str">
        <f t="shared" si="1"/>
        <v>SI</v>
      </c>
    </row>
    <row r="725">
      <c r="A725" s="153" t="s">
        <v>1769</v>
      </c>
      <c r="B725" s="153"/>
      <c r="D725" s="153" t="str">
        <f t="shared" si="1"/>
        <v>SI</v>
      </c>
    </row>
  </sheetData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86"/>
    <col customWidth="1" min="2" max="2" width="36.14"/>
    <col customWidth="1" min="3" max="3" width="30.29"/>
    <col customWidth="1" min="4" max="4" width="28.43"/>
    <col customWidth="1" min="5" max="5" width="16.43"/>
    <col customWidth="1" min="6" max="6" width="36.14"/>
    <col customWidth="1" min="7" max="7" width="13.71"/>
    <col customWidth="1" min="8" max="8" width="14.29"/>
    <col customWidth="1" min="9" max="9" width="11.0"/>
    <col customWidth="1" min="10" max="10" width="11.29"/>
    <col customWidth="1" min="11" max="11" width="15.86"/>
    <col customWidth="1" min="12" max="12" width="12.14"/>
    <col customWidth="1" min="13" max="13" width="11.29"/>
    <col customWidth="1" min="14" max="14" width="10.14"/>
    <col customWidth="1" min="15" max="15" width="13.43"/>
    <col customWidth="1" min="16" max="16" width="13.29"/>
    <col customWidth="1" min="17" max="17" width="12.29"/>
    <col customWidth="1" min="18" max="18" width="13.14"/>
    <col customWidth="1" min="19" max="19" width="16.29"/>
    <col customWidth="1" min="20" max="26" width="8.71"/>
  </cols>
  <sheetData>
    <row r="1">
      <c r="A1" s="215" t="s">
        <v>0</v>
      </c>
      <c r="B1" s="215" t="s">
        <v>1</v>
      </c>
      <c r="C1" s="215" t="s">
        <v>2</v>
      </c>
      <c r="D1" s="215" t="s">
        <v>3</v>
      </c>
      <c r="E1" s="215" t="s">
        <v>4</v>
      </c>
      <c r="F1" s="215" t="s">
        <v>5</v>
      </c>
      <c r="G1" s="215" t="s">
        <v>6</v>
      </c>
      <c r="H1" s="215" t="s">
        <v>7</v>
      </c>
      <c r="I1" s="215" t="s">
        <v>8</v>
      </c>
      <c r="J1" s="215" t="s">
        <v>9</v>
      </c>
      <c r="K1" s="215" t="s">
        <v>10</v>
      </c>
      <c r="L1" s="215" t="s">
        <v>1178</v>
      </c>
      <c r="M1" s="215" t="s">
        <v>11</v>
      </c>
      <c r="N1" s="215" t="s">
        <v>12</v>
      </c>
      <c r="O1" s="215" t="s">
        <v>13</v>
      </c>
      <c r="P1" s="215" t="s">
        <v>14</v>
      </c>
      <c r="Q1" s="215" t="s">
        <v>15</v>
      </c>
      <c r="R1" s="215" t="s">
        <v>16</v>
      </c>
      <c r="S1" s="215" t="s">
        <v>17</v>
      </c>
      <c r="T1" s="216"/>
      <c r="U1" s="216"/>
      <c r="V1" s="216"/>
      <c r="W1" s="216"/>
      <c r="X1" s="216"/>
    </row>
    <row r="2" hidden="1">
      <c r="A2" s="217" t="s">
        <v>18</v>
      </c>
      <c r="B2" s="217" t="s">
        <v>19</v>
      </c>
      <c r="C2" s="217" t="s">
        <v>20</v>
      </c>
      <c r="D2" s="217" t="s">
        <v>21</v>
      </c>
      <c r="E2" s="217" t="s">
        <v>22</v>
      </c>
      <c r="F2" s="217" t="s">
        <v>23</v>
      </c>
      <c r="G2" s="217">
        <v>12269.305252</v>
      </c>
      <c r="H2" s="217" t="s">
        <v>24</v>
      </c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</row>
    <row r="3" hidden="1">
      <c r="A3" s="217" t="s">
        <v>18</v>
      </c>
      <c r="B3" s="217" t="s">
        <v>19</v>
      </c>
      <c r="C3" s="217" t="s">
        <v>20</v>
      </c>
      <c r="D3" s="217" t="s">
        <v>21</v>
      </c>
      <c r="E3" s="217" t="s">
        <v>22</v>
      </c>
      <c r="F3" s="217" t="s">
        <v>23</v>
      </c>
      <c r="G3" s="218">
        <f>2676.24+nom_interna!C55+nom_interna!I53</f>
        <v>12620.03</v>
      </c>
      <c r="H3" s="217" t="s">
        <v>25</v>
      </c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</row>
    <row r="4" hidden="1">
      <c r="A4" s="217" t="s">
        <v>18</v>
      </c>
      <c r="B4" s="217" t="s">
        <v>19</v>
      </c>
      <c r="C4" s="217" t="s">
        <v>20</v>
      </c>
      <c r="D4" s="217" t="s">
        <v>21</v>
      </c>
      <c r="E4" s="217" t="s">
        <v>22</v>
      </c>
      <c r="F4" s="217" t="s">
        <v>23</v>
      </c>
      <c r="G4" s="218">
        <f>9286.191037+nom_interna!I30</f>
        <v>10861.39104</v>
      </c>
      <c r="H4" s="217" t="s">
        <v>26</v>
      </c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</row>
    <row r="5" hidden="1">
      <c r="A5" s="217" t="s">
        <v>18</v>
      </c>
      <c r="B5" s="217" t="s">
        <v>19</v>
      </c>
      <c r="C5" s="217" t="s">
        <v>20</v>
      </c>
      <c r="D5" s="217" t="s">
        <v>21</v>
      </c>
      <c r="E5" s="217" t="s">
        <v>22</v>
      </c>
      <c r="F5" s="217" t="s">
        <v>23</v>
      </c>
      <c r="G5" s="218">
        <f>1391.103+nom_interna!C107+nom_interna!I107</f>
        <v>10842.303</v>
      </c>
      <c r="H5" s="219" t="s">
        <v>27</v>
      </c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</row>
    <row r="6" hidden="1">
      <c r="A6" s="217" t="s">
        <v>18</v>
      </c>
      <c r="B6" s="217" t="s">
        <v>28</v>
      </c>
      <c r="C6" s="217" t="s">
        <v>20</v>
      </c>
      <c r="D6" s="217" t="s">
        <v>21</v>
      </c>
      <c r="E6" s="217" t="s">
        <v>22</v>
      </c>
      <c r="F6" s="217" t="s">
        <v>29</v>
      </c>
      <c r="G6" s="217">
        <v>24075.34956</v>
      </c>
      <c r="H6" s="217" t="s">
        <v>25</v>
      </c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</row>
    <row r="7" hidden="1">
      <c r="A7" s="217" t="s">
        <v>18</v>
      </c>
      <c r="B7" s="217" t="s">
        <v>28</v>
      </c>
      <c r="C7" s="217" t="s">
        <v>20</v>
      </c>
      <c r="D7" s="217" t="s">
        <v>21</v>
      </c>
      <c r="E7" s="217" t="s">
        <v>22</v>
      </c>
      <c r="F7" s="217" t="s">
        <v>29</v>
      </c>
      <c r="G7" s="217">
        <v>14312.5067</v>
      </c>
      <c r="H7" s="217" t="s">
        <v>26</v>
      </c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</row>
    <row r="8" hidden="1">
      <c r="A8" s="217" t="s">
        <v>18</v>
      </c>
      <c r="B8" s="217" t="s">
        <v>30</v>
      </c>
      <c r="C8" s="217" t="s">
        <v>31</v>
      </c>
      <c r="D8" s="217" t="s">
        <v>32</v>
      </c>
      <c r="E8" s="216"/>
      <c r="F8" s="217" t="s">
        <v>33</v>
      </c>
      <c r="G8" s="217">
        <v>14378.847582</v>
      </c>
      <c r="H8" s="217" t="s">
        <v>24</v>
      </c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</row>
    <row r="9" hidden="1">
      <c r="A9" s="217" t="s">
        <v>18</v>
      </c>
      <c r="B9" s="217" t="s">
        <v>30</v>
      </c>
      <c r="C9" s="217" t="s">
        <v>31</v>
      </c>
      <c r="D9" s="217" t="s">
        <v>32</v>
      </c>
      <c r="E9" s="216"/>
      <c r="F9" s="217" t="s">
        <v>33</v>
      </c>
      <c r="G9" s="217">
        <v>15993.282958</v>
      </c>
      <c r="H9" s="217" t="s">
        <v>25</v>
      </c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</row>
    <row r="10" hidden="1">
      <c r="A10" s="217" t="s">
        <v>18</v>
      </c>
      <c r="B10" s="217" t="s">
        <v>30</v>
      </c>
      <c r="C10" s="217" t="s">
        <v>31</v>
      </c>
      <c r="D10" s="217" t="s">
        <v>32</v>
      </c>
      <c r="E10" s="216"/>
      <c r="F10" s="217" t="s">
        <v>33</v>
      </c>
      <c r="G10" s="217">
        <v>15770.15378</v>
      </c>
      <c r="H10" s="217" t="s">
        <v>26</v>
      </c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</row>
    <row r="11" hidden="1">
      <c r="A11" s="217" t="s">
        <v>18</v>
      </c>
      <c r="B11" s="217" t="s">
        <v>34</v>
      </c>
      <c r="C11" s="217" t="s">
        <v>20</v>
      </c>
      <c r="D11" s="217" t="s">
        <v>21</v>
      </c>
      <c r="E11" s="217" t="s">
        <v>1648</v>
      </c>
      <c r="F11" s="217" t="s">
        <v>36</v>
      </c>
      <c r="G11" s="217">
        <v>13779.069051</v>
      </c>
      <c r="H11" s="217" t="s">
        <v>25</v>
      </c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</row>
    <row r="12" hidden="1">
      <c r="A12" s="217" t="s">
        <v>18</v>
      </c>
      <c r="B12" s="217" t="s">
        <v>34</v>
      </c>
      <c r="C12" s="217" t="s">
        <v>20</v>
      </c>
      <c r="D12" s="217" t="s">
        <v>21</v>
      </c>
      <c r="E12" s="217" t="s">
        <v>1648</v>
      </c>
      <c r="F12" s="217" t="s">
        <v>36</v>
      </c>
      <c r="G12" s="217">
        <v>13493.097092</v>
      </c>
      <c r="H12" s="217" t="s">
        <v>26</v>
      </c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</row>
    <row r="13" hidden="1">
      <c r="A13" s="217" t="s">
        <v>18</v>
      </c>
      <c r="B13" s="217" t="s">
        <v>34</v>
      </c>
      <c r="C13" s="217" t="s">
        <v>20</v>
      </c>
      <c r="D13" s="217" t="s">
        <v>21</v>
      </c>
      <c r="E13" s="217" t="s">
        <v>1648</v>
      </c>
      <c r="F13" s="217" t="s">
        <v>36</v>
      </c>
      <c r="G13" s="217">
        <v>13751.39405</v>
      </c>
      <c r="H13" s="217" t="s">
        <v>24</v>
      </c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</row>
    <row r="14" hidden="1">
      <c r="A14" s="217" t="s">
        <v>18</v>
      </c>
      <c r="B14" s="217" t="s">
        <v>37</v>
      </c>
      <c r="C14" s="217" t="s">
        <v>31</v>
      </c>
      <c r="D14" s="217" t="s">
        <v>38</v>
      </c>
      <c r="E14" s="216"/>
      <c r="F14" s="217" t="s">
        <v>39</v>
      </c>
      <c r="G14" s="217">
        <v>19234.552952</v>
      </c>
      <c r="H14" s="217" t="s">
        <v>24</v>
      </c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</row>
    <row r="15" hidden="1">
      <c r="A15" s="217" t="s">
        <v>18</v>
      </c>
      <c r="B15" s="217" t="s">
        <v>37</v>
      </c>
      <c r="C15" s="217" t="s">
        <v>31</v>
      </c>
      <c r="D15" s="217" t="s">
        <v>38</v>
      </c>
      <c r="E15" s="216"/>
      <c r="F15" s="217" t="s">
        <v>39</v>
      </c>
      <c r="G15" s="217">
        <v>23356.67895</v>
      </c>
      <c r="H15" s="217" t="s">
        <v>25</v>
      </c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</row>
    <row r="16" hidden="1">
      <c r="A16" s="217" t="s">
        <v>18</v>
      </c>
      <c r="B16" s="217" t="s">
        <v>37</v>
      </c>
      <c r="C16" s="217" t="s">
        <v>31</v>
      </c>
      <c r="D16" s="217" t="s">
        <v>38</v>
      </c>
      <c r="E16" s="216"/>
      <c r="F16" s="217" t="s">
        <v>39</v>
      </c>
      <c r="G16" s="217">
        <v>18896.20395</v>
      </c>
      <c r="H16" s="217" t="s">
        <v>26</v>
      </c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</row>
    <row r="17" hidden="1">
      <c r="A17" s="217" t="s">
        <v>18</v>
      </c>
      <c r="B17" s="217" t="s">
        <v>40</v>
      </c>
      <c r="C17" s="217" t="s">
        <v>20</v>
      </c>
      <c r="D17" s="217" t="s">
        <v>21</v>
      </c>
      <c r="E17" s="217" t="s">
        <v>41</v>
      </c>
      <c r="F17" s="217" t="s">
        <v>42</v>
      </c>
      <c r="G17" s="217">
        <v>11487.986067</v>
      </c>
      <c r="H17" s="217" t="s">
        <v>25</v>
      </c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</row>
    <row r="18" hidden="1">
      <c r="A18" s="217" t="s">
        <v>18</v>
      </c>
      <c r="B18" s="217" t="s">
        <v>40</v>
      </c>
      <c r="C18" s="217" t="s">
        <v>20</v>
      </c>
      <c r="D18" s="217" t="s">
        <v>21</v>
      </c>
      <c r="E18" s="217" t="s">
        <v>41</v>
      </c>
      <c r="F18" s="217" t="s">
        <v>42</v>
      </c>
      <c r="G18" s="217">
        <v>17785.736044</v>
      </c>
      <c r="H18" s="217" t="s">
        <v>26</v>
      </c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</row>
    <row r="19" hidden="1">
      <c r="A19" s="217" t="s">
        <v>18</v>
      </c>
      <c r="B19" s="217" t="s">
        <v>40</v>
      </c>
      <c r="C19" s="217" t="s">
        <v>20</v>
      </c>
      <c r="D19" s="217" t="s">
        <v>21</v>
      </c>
      <c r="E19" s="217" t="s">
        <v>41</v>
      </c>
      <c r="F19" s="217" t="s">
        <v>42</v>
      </c>
      <c r="G19" s="217">
        <v>18125.363418</v>
      </c>
      <c r="H19" s="217" t="s">
        <v>24</v>
      </c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</row>
    <row r="20" hidden="1">
      <c r="A20" s="217" t="s">
        <v>18</v>
      </c>
      <c r="B20" s="217" t="s">
        <v>43</v>
      </c>
      <c r="C20" s="217" t="s">
        <v>20</v>
      </c>
      <c r="D20" s="217" t="s">
        <v>21</v>
      </c>
      <c r="E20" s="217" t="s">
        <v>44</v>
      </c>
      <c r="F20" s="217" t="s">
        <v>45</v>
      </c>
      <c r="G20" s="217">
        <v>19431.20395</v>
      </c>
      <c r="H20" s="217" t="s">
        <v>26</v>
      </c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</row>
    <row r="21" ht="23.25" hidden="1" customHeight="1">
      <c r="A21" s="217" t="s">
        <v>18</v>
      </c>
      <c r="B21" s="217" t="s">
        <v>43</v>
      </c>
      <c r="C21" s="217" t="s">
        <v>20</v>
      </c>
      <c r="D21" s="217" t="s">
        <v>21</v>
      </c>
      <c r="E21" s="217" t="s">
        <v>44</v>
      </c>
      <c r="F21" s="217" t="s">
        <v>45</v>
      </c>
      <c r="G21" s="217">
        <v>19779.552952</v>
      </c>
      <c r="H21" s="217" t="s">
        <v>24</v>
      </c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</row>
    <row r="22" ht="15.75" hidden="1" customHeight="1">
      <c r="A22" s="217" t="s">
        <v>18</v>
      </c>
      <c r="B22" s="217" t="s">
        <v>43</v>
      </c>
      <c r="C22" s="217" t="s">
        <v>20</v>
      </c>
      <c r="D22" s="217" t="s">
        <v>21</v>
      </c>
      <c r="E22" s="217" t="s">
        <v>44</v>
      </c>
      <c r="F22" s="217" t="s">
        <v>45</v>
      </c>
      <c r="G22" s="218">
        <f>6351.24+nom_interna!L67</f>
        <v>15802.44</v>
      </c>
      <c r="H22" s="217" t="s">
        <v>25</v>
      </c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</row>
    <row r="23" ht="15.75" hidden="1" customHeight="1">
      <c r="A23" s="217" t="s">
        <v>18</v>
      </c>
      <c r="B23" s="217" t="s">
        <v>43</v>
      </c>
      <c r="C23" s="217" t="s">
        <v>20</v>
      </c>
      <c r="D23" s="217" t="s">
        <v>21</v>
      </c>
      <c r="E23" s="217" t="s">
        <v>44</v>
      </c>
      <c r="F23" s="217" t="s">
        <v>45</v>
      </c>
      <c r="G23" s="220">
        <f>6351.24+nom_interna!L119</f>
        <v>10060.44</v>
      </c>
      <c r="H23" s="219" t="s">
        <v>27</v>
      </c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</row>
    <row r="24" ht="15.75" hidden="1" customHeight="1">
      <c r="A24" s="217" t="s">
        <v>18</v>
      </c>
      <c r="B24" s="217" t="s">
        <v>46</v>
      </c>
      <c r="C24" s="217" t="s">
        <v>31</v>
      </c>
      <c r="D24" s="217" t="s">
        <v>47</v>
      </c>
      <c r="E24" s="216"/>
      <c r="F24" s="217" t="s">
        <v>48</v>
      </c>
      <c r="G24" s="217">
        <v>18848.225941</v>
      </c>
      <c r="H24" s="217" t="s">
        <v>26</v>
      </c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</row>
    <row r="25" ht="15.75" hidden="1" customHeight="1">
      <c r="A25" s="217" t="s">
        <v>18</v>
      </c>
      <c r="B25" s="217" t="s">
        <v>46</v>
      </c>
      <c r="C25" s="217" t="s">
        <v>31</v>
      </c>
      <c r="D25" s="217" t="s">
        <v>47</v>
      </c>
      <c r="E25" s="216"/>
      <c r="F25" s="217" t="s">
        <v>48</v>
      </c>
      <c r="G25" s="217">
        <v>19080.558312</v>
      </c>
      <c r="H25" s="217" t="s">
        <v>25</v>
      </c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</row>
    <row r="26" ht="15.75" hidden="1" customHeight="1">
      <c r="A26" s="217" t="s">
        <v>18</v>
      </c>
      <c r="B26" s="217" t="s">
        <v>46</v>
      </c>
      <c r="C26" s="217" t="s">
        <v>31</v>
      </c>
      <c r="D26" s="217" t="s">
        <v>47</v>
      </c>
      <c r="E26" s="216"/>
      <c r="F26" s="217" t="s">
        <v>48</v>
      </c>
      <c r="G26" s="217">
        <v>19207.062778</v>
      </c>
      <c r="H26" s="217" t="s">
        <v>24</v>
      </c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</row>
    <row r="27" ht="15.75" hidden="1" customHeight="1">
      <c r="A27" s="217" t="s">
        <v>18</v>
      </c>
      <c r="B27" s="217" t="s">
        <v>49</v>
      </c>
      <c r="C27" s="217" t="s">
        <v>31</v>
      </c>
      <c r="D27" s="217" t="s">
        <v>38</v>
      </c>
      <c r="E27" s="216"/>
      <c r="F27" s="217" t="s">
        <v>50</v>
      </c>
      <c r="G27" s="217">
        <v>20193.28296</v>
      </c>
      <c r="H27" s="217" t="s">
        <v>25</v>
      </c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</row>
    <row r="28" ht="15.75" hidden="1" customHeight="1">
      <c r="A28" s="217" t="s">
        <v>18</v>
      </c>
      <c r="B28" s="217" t="s">
        <v>49</v>
      </c>
      <c r="C28" s="217" t="s">
        <v>31</v>
      </c>
      <c r="D28" s="217" t="s">
        <v>38</v>
      </c>
      <c r="E28" s="216"/>
      <c r="F28" s="217" t="s">
        <v>50</v>
      </c>
      <c r="G28" s="217">
        <v>20050.153784</v>
      </c>
      <c r="H28" s="217" t="s">
        <v>26</v>
      </c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</row>
    <row r="29" ht="15.75" hidden="1" customHeight="1">
      <c r="A29" s="217" t="s">
        <v>18</v>
      </c>
      <c r="B29" s="217" t="s">
        <v>49</v>
      </c>
      <c r="C29" s="217" t="s">
        <v>31</v>
      </c>
      <c r="D29" s="217" t="s">
        <v>38</v>
      </c>
      <c r="E29" s="216"/>
      <c r="F29" s="217" t="s">
        <v>50</v>
      </c>
      <c r="G29" s="217">
        <v>20427.17472</v>
      </c>
      <c r="H29" s="217" t="s">
        <v>24</v>
      </c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</row>
    <row r="30" ht="15.75" hidden="1" customHeight="1">
      <c r="A30" s="217" t="s">
        <v>18</v>
      </c>
      <c r="B30" s="217" t="s">
        <v>51</v>
      </c>
      <c r="C30" s="217" t="s">
        <v>20</v>
      </c>
      <c r="D30" s="217" t="s">
        <v>21</v>
      </c>
      <c r="E30" s="217" t="s">
        <v>35</v>
      </c>
      <c r="F30" s="217" t="s">
        <v>52</v>
      </c>
      <c r="G30" s="217">
        <v>8107.360929</v>
      </c>
      <c r="H30" s="217" t="s">
        <v>26</v>
      </c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</row>
    <row r="31" ht="15.75" hidden="1" customHeight="1">
      <c r="A31" s="217" t="s">
        <v>18</v>
      </c>
      <c r="B31" s="217" t="s">
        <v>51</v>
      </c>
      <c r="C31" s="217" t="s">
        <v>20</v>
      </c>
      <c r="D31" s="217" t="s">
        <v>21</v>
      </c>
      <c r="E31" s="217" t="s">
        <v>35</v>
      </c>
      <c r="F31" s="217" t="s">
        <v>52</v>
      </c>
      <c r="G31" s="218">
        <f>15577.41058+nom_interna!I81</f>
        <v>20303.01058</v>
      </c>
      <c r="H31" s="217" t="s">
        <v>25</v>
      </c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</row>
    <row r="32" ht="15.75" hidden="1" customHeight="1">
      <c r="A32" s="217" t="s">
        <v>18</v>
      </c>
      <c r="B32" s="217" t="s">
        <v>51</v>
      </c>
      <c r="C32" s="217" t="s">
        <v>20</v>
      </c>
      <c r="D32" s="217" t="s">
        <v>21</v>
      </c>
      <c r="E32" s="217" t="s">
        <v>35</v>
      </c>
      <c r="F32" s="217" t="s">
        <v>52</v>
      </c>
      <c r="G32" s="218">
        <f>8976.24+nom_interna!L135</f>
        <v>18427.44</v>
      </c>
      <c r="H32" s="219" t="s">
        <v>27</v>
      </c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</row>
    <row r="33" ht="15.75" hidden="1" customHeight="1">
      <c r="A33" s="217" t="s">
        <v>18</v>
      </c>
      <c r="B33" s="217" t="s">
        <v>53</v>
      </c>
      <c r="C33" s="217" t="s">
        <v>20</v>
      </c>
      <c r="D33" s="217" t="s">
        <v>54</v>
      </c>
      <c r="E33" s="216"/>
      <c r="F33" s="217" t="s">
        <v>55</v>
      </c>
      <c r="G33" s="217">
        <v>13202.829051</v>
      </c>
      <c r="H33" s="217" t="s">
        <v>25</v>
      </c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</row>
    <row r="34" ht="15.75" hidden="1" customHeight="1">
      <c r="A34" s="217" t="s">
        <v>18</v>
      </c>
      <c r="B34" s="217" t="s">
        <v>53</v>
      </c>
      <c r="C34" s="217" t="s">
        <v>20</v>
      </c>
      <c r="D34" s="217" t="s">
        <v>54</v>
      </c>
      <c r="E34" s="216"/>
      <c r="F34" s="217" t="s">
        <v>55</v>
      </c>
      <c r="G34" s="217">
        <v>10059.743257</v>
      </c>
      <c r="H34" s="217" t="s">
        <v>26</v>
      </c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</row>
    <row r="35" ht="15.75" hidden="1" customHeight="1">
      <c r="A35" s="217" t="s">
        <v>18</v>
      </c>
      <c r="B35" s="217" t="s">
        <v>53</v>
      </c>
      <c r="C35" s="217" t="s">
        <v>20</v>
      </c>
      <c r="D35" s="217" t="s">
        <v>54</v>
      </c>
      <c r="E35" s="216"/>
      <c r="F35" s="217" t="s">
        <v>55</v>
      </c>
      <c r="G35" s="217">
        <v>7350.0</v>
      </c>
      <c r="H35" s="217" t="s">
        <v>24</v>
      </c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</row>
    <row r="36" ht="15.75" hidden="1" customHeight="1">
      <c r="A36" s="217" t="s">
        <v>18</v>
      </c>
      <c r="B36" s="217" t="s">
        <v>56</v>
      </c>
      <c r="C36" s="217" t="s">
        <v>20</v>
      </c>
      <c r="D36" s="217" t="s">
        <v>21</v>
      </c>
      <c r="E36" s="219" t="s">
        <v>22</v>
      </c>
      <c r="F36" s="217" t="s">
        <v>57</v>
      </c>
      <c r="G36" s="218">
        <f>5826.24+nom_interna!C56+nom_interna!I54</f>
        <v>15770.03</v>
      </c>
      <c r="H36" s="217" t="s">
        <v>25</v>
      </c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</row>
    <row r="37" ht="15.75" hidden="1" customHeight="1">
      <c r="A37" s="217" t="s">
        <v>18</v>
      </c>
      <c r="B37" s="217" t="s">
        <v>56</v>
      </c>
      <c r="C37" s="217" t="s">
        <v>20</v>
      </c>
      <c r="D37" s="217" t="s">
        <v>21</v>
      </c>
      <c r="E37" s="219" t="s">
        <v>22</v>
      </c>
      <c r="F37" s="217" t="s">
        <v>57</v>
      </c>
      <c r="G37" s="218">
        <f>12496.191037+nom_interna!I31</f>
        <v>14071.39104</v>
      </c>
      <c r="H37" s="217" t="s">
        <v>26</v>
      </c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</row>
    <row r="38" ht="15.75" hidden="1" customHeight="1">
      <c r="A38" s="217" t="s">
        <v>18</v>
      </c>
      <c r="B38" s="217" t="s">
        <v>56</v>
      </c>
      <c r="C38" s="217" t="s">
        <v>20</v>
      </c>
      <c r="D38" s="217" t="s">
        <v>21</v>
      </c>
      <c r="E38" s="219" t="s">
        <v>22</v>
      </c>
      <c r="F38" s="217" t="s">
        <v>57</v>
      </c>
      <c r="G38" s="217">
        <v>3209.170779</v>
      </c>
      <c r="H38" s="217" t="s">
        <v>24</v>
      </c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</row>
    <row r="39" ht="15.75" hidden="1" customHeight="1">
      <c r="A39" s="217" t="s">
        <v>18</v>
      </c>
      <c r="B39" s="217" t="s">
        <v>56</v>
      </c>
      <c r="C39" s="217" t="s">
        <v>20</v>
      </c>
      <c r="D39" s="217" t="s">
        <v>21</v>
      </c>
      <c r="E39" s="219" t="s">
        <v>22</v>
      </c>
      <c r="F39" s="217" t="s">
        <v>57</v>
      </c>
      <c r="G39" s="218">
        <f>5826.24+nom_interna!C108+nom_interna!I108</f>
        <v>15277.44</v>
      </c>
      <c r="H39" s="219" t="s">
        <v>27</v>
      </c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</row>
    <row r="40" ht="15.75" hidden="1" customHeight="1">
      <c r="A40" s="217" t="s">
        <v>18</v>
      </c>
      <c r="B40" s="217" t="s">
        <v>58</v>
      </c>
      <c r="C40" s="217" t="s">
        <v>20</v>
      </c>
      <c r="D40" s="217" t="s">
        <v>21</v>
      </c>
      <c r="E40" s="217" t="s">
        <v>41</v>
      </c>
      <c r="F40" s="217" t="s">
        <v>59</v>
      </c>
      <c r="G40" s="217">
        <v>17823.580152</v>
      </c>
      <c r="H40" s="217" t="s">
        <v>26</v>
      </c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</row>
    <row r="41" ht="15.75" hidden="1" customHeight="1">
      <c r="A41" s="217" t="s">
        <v>18</v>
      </c>
      <c r="B41" s="217" t="s">
        <v>58</v>
      </c>
      <c r="C41" s="217" t="s">
        <v>20</v>
      </c>
      <c r="D41" s="217" t="s">
        <v>21</v>
      </c>
      <c r="E41" s="217" t="s">
        <v>41</v>
      </c>
      <c r="F41" s="217" t="s">
        <v>59</v>
      </c>
      <c r="G41" s="217">
        <v>18141.678181</v>
      </c>
      <c r="H41" s="217" t="s">
        <v>24</v>
      </c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</row>
    <row r="42" ht="15.75" hidden="1" customHeight="1">
      <c r="A42" s="217" t="s">
        <v>18</v>
      </c>
      <c r="B42" s="217" t="s">
        <v>58</v>
      </c>
      <c r="C42" s="217" t="s">
        <v>20</v>
      </c>
      <c r="D42" s="217" t="s">
        <v>21</v>
      </c>
      <c r="E42" s="217" t="s">
        <v>41</v>
      </c>
      <c r="F42" s="217" t="s">
        <v>59</v>
      </c>
      <c r="G42" s="218">
        <f>4250.1795+nom_interna!L79</f>
        <v>10866.0195</v>
      </c>
      <c r="H42" s="217" t="s">
        <v>25</v>
      </c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</row>
    <row r="43" ht="15.75" hidden="1" customHeight="1">
      <c r="A43" s="217" t="s">
        <v>18</v>
      </c>
      <c r="B43" s="217" t="s">
        <v>58</v>
      </c>
      <c r="C43" s="217" t="s">
        <v>20</v>
      </c>
      <c r="D43" s="217" t="s">
        <v>21</v>
      </c>
      <c r="E43" s="217" t="s">
        <v>41</v>
      </c>
      <c r="F43" s="217" t="s">
        <v>59</v>
      </c>
      <c r="G43" s="218">
        <f>2967.7095+nom_interna!L131</f>
        <v>7247.5095</v>
      </c>
      <c r="H43" s="219" t="s">
        <v>27</v>
      </c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</row>
    <row r="44" ht="15.75" hidden="1" customHeight="1">
      <c r="A44" s="217" t="s">
        <v>18</v>
      </c>
      <c r="B44" s="217" t="s">
        <v>60</v>
      </c>
      <c r="C44" s="217" t="s">
        <v>20</v>
      </c>
      <c r="D44" s="217" t="s">
        <v>21</v>
      </c>
      <c r="E44" s="217" t="s">
        <v>61</v>
      </c>
      <c r="F44" s="217" t="s">
        <v>62</v>
      </c>
      <c r="G44" s="217">
        <v>16006.678947</v>
      </c>
      <c r="H44" s="217" t="s">
        <v>25</v>
      </c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</row>
    <row r="45" ht="15.75" hidden="1" customHeight="1">
      <c r="A45" s="217" t="s">
        <v>18</v>
      </c>
      <c r="B45" s="217" t="s">
        <v>60</v>
      </c>
      <c r="C45" s="217" t="s">
        <v>20</v>
      </c>
      <c r="D45" s="217" t="s">
        <v>21</v>
      </c>
      <c r="E45" s="217" t="s">
        <v>61</v>
      </c>
      <c r="F45" s="217" t="s">
        <v>62</v>
      </c>
      <c r="G45" s="217">
        <v>15686.20395</v>
      </c>
      <c r="H45" s="217" t="s">
        <v>26</v>
      </c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</row>
    <row r="46" ht="15.75" hidden="1" customHeight="1">
      <c r="A46" s="217" t="s">
        <v>18</v>
      </c>
      <c r="B46" s="217" t="s">
        <v>60</v>
      </c>
      <c r="C46" s="217" t="s">
        <v>20</v>
      </c>
      <c r="D46" s="217" t="s">
        <v>21</v>
      </c>
      <c r="E46" s="217" t="s">
        <v>61</v>
      </c>
      <c r="F46" s="217" t="s">
        <v>62</v>
      </c>
      <c r="G46" s="217">
        <v>15964.552952</v>
      </c>
      <c r="H46" s="217" t="s">
        <v>24</v>
      </c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</row>
    <row r="47" ht="15.75" hidden="1" customHeight="1">
      <c r="A47" s="217" t="s">
        <v>18</v>
      </c>
      <c r="B47" s="217" t="s">
        <v>63</v>
      </c>
      <c r="C47" s="217" t="s">
        <v>20</v>
      </c>
      <c r="D47" s="217" t="s">
        <v>21</v>
      </c>
      <c r="E47" s="217" t="s">
        <v>22</v>
      </c>
      <c r="F47" s="217" t="s">
        <v>64</v>
      </c>
      <c r="G47" s="217">
        <v>14885.846693</v>
      </c>
      <c r="H47" s="217" t="s">
        <v>24</v>
      </c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</row>
    <row r="48" ht="15.75" hidden="1" customHeight="1">
      <c r="A48" s="217" t="s">
        <v>18</v>
      </c>
      <c r="B48" s="217" t="s">
        <v>63</v>
      </c>
      <c r="C48" s="217" t="s">
        <v>20</v>
      </c>
      <c r="D48" s="217" t="s">
        <v>21</v>
      </c>
      <c r="E48" s="217" t="s">
        <v>22</v>
      </c>
      <c r="F48" s="217" t="s">
        <v>64</v>
      </c>
      <c r="G48" s="217">
        <v>17068.442615</v>
      </c>
      <c r="H48" s="217" t="s">
        <v>25</v>
      </c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</row>
    <row r="49" ht="15.75" hidden="1" customHeight="1">
      <c r="A49" s="217" t="s">
        <v>18</v>
      </c>
      <c r="B49" s="217" t="s">
        <v>63</v>
      </c>
      <c r="C49" s="217" t="s">
        <v>20</v>
      </c>
      <c r="D49" s="217" t="s">
        <v>21</v>
      </c>
      <c r="E49" s="217" t="s">
        <v>22</v>
      </c>
      <c r="F49" s="217" t="s">
        <v>64</v>
      </c>
      <c r="G49" s="217">
        <v>16766.51173</v>
      </c>
      <c r="H49" s="217" t="s">
        <v>26</v>
      </c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</row>
    <row r="50" ht="15.75" hidden="1" customHeight="1">
      <c r="A50" s="217" t="s">
        <v>18</v>
      </c>
      <c r="B50" s="221" t="s">
        <v>65</v>
      </c>
      <c r="C50" s="222" t="s">
        <v>66</v>
      </c>
      <c r="D50" s="219" t="s">
        <v>67</v>
      </c>
      <c r="E50" s="216"/>
      <c r="F50" s="221" t="s">
        <v>65</v>
      </c>
      <c r="G50" s="218">
        <f>nom_interna!C4+nom_interna!I4 + 131250</f>
        <v>143227.36</v>
      </c>
      <c r="H50" s="217" t="s">
        <v>24</v>
      </c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</row>
    <row r="51" ht="15.75" hidden="1" customHeight="1">
      <c r="A51" s="217" t="s">
        <v>18</v>
      </c>
      <c r="B51" s="221" t="s">
        <v>65</v>
      </c>
      <c r="C51" s="222" t="s">
        <v>66</v>
      </c>
      <c r="D51" s="219" t="s">
        <v>67</v>
      </c>
      <c r="E51" s="216"/>
      <c r="F51" s="221" t="s">
        <v>65</v>
      </c>
      <c r="G51" s="218">
        <f>nom_interna!C19+nom_interna!I20 + 131250</f>
        <v>143228.86</v>
      </c>
      <c r="H51" s="219" t="s">
        <v>26</v>
      </c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</row>
    <row r="52" ht="15.75" hidden="1" customHeight="1">
      <c r="A52" s="217" t="s">
        <v>18</v>
      </c>
      <c r="B52" s="221" t="s">
        <v>65</v>
      </c>
      <c r="C52" s="222" t="s">
        <v>66</v>
      </c>
      <c r="D52" s="219" t="s">
        <v>67</v>
      </c>
      <c r="E52" s="216"/>
      <c r="F52" s="221" t="s">
        <v>65</v>
      </c>
      <c r="G52" s="218">
        <f>nom_interna!C45+nom_interna!I43 + 131250</f>
        <v>143228.86</v>
      </c>
      <c r="H52" s="219" t="s">
        <v>25</v>
      </c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</row>
    <row r="53" ht="15.75" hidden="1" customHeight="1">
      <c r="A53" s="217" t="s">
        <v>18</v>
      </c>
      <c r="B53" s="221" t="s">
        <v>65</v>
      </c>
      <c r="C53" s="222" t="s">
        <v>66</v>
      </c>
      <c r="D53" s="219" t="s">
        <v>67</v>
      </c>
      <c r="E53" s="216"/>
      <c r="F53" s="221" t="s">
        <v>65</v>
      </c>
      <c r="G53" s="218">
        <f>nom_interna!C97+nom_interna!I97 + 131250</f>
        <v>143228.86</v>
      </c>
      <c r="H53" s="219" t="s">
        <v>27</v>
      </c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</row>
    <row r="54" ht="15.75" hidden="1" customHeight="1">
      <c r="A54" s="217" t="s">
        <v>18</v>
      </c>
      <c r="B54" s="223" t="s">
        <v>68</v>
      </c>
      <c r="C54" s="219" t="s">
        <v>20</v>
      </c>
      <c r="D54" s="219" t="s">
        <v>21</v>
      </c>
      <c r="E54" s="216"/>
      <c r="F54" s="223" t="s">
        <v>68</v>
      </c>
      <c r="G54" s="218">
        <f>nom_interna!C5+nom_interna!I5</f>
        <v>20127.76</v>
      </c>
      <c r="H54" s="217" t="s">
        <v>24</v>
      </c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</row>
    <row r="55" ht="15.75" hidden="1" customHeight="1">
      <c r="A55" s="217" t="s">
        <v>18</v>
      </c>
      <c r="B55" s="224" t="s">
        <v>70</v>
      </c>
      <c r="C55" s="219" t="s">
        <v>66</v>
      </c>
      <c r="D55" s="219" t="s">
        <v>371</v>
      </c>
      <c r="E55" s="216"/>
      <c r="F55" s="221" t="s">
        <v>69</v>
      </c>
      <c r="G55" s="225">
        <f>nom_interna!C6+nom_interna!I6</f>
        <v>12999.9</v>
      </c>
      <c r="H55" s="217" t="s">
        <v>24</v>
      </c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</row>
    <row r="56" ht="15.75" hidden="1" customHeight="1">
      <c r="A56" s="217" t="s">
        <v>18</v>
      </c>
      <c r="B56" s="224" t="s">
        <v>70</v>
      </c>
      <c r="C56" s="219" t="s">
        <v>66</v>
      </c>
      <c r="D56" s="219" t="s">
        <v>371</v>
      </c>
      <c r="E56" s="216"/>
      <c r="F56" s="221" t="s">
        <v>69</v>
      </c>
      <c r="G56" s="218">
        <f>nom_interna!C21+nom_interna!I22</f>
        <v>12999.9</v>
      </c>
      <c r="H56" s="219" t="s">
        <v>26</v>
      </c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</row>
    <row r="57" ht="15.75" hidden="1" customHeight="1">
      <c r="A57" s="217" t="s">
        <v>18</v>
      </c>
      <c r="B57" s="224" t="s">
        <v>70</v>
      </c>
      <c r="C57" s="219" t="s">
        <v>66</v>
      </c>
      <c r="D57" s="219" t="s">
        <v>371</v>
      </c>
      <c r="E57" s="216"/>
      <c r="F57" s="221" t="s">
        <v>69</v>
      </c>
      <c r="G57" s="218">
        <f>nom_interna!C47+nom_interna!I45</f>
        <v>12999.9</v>
      </c>
      <c r="H57" s="219" t="s">
        <v>25</v>
      </c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</row>
    <row r="58" ht="15.75" hidden="1" customHeight="1">
      <c r="A58" s="217" t="s">
        <v>18</v>
      </c>
      <c r="B58" s="224" t="s">
        <v>70</v>
      </c>
      <c r="C58" s="219" t="s">
        <v>66</v>
      </c>
      <c r="D58" s="219" t="s">
        <v>371</v>
      </c>
      <c r="E58" s="216"/>
      <c r="F58" s="221" t="s">
        <v>69</v>
      </c>
      <c r="G58" s="218">
        <v>12999.9</v>
      </c>
      <c r="H58" s="219" t="s">
        <v>27</v>
      </c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</row>
    <row r="59" ht="15.75" hidden="1" customHeight="1">
      <c r="A59" s="217" t="s">
        <v>18</v>
      </c>
      <c r="B59" s="224" t="s">
        <v>70</v>
      </c>
      <c r="C59" s="219" t="s">
        <v>66</v>
      </c>
      <c r="D59" s="219" t="s">
        <v>371</v>
      </c>
      <c r="E59" s="216"/>
      <c r="F59" s="221" t="s">
        <v>71</v>
      </c>
      <c r="G59" s="218">
        <f>nom_interna!C8+nom_interna!I8</f>
        <v>12999.9</v>
      </c>
      <c r="H59" s="217" t="s">
        <v>24</v>
      </c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</row>
    <row r="60" ht="15.75" hidden="1" customHeight="1">
      <c r="A60" s="217" t="s">
        <v>18</v>
      </c>
      <c r="B60" s="224" t="s">
        <v>70</v>
      </c>
      <c r="C60" s="219" t="s">
        <v>66</v>
      </c>
      <c r="D60" s="219" t="s">
        <v>371</v>
      </c>
      <c r="E60" s="216"/>
      <c r="F60" s="221" t="s">
        <v>71</v>
      </c>
      <c r="G60" s="218">
        <v>12999.9</v>
      </c>
      <c r="H60" s="219" t="s">
        <v>26</v>
      </c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</row>
    <row r="61" ht="15.75" hidden="1" customHeight="1">
      <c r="A61" s="217" t="s">
        <v>18</v>
      </c>
      <c r="B61" s="224" t="s">
        <v>70</v>
      </c>
      <c r="C61" s="219" t="s">
        <v>66</v>
      </c>
      <c r="D61" s="219" t="s">
        <v>371</v>
      </c>
      <c r="E61" s="216"/>
      <c r="F61" s="221" t="s">
        <v>71</v>
      </c>
      <c r="G61" s="218">
        <v>12999.9</v>
      </c>
      <c r="H61" s="219" t="s">
        <v>25</v>
      </c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</row>
    <row r="62" ht="15.75" hidden="1" customHeight="1">
      <c r="A62" s="217" t="s">
        <v>18</v>
      </c>
      <c r="B62" s="224" t="s">
        <v>70</v>
      </c>
      <c r="C62" s="219" t="s">
        <v>66</v>
      </c>
      <c r="D62" s="219" t="s">
        <v>371</v>
      </c>
      <c r="E62" s="216"/>
      <c r="F62" s="221" t="s">
        <v>71</v>
      </c>
      <c r="G62" s="218">
        <v>12999.9</v>
      </c>
      <c r="H62" s="219" t="s">
        <v>27</v>
      </c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</row>
    <row r="63" ht="15.75" hidden="1" customHeight="1">
      <c r="A63" s="217" t="s">
        <v>18</v>
      </c>
      <c r="B63" s="221" t="s">
        <v>72</v>
      </c>
      <c r="C63" s="219" t="s">
        <v>31</v>
      </c>
      <c r="D63" s="219" t="s">
        <v>47</v>
      </c>
      <c r="E63" s="216"/>
      <c r="F63" s="221" t="s">
        <v>72</v>
      </c>
      <c r="G63" s="218">
        <f>nom_interna!C11+nom_interna!I11</f>
        <v>16219.1</v>
      </c>
      <c r="H63" s="217" t="s">
        <v>24</v>
      </c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</row>
    <row r="64" ht="15.75" hidden="1" customHeight="1">
      <c r="A64" s="217" t="s">
        <v>18</v>
      </c>
      <c r="B64" s="221" t="s">
        <v>72</v>
      </c>
      <c r="C64" s="219" t="s">
        <v>31</v>
      </c>
      <c r="D64" s="219" t="s">
        <v>47</v>
      </c>
      <c r="E64" s="216"/>
      <c r="F64" s="221" t="s">
        <v>72</v>
      </c>
      <c r="G64" s="218">
        <f>nom_interna!C26+nom_interna!I27</f>
        <v>22000.14</v>
      </c>
      <c r="H64" s="219" t="s">
        <v>26</v>
      </c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</row>
    <row r="65" ht="15.75" hidden="1" customHeight="1">
      <c r="A65" s="217" t="s">
        <v>18</v>
      </c>
      <c r="B65" s="221" t="s">
        <v>72</v>
      </c>
      <c r="C65" s="219" t="s">
        <v>31</v>
      </c>
      <c r="D65" s="219" t="s">
        <v>47</v>
      </c>
      <c r="E65" s="216"/>
      <c r="F65" s="221" t="s">
        <v>72</v>
      </c>
      <c r="G65" s="218">
        <f>nom_interna!C52+nom_interna!I50</f>
        <v>22000.14</v>
      </c>
      <c r="H65" s="219" t="s">
        <v>25</v>
      </c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</row>
    <row r="66" ht="15.75" hidden="1" customHeight="1">
      <c r="A66" s="217" t="s">
        <v>18</v>
      </c>
      <c r="B66" s="221" t="s">
        <v>72</v>
      </c>
      <c r="C66" s="219" t="s">
        <v>31</v>
      </c>
      <c r="D66" s="219" t="s">
        <v>47</v>
      </c>
      <c r="E66" s="216"/>
      <c r="F66" s="221" t="s">
        <v>72</v>
      </c>
      <c r="G66" s="218">
        <f>nom_interna!C104+nom_interna!I104</f>
        <v>22000.14</v>
      </c>
      <c r="H66" s="219" t="s">
        <v>27</v>
      </c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</row>
    <row r="67" ht="15.75" hidden="1" customHeight="1">
      <c r="A67" s="217" t="s">
        <v>18</v>
      </c>
      <c r="B67" s="223" t="s">
        <v>73</v>
      </c>
      <c r="C67" s="219" t="s">
        <v>20</v>
      </c>
      <c r="D67" s="219" t="s">
        <v>21</v>
      </c>
      <c r="E67" s="216"/>
      <c r="F67" s="223" t="s">
        <v>73</v>
      </c>
      <c r="G67" s="218">
        <f>nom_interna!C12+nom_interna!I12</f>
        <v>5192.95</v>
      </c>
      <c r="H67" s="217" t="s">
        <v>24</v>
      </c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</row>
    <row r="68" ht="15.75" hidden="1" customHeight="1">
      <c r="A68" s="217" t="s">
        <v>18</v>
      </c>
      <c r="B68" s="223" t="s">
        <v>73</v>
      </c>
      <c r="C68" s="219" t="s">
        <v>20</v>
      </c>
      <c r="D68" s="219" t="s">
        <v>21</v>
      </c>
      <c r="E68" s="216"/>
      <c r="F68" s="223" t="s">
        <v>73</v>
      </c>
      <c r="G68" s="218">
        <f>nom_interna!C27+nom_interna!I28</f>
        <v>12182.49</v>
      </c>
      <c r="H68" s="219" t="s">
        <v>26</v>
      </c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</row>
    <row r="69" ht="15.75" hidden="1" customHeight="1">
      <c r="A69" s="217" t="s">
        <v>18</v>
      </c>
      <c r="B69" s="223" t="s">
        <v>73</v>
      </c>
      <c r="C69" s="219" t="s">
        <v>20</v>
      </c>
      <c r="D69" s="219" t="s">
        <v>21</v>
      </c>
      <c r="E69" s="216"/>
      <c r="F69" s="223" t="s">
        <v>73</v>
      </c>
      <c r="G69" s="218">
        <f>nom_interna!C53+nom_interna!I51</f>
        <v>13977.58</v>
      </c>
      <c r="H69" s="219" t="s">
        <v>25</v>
      </c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</row>
    <row r="70" ht="15.75" hidden="1" customHeight="1">
      <c r="A70" s="217" t="s">
        <v>18</v>
      </c>
      <c r="B70" s="223" t="s">
        <v>73</v>
      </c>
      <c r="C70" s="219" t="s">
        <v>20</v>
      </c>
      <c r="D70" s="219" t="s">
        <v>21</v>
      </c>
      <c r="E70" s="216"/>
      <c r="F70" s="223" t="s">
        <v>73</v>
      </c>
      <c r="G70" s="218">
        <f>nom_interna!C105+nom_interna!I105</f>
        <v>13977.58</v>
      </c>
      <c r="H70" s="219" t="s">
        <v>27</v>
      </c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</row>
    <row r="71" ht="15.75" hidden="1" customHeight="1">
      <c r="A71" s="217" t="s">
        <v>18</v>
      </c>
      <c r="B71" s="217" t="s">
        <v>74</v>
      </c>
      <c r="C71" s="217" t="s">
        <v>31</v>
      </c>
      <c r="D71" s="217" t="s">
        <v>75</v>
      </c>
      <c r="E71" s="216"/>
      <c r="F71" s="217" t="s">
        <v>76</v>
      </c>
      <c r="G71" s="217">
        <v>30450.0</v>
      </c>
      <c r="H71" s="217" t="s">
        <v>24</v>
      </c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</row>
    <row r="72" ht="15.75" hidden="1" customHeight="1">
      <c r="A72" s="217" t="s">
        <v>18</v>
      </c>
      <c r="B72" s="217" t="s">
        <v>74</v>
      </c>
      <c r="C72" s="217" t="s">
        <v>31</v>
      </c>
      <c r="D72" s="217" t="s">
        <v>75</v>
      </c>
      <c r="E72" s="216"/>
      <c r="F72" s="217" t="s">
        <v>76</v>
      </c>
      <c r="G72" s="217">
        <v>30450.0</v>
      </c>
      <c r="H72" s="217" t="s">
        <v>25</v>
      </c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</row>
    <row r="73" ht="15.75" hidden="1" customHeight="1">
      <c r="A73" s="217" t="s">
        <v>18</v>
      </c>
      <c r="B73" s="217" t="s">
        <v>74</v>
      </c>
      <c r="C73" s="217" t="s">
        <v>31</v>
      </c>
      <c r="D73" s="217" t="s">
        <v>75</v>
      </c>
      <c r="E73" s="216"/>
      <c r="F73" s="217" t="s">
        <v>76</v>
      </c>
      <c r="G73" s="217">
        <v>30450.0</v>
      </c>
      <c r="H73" s="217" t="s">
        <v>26</v>
      </c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</row>
    <row r="74" ht="15.75" hidden="1" customHeight="1">
      <c r="A74" s="217" t="s">
        <v>18</v>
      </c>
      <c r="B74" s="217" t="s">
        <v>77</v>
      </c>
      <c r="C74" s="217" t="s">
        <v>31</v>
      </c>
      <c r="D74" s="217" t="s">
        <v>54</v>
      </c>
      <c r="E74" s="216"/>
      <c r="F74" s="217" t="s">
        <v>78</v>
      </c>
      <c r="G74" s="217">
        <v>23583.237293</v>
      </c>
      <c r="H74" s="217" t="s">
        <v>25</v>
      </c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</row>
    <row r="75" ht="15.75" hidden="1" customHeight="1">
      <c r="A75" s="217" t="s">
        <v>18</v>
      </c>
      <c r="B75" s="217" t="s">
        <v>77</v>
      </c>
      <c r="C75" s="217" t="s">
        <v>31</v>
      </c>
      <c r="D75" s="217" t="s">
        <v>54</v>
      </c>
      <c r="E75" s="216"/>
      <c r="F75" s="217" t="s">
        <v>78</v>
      </c>
      <c r="G75" s="217">
        <v>13045.633175</v>
      </c>
      <c r="H75" s="217" t="s">
        <v>26</v>
      </c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</row>
    <row r="76" ht="15.75" hidden="1" customHeight="1">
      <c r="A76" s="217" t="s">
        <v>18</v>
      </c>
      <c r="B76" s="217" t="s">
        <v>77</v>
      </c>
      <c r="C76" s="217" t="s">
        <v>31</v>
      </c>
      <c r="D76" s="217" t="s">
        <v>54</v>
      </c>
      <c r="E76" s="216"/>
      <c r="F76" s="217" t="s">
        <v>78</v>
      </c>
      <c r="G76" s="217">
        <v>13291.944052</v>
      </c>
      <c r="H76" s="217" t="s">
        <v>24</v>
      </c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</row>
    <row r="77" ht="15.75" hidden="1" customHeight="1">
      <c r="A77" s="217" t="s">
        <v>18</v>
      </c>
      <c r="B77" s="217" t="s">
        <v>79</v>
      </c>
      <c r="C77" s="217" t="s">
        <v>20</v>
      </c>
      <c r="D77" s="217" t="s">
        <v>54</v>
      </c>
      <c r="E77" s="216"/>
      <c r="F77" s="217" t="s">
        <v>80</v>
      </c>
      <c r="G77" s="217">
        <v>16300.94857</v>
      </c>
      <c r="H77" s="217" t="s">
        <v>26</v>
      </c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</row>
    <row r="78" ht="15.75" hidden="1" customHeight="1">
      <c r="A78" s="217" t="s">
        <v>18</v>
      </c>
      <c r="B78" s="217" t="s">
        <v>79</v>
      </c>
      <c r="C78" s="217" t="s">
        <v>20</v>
      </c>
      <c r="D78" s="217" t="s">
        <v>54</v>
      </c>
      <c r="E78" s="216"/>
      <c r="F78" s="217" t="s">
        <v>80</v>
      </c>
      <c r="G78" s="217">
        <v>16669.545683</v>
      </c>
      <c r="H78" s="217" t="s">
        <v>24</v>
      </c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</row>
    <row r="79" ht="15.75" hidden="1" customHeight="1">
      <c r="A79" s="217" t="s">
        <v>18</v>
      </c>
      <c r="B79" s="217" t="s">
        <v>79</v>
      </c>
      <c r="C79" s="217" t="s">
        <v>20</v>
      </c>
      <c r="D79" s="217" t="s">
        <v>54</v>
      </c>
      <c r="E79" s="216"/>
      <c r="F79" s="217" t="s">
        <v>80</v>
      </c>
      <c r="G79" s="217">
        <v>16518.122589</v>
      </c>
      <c r="H79" s="217" t="s">
        <v>25</v>
      </c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</row>
    <row r="80" ht="15.75" hidden="1" customHeight="1">
      <c r="A80" s="217" t="s">
        <v>18</v>
      </c>
      <c r="B80" s="217" t="s">
        <v>81</v>
      </c>
      <c r="C80" s="217" t="s">
        <v>31</v>
      </c>
      <c r="D80" s="217" t="s">
        <v>47</v>
      </c>
      <c r="E80" s="216"/>
      <c r="F80" s="217" t="s">
        <v>82</v>
      </c>
      <c r="G80" s="217">
        <v>18843.097092</v>
      </c>
      <c r="H80" s="217" t="s">
        <v>26</v>
      </c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</row>
    <row r="81" ht="15.75" hidden="1" customHeight="1">
      <c r="A81" s="217" t="s">
        <v>18</v>
      </c>
      <c r="B81" s="217" t="s">
        <v>81</v>
      </c>
      <c r="C81" s="217" t="s">
        <v>31</v>
      </c>
      <c r="D81" s="217" t="s">
        <v>47</v>
      </c>
      <c r="E81" s="216"/>
      <c r="F81" s="217" t="s">
        <v>82</v>
      </c>
      <c r="G81" s="217">
        <v>15931.39405</v>
      </c>
      <c r="H81" s="217" t="s">
        <v>24</v>
      </c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</row>
    <row r="82" ht="15.75" hidden="1" customHeight="1">
      <c r="A82" s="217" t="s">
        <v>18</v>
      </c>
      <c r="B82" s="217" t="s">
        <v>81</v>
      </c>
      <c r="C82" s="217" t="s">
        <v>31</v>
      </c>
      <c r="D82" s="217" t="s">
        <v>47</v>
      </c>
      <c r="E82" s="216"/>
      <c r="F82" s="217" t="s">
        <v>82</v>
      </c>
      <c r="G82" s="217">
        <v>19074.754614</v>
      </c>
      <c r="H82" s="217" t="s">
        <v>25</v>
      </c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</row>
    <row r="83" ht="15.75" hidden="1" customHeight="1">
      <c r="A83" s="217" t="s">
        <v>18</v>
      </c>
      <c r="B83" s="217" t="s">
        <v>83</v>
      </c>
      <c r="C83" s="217" t="s">
        <v>31</v>
      </c>
      <c r="D83" s="217" t="s">
        <v>38</v>
      </c>
      <c r="E83" s="216"/>
      <c r="F83" s="217" t="s">
        <v>84</v>
      </c>
      <c r="G83" s="217">
        <v>14165.15378</v>
      </c>
      <c r="H83" s="217" t="s">
        <v>26</v>
      </c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</row>
    <row r="84" ht="15.75" hidden="1" customHeight="1">
      <c r="A84" s="217" t="s">
        <v>18</v>
      </c>
      <c r="B84" s="217" t="s">
        <v>83</v>
      </c>
      <c r="C84" s="217" t="s">
        <v>31</v>
      </c>
      <c r="D84" s="217" t="s">
        <v>38</v>
      </c>
      <c r="E84" s="216"/>
      <c r="F84" s="217" t="s">
        <v>84</v>
      </c>
      <c r="G84" s="217">
        <v>14432.174718</v>
      </c>
      <c r="H84" s="217" t="s">
        <v>24</v>
      </c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</row>
    <row r="85" ht="15.75" hidden="1" customHeight="1">
      <c r="A85" s="217" t="s">
        <v>18</v>
      </c>
      <c r="B85" s="217" t="s">
        <v>83</v>
      </c>
      <c r="C85" s="217" t="s">
        <v>31</v>
      </c>
      <c r="D85" s="217" t="s">
        <v>38</v>
      </c>
      <c r="E85" s="216"/>
      <c r="F85" s="217" t="s">
        <v>84</v>
      </c>
      <c r="G85" s="217">
        <v>14418.282958</v>
      </c>
      <c r="H85" s="217" t="s">
        <v>25</v>
      </c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</row>
    <row r="86" ht="15.75" hidden="1" customHeight="1">
      <c r="A86" s="217" t="s">
        <v>18</v>
      </c>
      <c r="B86" s="217" t="s">
        <v>85</v>
      </c>
      <c r="C86" s="217" t="s">
        <v>20</v>
      </c>
      <c r="D86" s="217" t="s">
        <v>21</v>
      </c>
      <c r="E86" s="217" t="s">
        <v>44</v>
      </c>
      <c r="F86" s="217" t="s">
        <v>86</v>
      </c>
      <c r="G86" s="217">
        <v>15633.097092</v>
      </c>
      <c r="H86" s="217" t="s">
        <v>26</v>
      </c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</row>
    <row r="87" ht="15.75" hidden="1" customHeight="1">
      <c r="A87" s="217" t="s">
        <v>18</v>
      </c>
      <c r="B87" s="217" t="s">
        <v>85</v>
      </c>
      <c r="C87" s="217" t="s">
        <v>20</v>
      </c>
      <c r="D87" s="217" t="s">
        <v>21</v>
      </c>
      <c r="E87" s="217" t="s">
        <v>44</v>
      </c>
      <c r="F87" s="217" t="s">
        <v>86</v>
      </c>
      <c r="G87" s="217">
        <v>3181.752788</v>
      </c>
      <c r="H87" s="217" t="s">
        <v>24</v>
      </c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</row>
    <row r="88" ht="15.75" hidden="1" customHeight="1">
      <c r="A88" s="217" t="s">
        <v>18</v>
      </c>
      <c r="B88" s="217" t="s">
        <v>85</v>
      </c>
      <c r="C88" s="217" t="s">
        <v>20</v>
      </c>
      <c r="D88" s="217" t="s">
        <v>21</v>
      </c>
      <c r="E88" s="217" t="s">
        <v>44</v>
      </c>
      <c r="F88" s="217" t="s">
        <v>86</v>
      </c>
      <c r="G88" s="217">
        <v>15924.754614</v>
      </c>
      <c r="H88" s="217" t="s">
        <v>25</v>
      </c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</row>
    <row r="89" ht="15.75" hidden="1" customHeight="1">
      <c r="A89" s="217" t="s">
        <v>18</v>
      </c>
      <c r="B89" s="217" t="s">
        <v>87</v>
      </c>
      <c r="C89" s="217" t="s">
        <v>20</v>
      </c>
      <c r="D89" s="217" t="s">
        <v>21</v>
      </c>
      <c r="E89" s="217" t="s">
        <v>44</v>
      </c>
      <c r="F89" s="217" t="s">
        <v>88</v>
      </c>
      <c r="G89" s="217">
        <v>17051.678181</v>
      </c>
      <c r="H89" s="217" t="s">
        <v>24</v>
      </c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</row>
    <row r="90" ht="15.75" hidden="1" customHeight="1">
      <c r="A90" s="217" t="s">
        <v>18</v>
      </c>
      <c r="B90" s="217" t="s">
        <v>87</v>
      </c>
      <c r="C90" s="217" t="s">
        <v>20</v>
      </c>
      <c r="D90" s="217" t="s">
        <v>21</v>
      </c>
      <c r="E90" s="217" t="s">
        <v>44</v>
      </c>
      <c r="F90" s="217" t="s">
        <v>88</v>
      </c>
      <c r="G90" s="217">
        <v>8493.071037</v>
      </c>
      <c r="H90" s="217" t="s">
        <v>26</v>
      </c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</row>
    <row r="91" ht="15.75" hidden="1" customHeight="1">
      <c r="A91" s="217" t="s">
        <v>18</v>
      </c>
      <c r="B91" s="217" t="s">
        <v>89</v>
      </c>
      <c r="C91" s="217" t="s">
        <v>20</v>
      </c>
      <c r="D91" s="217" t="s">
        <v>21</v>
      </c>
      <c r="E91" s="217" t="s">
        <v>1649</v>
      </c>
      <c r="F91" s="217" t="s">
        <v>90</v>
      </c>
      <c r="G91" s="217">
        <v>14652.097092</v>
      </c>
      <c r="H91" s="217" t="s">
        <v>26</v>
      </c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</row>
    <row r="92" ht="15.75" hidden="1" customHeight="1">
      <c r="A92" s="217" t="s">
        <v>18</v>
      </c>
      <c r="B92" s="217" t="s">
        <v>89</v>
      </c>
      <c r="C92" s="217" t="s">
        <v>20</v>
      </c>
      <c r="D92" s="217" t="s">
        <v>21</v>
      </c>
      <c r="E92" s="217" t="s">
        <v>1649</v>
      </c>
      <c r="F92" s="217" t="s">
        <v>90</v>
      </c>
      <c r="G92" s="217">
        <v>13969.39405</v>
      </c>
      <c r="H92" s="217" t="s">
        <v>24</v>
      </c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</row>
    <row r="93" ht="15.75" hidden="1" customHeight="1">
      <c r="A93" s="217" t="s">
        <v>18</v>
      </c>
      <c r="B93" s="217" t="s">
        <v>89</v>
      </c>
      <c r="C93" s="217" t="s">
        <v>20</v>
      </c>
      <c r="D93" s="217" t="s">
        <v>21</v>
      </c>
      <c r="E93" s="217" t="s">
        <v>1649</v>
      </c>
      <c r="F93" s="217" t="s">
        <v>90</v>
      </c>
      <c r="G93" s="217">
        <v>15924.754614</v>
      </c>
      <c r="H93" s="217" t="s">
        <v>25</v>
      </c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</row>
    <row r="94" ht="15.75" hidden="1" customHeight="1">
      <c r="A94" s="217" t="s">
        <v>18</v>
      </c>
      <c r="B94" s="217" t="s">
        <v>91</v>
      </c>
      <c r="C94" s="217" t="s">
        <v>66</v>
      </c>
      <c r="D94" s="217" t="s">
        <v>54</v>
      </c>
      <c r="E94" s="216"/>
      <c r="F94" s="217" t="s">
        <v>92</v>
      </c>
      <c r="G94" s="217">
        <v>17571.832089</v>
      </c>
      <c r="H94" s="217" t="s">
        <v>25</v>
      </c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</row>
    <row r="95" ht="15.75" hidden="1" customHeight="1">
      <c r="A95" s="217" t="s">
        <v>18</v>
      </c>
      <c r="B95" s="217" t="s">
        <v>91</v>
      </c>
      <c r="C95" s="217" t="s">
        <v>66</v>
      </c>
      <c r="D95" s="217" t="s">
        <v>54</v>
      </c>
      <c r="E95" s="216"/>
      <c r="F95" s="217" t="s">
        <v>92</v>
      </c>
      <c r="G95" s="217">
        <v>17355.964058</v>
      </c>
      <c r="H95" s="217" t="s">
        <v>26</v>
      </c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</row>
    <row r="96" ht="15.75" hidden="1" customHeight="1">
      <c r="A96" s="217" t="s">
        <v>18</v>
      </c>
      <c r="B96" s="217" t="s">
        <v>91</v>
      </c>
      <c r="C96" s="217" t="s">
        <v>66</v>
      </c>
      <c r="D96" s="217" t="s">
        <v>54</v>
      </c>
      <c r="E96" s="216"/>
      <c r="F96" s="217" t="s">
        <v>92</v>
      </c>
      <c r="G96" s="217">
        <v>17763.364907</v>
      </c>
      <c r="H96" s="217" t="s">
        <v>24</v>
      </c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</row>
    <row r="97" ht="15.75" hidden="1" customHeight="1">
      <c r="A97" s="217" t="s">
        <v>18</v>
      </c>
      <c r="B97" s="217" t="s">
        <v>1147</v>
      </c>
      <c r="C97" s="217" t="s">
        <v>20</v>
      </c>
      <c r="D97" s="217" t="s">
        <v>21</v>
      </c>
      <c r="E97" s="217" t="s">
        <v>1650</v>
      </c>
      <c r="F97" s="217" t="s">
        <v>94</v>
      </c>
      <c r="G97" s="217">
        <v>26433.84557</v>
      </c>
      <c r="H97" s="217" t="s">
        <v>25</v>
      </c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</row>
    <row r="98" ht="15.75" hidden="1" customHeight="1">
      <c r="A98" s="217" t="s">
        <v>18</v>
      </c>
      <c r="B98" s="217" t="s">
        <v>1147</v>
      </c>
      <c r="C98" s="217" t="s">
        <v>20</v>
      </c>
      <c r="D98" s="217" t="s">
        <v>21</v>
      </c>
      <c r="E98" s="217" t="s">
        <v>1650</v>
      </c>
      <c r="F98" s="217" t="s">
        <v>94</v>
      </c>
      <c r="G98" s="217">
        <v>18888.877198</v>
      </c>
      <c r="H98" s="217" t="s">
        <v>26</v>
      </c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</row>
    <row r="99" ht="15.75" hidden="1" customHeight="1">
      <c r="A99" s="217" t="s">
        <v>18</v>
      </c>
      <c r="B99" s="217" t="s">
        <v>1147</v>
      </c>
      <c r="C99" s="217" t="s">
        <v>20</v>
      </c>
      <c r="D99" s="217" t="s">
        <v>21</v>
      </c>
      <c r="E99" s="217" t="s">
        <v>1650</v>
      </c>
      <c r="F99" s="217" t="s">
        <v>94</v>
      </c>
      <c r="G99" s="217">
        <v>20299.69469</v>
      </c>
      <c r="H99" s="217" t="s">
        <v>24</v>
      </c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</row>
    <row r="100" ht="15.75" hidden="1" customHeight="1">
      <c r="A100" s="217" t="s">
        <v>18</v>
      </c>
      <c r="B100" s="217" t="s">
        <v>95</v>
      </c>
      <c r="C100" s="217" t="s">
        <v>20</v>
      </c>
      <c r="D100" s="217" t="s">
        <v>21</v>
      </c>
      <c r="E100" s="216"/>
      <c r="F100" s="217" t="s">
        <v>96</v>
      </c>
      <c r="G100" s="217">
        <v>16929.069051</v>
      </c>
      <c r="H100" s="217" t="s">
        <v>25</v>
      </c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</row>
    <row r="101" ht="15.75" hidden="1" customHeight="1">
      <c r="A101" s="217" t="s">
        <v>18</v>
      </c>
      <c r="B101" s="217" t="s">
        <v>95</v>
      </c>
      <c r="C101" s="217" t="s">
        <v>20</v>
      </c>
      <c r="D101" s="217" t="s">
        <v>21</v>
      </c>
      <c r="E101" s="216"/>
      <c r="F101" s="217" t="s">
        <v>96</v>
      </c>
      <c r="G101" s="217">
        <v>4494.62529</v>
      </c>
      <c r="H101" s="217" t="s">
        <v>26</v>
      </c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</row>
    <row r="102" ht="15.75" hidden="1" customHeight="1">
      <c r="A102" s="217" t="s">
        <v>18</v>
      </c>
      <c r="B102" s="217" t="s">
        <v>97</v>
      </c>
      <c r="C102" s="217" t="s">
        <v>31</v>
      </c>
      <c r="D102" s="217" t="s">
        <v>98</v>
      </c>
      <c r="E102" s="216"/>
      <c r="F102" s="217" t="s">
        <v>99</v>
      </c>
      <c r="G102" s="217">
        <v>19146.252292</v>
      </c>
      <c r="H102" s="217" t="s">
        <v>25</v>
      </c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</row>
    <row r="103" ht="15.75" hidden="1" customHeight="1">
      <c r="A103" s="217" t="s">
        <v>18</v>
      </c>
      <c r="B103" s="217" t="s">
        <v>97</v>
      </c>
      <c r="C103" s="217" t="s">
        <v>31</v>
      </c>
      <c r="D103" s="217" t="s">
        <v>98</v>
      </c>
      <c r="E103" s="216"/>
      <c r="F103" s="217" t="s">
        <v>99</v>
      </c>
      <c r="G103" s="217">
        <v>15198.144052</v>
      </c>
      <c r="H103" s="217" t="s">
        <v>24</v>
      </c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</row>
    <row r="104" ht="15.75" hidden="1" customHeight="1">
      <c r="A104" s="217" t="s">
        <v>18</v>
      </c>
      <c r="B104" s="217" t="s">
        <v>97</v>
      </c>
      <c r="C104" s="217" t="s">
        <v>31</v>
      </c>
      <c r="D104" s="217" t="s">
        <v>98</v>
      </c>
      <c r="E104" s="216"/>
      <c r="F104" s="217" t="s">
        <v>99</v>
      </c>
      <c r="G104" s="217">
        <v>17892.853175</v>
      </c>
      <c r="H104" s="217" t="s">
        <v>26</v>
      </c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</row>
    <row r="105" ht="15.75" hidden="1" customHeight="1">
      <c r="A105" s="217" t="s">
        <v>18</v>
      </c>
      <c r="B105" s="217" t="s">
        <v>100</v>
      </c>
      <c r="C105" s="217" t="s">
        <v>20</v>
      </c>
      <c r="D105" s="217" t="s">
        <v>21</v>
      </c>
      <c r="E105" s="216"/>
      <c r="F105" s="217" t="s">
        <v>101</v>
      </c>
      <c r="G105" s="217">
        <v>7350.0</v>
      </c>
      <c r="H105" s="217" t="s">
        <v>24</v>
      </c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</row>
    <row r="106" ht="15.75" hidden="1" customHeight="1">
      <c r="A106" s="217" t="s">
        <v>18</v>
      </c>
      <c r="B106" s="217" t="s">
        <v>100</v>
      </c>
      <c r="C106" s="217" t="s">
        <v>20</v>
      </c>
      <c r="D106" s="217" t="s">
        <v>21</v>
      </c>
      <c r="E106" s="216"/>
      <c r="F106" s="217" t="s">
        <v>101</v>
      </c>
      <c r="G106" s="217">
        <v>3675.0</v>
      </c>
      <c r="H106" s="217" t="s">
        <v>25</v>
      </c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</row>
    <row r="107" ht="15.75" hidden="1" customHeight="1">
      <c r="A107" s="217" t="s">
        <v>18</v>
      </c>
      <c r="B107" s="217" t="s">
        <v>100</v>
      </c>
      <c r="C107" s="217" t="s">
        <v>20</v>
      </c>
      <c r="D107" s="217" t="s">
        <v>21</v>
      </c>
      <c r="E107" s="216"/>
      <c r="F107" s="217" t="s">
        <v>101</v>
      </c>
      <c r="G107" s="217">
        <v>7350.0</v>
      </c>
      <c r="H107" s="217" t="s">
        <v>26</v>
      </c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</row>
    <row r="108" ht="15.75" hidden="1" customHeight="1">
      <c r="A108" s="217" t="s">
        <v>18</v>
      </c>
      <c r="B108" s="217" t="s">
        <v>102</v>
      </c>
      <c r="C108" s="217" t="s">
        <v>31</v>
      </c>
      <c r="D108" s="217" t="s">
        <v>47</v>
      </c>
      <c r="E108" s="216"/>
      <c r="F108" s="217" t="s">
        <v>103</v>
      </c>
      <c r="G108" s="217">
        <v>20297.06278</v>
      </c>
      <c r="H108" s="217" t="s">
        <v>24</v>
      </c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</row>
    <row r="109" ht="15.75" hidden="1" customHeight="1">
      <c r="A109" s="217" t="s">
        <v>18</v>
      </c>
      <c r="B109" s="217" t="s">
        <v>102</v>
      </c>
      <c r="C109" s="217" t="s">
        <v>31</v>
      </c>
      <c r="D109" s="217" t="s">
        <v>47</v>
      </c>
      <c r="E109" s="216"/>
      <c r="F109" s="217" t="s">
        <v>103</v>
      </c>
      <c r="G109" s="217">
        <v>20130.558316</v>
      </c>
      <c r="H109" s="217" t="s">
        <v>25</v>
      </c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</row>
    <row r="110" ht="15.75" hidden="1" customHeight="1">
      <c r="A110" s="217" t="s">
        <v>18</v>
      </c>
      <c r="B110" s="217" t="s">
        <v>102</v>
      </c>
      <c r="C110" s="217" t="s">
        <v>31</v>
      </c>
      <c r="D110" s="217" t="s">
        <v>47</v>
      </c>
      <c r="E110" s="216"/>
      <c r="F110" s="217" t="s">
        <v>103</v>
      </c>
      <c r="G110" s="217">
        <v>19918.225945</v>
      </c>
      <c r="H110" s="217" t="s">
        <v>26</v>
      </c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</row>
    <row r="111" ht="15.75" hidden="1" customHeight="1">
      <c r="A111" s="217" t="s">
        <v>18</v>
      </c>
      <c r="B111" s="217" t="s">
        <v>104</v>
      </c>
      <c r="C111" s="217" t="s">
        <v>20</v>
      </c>
      <c r="D111" s="217" t="s">
        <v>21</v>
      </c>
      <c r="E111" s="217" t="s">
        <v>35</v>
      </c>
      <c r="F111" s="217" t="s">
        <v>105</v>
      </c>
      <c r="G111" s="217">
        <v>16974.754614</v>
      </c>
      <c r="H111" s="217" t="s">
        <v>25</v>
      </c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</row>
    <row r="112" ht="15.75" hidden="1" customHeight="1">
      <c r="A112" s="217" t="s">
        <v>18</v>
      </c>
      <c r="B112" s="217" t="s">
        <v>104</v>
      </c>
      <c r="C112" s="217" t="s">
        <v>20</v>
      </c>
      <c r="D112" s="217" t="s">
        <v>21</v>
      </c>
      <c r="E112" s="217" t="s">
        <v>35</v>
      </c>
      <c r="F112" s="217" t="s">
        <v>105</v>
      </c>
      <c r="G112" s="217">
        <v>13884.567962</v>
      </c>
      <c r="H112" s="217" t="s">
        <v>26</v>
      </c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</row>
    <row r="113" ht="15.75" hidden="1" customHeight="1">
      <c r="A113" s="217" t="s">
        <v>18</v>
      </c>
      <c r="B113" s="217" t="s">
        <v>106</v>
      </c>
      <c r="C113" s="217" t="s">
        <v>20</v>
      </c>
      <c r="D113" s="217" t="s">
        <v>21</v>
      </c>
      <c r="E113" s="217" t="s">
        <v>35</v>
      </c>
      <c r="F113" s="217" t="s">
        <v>107</v>
      </c>
      <c r="G113" s="217">
        <v>15635.661516</v>
      </c>
      <c r="H113" s="217" t="s">
        <v>26</v>
      </c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</row>
    <row r="114" ht="15.75" hidden="1" customHeight="1">
      <c r="A114" s="217" t="s">
        <v>18</v>
      </c>
      <c r="B114" s="217" t="s">
        <v>106</v>
      </c>
      <c r="C114" s="217" t="s">
        <v>20</v>
      </c>
      <c r="D114" s="217" t="s">
        <v>21</v>
      </c>
      <c r="E114" s="217" t="s">
        <v>35</v>
      </c>
      <c r="F114" s="217" t="s">
        <v>107</v>
      </c>
      <c r="G114" s="217">
        <v>15934.228414</v>
      </c>
      <c r="H114" s="217" t="s">
        <v>24</v>
      </c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</row>
    <row r="115" ht="15.75" hidden="1" customHeight="1">
      <c r="A115" s="217" t="s">
        <v>18</v>
      </c>
      <c r="B115" s="217" t="s">
        <v>106</v>
      </c>
      <c r="C115" s="217" t="s">
        <v>20</v>
      </c>
      <c r="D115" s="217" t="s">
        <v>21</v>
      </c>
      <c r="E115" s="217" t="s">
        <v>35</v>
      </c>
      <c r="F115" s="217" t="s">
        <v>107</v>
      </c>
      <c r="G115" s="217">
        <v>15927.656463</v>
      </c>
      <c r="H115" s="217" t="s">
        <v>25</v>
      </c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</row>
    <row r="116" ht="15.75" hidden="1" customHeight="1">
      <c r="A116" s="217" t="s">
        <v>18</v>
      </c>
      <c r="B116" s="217" t="s">
        <v>108</v>
      </c>
      <c r="C116" s="217" t="s">
        <v>31</v>
      </c>
      <c r="D116" s="217" t="s">
        <v>54</v>
      </c>
      <c r="E116" s="216"/>
      <c r="F116" s="217" t="s">
        <v>109</v>
      </c>
      <c r="G116" s="217">
        <v>23200.97604</v>
      </c>
      <c r="H116" s="217" t="s">
        <v>26</v>
      </c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</row>
    <row r="117" ht="15.75" hidden="1" customHeight="1">
      <c r="A117" s="217" t="s">
        <v>18</v>
      </c>
      <c r="B117" s="217" t="s">
        <v>108</v>
      </c>
      <c r="C117" s="217" t="s">
        <v>31</v>
      </c>
      <c r="D117" s="217" t="s">
        <v>54</v>
      </c>
      <c r="E117" s="216"/>
      <c r="F117" s="217" t="s">
        <v>109</v>
      </c>
      <c r="G117" s="217">
        <v>22655.84342</v>
      </c>
      <c r="H117" s="217" t="s">
        <v>24</v>
      </c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</row>
    <row r="118" ht="15.75" hidden="1" customHeight="1">
      <c r="A118" s="217" t="s">
        <v>18</v>
      </c>
      <c r="B118" s="217" t="s">
        <v>108</v>
      </c>
      <c r="C118" s="217" t="s">
        <v>31</v>
      </c>
      <c r="D118" s="217" t="s">
        <v>54</v>
      </c>
      <c r="E118" s="216"/>
      <c r="F118" s="217" t="s">
        <v>109</v>
      </c>
      <c r="G118" s="218">
        <f>11076.24+nom_interna!L71</f>
        <v>20527.44</v>
      </c>
      <c r="H118" s="217" t="s">
        <v>25</v>
      </c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</row>
    <row r="119" ht="15.75" hidden="1" customHeight="1">
      <c r="A119" s="217" t="s">
        <v>18</v>
      </c>
      <c r="B119" s="217" t="s">
        <v>108</v>
      </c>
      <c r="C119" s="217" t="s">
        <v>31</v>
      </c>
      <c r="D119" s="217" t="s">
        <v>54</v>
      </c>
      <c r="E119" s="216"/>
      <c r="F119" s="217" t="s">
        <v>109</v>
      </c>
      <c r="G119" s="218">
        <f>11076.24+nom_interna!L123</f>
        <v>20527.44</v>
      </c>
      <c r="H119" s="219" t="s">
        <v>27</v>
      </c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</row>
    <row r="120" ht="15.75" hidden="1" customHeight="1">
      <c r="A120" s="217" t="s">
        <v>18</v>
      </c>
      <c r="B120" s="217" t="s">
        <v>110</v>
      </c>
      <c r="C120" s="217" t="s">
        <v>20</v>
      </c>
      <c r="D120" s="217" t="s">
        <v>21</v>
      </c>
      <c r="E120" s="216"/>
      <c r="F120" s="217" t="s">
        <v>111</v>
      </c>
      <c r="G120" s="217">
        <v>10128.07104</v>
      </c>
      <c r="H120" s="217" t="s">
        <v>26</v>
      </c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</row>
    <row r="121" ht="15.75" hidden="1" customHeight="1">
      <c r="A121" s="217" t="s">
        <v>18</v>
      </c>
      <c r="B121" s="217" t="s">
        <v>110</v>
      </c>
      <c r="C121" s="217" t="s">
        <v>20</v>
      </c>
      <c r="D121" s="217" t="s">
        <v>21</v>
      </c>
      <c r="E121" s="216"/>
      <c r="F121" s="217" t="s">
        <v>111</v>
      </c>
      <c r="G121" s="217">
        <v>20321.67818</v>
      </c>
      <c r="H121" s="217" t="s">
        <v>24</v>
      </c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</row>
    <row r="122" ht="15.75" hidden="1" customHeight="1">
      <c r="A122" s="217" t="s">
        <v>18</v>
      </c>
      <c r="B122" s="217" t="s">
        <v>112</v>
      </c>
      <c r="C122" s="217" t="s">
        <v>31</v>
      </c>
      <c r="D122" s="217" t="s">
        <v>113</v>
      </c>
      <c r="E122" s="216"/>
      <c r="F122" s="217" t="s">
        <v>114</v>
      </c>
      <c r="G122" s="218">
        <f>21525+nom_interna!C25+nom_interna!I26</f>
        <v>34524.9</v>
      </c>
      <c r="H122" s="217" t="s">
        <v>26</v>
      </c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</row>
    <row r="123" ht="15.75" hidden="1" customHeight="1">
      <c r="A123" s="217" t="s">
        <v>18</v>
      </c>
      <c r="B123" s="217" t="s">
        <v>112</v>
      </c>
      <c r="C123" s="217" t="s">
        <v>31</v>
      </c>
      <c r="D123" s="217" t="s">
        <v>113</v>
      </c>
      <c r="E123" s="216"/>
      <c r="F123" s="217" t="s">
        <v>114</v>
      </c>
      <c r="G123" s="218">
        <v>34524.9</v>
      </c>
      <c r="H123" s="217" t="s">
        <v>25</v>
      </c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</row>
    <row r="124" ht="15.75" hidden="1" customHeight="1">
      <c r="A124" s="217" t="s">
        <v>18</v>
      </c>
      <c r="B124" s="217" t="s">
        <v>112</v>
      </c>
      <c r="C124" s="217" t="s">
        <v>31</v>
      </c>
      <c r="D124" s="217" t="s">
        <v>113</v>
      </c>
      <c r="E124" s="216"/>
      <c r="F124" s="217" t="s">
        <v>114</v>
      </c>
      <c r="G124" s="218">
        <v>34524.9</v>
      </c>
      <c r="H124" s="217" t="s">
        <v>24</v>
      </c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</row>
    <row r="125" ht="15.75" hidden="1" customHeight="1">
      <c r="A125" s="217" t="s">
        <v>18</v>
      </c>
      <c r="B125" s="217" t="s">
        <v>112</v>
      </c>
      <c r="C125" s="217" t="s">
        <v>31</v>
      </c>
      <c r="D125" s="217" t="s">
        <v>113</v>
      </c>
      <c r="E125" s="216"/>
      <c r="F125" s="217" t="s">
        <v>114</v>
      </c>
      <c r="G125" s="218">
        <v>34524.9</v>
      </c>
      <c r="H125" s="219" t="s">
        <v>27</v>
      </c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</row>
    <row r="126" ht="15.75" hidden="1" customHeight="1">
      <c r="A126" s="217" t="s">
        <v>18</v>
      </c>
      <c r="B126" s="217" t="s">
        <v>115</v>
      </c>
      <c r="C126" s="217" t="s">
        <v>20</v>
      </c>
      <c r="D126" s="217" t="s">
        <v>21</v>
      </c>
      <c r="E126" s="217" t="s">
        <v>22</v>
      </c>
      <c r="F126" s="217" t="s">
        <v>116</v>
      </c>
      <c r="G126" s="218">
        <f>4424.49+nom_interna!C57+nom_interna!I55</f>
        <v>14368.28</v>
      </c>
      <c r="H126" s="217" t="s">
        <v>25</v>
      </c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</row>
    <row r="127" ht="15.75" hidden="1" customHeight="1">
      <c r="A127" s="217" t="s">
        <v>18</v>
      </c>
      <c r="B127" s="217" t="s">
        <v>115</v>
      </c>
      <c r="C127" s="217" t="s">
        <v>20</v>
      </c>
      <c r="D127" s="217" t="s">
        <v>21</v>
      </c>
      <c r="E127" s="217" t="s">
        <v>22</v>
      </c>
      <c r="F127" s="217" t="s">
        <v>116</v>
      </c>
      <c r="G127" s="218">
        <f>11426.191037+nom_interna!I32</f>
        <v>13001.39104</v>
      </c>
      <c r="H127" s="217" t="s">
        <v>26</v>
      </c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</row>
    <row r="128" ht="15.75" hidden="1" customHeight="1">
      <c r="A128" s="217" t="s">
        <v>18</v>
      </c>
      <c r="B128" s="217" t="s">
        <v>115</v>
      </c>
      <c r="C128" s="217" t="s">
        <v>20</v>
      </c>
      <c r="D128" s="217" t="s">
        <v>21</v>
      </c>
      <c r="E128" s="217" t="s">
        <v>22</v>
      </c>
      <c r="F128" s="217" t="s">
        <v>116</v>
      </c>
      <c r="G128" s="217">
        <v>11540.051364</v>
      </c>
      <c r="H128" s="217" t="s">
        <v>24</v>
      </c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</row>
    <row r="129" ht="15.75" hidden="1" customHeight="1">
      <c r="A129" s="217" t="s">
        <v>18</v>
      </c>
      <c r="B129" s="217" t="s">
        <v>115</v>
      </c>
      <c r="C129" s="217" t="s">
        <v>20</v>
      </c>
      <c r="D129" s="217" t="s">
        <v>21</v>
      </c>
      <c r="E129" s="217" t="s">
        <v>22</v>
      </c>
      <c r="F129" s="217" t="s">
        <v>116</v>
      </c>
      <c r="G129" s="220">
        <f>4062.2925+nom_interna!C109+nom_interna!I109</f>
        <v>13513.4925</v>
      </c>
      <c r="H129" s="219" t="s">
        <v>27</v>
      </c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</row>
    <row r="130" ht="15.75" hidden="1" customHeight="1">
      <c r="A130" s="217" t="s">
        <v>18</v>
      </c>
      <c r="B130" s="217" t="s">
        <v>117</v>
      </c>
      <c r="C130" s="217" t="s">
        <v>31</v>
      </c>
      <c r="D130" s="217" t="s">
        <v>47</v>
      </c>
      <c r="E130" s="216"/>
      <c r="F130" s="217" t="s">
        <v>118</v>
      </c>
      <c r="G130" s="217">
        <v>16555.654738</v>
      </c>
      <c r="H130" s="217" t="s">
        <v>25</v>
      </c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</row>
    <row r="131" ht="15.75" hidden="1" customHeight="1">
      <c r="A131" s="217" t="s">
        <v>18</v>
      </c>
      <c r="B131" s="217" t="s">
        <v>117</v>
      </c>
      <c r="C131" s="217" t="s">
        <v>31</v>
      </c>
      <c r="D131" s="217" t="s">
        <v>47</v>
      </c>
      <c r="E131" s="216"/>
      <c r="F131" s="217" t="s">
        <v>118</v>
      </c>
      <c r="G131" s="217">
        <v>17783.171619</v>
      </c>
      <c r="H131" s="217" t="s">
        <v>26</v>
      </c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</row>
    <row r="132" ht="15.75" hidden="1" customHeight="1">
      <c r="A132" s="217" t="s">
        <v>18</v>
      </c>
      <c r="B132" s="217" t="s">
        <v>117</v>
      </c>
      <c r="C132" s="217" t="s">
        <v>31</v>
      </c>
      <c r="D132" s="217" t="s">
        <v>47</v>
      </c>
      <c r="E132" s="216"/>
      <c r="F132" s="217" t="s">
        <v>118</v>
      </c>
      <c r="G132" s="217">
        <v>18122.529054</v>
      </c>
      <c r="H132" s="217" t="s">
        <v>24</v>
      </c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</row>
    <row r="133" ht="15.75" hidden="1" customHeight="1">
      <c r="A133" s="217" t="s">
        <v>18</v>
      </c>
      <c r="B133" s="217" t="s">
        <v>119</v>
      </c>
      <c r="C133" s="217" t="s">
        <v>20</v>
      </c>
      <c r="D133" s="217" t="s">
        <v>21</v>
      </c>
      <c r="E133" s="217" t="s">
        <v>41</v>
      </c>
      <c r="F133" s="217" t="s">
        <v>120</v>
      </c>
      <c r="G133" s="217">
        <v>13205.68591</v>
      </c>
      <c r="H133" s="217" t="s">
        <v>25</v>
      </c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</row>
    <row r="134" ht="15.75" hidden="1" customHeight="1">
      <c r="A134" s="217" t="s">
        <v>18</v>
      </c>
      <c r="B134" s="217" t="s">
        <v>119</v>
      </c>
      <c r="C134" s="217" t="s">
        <v>20</v>
      </c>
      <c r="D134" s="217" t="s">
        <v>21</v>
      </c>
      <c r="E134" s="217" t="s">
        <v>41</v>
      </c>
      <c r="F134" s="217" t="s">
        <v>120</v>
      </c>
      <c r="G134" s="217">
        <v>12908.441516</v>
      </c>
      <c r="H134" s="217" t="s">
        <v>26</v>
      </c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</row>
    <row r="135" ht="15.75" hidden="1" customHeight="1">
      <c r="A135" s="217" t="s">
        <v>18</v>
      </c>
      <c r="B135" s="217" t="s">
        <v>119</v>
      </c>
      <c r="C135" s="217" t="s">
        <v>20</v>
      </c>
      <c r="D135" s="217" t="s">
        <v>21</v>
      </c>
      <c r="E135" s="217" t="s">
        <v>41</v>
      </c>
      <c r="F135" s="217" t="s">
        <v>120</v>
      </c>
      <c r="G135" s="217">
        <v>13156.028414</v>
      </c>
      <c r="H135" s="217" t="s">
        <v>24</v>
      </c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</row>
    <row r="136" ht="15.75" hidden="1" customHeight="1">
      <c r="A136" s="217" t="s">
        <v>18</v>
      </c>
      <c r="B136" s="217" t="s">
        <v>121</v>
      </c>
      <c r="C136" s="217" t="s">
        <v>31</v>
      </c>
      <c r="D136" s="217" t="s">
        <v>47</v>
      </c>
      <c r="E136" s="216"/>
      <c r="F136" s="217" t="s">
        <v>122</v>
      </c>
      <c r="G136" s="217">
        <v>15924.754614</v>
      </c>
      <c r="H136" s="217" t="s">
        <v>25</v>
      </c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</row>
    <row r="137" ht="15.75" hidden="1" customHeight="1">
      <c r="A137" s="217" t="s">
        <v>18</v>
      </c>
      <c r="B137" s="217" t="s">
        <v>121</v>
      </c>
      <c r="C137" s="217" t="s">
        <v>31</v>
      </c>
      <c r="D137" s="217" t="s">
        <v>47</v>
      </c>
      <c r="E137" s="216"/>
      <c r="F137" s="217" t="s">
        <v>122</v>
      </c>
      <c r="G137" s="217">
        <v>7699.68742</v>
      </c>
      <c r="H137" s="217" t="s">
        <v>26</v>
      </c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</row>
    <row r="138" ht="15.75" hidden="1" customHeight="1">
      <c r="A138" s="217" t="s">
        <v>18</v>
      </c>
      <c r="B138" s="217" t="s">
        <v>123</v>
      </c>
      <c r="C138" s="217" t="s">
        <v>20</v>
      </c>
      <c r="D138" s="217" t="s">
        <v>21</v>
      </c>
      <c r="E138" s="217" t="s">
        <v>22</v>
      </c>
      <c r="F138" s="217" t="s">
        <v>124</v>
      </c>
      <c r="G138" s="218">
        <f>8976.24+nom_interna!C60+nom_interna!I58</f>
        <v>18920.03</v>
      </c>
      <c r="H138" s="217" t="s">
        <v>25</v>
      </c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</row>
    <row r="139" ht="15.75" hidden="1" customHeight="1">
      <c r="A139" s="217" t="s">
        <v>18</v>
      </c>
      <c r="B139" s="217" t="s">
        <v>123</v>
      </c>
      <c r="C139" s="217" t="s">
        <v>20</v>
      </c>
      <c r="D139" s="217" t="s">
        <v>21</v>
      </c>
      <c r="E139" s="217" t="s">
        <v>22</v>
      </c>
      <c r="F139" s="217" t="s">
        <v>124</v>
      </c>
      <c r="G139" s="217">
        <f>19215.080388+1575.2</f>
        <v>20790.28039</v>
      </c>
      <c r="H139" s="217" t="s">
        <v>26</v>
      </c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</row>
    <row r="140" ht="15.75" hidden="1" customHeight="1">
      <c r="A140" s="217" t="s">
        <v>18</v>
      </c>
      <c r="B140" s="217" t="s">
        <v>123</v>
      </c>
      <c r="C140" s="217" t="s">
        <v>20</v>
      </c>
      <c r="D140" s="217" t="s">
        <v>21</v>
      </c>
      <c r="E140" s="217" t="s">
        <v>22</v>
      </c>
      <c r="F140" s="217" t="s">
        <v>124</v>
      </c>
      <c r="G140" s="217">
        <v>22501.67818</v>
      </c>
      <c r="H140" s="217" t="s">
        <v>24</v>
      </c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</row>
    <row r="141" ht="15.75" hidden="1" customHeight="1">
      <c r="A141" s="217" t="s">
        <v>18</v>
      </c>
      <c r="B141" s="217" t="s">
        <v>123</v>
      </c>
      <c r="C141" s="217" t="s">
        <v>20</v>
      </c>
      <c r="D141" s="217" t="s">
        <v>21</v>
      </c>
      <c r="E141" s="217" t="s">
        <v>22</v>
      </c>
      <c r="F141" s="217" t="s">
        <v>124</v>
      </c>
      <c r="G141" s="220">
        <f>8976.24+nom_interna!C112+nom_interna!I112</f>
        <v>18427.44</v>
      </c>
      <c r="H141" s="219" t="s">
        <v>27</v>
      </c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</row>
    <row r="142" ht="15.75" hidden="1" customHeight="1">
      <c r="A142" s="217" t="s">
        <v>18</v>
      </c>
      <c r="B142" s="217" t="s">
        <v>125</v>
      </c>
      <c r="C142" s="217" t="s">
        <v>20</v>
      </c>
      <c r="D142" s="217" t="s">
        <v>21</v>
      </c>
      <c r="E142" s="216"/>
      <c r="F142" s="217" t="s">
        <v>126</v>
      </c>
      <c r="G142" s="217">
        <v>12571.67402</v>
      </c>
      <c r="H142" s="217" t="s">
        <v>24</v>
      </c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</row>
    <row r="143" ht="15.75" hidden="1" customHeight="1">
      <c r="A143" s="217" t="s">
        <v>18</v>
      </c>
      <c r="B143" s="217" t="s">
        <v>127</v>
      </c>
      <c r="C143" s="217" t="s">
        <v>20</v>
      </c>
      <c r="D143" s="217" t="s">
        <v>54</v>
      </c>
      <c r="E143" s="216"/>
      <c r="F143" s="217" t="s">
        <v>128</v>
      </c>
      <c r="G143" s="217">
        <v>7350.0</v>
      </c>
      <c r="H143" s="217" t="s">
        <v>24</v>
      </c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</row>
    <row r="144" ht="15.75" hidden="1" customHeight="1">
      <c r="A144" s="217" t="s">
        <v>18</v>
      </c>
      <c r="B144" s="217" t="s">
        <v>127</v>
      </c>
      <c r="C144" s="217" t="s">
        <v>20</v>
      </c>
      <c r="D144" s="217" t="s">
        <v>54</v>
      </c>
      <c r="E144" s="216"/>
      <c r="F144" s="217" t="s">
        <v>128</v>
      </c>
      <c r="G144" s="218">
        <f>nom_interna!L78</f>
        <v>6615.84</v>
      </c>
      <c r="H144" s="217" t="s">
        <v>25</v>
      </c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</row>
    <row r="145" ht="15.75" hidden="1" customHeight="1">
      <c r="A145" s="217" t="s">
        <v>18</v>
      </c>
      <c r="B145" s="217" t="s">
        <v>127</v>
      </c>
      <c r="C145" s="217" t="s">
        <v>20</v>
      </c>
      <c r="D145" s="217" t="s">
        <v>54</v>
      </c>
      <c r="E145" s="216"/>
      <c r="F145" s="217" t="s">
        <v>128</v>
      </c>
      <c r="G145" s="217">
        <v>10059.743257</v>
      </c>
      <c r="H145" s="217" t="s">
        <v>26</v>
      </c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</row>
    <row r="146" ht="15.75" hidden="1" customHeight="1">
      <c r="A146" s="217" t="s">
        <v>18</v>
      </c>
      <c r="B146" s="217" t="s">
        <v>127</v>
      </c>
      <c r="C146" s="217" t="s">
        <v>20</v>
      </c>
      <c r="D146" s="217" t="s">
        <v>54</v>
      </c>
      <c r="E146" s="216"/>
      <c r="F146" s="217" t="s">
        <v>128</v>
      </c>
      <c r="G146" s="218">
        <f>nom_interna!L130</f>
        <v>9451.2</v>
      </c>
      <c r="H146" s="219" t="s">
        <v>27</v>
      </c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</row>
    <row r="147" ht="15.75" hidden="1" customHeight="1">
      <c r="A147" s="217" t="s">
        <v>18</v>
      </c>
      <c r="B147" s="217" t="s">
        <v>129</v>
      </c>
      <c r="C147" s="217" t="s">
        <v>20</v>
      </c>
      <c r="D147" s="217" t="s">
        <v>54</v>
      </c>
      <c r="E147" s="216"/>
      <c r="F147" s="217" t="s">
        <v>130</v>
      </c>
      <c r="G147" s="217">
        <v>24665.36342</v>
      </c>
      <c r="H147" s="217" t="s">
        <v>24</v>
      </c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</row>
    <row r="148" ht="15.75" hidden="1" customHeight="1">
      <c r="A148" s="217" t="s">
        <v>18</v>
      </c>
      <c r="B148" s="217" t="s">
        <v>129</v>
      </c>
      <c r="C148" s="217" t="s">
        <v>20</v>
      </c>
      <c r="D148" s="217" t="s">
        <v>54</v>
      </c>
      <c r="E148" s="216"/>
      <c r="F148" s="217" t="s">
        <v>130</v>
      </c>
      <c r="G148" s="217">
        <v>24293.14929</v>
      </c>
      <c r="H148" s="217" t="s">
        <v>25</v>
      </c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</row>
    <row r="149" ht="15.75" hidden="1" customHeight="1">
      <c r="A149" s="217" t="s">
        <v>18</v>
      </c>
      <c r="B149" s="217" t="s">
        <v>129</v>
      </c>
      <c r="C149" s="217" t="s">
        <v>20</v>
      </c>
      <c r="D149" s="217" t="s">
        <v>54</v>
      </c>
      <c r="E149" s="216"/>
      <c r="F149" s="217" t="s">
        <v>130</v>
      </c>
      <c r="G149" s="217">
        <v>24205.73604</v>
      </c>
      <c r="H149" s="217" t="s">
        <v>26</v>
      </c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</row>
    <row r="150" ht="15.75" hidden="1" customHeight="1">
      <c r="A150" s="217" t="s">
        <v>18</v>
      </c>
      <c r="B150" s="217" t="s">
        <v>131</v>
      </c>
      <c r="C150" s="217" t="s">
        <v>20</v>
      </c>
      <c r="D150" s="217" t="s">
        <v>21</v>
      </c>
      <c r="E150" s="217" t="s">
        <v>22</v>
      </c>
      <c r="F150" s="217" t="s">
        <v>132</v>
      </c>
      <c r="G150" s="217">
        <v>18141.678181</v>
      </c>
      <c r="H150" s="217" t="s">
        <v>24</v>
      </c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</row>
    <row r="151" ht="15.75" hidden="1" customHeight="1">
      <c r="A151" s="217" t="s">
        <v>18</v>
      </c>
      <c r="B151" s="217" t="s">
        <v>131</v>
      </c>
      <c r="C151" s="217" t="s">
        <v>20</v>
      </c>
      <c r="D151" s="217" t="s">
        <v>21</v>
      </c>
      <c r="E151" s="217" t="s">
        <v>22</v>
      </c>
      <c r="F151" s="217" t="s">
        <v>132</v>
      </c>
      <c r="G151" s="218">
        <f>4776.24+nom_interna!L64</f>
        <v>14227.44</v>
      </c>
      <c r="H151" s="217" t="s">
        <v>25</v>
      </c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</row>
    <row r="152" ht="15.75" hidden="1" customHeight="1">
      <c r="A152" s="217" t="s">
        <v>18</v>
      </c>
      <c r="B152" s="217" t="s">
        <v>131</v>
      </c>
      <c r="C152" s="217" t="s">
        <v>20</v>
      </c>
      <c r="D152" s="217" t="s">
        <v>21</v>
      </c>
      <c r="E152" s="217" t="s">
        <v>22</v>
      </c>
      <c r="F152" s="217" t="s">
        <v>132</v>
      </c>
      <c r="G152" s="218">
        <f>4776.24+nom_interna!L116</f>
        <v>14227.44</v>
      </c>
      <c r="H152" s="219" t="s">
        <v>27</v>
      </c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</row>
    <row r="153" ht="15.75" hidden="1" customHeight="1">
      <c r="A153" s="217" t="s">
        <v>18</v>
      </c>
      <c r="B153" s="217" t="s">
        <v>131</v>
      </c>
      <c r="C153" s="217" t="s">
        <v>20</v>
      </c>
      <c r="D153" s="217" t="s">
        <v>21</v>
      </c>
      <c r="E153" s="217" t="s">
        <v>22</v>
      </c>
      <c r="F153" s="217" t="s">
        <v>132</v>
      </c>
      <c r="G153" s="217">
        <v>17823.581037</v>
      </c>
      <c r="H153" s="217" t="s">
        <v>26</v>
      </c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</row>
    <row r="154" ht="15.75" hidden="1" customHeight="1">
      <c r="A154" s="217" t="s">
        <v>18</v>
      </c>
      <c r="B154" s="217" t="s">
        <v>133</v>
      </c>
      <c r="C154" s="217" t="s">
        <v>20</v>
      </c>
      <c r="D154" s="217" t="s">
        <v>21</v>
      </c>
      <c r="E154" s="217" t="s">
        <v>44</v>
      </c>
      <c r="F154" s="217" t="s">
        <v>134</v>
      </c>
      <c r="G154" s="217">
        <v>18141.678181</v>
      </c>
      <c r="H154" s="217" t="s">
        <v>24</v>
      </c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</row>
    <row r="155" ht="15.75" hidden="1" customHeight="1">
      <c r="A155" s="217" t="s">
        <v>18</v>
      </c>
      <c r="B155" s="217" t="s">
        <v>133</v>
      </c>
      <c r="C155" s="217" t="s">
        <v>20</v>
      </c>
      <c r="D155" s="217" t="s">
        <v>21</v>
      </c>
      <c r="E155" s="217" t="s">
        <v>44</v>
      </c>
      <c r="F155" s="217" t="s">
        <v>134</v>
      </c>
      <c r="G155" s="218">
        <f>6351.24+nom_interna!L63</f>
        <v>15802.44</v>
      </c>
      <c r="H155" s="217" t="s">
        <v>25</v>
      </c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</row>
    <row r="156" ht="15.75" hidden="1" customHeight="1">
      <c r="A156" s="217" t="s">
        <v>18</v>
      </c>
      <c r="B156" s="217" t="s">
        <v>133</v>
      </c>
      <c r="C156" s="217" t="s">
        <v>20</v>
      </c>
      <c r="D156" s="217" t="s">
        <v>21</v>
      </c>
      <c r="E156" s="217" t="s">
        <v>44</v>
      </c>
      <c r="F156" s="217" t="s">
        <v>134</v>
      </c>
      <c r="G156" s="217">
        <v>19428.580152</v>
      </c>
      <c r="H156" s="217" t="s">
        <v>26</v>
      </c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</row>
    <row r="157" ht="15.75" hidden="1" customHeight="1">
      <c r="A157" s="217" t="s">
        <v>18</v>
      </c>
      <c r="B157" s="217" t="s">
        <v>133</v>
      </c>
      <c r="C157" s="217" t="s">
        <v>20</v>
      </c>
      <c r="D157" s="217" t="s">
        <v>21</v>
      </c>
      <c r="E157" s="217" t="s">
        <v>44</v>
      </c>
      <c r="F157" s="217" t="s">
        <v>134</v>
      </c>
      <c r="G157" s="218">
        <f>6351.24+nom_interna!L115</f>
        <v>15802.44</v>
      </c>
      <c r="H157" s="219" t="s">
        <v>27</v>
      </c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</row>
    <row r="158" ht="15.75" hidden="1" customHeight="1">
      <c r="A158" s="217" t="s">
        <v>18</v>
      </c>
      <c r="B158" s="217" t="s">
        <v>135</v>
      </c>
      <c r="C158" s="217" t="s">
        <v>20</v>
      </c>
      <c r="D158" s="217" t="s">
        <v>54</v>
      </c>
      <c r="E158" s="216"/>
      <c r="F158" s="217" t="s">
        <v>136</v>
      </c>
      <c r="G158" s="217">
        <v>13208.291322</v>
      </c>
      <c r="H158" s="217" t="s">
        <v>24</v>
      </c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</row>
    <row r="159" ht="15.75" hidden="1" customHeight="1">
      <c r="A159" s="217" t="s">
        <v>18</v>
      </c>
      <c r="B159" s="217" t="s">
        <v>135</v>
      </c>
      <c r="C159" s="217" t="s">
        <v>20</v>
      </c>
      <c r="D159" s="217" t="s">
        <v>54</v>
      </c>
      <c r="E159" s="216"/>
      <c r="F159" s="217" t="s">
        <v>136</v>
      </c>
      <c r="G159" s="217">
        <v>12955.727005</v>
      </c>
      <c r="H159" s="217" t="s">
        <v>26</v>
      </c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</row>
    <row r="160" ht="15.75" hidden="1" customHeight="1">
      <c r="A160" s="217" t="s">
        <v>18</v>
      </c>
      <c r="B160" s="217" t="s">
        <v>135</v>
      </c>
      <c r="C160" s="217" t="s">
        <v>20</v>
      </c>
      <c r="D160" s="217" t="s">
        <v>54</v>
      </c>
      <c r="E160" s="216"/>
      <c r="F160" s="217" t="s">
        <v>136</v>
      </c>
      <c r="G160" s="217">
        <v>13202.829051</v>
      </c>
      <c r="H160" s="217" t="s">
        <v>25</v>
      </c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</row>
    <row r="161" ht="15.75" hidden="1" customHeight="1">
      <c r="A161" s="217" t="s">
        <v>18</v>
      </c>
      <c r="B161" s="217" t="s">
        <v>137</v>
      </c>
      <c r="C161" s="217" t="s">
        <v>20</v>
      </c>
      <c r="D161" s="217" t="s">
        <v>21</v>
      </c>
      <c r="E161" s="217" t="s">
        <v>1651</v>
      </c>
      <c r="F161" s="217" t="s">
        <v>138</v>
      </c>
      <c r="G161" s="217">
        <v>14563.097092</v>
      </c>
      <c r="H161" s="217" t="s">
        <v>26</v>
      </c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</row>
    <row r="162" ht="15.75" hidden="1" customHeight="1">
      <c r="A162" s="217" t="s">
        <v>18</v>
      </c>
      <c r="B162" s="217" t="s">
        <v>137</v>
      </c>
      <c r="C162" s="217" t="s">
        <v>20</v>
      </c>
      <c r="D162" s="217" t="s">
        <v>21</v>
      </c>
      <c r="E162" s="217" t="s">
        <v>1651</v>
      </c>
      <c r="F162" s="217" t="s">
        <v>138</v>
      </c>
      <c r="G162" s="217">
        <v>14841.39405</v>
      </c>
      <c r="H162" s="217" t="s">
        <v>24</v>
      </c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</row>
    <row r="163" ht="15.75" hidden="1" customHeight="1">
      <c r="A163" s="217" t="s">
        <v>18</v>
      </c>
      <c r="B163" s="217" t="s">
        <v>137</v>
      </c>
      <c r="C163" s="217" t="s">
        <v>20</v>
      </c>
      <c r="D163" s="217" t="s">
        <v>21</v>
      </c>
      <c r="E163" s="217" t="s">
        <v>1651</v>
      </c>
      <c r="F163" s="217" t="s">
        <v>138</v>
      </c>
      <c r="G163" s="217">
        <v>14874.754614</v>
      </c>
      <c r="H163" s="217" t="s">
        <v>25</v>
      </c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</row>
    <row r="164" ht="15.75" hidden="1" customHeight="1">
      <c r="A164" s="217" t="s">
        <v>18</v>
      </c>
      <c r="B164" s="217" t="s">
        <v>139</v>
      </c>
      <c r="C164" s="217" t="s">
        <v>20</v>
      </c>
      <c r="D164" s="217" t="s">
        <v>21</v>
      </c>
      <c r="E164" s="217" t="s">
        <v>22</v>
      </c>
      <c r="F164" s="217" t="s">
        <v>140</v>
      </c>
      <c r="G164" s="217">
        <v>13884.567962</v>
      </c>
      <c r="H164" s="217" t="s">
        <v>26</v>
      </c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</row>
    <row r="165" ht="15.75" hidden="1" customHeight="1">
      <c r="A165" s="217" t="s">
        <v>18</v>
      </c>
      <c r="B165" s="217" t="s">
        <v>139</v>
      </c>
      <c r="C165" s="217" t="s">
        <v>20</v>
      </c>
      <c r="D165" s="217" t="s">
        <v>21</v>
      </c>
      <c r="E165" s="217" t="s">
        <v>22</v>
      </c>
      <c r="F165" s="217" t="s">
        <v>140</v>
      </c>
      <c r="G165" s="217">
        <v>16974.754614</v>
      </c>
      <c r="H165" s="217" t="s">
        <v>25</v>
      </c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</row>
    <row r="166" ht="15.75" hidden="1" customHeight="1">
      <c r="A166" s="217" t="s">
        <v>18</v>
      </c>
      <c r="B166" s="217" t="s">
        <v>141</v>
      </c>
      <c r="C166" s="217" t="s">
        <v>20</v>
      </c>
      <c r="D166" s="217" t="s">
        <v>21</v>
      </c>
      <c r="E166" s="217" t="s">
        <v>22</v>
      </c>
      <c r="F166" s="217" t="s">
        <v>142</v>
      </c>
      <c r="G166" s="217">
        <v>21033.58015</v>
      </c>
      <c r="H166" s="217" t="s">
        <v>26</v>
      </c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</row>
    <row r="167" ht="15.75" hidden="1" customHeight="1">
      <c r="A167" s="217" t="s">
        <v>18</v>
      </c>
      <c r="B167" s="217" t="s">
        <v>141</v>
      </c>
      <c r="C167" s="217" t="s">
        <v>20</v>
      </c>
      <c r="D167" s="217" t="s">
        <v>21</v>
      </c>
      <c r="E167" s="217" t="s">
        <v>22</v>
      </c>
      <c r="F167" s="217" t="s">
        <v>142</v>
      </c>
      <c r="G167" s="217">
        <v>21411.67818</v>
      </c>
      <c r="H167" s="217" t="s">
        <v>24</v>
      </c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</row>
    <row r="168" ht="15.75" hidden="1" customHeight="1">
      <c r="A168" s="217" t="s">
        <v>18</v>
      </c>
      <c r="B168" s="217" t="s">
        <v>141</v>
      </c>
      <c r="C168" s="217" t="s">
        <v>20</v>
      </c>
      <c r="D168" s="217" t="s">
        <v>21</v>
      </c>
      <c r="E168" s="217" t="s">
        <v>22</v>
      </c>
      <c r="F168" s="217" t="s">
        <v>142</v>
      </c>
      <c r="G168" s="217">
        <v>21253.68456</v>
      </c>
      <c r="H168" s="217" t="s">
        <v>25</v>
      </c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</row>
    <row r="169" ht="15.75" hidden="1" customHeight="1">
      <c r="A169" s="217" t="s">
        <v>18</v>
      </c>
      <c r="B169" s="217" t="s">
        <v>143</v>
      </c>
      <c r="C169" s="219" t="s">
        <v>20</v>
      </c>
      <c r="D169" s="217" t="s">
        <v>21</v>
      </c>
      <c r="E169" s="217" t="s">
        <v>22</v>
      </c>
      <c r="F169" s="217" t="s">
        <v>144</v>
      </c>
      <c r="G169" s="217">
        <v>26544.05659</v>
      </c>
      <c r="H169" s="217" t="s">
        <v>25</v>
      </c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</row>
    <row r="170" ht="15.75" hidden="1" customHeight="1">
      <c r="A170" s="217" t="s">
        <v>18</v>
      </c>
      <c r="B170" s="217" t="s">
        <v>143</v>
      </c>
      <c r="C170" s="219" t="s">
        <v>20</v>
      </c>
      <c r="D170" s="217" t="s">
        <v>21</v>
      </c>
      <c r="E170" s="217" t="s">
        <v>22</v>
      </c>
      <c r="F170" s="217" t="s">
        <v>144</v>
      </c>
      <c r="G170" s="217">
        <v>25031.60342</v>
      </c>
      <c r="H170" s="217" t="s">
        <v>24</v>
      </c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</row>
    <row r="171" ht="15.75" hidden="1" customHeight="1">
      <c r="A171" s="217" t="s">
        <v>18</v>
      </c>
      <c r="B171" s="217" t="s">
        <v>143</v>
      </c>
      <c r="C171" s="219" t="s">
        <v>20</v>
      </c>
      <c r="D171" s="217" t="s">
        <v>21</v>
      </c>
      <c r="E171" s="217" t="s">
        <v>22</v>
      </c>
      <c r="F171" s="217" t="s">
        <v>144</v>
      </c>
      <c r="G171" s="217">
        <v>24558.95604</v>
      </c>
      <c r="H171" s="217" t="s">
        <v>26</v>
      </c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</row>
    <row r="172" ht="15.75" hidden="1" customHeight="1">
      <c r="A172" s="217" t="s">
        <v>18</v>
      </c>
      <c r="B172" s="217" t="s">
        <v>145</v>
      </c>
      <c r="C172" s="219" t="s">
        <v>20</v>
      </c>
      <c r="D172" s="217" t="s">
        <v>21</v>
      </c>
      <c r="E172" s="217" t="s">
        <v>35</v>
      </c>
      <c r="F172" s="217" t="s">
        <v>146</v>
      </c>
      <c r="G172" s="217">
        <v>24203.17162</v>
      </c>
      <c r="H172" s="217" t="s">
        <v>26</v>
      </c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</row>
    <row r="173" ht="15.75" hidden="1" customHeight="1">
      <c r="A173" s="217" t="s">
        <v>18</v>
      </c>
      <c r="B173" s="217" t="s">
        <v>145</v>
      </c>
      <c r="C173" s="219" t="s">
        <v>20</v>
      </c>
      <c r="D173" s="217" t="s">
        <v>21</v>
      </c>
      <c r="E173" s="217" t="s">
        <v>35</v>
      </c>
      <c r="F173" s="217" t="s">
        <v>146</v>
      </c>
      <c r="G173" s="217">
        <v>24662.52906</v>
      </c>
      <c r="H173" s="217" t="s">
        <v>24</v>
      </c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</row>
    <row r="174" ht="15.75" hidden="1" customHeight="1">
      <c r="A174" s="217" t="s">
        <v>18</v>
      </c>
      <c r="B174" s="217" t="s">
        <v>145</v>
      </c>
      <c r="C174" s="219" t="s">
        <v>20</v>
      </c>
      <c r="D174" s="217" t="s">
        <v>21</v>
      </c>
      <c r="E174" s="217" t="s">
        <v>35</v>
      </c>
      <c r="F174" s="217" t="s">
        <v>146</v>
      </c>
      <c r="G174" s="217">
        <v>24290.29243</v>
      </c>
      <c r="H174" s="217" t="s">
        <v>25</v>
      </c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</row>
    <row r="175" ht="15.75" hidden="1" customHeight="1">
      <c r="A175" s="217" t="s">
        <v>18</v>
      </c>
      <c r="B175" s="217" t="s">
        <v>147</v>
      </c>
      <c r="C175" s="217" t="s">
        <v>20</v>
      </c>
      <c r="D175" s="217" t="s">
        <v>21</v>
      </c>
      <c r="E175" s="217" t="s">
        <v>22</v>
      </c>
      <c r="F175" s="217" t="s">
        <v>148</v>
      </c>
      <c r="G175" s="217">
        <v>17823.580152</v>
      </c>
      <c r="H175" s="217" t="s">
        <v>26</v>
      </c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</row>
    <row r="176" ht="15.75" hidden="1" customHeight="1">
      <c r="A176" s="217" t="s">
        <v>18</v>
      </c>
      <c r="B176" s="217" t="s">
        <v>147</v>
      </c>
      <c r="C176" s="217" t="s">
        <v>20</v>
      </c>
      <c r="D176" s="217" t="s">
        <v>21</v>
      </c>
      <c r="E176" s="217" t="s">
        <v>22</v>
      </c>
      <c r="F176" s="217" t="s">
        <v>148</v>
      </c>
      <c r="G176" s="217">
        <v>17456.613181</v>
      </c>
      <c r="H176" s="217" t="s">
        <v>24</v>
      </c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</row>
    <row r="177" ht="15.75" hidden="1" customHeight="1">
      <c r="A177" s="217" t="s">
        <v>18</v>
      </c>
      <c r="B177" s="217" t="s">
        <v>147</v>
      </c>
      <c r="C177" s="217" t="s">
        <v>20</v>
      </c>
      <c r="D177" s="217" t="s">
        <v>21</v>
      </c>
      <c r="E177" s="217" t="s">
        <v>22</v>
      </c>
      <c r="F177" s="217" t="s">
        <v>148</v>
      </c>
      <c r="G177" s="218">
        <f>4776.24+nom_interna!L124</f>
        <v>14227.44</v>
      </c>
      <c r="H177" s="219" t="s">
        <v>27</v>
      </c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</row>
    <row r="178" ht="15.75" hidden="1" customHeight="1">
      <c r="A178" s="217" t="s">
        <v>18</v>
      </c>
      <c r="B178" s="217" t="s">
        <v>147</v>
      </c>
      <c r="C178" s="217" t="s">
        <v>20</v>
      </c>
      <c r="D178" s="217" t="s">
        <v>21</v>
      </c>
      <c r="E178" s="217" t="s">
        <v>22</v>
      </c>
      <c r="F178" s="217" t="s">
        <v>148</v>
      </c>
      <c r="G178" s="218">
        <f>4776.24+nom_interna!L72</f>
        <v>14227.44</v>
      </c>
      <c r="H178" s="217" t="s">
        <v>25</v>
      </c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</row>
    <row r="179" ht="15.75" hidden="1" customHeight="1">
      <c r="A179" s="217" t="s">
        <v>18</v>
      </c>
      <c r="B179" s="217" t="s">
        <v>149</v>
      </c>
      <c r="C179" s="217" t="s">
        <v>31</v>
      </c>
      <c r="D179" s="217" t="s">
        <v>47</v>
      </c>
      <c r="E179" s="216"/>
      <c r="F179" s="217" t="s">
        <v>150</v>
      </c>
      <c r="G179" s="217">
        <v>20063.457943</v>
      </c>
      <c r="H179" s="217" t="s">
        <v>26</v>
      </c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</row>
    <row r="180" ht="15.75" hidden="1" customHeight="1">
      <c r="A180" s="217" t="s">
        <v>18</v>
      </c>
      <c r="B180" s="217" t="s">
        <v>149</v>
      </c>
      <c r="C180" s="217" t="s">
        <v>31</v>
      </c>
      <c r="D180" s="217" t="s">
        <v>47</v>
      </c>
      <c r="E180" s="216"/>
      <c r="F180" s="217" t="s">
        <v>150</v>
      </c>
      <c r="G180" s="217">
        <v>20207.91754</v>
      </c>
      <c r="H180" s="217" t="s">
        <v>25</v>
      </c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</row>
    <row r="181" ht="15.75" hidden="1" customHeight="1">
      <c r="A181" s="217" t="s">
        <v>18</v>
      </c>
      <c r="B181" s="217" t="s">
        <v>149</v>
      </c>
      <c r="C181" s="217" t="s">
        <v>31</v>
      </c>
      <c r="D181" s="217" t="s">
        <v>47</v>
      </c>
      <c r="E181" s="216"/>
      <c r="F181" s="217" t="s">
        <v>150</v>
      </c>
      <c r="G181" s="217">
        <v>20441.8093</v>
      </c>
      <c r="H181" s="217" t="s">
        <v>24</v>
      </c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</row>
    <row r="182" ht="15.75" hidden="1" customHeight="1">
      <c r="A182" s="217" t="s">
        <v>18</v>
      </c>
      <c r="B182" s="217" t="s">
        <v>151</v>
      </c>
      <c r="C182" s="217" t="s">
        <v>20</v>
      </c>
      <c r="D182" s="217" t="s">
        <v>21</v>
      </c>
      <c r="E182" s="217" t="s">
        <v>1649</v>
      </c>
      <c r="F182" s="217" t="s">
        <v>152</v>
      </c>
      <c r="G182" s="217">
        <v>13493.097092</v>
      </c>
      <c r="H182" s="217" t="s">
        <v>26</v>
      </c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</row>
    <row r="183" ht="15.75" hidden="1" customHeight="1">
      <c r="A183" s="217" t="s">
        <v>18</v>
      </c>
      <c r="B183" s="217" t="s">
        <v>151</v>
      </c>
      <c r="C183" s="217" t="s">
        <v>20</v>
      </c>
      <c r="D183" s="217" t="s">
        <v>21</v>
      </c>
      <c r="E183" s="217" t="s">
        <v>1649</v>
      </c>
      <c r="F183" s="217" t="s">
        <v>152</v>
      </c>
      <c r="G183" s="217">
        <v>13751.39405</v>
      </c>
      <c r="H183" s="217" t="s">
        <v>24</v>
      </c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</row>
    <row r="184" ht="15.75" hidden="1" customHeight="1">
      <c r="A184" s="217" t="s">
        <v>18</v>
      </c>
      <c r="B184" s="217" t="s">
        <v>151</v>
      </c>
      <c r="C184" s="217" t="s">
        <v>20</v>
      </c>
      <c r="D184" s="217" t="s">
        <v>21</v>
      </c>
      <c r="E184" s="217" t="s">
        <v>1649</v>
      </c>
      <c r="F184" s="217" t="s">
        <v>152</v>
      </c>
      <c r="G184" s="217">
        <v>13779.069051</v>
      </c>
      <c r="H184" s="217" t="s">
        <v>25</v>
      </c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</row>
    <row r="185" ht="15.75" hidden="1" customHeight="1">
      <c r="A185" s="217" t="s">
        <v>18</v>
      </c>
      <c r="B185" s="217" t="s">
        <v>153</v>
      </c>
      <c r="C185" s="217" t="s">
        <v>20</v>
      </c>
      <c r="D185" s="217" t="s">
        <v>21</v>
      </c>
      <c r="E185" s="217" t="s">
        <v>22</v>
      </c>
      <c r="F185" s="217" t="s">
        <v>154</v>
      </c>
      <c r="G185" s="218">
        <f>17935.515549+nom_interna!I34</f>
        <v>19510.71555</v>
      </c>
      <c r="H185" s="217" t="s">
        <v>26</v>
      </c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</row>
    <row r="186" ht="15.75" hidden="1" customHeight="1">
      <c r="A186" s="217" t="s">
        <v>18</v>
      </c>
      <c r="B186" s="217" t="s">
        <v>153</v>
      </c>
      <c r="C186" s="217" t="s">
        <v>20</v>
      </c>
      <c r="D186" s="217" t="s">
        <v>21</v>
      </c>
      <c r="E186" s="217" t="s">
        <v>22</v>
      </c>
      <c r="F186" s="217" t="s">
        <v>154</v>
      </c>
      <c r="G186" s="218">
        <f>7118.79+nom_interna!C59+nom_interna!I57</f>
        <v>17062.58</v>
      </c>
      <c r="H186" s="217" t="s">
        <v>25</v>
      </c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</row>
    <row r="187" ht="15.75" hidden="1" customHeight="1">
      <c r="A187" s="217" t="s">
        <v>18</v>
      </c>
      <c r="B187" s="217" t="s">
        <v>153</v>
      </c>
      <c r="C187" s="217" t="s">
        <v>20</v>
      </c>
      <c r="D187" s="217" t="s">
        <v>21</v>
      </c>
      <c r="E187" s="217" t="s">
        <v>22</v>
      </c>
      <c r="F187" s="217" t="s">
        <v>154</v>
      </c>
      <c r="G187" s="217">
        <v>20989.3887</v>
      </c>
      <c r="H187" s="217" t="s">
        <v>24</v>
      </c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</row>
    <row r="188" ht="15.75" hidden="1" customHeight="1">
      <c r="A188" s="217" t="s">
        <v>18</v>
      </c>
      <c r="B188" s="217" t="s">
        <v>153</v>
      </c>
      <c r="C188" s="217" t="s">
        <v>20</v>
      </c>
      <c r="D188" s="217" t="s">
        <v>21</v>
      </c>
      <c r="E188" s="217" t="s">
        <v>22</v>
      </c>
      <c r="F188" s="217" t="s">
        <v>154</v>
      </c>
      <c r="G188" s="220">
        <f>6677.6955+nom_interna!C111+nom_interna!I111</f>
        <v>16128.8955</v>
      </c>
      <c r="H188" s="219" t="s">
        <v>27</v>
      </c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</row>
    <row r="189" ht="15.75" hidden="1" customHeight="1">
      <c r="A189" s="217" t="s">
        <v>18</v>
      </c>
      <c r="B189" s="217" t="s">
        <v>155</v>
      </c>
      <c r="C189" s="217" t="s">
        <v>20</v>
      </c>
      <c r="D189" s="217" t="s">
        <v>21</v>
      </c>
      <c r="E189" s="216"/>
      <c r="F189" s="217" t="s">
        <v>156</v>
      </c>
      <c r="G189" s="217">
        <v>22103.58015</v>
      </c>
      <c r="H189" s="217" t="s">
        <v>26</v>
      </c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</row>
    <row r="190" ht="15.75" hidden="1" customHeight="1">
      <c r="A190" s="217" t="s">
        <v>18</v>
      </c>
      <c r="B190" s="217" t="s">
        <v>155</v>
      </c>
      <c r="C190" s="217" t="s">
        <v>20</v>
      </c>
      <c r="D190" s="217" t="s">
        <v>21</v>
      </c>
      <c r="E190" s="216"/>
      <c r="F190" s="217" t="s">
        <v>156</v>
      </c>
      <c r="G190" s="217">
        <v>8223.170779</v>
      </c>
      <c r="H190" s="217" t="s">
        <v>24</v>
      </c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</row>
    <row r="191" ht="15.75" hidden="1" customHeight="1">
      <c r="A191" s="217" t="s">
        <v>18</v>
      </c>
      <c r="B191" s="217" t="s">
        <v>157</v>
      </c>
      <c r="C191" s="217" t="s">
        <v>20</v>
      </c>
      <c r="D191" s="217" t="s">
        <v>21</v>
      </c>
      <c r="E191" s="217" t="s">
        <v>44</v>
      </c>
      <c r="F191" s="217" t="s">
        <v>158</v>
      </c>
      <c r="G191" s="217">
        <v>12956.360152</v>
      </c>
      <c r="H191" s="217" t="s">
        <v>26</v>
      </c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</row>
    <row r="192" ht="15.75" hidden="1" customHeight="1">
      <c r="A192" s="217" t="s">
        <v>18</v>
      </c>
      <c r="B192" s="217" t="s">
        <v>157</v>
      </c>
      <c r="C192" s="217" t="s">
        <v>20</v>
      </c>
      <c r="D192" s="217" t="s">
        <v>21</v>
      </c>
      <c r="E192" s="217" t="s">
        <v>44</v>
      </c>
      <c r="F192" s="217" t="s">
        <v>158</v>
      </c>
      <c r="G192" s="217">
        <v>13183.478181</v>
      </c>
      <c r="H192" s="217" t="s">
        <v>24</v>
      </c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</row>
    <row r="193" ht="15.75" hidden="1" customHeight="1">
      <c r="A193" s="217" t="s">
        <v>18</v>
      </c>
      <c r="B193" s="217" t="s">
        <v>157</v>
      </c>
      <c r="C193" s="217" t="s">
        <v>20</v>
      </c>
      <c r="D193" s="217" t="s">
        <v>21</v>
      </c>
      <c r="E193" s="217" t="s">
        <v>44</v>
      </c>
      <c r="F193" s="217" t="s">
        <v>158</v>
      </c>
      <c r="G193" s="217">
        <v>13327.44456</v>
      </c>
      <c r="H193" s="217" t="s">
        <v>25</v>
      </c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</row>
    <row r="194" ht="15.75" hidden="1" customHeight="1">
      <c r="A194" s="217" t="s">
        <v>18</v>
      </c>
      <c r="B194" s="217" t="s">
        <v>159</v>
      </c>
      <c r="C194" s="217" t="s">
        <v>66</v>
      </c>
      <c r="D194" s="217" t="s">
        <v>160</v>
      </c>
      <c r="E194" s="216"/>
      <c r="F194" s="217" t="s">
        <v>161</v>
      </c>
      <c r="G194" s="217">
        <v>28041.74439</v>
      </c>
      <c r="H194" s="217" t="s">
        <v>24</v>
      </c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</row>
    <row r="195" ht="15.75" hidden="1" customHeight="1">
      <c r="A195" s="217" t="s">
        <v>18</v>
      </c>
      <c r="B195" s="217" t="s">
        <v>159</v>
      </c>
      <c r="C195" s="217" t="s">
        <v>66</v>
      </c>
      <c r="D195" s="217" t="s">
        <v>160</v>
      </c>
      <c r="E195" s="216"/>
      <c r="F195" s="217" t="s">
        <v>161</v>
      </c>
      <c r="G195" s="217">
        <v>27445.13804</v>
      </c>
      <c r="H195" s="217" t="s">
        <v>25</v>
      </c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</row>
    <row r="196" ht="15.75" hidden="1" customHeight="1">
      <c r="A196" s="217" t="s">
        <v>18</v>
      </c>
      <c r="B196" s="217" t="s">
        <v>159</v>
      </c>
      <c r="C196" s="217" t="s">
        <v>66</v>
      </c>
      <c r="D196" s="217" t="s">
        <v>160</v>
      </c>
      <c r="E196" s="216"/>
      <c r="F196" s="217" t="s">
        <v>161</v>
      </c>
      <c r="G196" s="217">
        <v>29183.312</v>
      </c>
      <c r="H196" s="217" t="s">
        <v>26</v>
      </c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</row>
    <row r="197" ht="15.75" hidden="1" customHeight="1">
      <c r="A197" s="217" t="s">
        <v>18</v>
      </c>
      <c r="B197" s="217" t="s">
        <v>162</v>
      </c>
      <c r="C197" s="217" t="s">
        <v>20</v>
      </c>
      <c r="D197" s="217" t="s">
        <v>21</v>
      </c>
      <c r="E197" s="217" t="s">
        <v>22</v>
      </c>
      <c r="F197" s="217" t="s">
        <v>163</v>
      </c>
      <c r="G197" s="217">
        <v>15614.330722</v>
      </c>
      <c r="H197" s="217" t="s">
        <v>24</v>
      </c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</row>
    <row r="198" ht="15.75" hidden="1" customHeight="1">
      <c r="A198" s="217" t="s">
        <v>18</v>
      </c>
      <c r="B198" s="217" t="s">
        <v>162</v>
      </c>
      <c r="C198" s="217" t="s">
        <v>20</v>
      </c>
      <c r="D198" s="217" t="s">
        <v>21</v>
      </c>
      <c r="E198" s="217" t="s">
        <v>22</v>
      </c>
      <c r="F198" s="217" t="s">
        <v>163</v>
      </c>
      <c r="G198" s="218">
        <f>1338.12+nom_interna!L75</f>
        <v>7953.96</v>
      </c>
      <c r="H198" s="217" t="s">
        <v>25</v>
      </c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</row>
    <row r="199" ht="15.75" hidden="1" customHeight="1">
      <c r="A199" s="217" t="s">
        <v>18</v>
      </c>
      <c r="B199" s="217" t="s">
        <v>162</v>
      </c>
      <c r="C199" s="217" t="s">
        <v>20</v>
      </c>
      <c r="D199" s="217" t="s">
        <v>21</v>
      </c>
      <c r="E199" s="217" t="s">
        <v>22</v>
      </c>
      <c r="F199" s="217" t="s">
        <v>163</v>
      </c>
      <c r="G199" s="217">
        <v>15688.827749</v>
      </c>
      <c r="H199" s="217" t="s">
        <v>26</v>
      </c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</row>
    <row r="200" ht="15.75" hidden="1" customHeight="1">
      <c r="A200" s="217" t="s">
        <v>18</v>
      </c>
      <c r="B200" s="217" t="s">
        <v>162</v>
      </c>
      <c r="C200" s="217" t="s">
        <v>20</v>
      </c>
      <c r="D200" s="217" t="s">
        <v>21</v>
      </c>
      <c r="E200" s="217" t="s">
        <v>22</v>
      </c>
      <c r="F200" s="217" t="s">
        <v>163</v>
      </c>
      <c r="G200" s="218">
        <f>nom_interna!L127</f>
        <v>6300.8</v>
      </c>
      <c r="H200" s="219" t="s">
        <v>27</v>
      </c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</row>
    <row r="201" ht="15.75" hidden="1" customHeight="1">
      <c r="A201" s="217" t="s">
        <v>18</v>
      </c>
      <c r="B201" s="217" t="s">
        <v>164</v>
      </c>
      <c r="C201" s="217" t="s">
        <v>31</v>
      </c>
      <c r="D201" s="217" t="s">
        <v>54</v>
      </c>
      <c r="E201" s="216"/>
      <c r="F201" s="217" t="s">
        <v>165</v>
      </c>
      <c r="G201" s="217">
        <v>7353.691922</v>
      </c>
      <c r="H201" s="217" t="s">
        <v>24</v>
      </c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</row>
    <row r="202" ht="15.75" hidden="1" customHeight="1">
      <c r="A202" s="217" t="s">
        <v>18</v>
      </c>
      <c r="B202" s="217" t="s">
        <v>164</v>
      </c>
      <c r="C202" s="217" t="s">
        <v>31</v>
      </c>
      <c r="D202" s="217" t="s">
        <v>54</v>
      </c>
      <c r="E202" s="216"/>
      <c r="F202" s="217" t="s">
        <v>165</v>
      </c>
      <c r="G202" s="218">
        <f>10333.049216+nom_interna!I84</f>
        <v>12538.32922</v>
      </c>
      <c r="H202" s="217" t="s">
        <v>25</v>
      </c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</row>
    <row r="203" ht="15.75" hidden="1" customHeight="1">
      <c r="A203" s="217" t="s">
        <v>18</v>
      </c>
      <c r="B203" s="217" t="s">
        <v>164</v>
      </c>
      <c r="C203" s="217" t="s">
        <v>31</v>
      </c>
      <c r="D203" s="217" t="s">
        <v>54</v>
      </c>
      <c r="E203" s="216"/>
      <c r="F203" s="217" t="s">
        <v>165</v>
      </c>
      <c r="G203" s="217">
        <v>16763.887932</v>
      </c>
      <c r="H203" s="217" t="s">
        <v>26</v>
      </c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</row>
    <row r="204" ht="15.75" hidden="1" customHeight="1">
      <c r="A204" s="217" t="s">
        <v>18</v>
      </c>
      <c r="B204" s="217" t="s">
        <v>164</v>
      </c>
      <c r="C204" s="217" t="s">
        <v>31</v>
      </c>
      <c r="D204" s="217" t="s">
        <v>54</v>
      </c>
      <c r="E204" s="216"/>
      <c r="F204" s="217" t="s">
        <v>165</v>
      </c>
      <c r="G204" s="218">
        <f>3726.24+nom_interna!L138</f>
        <v>13177.44</v>
      </c>
      <c r="H204" s="219" t="s">
        <v>27</v>
      </c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</row>
    <row r="205" ht="15.75" hidden="1" customHeight="1">
      <c r="A205" s="217" t="s">
        <v>18</v>
      </c>
      <c r="B205" s="217" t="s">
        <v>1652</v>
      </c>
      <c r="C205" s="217" t="s">
        <v>20</v>
      </c>
      <c r="D205" s="217" t="s">
        <v>21</v>
      </c>
      <c r="E205" s="217" t="s">
        <v>1650</v>
      </c>
      <c r="F205" s="217" t="s">
        <v>167</v>
      </c>
      <c r="G205" s="217">
        <v>15927.656463</v>
      </c>
      <c r="H205" s="217" t="s">
        <v>25</v>
      </c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</row>
    <row r="206" ht="15.75" hidden="1" customHeight="1">
      <c r="A206" s="217" t="s">
        <v>18</v>
      </c>
      <c r="B206" s="217" t="s">
        <v>1652</v>
      </c>
      <c r="C206" s="217" t="s">
        <v>20</v>
      </c>
      <c r="D206" s="217" t="s">
        <v>21</v>
      </c>
      <c r="E206" s="217" t="s">
        <v>1650</v>
      </c>
      <c r="F206" s="217" t="s">
        <v>167</v>
      </c>
      <c r="G206" s="217">
        <v>15635.661516</v>
      </c>
      <c r="H206" s="217" t="s">
        <v>26</v>
      </c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</row>
    <row r="207" ht="15.75" hidden="1" customHeight="1">
      <c r="A207" s="217" t="s">
        <v>18</v>
      </c>
      <c r="B207" s="217" t="s">
        <v>1652</v>
      </c>
      <c r="C207" s="217" t="s">
        <v>20</v>
      </c>
      <c r="D207" s="217" t="s">
        <v>21</v>
      </c>
      <c r="E207" s="217" t="s">
        <v>1650</v>
      </c>
      <c r="F207" s="217" t="s">
        <v>167</v>
      </c>
      <c r="G207" s="217">
        <v>15934.228414</v>
      </c>
      <c r="H207" s="217" t="s">
        <v>24</v>
      </c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</row>
    <row r="208" ht="15.75" hidden="1" customHeight="1">
      <c r="A208" s="217" t="s">
        <v>18</v>
      </c>
      <c r="B208" s="217" t="s">
        <v>168</v>
      </c>
      <c r="C208" s="217" t="s">
        <v>20</v>
      </c>
      <c r="D208" s="217" t="s">
        <v>21</v>
      </c>
      <c r="E208" s="217" t="s">
        <v>61</v>
      </c>
      <c r="F208" s="217" t="s">
        <v>169</v>
      </c>
      <c r="G208" s="217">
        <v>15967.427722</v>
      </c>
      <c r="H208" s="217" t="s">
        <v>24</v>
      </c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</row>
    <row r="209" ht="15.75" hidden="1" customHeight="1">
      <c r="A209" s="217" t="s">
        <v>18</v>
      </c>
      <c r="B209" s="217" t="s">
        <v>168</v>
      </c>
      <c r="C209" s="217" t="s">
        <v>20</v>
      </c>
      <c r="D209" s="217" t="s">
        <v>21</v>
      </c>
      <c r="E209" s="217" t="s">
        <v>61</v>
      </c>
      <c r="F209" s="217" t="s">
        <v>169</v>
      </c>
      <c r="G209" s="218">
        <f>2676.24+nom_interna!L68</f>
        <v>12127.44</v>
      </c>
      <c r="H209" s="217" t="s">
        <v>25</v>
      </c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</row>
    <row r="210" ht="15.75" hidden="1" customHeight="1">
      <c r="A210" s="217" t="s">
        <v>18</v>
      </c>
      <c r="B210" s="217" t="s">
        <v>168</v>
      </c>
      <c r="C210" s="217" t="s">
        <v>20</v>
      </c>
      <c r="D210" s="217" t="s">
        <v>21</v>
      </c>
      <c r="E210" s="217" t="s">
        <v>61</v>
      </c>
      <c r="F210" s="217" t="s">
        <v>169</v>
      </c>
      <c r="G210" s="217">
        <v>15688.827749</v>
      </c>
      <c r="H210" s="217" t="s">
        <v>26</v>
      </c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</row>
    <row r="211" ht="15.75" hidden="1" customHeight="1">
      <c r="A211" s="217" t="s">
        <v>18</v>
      </c>
      <c r="B211" s="217" t="s">
        <v>168</v>
      </c>
      <c r="C211" s="217" t="s">
        <v>20</v>
      </c>
      <c r="D211" s="217" t="s">
        <v>21</v>
      </c>
      <c r="E211" s="217" t="s">
        <v>61</v>
      </c>
      <c r="F211" s="217" t="s">
        <v>169</v>
      </c>
      <c r="G211" s="218">
        <f>2676.24+nom_interna!L120</f>
        <v>12127.44</v>
      </c>
      <c r="H211" s="219" t="s">
        <v>27</v>
      </c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</row>
    <row r="212" ht="15.75" hidden="1" customHeight="1">
      <c r="A212" s="217" t="s">
        <v>18</v>
      </c>
      <c r="B212" s="217" t="s">
        <v>170</v>
      </c>
      <c r="C212" s="217" t="s">
        <v>20</v>
      </c>
      <c r="D212" s="217" t="s">
        <v>21</v>
      </c>
      <c r="E212" s="217" t="s">
        <v>41</v>
      </c>
      <c r="F212" s="217" t="s">
        <v>171</v>
      </c>
      <c r="G212" s="217">
        <v>7350.0</v>
      </c>
      <c r="H212" s="217" t="s">
        <v>26</v>
      </c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</row>
    <row r="213" ht="15.75" hidden="1" customHeight="1">
      <c r="A213" s="217" t="s">
        <v>18</v>
      </c>
      <c r="B213" s="217" t="s">
        <v>170</v>
      </c>
      <c r="C213" s="217" t="s">
        <v>20</v>
      </c>
      <c r="D213" s="217" t="s">
        <v>21</v>
      </c>
      <c r="E213" s="217" t="s">
        <v>41</v>
      </c>
      <c r="F213" s="217" t="s">
        <v>171</v>
      </c>
      <c r="G213" s="217">
        <v>7350.0</v>
      </c>
      <c r="H213" s="217" t="s">
        <v>24</v>
      </c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</row>
    <row r="214" ht="15.75" hidden="1" customHeight="1">
      <c r="A214" s="217" t="s">
        <v>18</v>
      </c>
      <c r="B214" s="217" t="s">
        <v>170</v>
      </c>
      <c r="C214" s="217" t="s">
        <v>20</v>
      </c>
      <c r="D214" s="217" t="s">
        <v>21</v>
      </c>
      <c r="E214" s="217" t="s">
        <v>41</v>
      </c>
      <c r="F214" s="217" t="s">
        <v>171</v>
      </c>
      <c r="G214" s="217">
        <v>7350.0</v>
      </c>
      <c r="H214" s="217" t="s">
        <v>25</v>
      </c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</row>
    <row r="215" ht="15.75" hidden="1" customHeight="1">
      <c r="A215" s="217" t="s">
        <v>18</v>
      </c>
      <c r="B215" s="217" t="s">
        <v>172</v>
      </c>
      <c r="C215" s="217" t="s">
        <v>31</v>
      </c>
      <c r="D215" s="217" t="s">
        <v>54</v>
      </c>
      <c r="E215" s="216"/>
      <c r="F215" s="217" t="s">
        <v>173</v>
      </c>
      <c r="G215" s="218">
        <f>4776.24+nom_interna!L70</f>
        <v>14227.44</v>
      </c>
      <c r="H215" s="217" t="s">
        <v>25</v>
      </c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</row>
    <row r="216" ht="15.75" hidden="1" customHeight="1">
      <c r="A216" s="217" t="s">
        <v>18</v>
      </c>
      <c r="B216" s="217" t="s">
        <v>172</v>
      </c>
      <c r="C216" s="217" t="s">
        <v>31</v>
      </c>
      <c r="D216" s="217" t="s">
        <v>54</v>
      </c>
      <c r="E216" s="216"/>
      <c r="F216" s="217" t="s">
        <v>173</v>
      </c>
      <c r="G216" s="217">
        <v>17835.913761</v>
      </c>
      <c r="H216" s="217" t="s">
        <v>26</v>
      </c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</row>
    <row r="217" ht="15.75" hidden="1" customHeight="1">
      <c r="A217" s="217" t="s">
        <v>18</v>
      </c>
      <c r="B217" s="217" t="s">
        <v>172</v>
      </c>
      <c r="C217" s="217" t="s">
        <v>31</v>
      </c>
      <c r="D217" s="217" t="s">
        <v>54</v>
      </c>
      <c r="E217" s="216"/>
      <c r="F217" s="217" t="s">
        <v>173</v>
      </c>
      <c r="G217" s="217">
        <v>18180.823</v>
      </c>
      <c r="H217" s="217" t="s">
        <v>24</v>
      </c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</row>
    <row r="218" ht="15.75" hidden="1" customHeight="1">
      <c r="A218" s="217" t="s">
        <v>18</v>
      </c>
      <c r="B218" s="217" t="s">
        <v>172</v>
      </c>
      <c r="C218" s="217" t="s">
        <v>31</v>
      </c>
      <c r="D218" s="217" t="s">
        <v>54</v>
      </c>
      <c r="E218" s="216"/>
      <c r="F218" s="217" t="s">
        <v>173</v>
      </c>
      <c r="G218" s="218">
        <f>4776.24+nom_interna!L122</f>
        <v>14227.44</v>
      </c>
      <c r="H218" s="219" t="s">
        <v>27</v>
      </c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</row>
    <row r="219" ht="15.75" hidden="1" customHeight="1">
      <c r="A219" s="217" t="s">
        <v>18</v>
      </c>
      <c r="B219" s="217" t="s">
        <v>174</v>
      </c>
      <c r="C219" s="217" t="s">
        <v>31</v>
      </c>
      <c r="D219" s="217" t="s">
        <v>47</v>
      </c>
      <c r="E219" s="216"/>
      <c r="F219" s="217" t="s">
        <v>175</v>
      </c>
      <c r="G219" s="217">
        <v>32765.73604</v>
      </c>
      <c r="H219" s="217" t="s">
        <v>26</v>
      </c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</row>
    <row r="220" ht="15.75" hidden="1" customHeight="1">
      <c r="A220" s="217" t="s">
        <v>18</v>
      </c>
      <c r="B220" s="217" t="s">
        <v>174</v>
      </c>
      <c r="C220" s="217" t="s">
        <v>31</v>
      </c>
      <c r="D220" s="217" t="s">
        <v>47</v>
      </c>
      <c r="E220" s="216"/>
      <c r="F220" s="217" t="s">
        <v>175</v>
      </c>
      <c r="G220" s="217">
        <v>33385.36342</v>
      </c>
      <c r="H220" s="217" t="s">
        <v>24</v>
      </c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</row>
    <row r="221" ht="15.75" hidden="1" customHeight="1">
      <c r="A221" s="217" t="s">
        <v>18</v>
      </c>
      <c r="B221" s="217" t="s">
        <v>174</v>
      </c>
      <c r="C221" s="217" t="s">
        <v>31</v>
      </c>
      <c r="D221" s="217" t="s">
        <v>47</v>
      </c>
      <c r="E221" s="216"/>
      <c r="F221" s="217" t="s">
        <v>175</v>
      </c>
      <c r="G221" s="217">
        <v>32739.05659</v>
      </c>
      <c r="H221" s="217" t="s">
        <v>25</v>
      </c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</row>
    <row r="222" ht="15.75" hidden="1" customHeight="1">
      <c r="A222" s="217" t="s">
        <v>18</v>
      </c>
      <c r="B222" s="217" t="s">
        <v>176</v>
      </c>
      <c r="C222" s="217" t="s">
        <v>20</v>
      </c>
      <c r="D222" s="217" t="s">
        <v>21</v>
      </c>
      <c r="E222" s="217" t="s">
        <v>1651</v>
      </c>
      <c r="F222" s="217" t="s">
        <v>177</v>
      </c>
      <c r="G222" s="217">
        <v>15638.225941</v>
      </c>
      <c r="H222" s="217" t="s">
        <v>26</v>
      </c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</row>
    <row r="223" ht="15.75" hidden="1" customHeight="1">
      <c r="A223" s="217" t="s">
        <v>18</v>
      </c>
      <c r="B223" s="217" t="s">
        <v>176</v>
      </c>
      <c r="C223" s="217" t="s">
        <v>20</v>
      </c>
      <c r="D223" s="217" t="s">
        <v>21</v>
      </c>
      <c r="E223" s="217" t="s">
        <v>1651</v>
      </c>
      <c r="F223" s="217" t="s">
        <v>177</v>
      </c>
      <c r="G223" s="217">
        <v>15930.558312</v>
      </c>
      <c r="H223" s="217" t="s">
        <v>25</v>
      </c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</row>
    <row r="224" ht="15.75" hidden="1" customHeight="1">
      <c r="A224" s="217" t="s">
        <v>18</v>
      </c>
      <c r="B224" s="217" t="s">
        <v>176</v>
      </c>
      <c r="C224" s="217" t="s">
        <v>20</v>
      </c>
      <c r="D224" s="217" t="s">
        <v>21</v>
      </c>
      <c r="E224" s="217" t="s">
        <v>1651</v>
      </c>
      <c r="F224" s="217" t="s">
        <v>177</v>
      </c>
      <c r="G224" s="217">
        <v>15937.062778</v>
      </c>
      <c r="H224" s="217" t="s">
        <v>24</v>
      </c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</row>
    <row r="225" ht="15.75" hidden="1" customHeight="1">
      <c r="A225" s="217" t="s">
        <v>18</v>
      </c>
      <c r="B225" s="217" t="s">
        <v>178</v>
      </c>
      <c r="C225" s="217" t="s">
        <v>31</v>
      </c>
      <c r="D225" s="217" t="s">
        <v>54</v>
      </c>
      <c r="E225" s="216"/>
      <c r="F225" s="217" t="s">
        <v>179</v>
      </c>
      <c r="G225" s="217">
        <v>12911.005941</v>
      </c>
      <c r="H225" s="217" t="s">
        <v>26</v>
      </c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</row>
    <row r="226" ht="15.75" hidden="1" customHeight="1">
      <c r="A226" s="217" t="s">
        <v>18</v>
      </c>
      <c r="B226" s="217" t="s">
        <v>178</v>
      </c>
      <c r="C226" s="217" t="s">
        <v>31</v>
      </c>
      <c r="D226" s="217" t="s">
        <v>54</v>
      </c>
      <c r="E226" s="216"/>
      <c r="F226" s="217" t="s">
        <v>179</v>
      </c>
      <c r="G226" s="217">
        <v>13158.862778</v>
      </c>
      <c r="H226" s="217" t="s">
        <v>24</v>
      </c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</row>
    <row r="227" ht="15.75" hidden="1" customHeight="1">
      <c r="A227" s="217" t="s">
        <v>18</v>
      </c>
      <c r="B227" s="217" t="s">
        <v>178</v>
      </c>
      <c r="C227" s="217" t="s">
        <v>31</v>
      </c>
      <c r="D227" s="217" t="s">
        <v>54</v>
      </c>
      <c r="E227" s="216"/>
      <c r="F227" s="217" t="s">
        <v>179</v>
      </c>
      <c r="G227" s="217">
        <v>13254.318312</v>
      </c>
      <c r="H227" s="217" t="s">
        <v>25</v>
      </c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</row>
    <row r="228" ht="15.75" hidden="1" customHeight="1">
      <c r="A228" s="217" t="s">
        <v>18</v>
      </c>
      <c r="B228" s="217" t="s">
        <v>180</v>
      </c>
      <c r="C228" s="217" t="s">
        <v>20</v>
      </c>
      <c r="D228" s="217" t="s">
        <v>54</v>
      </c>
      <c r="E228" s="216"/>
      <c r="F228" s="217" t="s">
        <v>181</v>
      </c>
      <c r="G228" s="217">
        <v>15879.069051</v>
      </c>
      <c r="H228" s="217" t="s">
        <v>25</v>
      </c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</row>
    <row r="229" ht="15.75" hidden="1" customHeight="1">
      <c r="A229" s="217" t="s">
        <v>18</v>
      </c>
      <c r="B229" s="217" t="s">
        <v>180</v>
      </c>
      <c r="C229" s="217" t="s">
        <v>20</v>
      </c>
      <c r="D229" s="217" t="s">
        <v>54</v>
      </c>
      <c r="E229" s="216"/>
      <c r="F229" s="217" t="s">
        <v>181</v>
      </c>
      <c r="G229" s="217">
        <v>15931.39405</v>
      </c>
      <c r="H229" s="217" t="s">
        <v>24</v>
      </c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</row>
    <row r="230" ht="15.75" hidden="1" customHeight="1">
      <c r="A230" s="217" t="s">
        <v>18</v>
      </c>
      <c r="B230" s="217" t="s">
        <v>180</v>
      </c>
      <c r="C230" s="217" t="s">
        <v>20</v>
      </c>
      <c r="D230" s="217" t="s">
        <v>54</v>
      </c>
      <c r="E230" s="216"/>
      <c r="F230" s="217" t="s">
        <v>181</v>
      </c>
      <c r="G230" s="217">
        <v>15475.597092</v>
      </c>
      <c r="H230" s="217" t="s">
        <v>26</v>
      </c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</row>
    <row r="231" ht="15.75" hidden="1" customHeight="1">
      <c r="A231" s="217" t="s">
        <v>18</v>
      </c>
      <c r="B231" s="217" t="s">
        <v>182</v>
      </c>
      <c r="C231" s="217" t="s">
        <v>20</v>
      </c>
      <c r="D231" s="217" t="s">
        <v>21</v>
      </c>
      <c r="E231" s="216"/>
      <c r="F231" s="217" t="s">
        <v>183</v>
      </c>
      <c r="G231" s="217">
        <v>15961.678181</v>
      </c>
      <c r="H231" s="217" t="s">
        <v>24</v>
      </c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</row>
    <row r="232" ht="15.75" hidden="1" customHeight="1">
      <c r="A232" s="217" t="s">
        <v>18</v>
      </c>
      <c r="B232" s="217" t="s">
        <v>184</v>
      </c>
      <c r="C232" s="217" t="s">
        <v>31</v>
      </c>
      <c r="D232" s="219" t="s">
        <v>113</v>
      </c>
      <c r="E232" s="216"/>
      <c r="F232" s="217" t="s">
        <v>185</v>
      </c>
      <c r="G232" s="218">
        <f>30975+nom_interna!C7+nom_interna!I7</f>
        <v>43974.9</v>
      </c>
      <c r="H232" s="217" t="s">
        <v>24</v>
      </c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</row>
    <row r="233" ht="15.75" hidden="1" customHeight="1">
      <c r="A233" s="217" t="s">
        <v>18</v>
      </c>
      <c r="B233" s="217" t="s">
        <v>184</v>
      </c>
      <c r="C233" s="217" t="s">
        <v>31</v>
      </c>
      <c r="D233" s="219" t="s">
        <v>113</v>
      </c>
      <c r="E233" s="216"/>
      <c r="F233" s="217" t="s">
        <v>185</v>
      </c>
      <c r="G233" s="218">
        <f>30975+nom_interna!C22+nom_interna!I23</f>
        <v>43974.9</v>
      </c>
      <c r="H233" s="217" t="s">
        <v>26</v>
      </c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</row>
    <row r="234" ht="15.75" hidden="1" customHeight="1">
      <c r="A234" s="217" t="s">
        <v>18</v>
      </c>
      <c r="B234" s="217" t="s">
        <v>184</v>
      </c>
      <c r="C234" s="217" t="s">
        <v>31</v>
      </c>
      <c r="D234" s="219" t="s">
        <v>113</v>
      </c>
      <c r="E234" s="216"/>
      <c r="F234" s="217" t="s">
        <v>185</v>
      </c>
      <c r="G234" s="218">
        <v>43974.899999999994</v>
      </c>
      <c r="H234" s="217" t="s">
        <v>25</v>
      </c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</row>
    <row r="235" ht="15.75" hidden="1" customHeight="1">
      <c r="A235" s="217" t="s">
        <v>18</v>
      </c>
      <c r="B235" s="217" t="s">
        <v>184</v>
      </c>
      <c r="C235" s="217" t="s">
        <v>31</v>
      </c>
      <c r="D235" s="219" t="s">
        <v>113</v>
      </c>
      <c r="E235" s="216"/>
      <c r="F235" s="217" t="s">
        <v>185</v>
      </c>
      <c r="G235" s="218">
        <v>43974.899999999994</v>
      </c>
      <c r="H235" s="219" t="s">
        <v>27</v>
      </c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</row>
    <row r="236" ht="15.75" hidden="1" customHeight="1">
      <c r="A236" s="217" t="s">
        <v>18</v>
      </c>
      <c r="B236" s="217" t="s">
        <v>186</v>
      </c>
      <c r="C236" s="217" t="s">
        <v>31</v>
      </c>
      <c r="D236" s="217" t="s">
        <v>187</v>
      </c>
      <c r="E236" s="217" t="s">
        <v>22</v>
      </c>
      <c r="F236" s="217" t="s">
        <v>188</v>
      </c>
      <c r="G236" s="217">
        <v>17027.062778</v>
      </c>
      <c r="H236" s="217" t="s">
        <v>24</v>
      </c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</row>
    <row r="237" ht="15.75" hidden="1" customHeight="1">
      <c r="A237" s="217" t="s">
        <v>18</v>
      </c>
      <c r="B237" s="217" t="s">
        <v>186</v>
      </c>
      <c r="C237" s="217" t="s">
        <v>31</v>
      </c>
      <c r="D237" s="217" t="s">
        <v>187</v>
      </c>
      <c r="E237" s="217" t="s">
        <v>22</v>
      </c>
      <c r="F237" s="217" t="s">
        <v>188</v>
      </c>
      <c r="G237" s="217">
        <v>16934.78277</v>
      </c>
      <c r="H237" s="217" t="s">
        <v>25</v>
      </c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</row>
    <row r="238" ht="15.75" hidden="1" customHeight="1">
      <c r="A238" s="217" t="s">
        <v>18</v>
      </c>
      <c r="B238" s="217" t="s">
        <v>186</v>
      </c>
      <c r="C238" s="217" t="s">
        <v>31</v>
      </c>
      <c r="D238" s="217" t="s">
        <v>187</v>
      </c>
      <c r="E238" s="217" t="s">
        <v>22</v>
      </c>
      <c r="F238" s="217" t="s">
        <v>188</v>
      </c>
      <c r="G238" s="217">
        <v>17652.899441</v>
      </c>
      <c r="H238" s="217" t="s">
        <v>26</v>
      </c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</row>
    <row r="239" ht="15.75" hidden="1" customHeight="1">
      <c r="A239" s="217" t="s">
        <v>18</v>
      </c>
      <c r="B239" s="217" t="s">
        <v>189</v>
      </c>
      <c r="C239" s="217" t="s">
        <v>31</v>
      </c>
      <c r="D239" s="217" t="s">
        <v>54</v>
      </c>
      <c r="E239" s="216"/>
      <c r="F239" s="217" t="s">
        <v>190</v>
      </c>
      <c r="G239" s="217">
        <v>20305.36342</v>
      </c>
      <c r="H239" s="217" t="s">
        <v>24</v>
      </c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</row>
    <row r="240" ht="15.75" hidden="1" customHeight="1">
      <c r="A240" s="217" t="s">
        <v>18</v>
      </c>
      <c r="B240" s="217" t="s">
        <v>189</v>
      </c>
      <c r="C240" s="217" t="s">
        <v>31</v>
      </c>
      <c r="D240" s="217" t="s">
        <v>54</v>
      </c>
      <c r="E240" s="216"/>
      <c r="F240" s="217" t="s">
        <v>190</v>
      </c>
      <c r="G240" s="217">
        <v>20093.14929</v>
      </c>
      <c r="H240" s="217" t="s">
        <v>25</v>
      </c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</row>
    <row r="241" ht="15.75" hidden="1" customHeight="1">
      <c r="A241" s="217" t="s">
        <v>18</v>
      </c>
      <c r="B241" s="217" t="s">
        <v>189</v>
      </c>
      <c r="C241" s="217" t="s">
        <v>31</v>
      </c>
      <c r="D241" s="217" t="s">
        <v>54</v>
      </c>
      <c r="E241" s="216"/>
      <c r="F241" s="217" t="s">
        <v>190</v>
      </c>
      <c r="G241" s="217">
        <v>19925.736044</v>
      </c>
      <c r="H241" s="217" t="s">
        <v>26</v>
      </c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</row>
    <row r="242" ht="15.75" hidden="1" customHeight="1">
      <c r="A242" s="217" t="s">
        <v>18</v>
      </c>
      <c r="B242" s="217" t="s">
        <v>191</v>
      </c>
      <c r="C242" s="217" t="s">
        <v>66</v>
      </c>
      <c r="D242" s="217" t="s">
        <v>192</v>
      </c>
      <c r="E242" s="216"/>
      <c r="F242" s="217" t="s">
        <v>193</v>
      </c>
      <c r="G242" s="217">
        <v>16512.962652</v>
      </c>
      <c r="H242" s="217" t="s">
        <v>25</v>
      </c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</row>
    <row r="243" ht="15.75" hidden="1" customHeight="1">
      <c r="A243" s="217" t="s">
        <v>18</v>
      </c>
      <c r="B243" s="217" t="s">
        <v>191</v>
      </c>
      <c r="C243" s="217" t="s">
        <v>66</v>
      </c>
      <c r="D243" s="217" t="s">
        <v>192</v>
      </c>
      <c r="E243" s="216"/>
      <c r="F243" s="217" t="s">
        <v>193</v>
      </c>
      <c r="G243" s="217">
        <v>16708.225941</v>
      </c>
      <c r="H243" s="217" t="s">
        <v>26</v>
      </c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</row>
    <row r="244" ht="15.75" hidden="1" customHeight="1">
      <c r="A244" s="217" t="s">
        <v>18</v>
      </c>
      <c r="B244" s="217" t="s">
        <v>191</v>
      </c>
      <c r="C244" s="217" t="s">
        <v>66</v>
      </c>
      <c r="D244" s="217" t="s">
        <v>192</v>
      </c>
      <c r="E244" s="216"/>
      <c r="F244" s="217" t="s">
        <v>193</v>
      </c>
      <c r="G244" s="217">
        <v>17027.062778</v>
      </c>
      <c r="H244" s="217" t="s">
        <v>24</v>
      </c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</row>
    <row r="245" ht="15.75" hidden="1" customHeight="1">
      <c r="A245" s="217" t="s">
        <v>18</v>
      </c>
      <c r="B245" s="217" t="s">
        <v>194</v>
      </c>
      <c r="C245" s="217" t="s">
        <v>31</v>
      </c>
      <c r="D245" s="217" t="s">
        <v>47</v>
      </c>
      <c r="E245" s="216"/>
      <c r="F245" s="217" t="s">
        <v>195</v>
      </c>
      <c r="G245" s="217">
        <v>18855.736044</v>
      </c>
      <c r="H245" s="217" t="s">
        <v>26</v>
      </c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</row>
    <row r="246" ht="15.75" hidden="1" customHeight="1">
      <c r="A246" s="217" t="s">
        <v>18</v>
      </c>
      <c r="B246" s="217" t="s">
        <v>194</v>
      </c>
      <c r="C246" s="217" t="s">
        <v>31</v>
      </c>
      <c r="D246" s="217" t="s">
        <v>47</v>
      </c>
      <c r="E246" s="216"/>
      <c r="F246" s="217" t="s">
        <v>195</v>
      </c>
      <c r="G246" s="217">
        <v>19215.363418</v>
      </c>
      <c r="H246" s="217" t="s">
        <v>24</v>
      </c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</row>
    <row r="247" ht="15.75" hidden="1" customHeight="1">
      <c r="A247" s="217" t="s">
        <v>18</v>
      </c>
      <c r="B247" s="217" t="s">
        <v>194</v>
      </c>
      <c r="C247" s="217" t="s">
        <v>31</v>
      </c>
      <c r="D247" s="217" t="s">
        <v>47</v>
      </c>
      <c r="E247" s="216"/>
      <c r="F247" s="217" t="s">
        <v>195</v>
      </c>
      <c r="G247" s="217">
        <v>18459.056587</v>
      </c>
      <c r="H247" s="217" t="s">
        <v>25</v>
      </c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</row>
    <row r="248" ht="15.75" hidden="1" customHeight="1">
      <c r="A248" s="217" t="s">
        <v>18</v>
      </c>
      <c r="B248" s="217" t="s">
        <v>196</v>
      </c>
      <c r="C248" s="217" t="s">
        <v>20</v>
      </c>
      <c r="D248" s="217" t="s">
        <v>54</v>
      </c>
      <c r="E248" s="216"/>
      <c r="F248" s="217" t="s">
        <v>197</v>
      </c>
      <c r="G248" s="217">
        <v>40917.85954</v>
      </c>
      <c r="H248" s="217" t="s">
        <v>26</v>
      </c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</row>
    <row r="249" ht="15.75" hidden="1" customHeight="1">
      <c r="A249" s="217" t="s">
        <v>18</v>
      </c>
      <c r="B249" s="217" t="s">
        <v>196</v>
      </c>
      <c r="C249" s="217" t="s">
        <v>20</v>
      </c>
      <c r="D249" s="217" t="s">
        <v>54</v>
      </c>
      <c r="E249" s="216"/>
      <c r="F249" s="217" t="s">
        <v>197</v>
      </c>
      <c r="G249" s="217">
        <v>41647.00913</v>
      </c>
      <c r="H249" s="217" t="s">
        <v>24</v>
      </c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</row>
    <row r="250" ht="15.75" hidden="1" customHeight="1">
      <c r="A250" s="217" t="s">
        <v>18</v>
      </c>
      <c r="B250" s="217" t="s">
        <v>196</v>
      </c>
      <c r="C250" s="217" t="s">
        <v>20</v>
      </c>
      <c r="D250" s="217" t="s">
        <v>54</v>
      </c>
      <c r="E250" s="216"/>
      <c r="F250" s="217" t="s">
        <v>197</v>
      </c>
      <c r="G250" s="217">
        <v>40675.54158999999</v>
      </c>
      <c r="H250" s="217" t="s">
        <v>25</v>
      </c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</row>
    <row r="251" ht="15.75" hidden="1" customHeight="1">
      <c r="A251" s="217" t="s">
        <v>18</v>
      </c>
      <c r="B251" s="217" t="s">
        <v>198</v>
      </c>
      <c r="C251" s="217" t="s">
        <v>31</v>
      </c>
      <c r="D251" s="217" t="s">
        <v>98</v>
      </c>
      <c r="E251" s="216"/>
      <c r="F251" s="217" t="s">
        <v>199</v>
      </c>
      <c r="G251" s="217">
        <v>19340.144052</v>
      </c>
      <c r="H251" s="217" t="s">
        <v>24</v>
      </c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</row>
    <row r="252" ht="15.75" hidden="1" customHeight="1">
      <c r="A252" s="217" t="s">
        <v>18</v>
      </c>
      <c r="B252" s="217" t="s">
        <v>198</v>
      </c>
      <c r="C252" s="217" t="s">
        <v>31</v>
      </c>
      <c r="D252" s="217" t="s">
        <v>98</v>
      </c>
      <c r="E252" s="216"/>
      <c r="F252" s="217" t="s">
        <v>199</v>
      </c>
      <c r="G252" s="217">
        <v>18982.853175</v>
      </c>
      <c r="H252" s="217" t="s">
        <v>26</v>
      </c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</row>
    <row r="253" ht="15.75" hidden="1" customHeight="1">
      <c r="A253" s="217" t="s">
        <v>18</v>
      </c>
      <c r="B253" s="217" t="s">
        <v>198</v>
      </c>
      <c r="C253" s="217" t="s">
        <v>31</v>
      </c>
      <c r="D253" s="217" t="s">
        <v>98</v>
      </c>
      <c r="E253" s="216"/>
      <c r="F253" s="217" t="s">
        <v>199</v>
      </c>
      <c r="G253" s="217">
        <v>19146.252292</v>
      </c>
      <c r="H253" s="217" t="s">
        <v>25</v>
      </c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</row>
    <row r="254" ht="15.75" hidden="1" customHeight="1">
      <c r="A254" s="217" t="s">
        <v>18</v>
      </c>
      <c r="B254" s="217" t="s">
        <v>200</v>
      </c>
      <c r="C254" s="217" t="s">
        <v>20</v>
      </c>
      <c r="D254" s="217" t="s">
        <v>21</v>
      </c>
      <c r="E254" s="217" t="s">
        <v>22</v>
      </c>
      <c r="F254" s="217" t="s">
        <v>201</v>
      </c>
      <c r="G254" s="218">
        <f>3428.67+nom_interna!L66</f>
        <v>12879.87</v>
      </c>
      <c r="H254" s="217" t="s">
        <v>25</v>
      </c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</row>
    <row r="255" ht="15.75" hidden="1" customHeight="1">
      <c r="A255" s="217" t="s">
        <v>18</v>
      </c>
      <c r="B255" s="217" t="s">
        <v>200</v>
      </c>
      <c r="C255" s="217" t="s">
        <v>20</v>
      </c>
      <c r="D255" s="217" t="s">
        <v>21</v>
      </c>
      <c r="E255" s="217" t="s">
        <v>22</v>
      </c>
      <c r="F255" s="217" t="s">
        <v>201</v>
      </c>
      <c r="G255" s="217">
        <v>17288.580152</v>
      </c>
      <c r="H255" s="217" t="s">
        <v>26</v>
      </c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</row>
    <row r="256" ht="15.75" hidden="1" customHeight="1">
      <c r="A256" s="217" t="s">
        <v>18</v>
      </c>
      <c r="B256" s="217" t="s">
        <v>200</v>
      </c>
      <c r="C256" s="217" t="s">
        <v>20</v>
      </c>
      <c r="D256" s="217" t="s">
        <v>21</v>
      </c>
      <c r="E256" s="217" t="s">
        <v>22</v>
      </c>
      <c r="F256" s="217" t="s">
        <v>201</v>
      </c>
      <c r="G256" s="217">
        <v>15604.598181</v>
      </c>
      <c r="H256" s="217" t="s">
        <v>24</v>
      </c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</row>
    <row r="257" ht="15.75" hidden="1" customHeight="1">
      <c r="A257" s="217" t="s">
        <v>18</v>
      </c>
      <c r="B257" s="217" t="s">
        <v>200</v>
      </c>
      <c r="C257" s="217" t="s">
        <v>20</v>
      </c>
      <c r="D257" s="217" t="s">
        <v>21</v>
      </c>
      <c r="E257" s="217" t="s">
        <v>22</v>
      </c>
      <c r="F257" s="217" t="s">
        <v>201</v>
      </c>
      <c r="G257" s="218">
        <f>2238.348+nom_interna!L118</f>
        <v>11689.548</v>
      </c>
      <c r="H257" s="219" t="s">
        <v>27</v>
      </c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</row>
    <row r="258" ht="15.75" hidden="1" customHeight="1">
      <c r="A258" s="217" t="s">
        <v>18</v>
      </c>
      <c r="B258" s="217" t="s">
        <v>202</v>
      </c>
      <c r="C258" s="217" t="s">
        <v>31</v>
      </c>
      <c r="D258" s="217" t="s">
        <v>98</v>
      </c>
      <c r="E258" s="216"/>
      <c r="F258" s="217" t="s">
        <v>203</v>
      </c>
      <c r="G258" s="217">
        <v>19337.174718</v>
      </c>
      <c r="H258" s="217" t="s">
        <v>24</v>
      </c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</row>
    <row r="259" ht="15.75" hidden="1" customHeight="1">
      <c r="A259" s="217" t="s">
        <v>18</v>
      </c>
      <c r="B259" s="217" t="s">
        <v>202</v>
      </c>
      <c r="C259" s="217" t="s">
        <v>31</v>
      </c>
      <c r="D259" s="217" t="s">
        <v>98</v>
      </c>
      <c r="E259" s="216"/>
      <c r="F259" s="217" t="s">
        <v>203</v>
      </c>
      <c r="G259" s="217">
        <v>19143.282958</v>
      </c>
      <c r="H259" s="217" t="s">
        <v>25</v>
      </c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</row>
    <row r="260" ht="15.75" hidden="1" customHeight="1">
      <c r="A260" s="217" t="s">
        <v>18</v>
      </c>
      <c r="B260" s="217" t="s">
        <v>202</v>
      </c>
      <c r="C260" s="217" t="s">
        <v>31</v>
      </c>
      <c r="D260" s="217" t="s">
        <v>98</v>
      </c>
      <c r="E260" s="216"/>
      <c r="F260" s="217" t="s">
        <v>203</v>
      </c>
      <c r="G260" s="217">
        <v>18980.15378</v>
      </c>
      <c r="H260" s="217" t="s">
        <v>26</v>
      </c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</row>
    <row r="261" ht="15.75" hidden="1" customHeight="1">
      <c r="A261" s="217" t="s">
        <v>18</v>
      </c>
      <c r="B261" s="217" t="s">
        <v>204</v>
      </c>
      <c r="C261" s="217" t="s">
        <v>20</v>
      </c>
      <c r="D261" s="217" t="s">
        <v>21</v>
      </c>
      <c r="E261" s="217" t="s">
        <v>22</v>
      </c>
      <c r="F261" s="217" t="s">
        <v>205</v>
      </c>
      <c r="G261" s="217">
        <v>18141.678181</v>
      </c>
      <c r="H261" s="217" t="s">
        <v>24</v>
      </c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</row>
    <row r="262" ht="15.75" hidden="1" customHeight="1">
      <c r="A262" s="217" t="s">
        <v>18</v>
      </c>
      <c r="B262" s="217" t="s">
        <v>204</v>
      </c>
      <c r="C262" s="217" t="s">
        <v>20</v>
      </c>
      <c r="D262" s="217" t="s">
        <v>21</v>
      </c>
      <c r="E262" s="217" t="s">
        <v>22</v>
      </c>
      <c r="F262" s="217" t="s">
        <v>205</v>
      </c>
      <c r="G262" s="217">
        <v>17823.581037</v>
      </c>
      <c r="H262" s="217" t="s">
        <v>26</v>
      </c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</row>
    <row r="263" ht="15.75" hidden="1" customHeight="1">
      <c r="A263" s="217" t="s">
        <v>18</v>
      </c>
      <c r="B263" s="217" t="s">
        <v>204</v>
      </c>
      <c r="C263" s="217" t="s">
        <v>20</v>
      </c>
      <c r="D263" s="217" t="s">
        <v>21</v>
      </c>
      <c r="E263" s="217" t="s">
        <v>22</v>
      </c>
      <c r="F263" s="217" t="s">
        <v>205</v>
      </c>
      <c r="G263" s="218">
        <f>10784.160583+nom_interna!I80</f>
        <v>15509.76058</v>
      </c>
      <c r="H263" s="217" t="s">
        <v>25</v>
      </c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</row>
    <row r="264" ht="15.75" hidden="1" customHeight="1">
      <c r="A264" s="217" t="s">
        <v>18</v>
      </c>
      <c r="B264" s="217" t="s">
        <v>204</v>
      </c>
      <c r="C264" s="217" t="s">
        <v>20</v>
      </c>
      <c r="D264" s="217" t="s">
        <v>21</v>
      </c>
      <c r="E264" s="217" t="s">
        <v>22</v>
      </c>
      <c r="F264" s="217" t="s">
        <v>205</v>
      </c>
      <c r="G264" s="218">
        <f>4263.84+nom_interna!L134</f>
        <v>13715.04</v>
      </c>
      <c r="H264" s="219" t="s">
        <v>27</v>
      </c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</row>
    <row r="265" ht="15.75" hidden="1" customHeight="1">
      <c r="A265" s="217" t="s">
        <v>18</v>
      </c>
      <c r="B265" s="217" t="s">
        <v>206</v>
      </c>
      <c r="C265" s="217" t="s">
        <v>31</v>
      </c>
      <c r="D265" s="217" t="s">
        <v>38</v>
      </c>
      <c r="E265" s="216"/>
      <c r="F265" s="217" t="s">
        <v>207</v>
      </c>
      <c r="G265" s="217">
        <v>7350.0</v>
      </c>
      <c r="H265" s="217" t="s">
        <v>26</v>
      </c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</row>
    <row r="266" ht="15.75" hidden="1" customHeight="1">
      <c r="A266" s="217" t="s">
        <v>18</v>
      </c>
      <c r="B266" s="217" t="s">
        <v>206</v>
      </c>
      <c r="C266" s="217" t="s">
        <v>31</v>
      </c>
      <c r="D266" s="217" t="s">
        <v>38</v>
      </c>
      <c r="E266" s="216"/>
      <c r="F266" s="217" t="s">
        <v>207</v>
      </c>
      <c r="G266" s="217">
        <v>7350.0</v>
      </c>
      <c r="H266" s="217" t="s">
        <v>25</v>
      </c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</row>
    <row r="267" ht="15.75" hidden="1" customHeight="1">
      <c r="A267" s="217" t="s">
        <v>18</v>
      </c>
      <c r="B267" s="217" t="s">
        <v>206</v>
      </c>
      <c r="C267" s="217" t="s">
        <v>31</v>
      </c>
      <c r="D267" s="217" t="s">
        <v>38</v>
      </c>
      <c r="E267" s="216"/>
      <c r="F267" s="217" t="s">
        <v>207</v>
      </c>
      <c r="G267" s="217">
        <v>7350.0</v>
      </c>
      <c r="H267" s="217" t="s">
        <v>24</v>
      </c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</row>
    <row r="268" ht="15.75" hidden="1" customHeight="1">
      <c r="A268" s="217" t="s">
        <v>18</v>
      </c>
      <c r="B268" s="217" t="s">
        <v>208</v>
      </c>
      <c r="C268" s="217" t="s">
        <v>20</v>
      </c>
      <c r="D268" s="217" t="s">
        <v>54</v>
      </c>
      <c r="E268" s="216"/>
      <c r="F268" s="217" t="s">
        <v>209</v>
      </c>
      <c r="G268" s="217">
        <v>13202.829051</v>
      </c>
      <c r="H268" s="217" t="s">
        <v>25</v>
      </c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</row>
    <row r="269" ht="15.75" hidden="1" customHeight="1">
      <c r="A269" s="217" t="s">
        <v>18</v>
      </c>
      <c r="B269" s="217" t="s">
        <v>208</v>
      </c>
      <c r="C269" s="217" t="s">
        <v>20</v>
      </c>
      <c r="D269" s="217" t="s">
        <v>54</v>
      </c>
      <c r="E269" s="216"/>
      <c r="F269" s="217" t="s">
        <v>209</v>
      </c>
      <c r="G269" s="217">
        <v>10059.743257</v>
      </c>
      <c r="H269" s="217" t="s">
        <v>26</v>
      </c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</row>
    <row r="270" ht="15.75" hidden="1" customHeight="1">
      <c r="A270" s="217" t="s">
        <v>18</v>
      </c>
      <c r="B270" s="217" t="s">
        <v>208</v>
      </c>
      <c r="C270" s="217" t="s">
        <v>20</v>
      </c>
      <c r="D270" s="217" t="s">
        <v>54</v>
      </c>
      <c r="E270" s="216"/>
      <c r="F270" s="217" t="s">
        <v>209</v>
      </c>
      <c r="G270" s="217">
        <v>7350.0</v>
      </c>
      <c r="H270" s="217" t="s">
        <v>24</v>
      </c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</row>
    <row r="271" ht="15.75" hidden="1" customHeight="1">
      <c r="A271" s="217" t="s">
        <v>18</v>
      </c>
      <c r="B271" s="217" t="s">
        <v>210</v>
      </c>
      <c r="C271" s="217" t="s">
        <v>20</v>
      </c>
      <c r="D271" s="217" t="s">
        <v>21</v>
      </c>
      <c r="E271" s="216"/>
      <c r="F271" s="217" t="s">
        <v>211</v>
      </c>
      <c r="G271" s="217">
        <v>18087.178181</v>
      </c>
      <c r="H271" s="217" t="s">
        <v>24</v>
      </c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</row>
    <row r="272" ht="15.75" hidden="1" customHeight="1">
      <c r="A272" s="217" t="s">
        <v>18</v>
      </c>
      <c r="B272" s="217" t="s">
        <v>210</v>
      </c>
      <c r="C272" s="217" t="s">
        <v>20</v>
      </c>
      <c r="D272" s="217" t="s">
        <v>21</v>
      </c>
      <c r="E272" s="216"/>
      <c r="F272" s="217" t="s">
        <v>211</v>
      </c>
      <c r="G272" s="217">
        <v>7290.245537</v>
      </c>
      <c r="H272" s="217" t="s">
        <v>26</v>
      </c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</row>
    <row r="273" ht="15.75" hidden="1" customHeight="1">
      <c r="A273" s="217" t="s">
        <v>18</v>
      </c>
      <c r="B273" s="217" t="s">
        <v>212</v>
      </c>
      <c r="C273" s="217" t="s">
        <v>20</v>
      </c>
      <c r="D273" s="217" t="s">
        <v>21</v>
      </c>
      <c r="E273" s="217" t="s">
        <v>61</v>
      </c>
      <c r="F273" s="217" t="s">
        <v>213</v>
      </c>
      <c r="G273" s="217">
        <v>15934.228414</v>
      </c>
      <c r="H273" s="217" t="s">
        <v>24</v>
      </c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</row>
    <row r="274" ht="15.75" hidden="1" customHeight="1">
      <c r="A274" s="217" t="s">
        <v>18</v>
      </c>
      <c r="B274" s="217" t="s">
        <v>212</v>
      </c>
      <c r="C274" s="217" t="s">
        <v>20</v>
      </c>
      <c r="D274" s="217" t="s">
        <v>21</v>
      </c>
      <c r="E274" s="217" t="s">
        <v>61</v>
      </c>
      <c r="F274" s="217" t="s">
        <v>213</v>
      </c>
      <c r="G274" s="217">
        <v>15881.92591</v>
      </c>
      <c r="H274" s="217" t="s">
        <v>25</v>
      </c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</row>
    <row r="275" ht="15.75" hidden="1" customHeight="1">
      <c r="A275" s="217" t="s">
        <v>18</v>
      </c>
      <c r="B275" s="217" t="s">
        <v>212</v>
      </c>
      <c r="C275" s="217" t="s">
        <v>20</v>
      </c>
      <c r="D275" s="217" t="s">
        <v>21</v>
      </c>
      <c r="E275" s="217" t="s">
        <v>61</v>
      </c>
      <c r="F275" s="217" t="s">
        <v>213</v>
      </c>
      <c r="G275" s="217">
        <v>15635.661516</v>
      </c>
      <c r="H275" s="217" t="s">
        <v>26</v>
      </c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</row>
    <row r="276" ht="15.75" hidden="1" customHeight="1">
      <c r="A276" s="217" t="s">
        <v>18</v>
      </c>
      <c r="B276" s="217" t="s">
        <v>214</v>
      </c>
      <c r="C276" s="219" t="s">
        <v>31</v>
      </c>
      <c r="D276" s="217" t="s">
        <v>54</v>
      </c>
      <c r="E276" s="216"/>
      <c r="F276" s="217" t="s">
        <v>215</v>
      </c>
      <c r="G276" s="218">
        <f>9712.5+nom_interna!C50+nom_interna!I48</f>
        <v>35960.1</v>
      </c>
      <c r="H276" s="217" t="s">
        <v>25</v>
      </c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</row>
    <row r="277" ht="15.75" hidden="1" customHeight="1">
      <c r="A277" s="217" t="s">
        <v>18</v>
      </c>
      <c r="B277" s="217" t="s">
        <v>214</v>
      </c>
      <c r="C277" s="219" t="s">
        <v>31</v>
      </c>
      <c r="D277" s="217" t="s">
        <v>54</v>
      </c>
      <c r="E277" s="216"/>
      <c r="F277" s="217" t="s">
        <v>215</v>
      </c>
      <c r="G277" s="218">
        <f>6300+nom_interna!C9+nom_interna!I9</f>
        <v>32546.1</v>
      </c>
      <c r="H277" s="217" t="s">
        <v>24</v>
      </c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</row>
    <row r="278" ht="15.75" hidden="1" customHeight="1">
      <c r="A278" s="217" t="s">
        <v>18</v>
      </c>
      <c r="B278" s="217" t="s">
        <v>214</v>
      </c>
      <c r="C278" s="219" t="s">
        <v>31</v>
      </c>
      <c r="D278" s="217" t="s">
        <v>54</v>
      </c>
      <c r="E278" s="216"/>
      <c r="F278" s="217" t="s">
        <v>215</v>
      </c>
      <c r="G278" s="218">
        <f>6300+nom_interna!C24+nom_interna!I25</f>
        <v>32547.6</v>
      </c>
      <c r="H278" s="217" t="s">
        <v>26</v>
      </c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</row>
    <row r="279" ht="15.75" hidden="1" customHeight="1">
      <c r="A279" s="217" t="s">
        <v>18</v>
      </c>
      <c r="B279" s="217" t="s">
        <v>214</v>
      </c>
      <c r="C279" s="219" t="s">
        <v>31</v>
      </c>
      <c r="D279" s="217" t="s">
        <v>54</v>
      </c>
      <c r="E279" s="216"/>
      <c r="F279" s="217" t="s">
        <v>215</v>
      </c>
      <c r="G279" s="218">
        <f>32670.19564+nom_interna!C102+nom_interna!I102</f>
        <v>58917.79564</v>
      </c>
      <c r="H279" s="219" t="s">
        <v>27</v>
      </c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</row>
    <row r="280" ht="15.75" hidden="1" customHeight="1">
      <c r="A280" s="217" t="s">
        <v>18</v>
      </c>
      <c r="B280" s="217" t="s">
        <v>216</v>
      </c>
      <c r="C280" s="217" t="s">
        <v>31</v>
      </c>
      <c r="D280" s="217" t="s">
        <v>38</v>
      </c>
      <c r="E280" s="216"/>
      <c r="F280" s="217" t="s">
        <v>217</v>
      </c>
      <c r="G280" s="217">
        <v>21447.91512</v>
      </c>
      <c r="H280" s="217" t="s">
        <v>24</v>
      </c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</row>
    <row r="281" ht="15.75" hidden="1" customHeight="1">
      <c r="A281" s="217" t="s">
        <v>18</v>
      </c>
      <c r="B281" s="217" t="s">
        <v>216</v>
      </c>
      <c r="C281" s="217" t="s">
        <v>31</v>
      </c>
      <c r="D281" s="217" t="s">
        <v>38</v>
      </c>
      <c r="E281" s="216"/>
      <c r="F281" s="217" t="s">
        <v>217</v>
      </c>
      <c r="G281" s="217">
        <v>21043.28283</v>
      </c>
      <c r="H281" s="217" t="s">
        <v>26</v>
      </c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</row>
    <row r="282" ht="15.75" hidden="1" customHeight="1">
      <c r="A282" s="217" t="s">
        <v>18</v>
      </c>
      <c r="B282" s="217" t="s">
        <v>218</v>
      </c>
      <c r="C282" s="217" t="s">
        <v>20</v>
      </c>
      <c r="D282" s="217" t="s">
        <v>21</v>
      </c>
      <c r="E282" s="216"/>
      <c r="F282" s="217" t="s">
        <v>219</v>
      </c>
      <c r="G282" s="217">
        <v>12664.666657</v>
      </c>
      <c r="H282" s="217" t="s">
        <v>25</v>
      </c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</row>
    <row r="283" ht="15.75" hidden="1" customHeight="1">
      <c r="A283" s="217" t="s">
        <v>18</v>
      </c>
      <c r="B283" s="217" t="s">
        <v>218</v>
      </c>
      <c r="C283" s="217" t="s">
        <v>20</v>
      </c>
      <c r="D283" s="217" t="s">
        <v>21</v>
      </c>
      <c r="E283" s="216"/>
      <c r="F283" s="217" t="s">
        <v>219</v>
      </c>
      <c r="G283" s="217">
        <v>8107.360929</v>
      </c>
      <c r="H283" s="217" t="s">
        <v>26</v>
      </c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</row>
    <row r="284" ht="15.75" hidden="1" customHeight="1">
      <c r="A284" s="217" t="s">
        <v>18</v>
      </c>
      <c r="B284" s="217" t="s">
        <v>220</v>
      </c>
      <c r="C284" s="219" t="s">
        <v>20</v>
      </c>
      <c r="D284" s="217" t="s">
        <v>21</v>
      </c>
      <c r="E284" s="217" t="s">
        <v>41</v>
      </c>
      <c r="F284" s="217" t="s">
        <v>221</v>
      </c>
      <c r="G284" s="217">
        <v>24662.52906</v>
      </c>
      <c r="H284" s="217" t="s">
        <v>24</v>
      </c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</row>
    <row r="285" ht="15.75" hidden="1" customHeight="1">
      <c r="A285" s="217" t="s">
        <v>18</v>
      </c>
      <c r="B285" s="217" t="s">
        <v>220</v>
      </c>
      <c r="C285" s="219" t="s">
        <v>20</v>
      </c>
      <c r="D285" s="217" t="s">
        <v>21</v>
      </c>
      <c r="E285" s="217" t="s">
        <v>41</v>
      </c>
      <c r="F285" s="217" t="s">
        <v>221</v>
      </c>
      <c r="G285" s="217">
        <v>24290.29243</v>
      </c>
      <c r="H285" s="217" t="s">
        <v>25</v>
      </c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</row>
    <row r="286" ht="15.75" hidden="1" customHeight="1">
      <c r="A286" s="217" t="s">
        <v>18</v>
      </c>
      <c r="B286" s="217" t="s">
        <v>220</v>
      </c>
      <c r="C286" s="219" t="s">
        <v>20</v>
      </c>
      <c r="D286" s="217" t="s">
        <v>21</v>
      </c>
      <c r="E286" s="217" t="s">
        <v>41</v>
      </c>
      <c r="F286" s="217" t="s">
        <v>221</v>
      </c>
      <c r="G286" s="217">
        <v>24203.17162</v>
      </c>
      <c r="H286" s="217" t="s">
        <v>26</v>
      </c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</row>
    <row r="287" ht="15.75" hidden="1" customHeight="1">
      <c r="A287" s="217" t="s">
        <v>18</v>
      </c>
      <c r="B287" s="217" t="s">
        <v>222</v>
      </c>
      <c r="C287" s="217" t="s">
        <v>31</v>
      </c>
      <c r="D287" s="217" t="s">
        <v>113</v>
      </c>
      <c r="E287" s="216"/>
      <c r="F287" s="217" t="s">
        <v>223</v>
      </c>
      <c r="G287" s="217">
        <v>68390.14405</v>
      </c>
      <c r="H287" s="217" t="s">
        <v>24</v>
      </c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</row>
    <row r="288" ht="15.75" hidden="1" customHeight="1">
      <c r="A288" s="217" t="s">
        <v>18</v>
      </c>
      <c r="B288" s="217" t="s">
        <v>222</v>
      </c>
      <c r="C288" s="217" t="s">
        <v>31</v>
      </c>
      <c r="D288" s="217" t="s">
        <v>113</v>
      </c>
      <c r="E288" s="216"/>
      <c r="F288" s="217" t="s">
        <v>223</v>
      </c>
      <c r="G288" s="217">
        <v>76896.25229</v>
      </c>
      <c r="H288" s="217" t="s">
        <v>25</v>
      </c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</row>
    <row r="289" ht="15.75" hidden="1" customHeight="1">
      <c r="A289" s="217" t="s">
        <v>18</v>
      </c>
      <c r="B289" s="217" t="s">
        <v>222</v>
      </c>
      <c r="C289" s="217" t="s">
        <v>31</v>
      </c>
      <c r="D289" s="217" t="s">
        <v>113</v>
      </c>
      <c r="E289" s="216"/>
      <c r="F289" s="217" t="s">
        <v>223</v>
      </c>
      <c r="G289" s="217">
        <v>77832.85317</v>
      </c>
      <c r="H289" s="217" t="s">
        <v>26</v>
      </c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</row>
    <row r="290" ht="15.75" hidden="1" customHeight="1">
      <c r="A290" s="217" t="s">
        <v>18</v>
      </c>
      <c r="B290" s="217" t="s">
        <v>224</v>
      </c>
      <c r="C290" s="217" t="s">
        <v>31</v>
      </c>
      <c r="D290" s="217" t="s">
        <v>47</v>
      </c>
      <c r="E290" s="216"/>
      <c r="F290" s="217" t="s">
        <v>225</v>
      </c>
      <c r="G290" s="217">
        <v>19207.062778</v>
      </c>
      <c r="H290" s="217" t="s">
        <v>24</v>
      </c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</row>
    <row r="291" ht="15.75" hidden="1" customHeight="1">
      <c r="A291" s="217" t="s">
        <v>18</v>
      </c>
      <c r="B291" s="217" t="s">
        <v>224</v>
      </c>
      <c r="C291" s="217" t="s">
        <v>31</v>
      </c>
      <c r="D291" s="217" t="s">
        <v>47</v>
      </c>
      <c r="E291" s="216"/>
      <c r="F291" s="217" t="s">
        <v>225</v>
      </c>
      <c r="G291" s="218">
        <f>5826.24+nom_interna!I85</f>
        <v>8031.52</v>
      </c>
      <c r="H291" s="217" t="s">
        <v>25</v>
      </c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</row>
    <row r="292" ht="15.75" hidden="1" customHeight="1">
      <c r="A292" s="217" t="s">
        <v>18</v>
      </c>
      <c r="B292" s="217" t="s">
        <v>224</v>
      </c>
      <c r="C292" s="217" t="s">
        <v>31</v>
      </c>
      <c r="D292" s="217" t="s">
        <v>47</v>
      </c>
      <c r="E292" s="216"/>
      <c r="F292" s="217" t="s">
        <v>225</v>
      </c>
      <c r="G292" s="217">
        <v>18848.225941</v>
      </c>
      <c r="H292" s="217" t="s">
        <v>26</v>
      </c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</row>
    <row r="293" ht="15.75" hidden="1" customHeight="1">
      <c r="A293" s="217" t="s">
        <v>18</v>
      </c>
      <c r="B293" s="217" t="s">
        <v>224</v>
      </c>
      <c r="C293" s="217" t="s">
        <v>31</v>
      </c>
      <c r="D293" s="217" t="s">
        <v>47</v>
      </c>
      <c r="E293" s="216"/>
      <c r="F293" s="217" t="s">
        <v>225</v>
      </c>
      <c r="G293" s="218">
        <f>5826.24+nom_interna!L139</f>
        <v>15277.44</v>
      </c>
      <c r="H293" s="219" t="s">
        <v>27</v>
      </c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</row>
    <row r="294" ht="15.75" hidden="1" customHeight="1">
      <c r="A294" s="217" t="s">
        <v>18</v>
      </c>
      <c r="B294" s="217" t="s">
        <v>226</v>
      </c>
      <c r="C294" s="217" t="s">
        <v>66</v>
      </c>
      <c r="D294" s="217" t="s">
        <v>192</v>
      </c>
      <c r="E294" s="216"/>
      <c r="F294" s="217" t="s">
        <v>227</v>
      </c>
      <c r="G294" s="217">
        <v>20203.68456</v>
      </c>
      <c r="H294" s="217" t="s">
        <v>25</v>
      </c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</row>
    <row r="295" ht="15.75" hidden="1" customHeight="1">
      <c r="A295" s="217" t="s">
        <v>18</v>
      </c>
      <c r="B295" s="217" t="s">
        <v>226</v>
      </c>
      <c r="C295" s="217" t="s">
        <v>66</v>
      </c>
      <c r="D295" s="217" t="s">
        <v>192</v>
      </c>
      <c r="E295" s="216"/>
      <c r="F295" s="217" t="s">
        <v>227</v>
      </c>
      <c r="G295" s="217">
        <v>19963.580155</v>
      </c>
      <c r="H295" s="217" t="s">
        <v>26</v>
      </c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</row>
    <row r="296" ht="15.75" hidden="1" customHeight="1">
      <c r="A296" s="217" t="s">
        <v>18</v>
      </c>
      <c r="B296" s="217" t="s">
        <v>226</v>
      </c>
      <c r="C296" s="217" t="s">
        <v>66</v>
      </c>
      <c r="D296" s="217" t="s">
        <v>192</v>
      </c>
      <c r="E296" s="216"/>
      <c r="F296" s="217" t="s">
        <v>227</v>
      </c>
      <c r="G296" s="217">
        <v>20321.67818</v>
      </c>
      <c r="H296" s="217" t="s">
        <v>24</v>
      </c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</row>
    <row r="297" ht="15.75" hidden="1" customHeight="1">
      <c r="A297" s="217" t="s">
        <v>18</v>
      </c>
      <c r="B297" s="217" t="s">
        <v>228</v>
      </c>
      <c r="C297" s="217" t="s">
        <v>20</v>
      </c>
      <c r="D297" s="217" t="s">
        <v>21</v>
      </c>
      <c r="E297" s="216"/>
      <c r="F297" s="217" t="s">
        <v>229</v>
      </c>
      <c r="G297" s="217">
        <v>18141.678181</v>
      </c>
      <c r="H297" s="217" t="s">
        <v>24</v>
      </c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</row>
    <row r="298" ht="15.75" hidden="1" customHeight="1">
      <c r="A298" s="217" t="s">
        <v>18</v>
      </c>
      <c r="B298" s="221" t="s">
        <v>230</v>
      </c>
      <c r="C298" s="219" t="s">
        <v>20</v>
      </c>
      <c r="D298" s="217" t="s">
        <v>21</v>
      </c>
      <c r="E298" s="219" t="s">
        <v>35</v>
      </c>
      <c r="F298" s="221" t="s">
        <v>230</v>
      </c>
      <c r="G298" s="218">
        <f>nom_interna!I86</f>
        <v>630.08</v>
      </c>
      <c r="H298" s="219" t="s">
        <v>25</v>
      </c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</row>
    <row r="299" ht="15.75" hidden="1" customHeight="1">
      <c r="A299" s="217" t="s">
        <v>18</v>
      </c>
      <c r="B299" s="221" t="s">
        <v>230</v>
      </c>
      <c r="C299" s="219" t="s">
        <v>20</v>
      </c>
      <c r="D299" s="217" t="s">
        <v>21</v>
      </c>
      <c r="E299" s="219" t="s">
        <v>35</v>
      </c>
      <c r="F299" s="221" t="s">
        <v>230</v>
      </c>
      <c r="G299" s="218">
        <f>9574.656+nom_interna!L140</f>
        <v>19025.856</v>
      </c>
      <c r="H299" s="219" t="s">
        <v>27</v>
      </c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</row>
    <row r="300" ht="15.75" hidden="1" customHeight="1">
      <c r="A300" s="217" t="s">
        <v>18</v>
      </c>
      <c r="B300" s="217" t="s">
        <v>231</v>
      </c>
      <c r="C300" s="217" t="s">
        <v>20</v>
      </c>
      <c r="D300" s="217" t="s">
        <v>21</v>
      </c>
      <c r="E300" s="217" t="s">
        <v>41</v>
      </c>
      <c r="F300" s="217" t="s">
        <v>232</v>
      </c>
      <c r="G300" s="217">
        <v>12552.513977</v>
      </c>
      <c r="H300" s="217" t="s">
        <v>25</v>
      </c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</row>
    <row r="301" ht="15.75" hidden="1" customHeight="1">
      <c r="A301" s="217" t="s">
        <v>18</v>
      </c>
      <c r="B301" s="221" t="s">
        <v>233</v>
      </c>
      <c r="C301" s="219" t="s">
        <v>20</v>
      </c>
      <c r="D301" s="219" t="s">
        <v>21</v>
      </c>
      <c r="E301" s="219" t="s">
        <v>41</v>
      </c>
      <c r="F301" s="221" t="s">
        <v>233</v>
      </c>
      <c r="G301" s="218">
        <f>7480.2+nom_interna!C141+nom_interna!I140</f>
        <v>15356.2</v>
      </c>
      <c r="H301" s="219" t="s">
        <v>27</v>
      </c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</row>
    <row r="302" ht="15.75" hidden="1" customHeight="1">
      <c r="A302" s="217" t="s">
        <v>18</v>
      </c>
      <c r="B302" s="221" t="s">
        <v>234</v>
      </c>
      <c r="C302" s="219" t="s">
        <v>20</v>
      </c>
      <c r="D302" s="219" t="s">
        <v>21</v>
      </c>
      <c r="E302" s="219" t="s">
        <v>22</v>
      </c>
      <c r="F302" s="221" t="s">
        <v>234</v>
      </c>
      <c r="G302" s="218">
        <f>1863.12+nom_interna!I141</f>
        <v>6588.72</v>
      </c>
      <c r="H302" s="219" t="s">
        <v>27</v>
      </c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</row>
    <row r="303" ht="15.75" hidden="1" customHeight="1">
      <c r="A303" s="217" t="s">
        <v>18</v>
      </c>
      <c r="B303" s="221" t="s">
        <v>235</v>
      </c>
      <c r="C303" s="219" t="s">
        <v>20</v>
      </c>
      <c r="D303" s="219" t="s">
        <v>21</v>
      </c>
      <c r="E303" s="219" t="s">
        <v>35</v>
      </c>
      <c r="F303" s="221" t="s">
        <v>235</v>
      </c>
      <c r="G303" s="218">
        <f>3438.12+nom_interna!I142</f>
        <v>8163.72</v>
      </c>
      <c r="H303" s="219" t="s">
        <v>27</v>
      </c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</row>
    <row r="304" ht="15.75" hidden="1" customHeight="1">
      <c r="A304" s="217" t="s">
        <v>18</v>
      </c>
      <c r="B304" s="221" t="s">
        <v>236</v>
      </c>
      <c r="C304" s="219" t="s">
        <v>20</v>
      </c>
      <c r="D304" s="219" t="s">
        <v>21</v>
      </c>
      <c r="E304" s="219" t="s">
        <v>44</v>
      </c>
      <c r="F304" s="221" t="s">
        <v>236</v>
      </c>
      <c r="G304" s="218">
        <f>496.8285+nom_interna!I143</f>
        <v>1756.9885</v>
      </c>
      <c r="H304" s="219" t="s">
        <v>27</v>
      </c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</row>
    <row r="305" ht="15.75" hidden="1" customHeight="1">
      <c r="A305" s="217" t="s">
        <v>18</v>
      </c>
      <c r="B305" s="217" t="s">
        <v>231</v>
      </c>
      <c r="C305" s="217" t="s">
        <v>20</v>
      </c>
      <c r="D305" s="217" t="s">
        <v>21</v>
      </c>
      <c r="E305" s="217" t="s">
        <v>41</v>
      </c>
      <c r="F305" s="217" t="s">
        <v>232</v>
      </c>
      <c r="G305" s="217">
        <v>18893.580152</v>
      </c>
      <c r="H305" s="217" t="s">
        <v>26</v>
      </c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</row>
    <row r="306" ht="15.75" hidden="1" customHeight="1">
      <c r="A306" s="217" t="s">
        <v>18</v>
      </c>
      <c r="B306" s="217" t="s">
        <v>231</v>
      </c>
      <c r="C306" s="217" t="s">
        <v>20</v>
      </c>
      <c r="D306" s="217" t="s">
        <v>21</v>
      </c>
      <c r="E306" s="217" t="s">
        <v>41</v>
      </c>
      <c r="F306" s="217" t="s">
        <v>232</v>
      </c>
      <c r="G306" s="217">
        <v>19231.678181</v>
      </c>
      <c r="H306" s="217" t="s">
        <v>24</v>
      </c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</row>
    <row r="307" ht="15.75" hidden="1" customHeight="1">
      <c r="A307" s="217" t="s">
        <v>18</v>
      </c>
      <c r="B307" s="217" t="s">
        <v>237</v>
      </c>
      <c r="C307" s="217" t="s">
        <v>20</v>
      </c>
      <c r="D307" s="217" t="s">
        <v>54</v>
      </c>
      <c r="E307" s="216"/>
      <c r="F307" s="217" t="s">
        <v>238</v>
      </c>
      <c r="G307" s="217">
        <v>28074.40406</v>
      </c>
      <c r="H307" s="217" t="s">
        <v>26</v>
      </c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</row>
    <row r="308" ht="15.75" hidden="1" customHeight="1">
      <c r="A308" s="217" t="s">
        <v>18</v>
      </c>
      <c r="B308" s="217" t="s">
        <v>237</v>
      </c>
      <c r="C308" s="217" t="s">
        <v>20</v>
      </c>
      <c r="D308" s="217" t="s">
        <v>54</v>
      </c>
      <c r="E308" s="216"/>
      <c r="F308" s="217" t="s">
        <v>238</v>
      </c>
      <c r="G308" s="217">
        <v>28361.56091</v>
      </c>
      <c r="H308" s="217" t="s">
        <v>24</v>
      </c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</row>
    <row r="309" ht="15.75" hidden="1" customHeight="1">
      <c r="A309" s="217" t="s">
        <v>18</v>
      </c>
      <c r="B309" s="217" t="s">
        <v>237</v>
      </c>
      <c r="C309" s="217" t="s">
        <v>20</v>
      </c>
      <c r="D309" s="217" t="s">
        <v>54</v>
      </c>
      <c r="E309" s="216"/>
      <c r="F309" s="217" t="s">
        <v>238</v>
      </c>
      <c r="G309" s="217">
        <v>27403.82208</v>
      </c>
      <c r="H309" s="217" t="s">
        <v>25</v>
      </c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</row>
    <row r="310" ht="15.75" hidden="1" customHeight="1">
      <c r="A310" s="217" t="s">
        <v>18</v>
      </c>
      <c r="B310" s="217" t="s">
        <v>239</v>
      </c>
      <c r="C310" s="217" t="s">
        <v>20</v>
      </c>
      <c r="D310" s="217" t="s">
        <v>21</v>
      </c>
      <c r="E310" s="217" t="s">
        <v>61</v>
      </c>
      <c r="F310" s="217" t="s">
        <v>240</v>
      </c>
      <c r="G310" s="218">
        <f>4776.24+nom_interna!I79</f>
        <v>9501.84</v>
      </c>
      <c r="H310" s="217" t="s">
        <v>25</v>
      </c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</row>
    <row r="311" ht="15.75" hidden="1" customHeight="1">
      <c r="A311" s="217" t="s">
        <v>18</v>
      </c>
      <c r="B311" s="217" t="s">
        <v>239</v>
      </c>
      <c r="C311" s="217" t="s">
        <v>20</v>
      </c>
      <c r="D311" s="217" t="s">
        <v>21</v>
      </c>
      <c r="E311" s="217" t="s">
        <v>61</v>
      </c>
      <c r="F311" s="217" t="s">
        <v>240</v>
      </c>
      <c r="G311" s="217">
        <v>18141.678181</v>
      </c>
      <c r="H311" s="217" t="s">
        <v>24</v>
      </c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</row>
    <row r="312" ht="15.75" hidden="1" customHeight="1">
      <c r="A312" s="217" t="s">
        <v>18</v>
      </c>
      <c r="B312" s="217" t="s">
        <v>239</v>
      </c>
      <c r="C312" s="217" t="s">
        <v>20</v>
      </c>
      <c r="D312" s="217" t="s">
        <v>21</v>
      </c>
      <c r="E312" s="217" t="s">
        <v>61</v>
      </c>
      <c r="F312" s="217" t="s">
        <v>240</v>
      </c>
      <c r="G312" s="217">
        <v>17823.580152</v>
      </c>
      <c r="H312" s="217" t="s">
        <v>26</v>
      </c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</row>
    <row r="313" ht="15.75" hidden="1" customHeight="1">
      <c r="A313" s="217" t="s">
        <v>18</v>
      </c>
      <c r="B313" s="217" t="s">
        <v>239</v>
      </c>
      <c r="C313" s="217" t="s">
        <v>20</v>
      </c>
      <c r="D313" s="217" t="s">
        <v>21</v>
      </c>
      <c r="E313" s="217" t="s">
        <v>61</v>
      </c>
      <c r="F313" s="217" t="s">
        <v>240</v>
      </c>
      <c r="G313" s="218">
        <f>4776.24+nom_interna!L133</f>
        <v>14227.44</v>
      </c>
      <c r="H313" s="219" t="s">
        <v>27</v>
      </c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</row>
    <row r="314" ht="15.75" hidden="1" customHeight="1">
      <c r="A314" s="217" t="s">
        <v>18</v>
      </c>
      <c r="B314" s="217" t="s">
        <v>241</v>
      </c>
      <c r="C314" s="217" t="s">
        <v>20</v>
      </c>
      <c r="D314" s="217" t="s">
        <v>21</v>
      </c>
      <c r="E314" s="217" t="s">
        <v>22</v>
      </c>
      <c r="F314" s="217" t="s">
        <v>242</v>
      </c>
      <c r="G314" s="217">
        <v>7350.0</v>
      </c>
      <c r="H314" s="217" t="s">
        <v>25</v>
      </c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</row>
    <row r="315" ht="15.75" hidden="1" customHeight="1">
      <c r="A315" s="217" t="s">
        <v>18</v>
      </c>
      <c r="B315" s="217" t="s">
        <v>241</v>
      </c>
      <c r="C315" s="217" t="s">
        <v>20</v>
      </c>
      <c r="D315" s="217" t="s">
        <v>21</v>
      </c>
      <c r="E315" s="217" t="s">
        <v>22</v>
      </c>
      <c r="F315" s="217" t="s">
        <v>242</v>
      </c>
      <c r="G315" s="217">
        <v>7350.0</v>
      </c>
      <c r="H315" s="217" t="s">
        <v>24</v>
      </c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</row>
    <row r="316" ht="15.75" hidden="1" customHeight="1">
      <c r="A316" s="217" t="s">
        <v>18</v>
      </c>
      <c r="B316" s="217" t="s">
        <v>241</v>
      </c>
      <c r="C316" s="217" t="s">
        <v>20</v>
      </c>
      <c r="D316" s="217" t="s">
        <v>21</v>
      </c>
      <c r="E316" s="217" t="s">
        <v>22</v>
      </c>
      <c r="F316" s="217" t="s">
        <v>242</v>
      </c>
      <c r="G316" s="217">
        <v>7350.0</v>
      </c>
      <c r="H316" s="217" t="s">
        <v>26</v>
      </c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</row>
    <row r="317" ht="15.75" hidden="1" customHeight="1">
      <c r="A317" s="217" t="s">
        <v>18</v>
      </c>
      <c r="B317" s="217" t="s">
        <v>243</v>
      </c>
      <c r="C317" s="217" t="s">
        <v>20</v>
      </c>
      <c r="D317" s="217" t="s">
        <v>54</v>
      </c>
      <c r="E317" s="216"/>
      <c r="F317" s="217" t="s">
        <v>244</v>
      </c>
      <c r="G317" s="217">
        <v>13202.829051</v>
      </c>
      <c r="H317" s="217" t="s">
        <v>25</v>
      </c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</row>
    <row r="318" ht="15.75" hidden="1" customHeight="1">
      <c r="A318" s="217" t="s">
        <v>18</v>
      </c>
      <c r="B318" s="217" t="s">
        <v>243</v>
      </c>
      <c r="C318" s="217" t="s">
        <v>20</v>
      </c>
      <c r="D318" s="217" t="s">
        <v>54</v>
      </c>
      <c r="E318" s="216"/>
      <c r="F318" s="217" t="s">
        <v>244</v>
      </c>
      <c r="G318" s="217">
        <v>12905.877092</v>
      </c>
      <c r="H318" s="217" t="s">
        <v>26</v>
      </c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</row>
    <row r="319" ht="15.75" hidden="1" customHeight="1">
      <c r="A319" s="217" t="s">
        <v>18</v>
      </c>
      <c r="B319" s="217" t="s">
        <v>243</v>
      </c>
      <c r="C319" s="217" t="s">
        <v>20</v>
      </c>
      <c r="D319" s="217" t="s">
        <v>54</v>
      </c>
      <c r="E319" s="216"/>
      <c r="F319" s="217" t="s">
        <v>244</v>
      </c>
      <c r="G319" s="217">
        <v>13153.19405</v>
      </c>
      <c r="H319" s="217" t="s">
        <v>24</v>
      </c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</row>
    <row r="320" ht="15.75" hidden="1" customHeight="1">
      <c r="A320" s="217" t="s">
        <v>18</v>
      </c>
      <c r="B320" s="217" t="s">
        <v>245</v>
      </c>
      <c r="C320" s="217" t="s">
        <v>20</v>
      </c>
      <c r="D320" s="217" t="s">
        <v>54</v>
      </c>
      <c r="E320" s="216"/>
      <c r="F320" s="217" t="s">
        <v>246</v>
      </c>
      <c r="G320" s="217">
        <v>7350.0</v>
      </c>
      <c r="H320" s="217" t="s">
        <v>24</v>
      </c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</row>
    <row r="321" ht="15.75" hidden="1" customHeight="1">
      <c r="A321" s="217" t="s">
        <v>18</v>
      </c>
      <c r="B321" s="217" t="s">
        <v>245</v>
      </c>
      <c r="C321" s="217" t="s">
        <v>20</v>
      </c>
      <c r="D321" s="217" t="s">
        <v>54</v>
      </c>
      <c r="E321" s="216"/>
      <c r="F321" s="217" t="s">
        <v>246</v>
      </c>
      <c r="G321" s="217">
        <v>7350.0</v>
      </c>
      <c r="H321" s="217" t="s">
        <v>25</v>
      </c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</row>
    <row r="322" ht="15.75" hidden="1" customHeight="1">
      <c r="A322" s="217" t="s">
        <v>18</v>
      </c>
      <c r="B322" s="217" t="s">
        <v>245</v>
      </c>
      <c r="C322" s="217" t="s">
        <v>20</v>
      </c>
      <c r="D322" s="217" t="s">
        <v>54</v>
      </c>
      <c r="E322" s="216"/>
      <c r="F322" s="217" t="s">
        <v>246</v>
      </c>
      <c r="G322" s="217">
        <v>7350.0</v>
      </c>
      <c r="H322" s="217" t="s">
        <v>26</v>
      </c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</row>
    <row r="323" ht="15.75" hidden="1" customHeight="1">
      <c r="A323" s="217" t="s">
        <v>18</v>
      </c>
      <c r="B323" s="217" t="s">
        <v>247</v>
      </c>
      <c r="C323" s="217" t="s">
        <v>31</v>
      </c>
      <c r="D323" s="217" t="s">
        <v>54</v>
      </c>
      <c r="E323" s="216"/>
      <c r="F323" s="217" t="s">
        <v>248</v>
      </c>
      <c r="G323" s="217">
        <v>21139.39677</v>
      </c>
      <c r="H323" s="217" t="s">
        <v>25</v>
      </c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</row>
    <row r="324" ht="15.75" hidden="1" customHeight="1">
      <c r="A324" s="217" t="s">
        <v>18</v>
      </c>
      <c r="B324" s="217" t="s">
        <v>247</v>
      </c>
      <c r="C324" s="217" t="s">
        <v>31</v>
      </c>
      <c r="D324" s="217" t="s">
        <v>54</v>
      </c>
      <c r="E324" s="216"/>
      <c r="F324" s="217" t="s">
        <v>248</v>
      </c>
      <c r="G324" s="217">
        <v>19315.770457</v>
      </c>
      <c r="H324" s="217" t="s">
        <v>24</v>
      </c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</row>
    <row r="325" ht="15.75" hidden="1" customHeight="1">
      <c r="A325" s="217" t="s">
        <v>18</v>
      </c>
      <c r="B325" s="217" t="s">
        <v>247</v>
      </c>
      <c r="C325" s="217" t="s">
        <v>31</v>
      </c>
      <c r="D325" s="217" t="s">
        <v>54</v>
      </c>
      <c r="E325" s="216"/>
      <c r="F325" s="217" t="s">
        <v>248</v>
      </c>
      <c r="G325" s="217">
        <v>19996.580507</v>
      </c>
      <c r="H325" s="217" t="s">
        <v>26</v>
      </c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</row>
    <row r="326" ht="15.75" hidden="1" customHeight="1">
      <c r="A326" s="217" t="s">
        <v>18</v>
      </c>
      <c r="B326" s="217" t="s">
        <v>249</v>
      </c>
      <c r="C326" s="217" t="s">
        <v>20</v>
      </c>
      <c r="D326" s="217" t="s">
        <v>21</v>
      </c>
      <c r="E326" s="217" t="s">
        <v>61</v>
      </c>
      <c r="F326" s="217" t="s">
        <v>250</v>
      </c>
      <c r="G326" s="218">
        <f>7403.466+nom_interna!L69</f>
        <v>16854.666</v>
      </c>
      <c r="H326" s="217" t="s">
        <v>25</v>
      </c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</row>
    <row r="327" ht="15.75" hidden="1" customHeight="1">
      <c r="A327" s="217" t="s">
        <v>18</v>
      </c>
      <c r="B327" s="217" t="s">
        <v>249</v>
      </c>
      <c r="C327" s="217" t="s">
        <v>20</v>
      </c>
      <c r="D327" s="217" t="s">
        <v>21</v>
      </c>
      <c r="E327" s="217" t="s">
        <v>61</v>
      </c>
      <c r="F327" s="217" t="s">
        <v>250</v>
      </c>
      <c r="G327" s="217">
        <v>21425.8467</v>
      </c>
      <c r="H327" s="217" t="s">
        <v>24</v>
      </c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</row>
    <row r="328" ht="15.75" hidden="1" customHeight="1">
      <c r="A328" s="217" t="s">
        <v>18</v>
      </c>
      <c r="B328" s="217" t="s">
        <v>249</v>
      </c>
      <c r="C328" s="217" t="s">
        <v>20</v>
      </c>
      <c r="D328" s="217" t="s">
        <v>21</v>
      </c>
      <c r="E328" s="217" t="s">
        <v>61</v>
      </c>
      <c r="F328" s="217" t="s">
        <v>250</v>
      </c>
      <c r="G328" s="217">
        <v>21046.5104</v>
      </c>
      <c r="H328" s="217" t="s">
        <v>26</v>
      </c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</row>
    <row r="329" ht="15.75" hidden="1" customHeight="1">
      <c r="A329" s="217" t="s">
        <v>18</v>
      </c>
      <c r="B329" s="217" t="s">
        <v>249</v>
      </c>
      <c r="C329" s="217" t="s">
        <v>20</v>
      </c>
      <c r="D329" s="217" t="s">
        <v>21</v>
      </c>
      <c r="E329" s="217" t="s">
        <v>61</v>
      </c>
      <c r="F329" s="217" t="s">
        <v>250</v>
      </c>
      <c r="G329" s="218">
        <f>7926.24+nom_interna!L121</f>
        <v>17377.44</v>
      </c>
      <c r="H329" s="219" t="s">
        <v>27</v>
      </c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</row>
    <row r="330" ht="15.75" hidden="1" customHeight="1">
      <c r="A330" s="217" t="s">
        <v>18</v>
      </c>
      <c r="B330" s="217" t="s">
        <v>251</v>
      </c>
      <c r="C330" s="217" t="s">
        <v>31</v>
      </c>
      <c r="D330" s="217" t="s">
        <v>38</v>
      </c>
      <c r="E330" s="216"/>
      <c r="F330" s="217" t="s">
        <v>252</v>
      </c>
      <c r="G330" s="217">
        <v>14700.15378</v>
      </c>
      <c r="H330" s="217" t="s">
        <v>26</v>
      </c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</row>
    <row r="331" ht="15.75" hidden="1" customHeight="1">
      <c r="A331" s="217" t="s">
        <v>18</v>
      </c>
      <c r="B331" s="217" t="s">
        <v>251</v>
      </c>
      <c r="C331" s="217" t="s">
        <v>31</v>
      </c>
      <c r="D331" s="217" t="s">
        <v>38</v>
      </c>
      <c r="E331" s="216"/>
      <c r="F331" s="217" t="s">
        <v>252</v>
      </c>
      <c r="G331" s="217">
        <v>14977.174718</v>
      </c>
      <c r="H331" s="217" t="s">
        <v>24</v>
      </c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</row>
    <row r="332" ht="15.75" hidden="1" customHeight="1">
      <c r="A332" s="217" t="s">
        <v>18</v>
      </c>
      <c r="B332" s="217" t="s">
        <v>251</v>
      </c>
      <c r="C332" s="217" t="s">
        <v>31</v>
      </c>
      <c r="D332" s="217" t="s">
        <v>38</v>
      </c>
      <c r="E332" s="216"/>
      <c r="F332" s="217" t="s">
        <v>252</v>
      </c>
      <c r="G332" s="217">
        <v>14943.282958</v>
      </c>
      <c r="H332" s="217" t="s">
        <v>25</v>
      </c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</row>
    <row r="333" ht="15.75" hidden="1" customHeight="1">
      <c r="A333" s="217" t="s">
        <v>18</v>
      </c>
      <c r="B333" s="217" t="s">
        <v>253</v>
      </c>
      <c r="C333" s="217" t="s">
        <v>20</v>
      </c>
      <c r="D333" s="217" t="s">
        <v>21</v>
      </c>
      <c r="E333" s="217" t="s">
        <v>61</v>
      </c>
      <c r="F333" s="217" t="s">
        <v>254</v>
      </c>
      <c r="G333" s="217">
        <v>16715.736044</v>
      </c>
      <c r="H333" s="217" t="s">
        <v>26</v>
      </c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</row>
    <row r="334" ht="15.75" hidden="1" customHeight="1">
      <c r="A334" s="217" t="s">
        <v>18</v>
      </c>
      <c r="B334" s="217" t="s">
        <v>253</v>
      </c>
      <c r="C334" s="217" t="s">
        <v>20</v>
      </c>
      <c r="D334" s="217" t="s">
        <v>21</v>
      </c>
      <c r="E334" s="217" t="s">
        <v>61</v>
      </c>
      <c r="F334" s="217" t="s">
        <v>254</v>
      </c>
      <c r="G334" s="217">
        <v>18670.363418</v>
      </c>
      <c r="H334" s="217" t="s">
        <v>24</v>
      </c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</row>
    <row r="335" ht="15.75" hidden="1" customHeight="1">
      <c r="A335" s="217" t="s">
        <v>18</v>
      </c>
      <c r="B335" s="217" t="s">
        <v>253</v>
      </c>
      <c r="C335" s="217" t="s">
        <v>20</v>
      </c>
      <c r="D335" s="217" t="s">
        <v>21</v>
      </c>
      <c r="E335" s="217" t="s">
        <v>61</v>
      </c>
      <c r="F335" s="217" t="s">
        <v>254</v>
      </c>
      <c r="G335" s="217">
        <v>18039.056587</v>
      </c>
      <c r="H335" s="217" t="s">
        <v>25</v>
      </c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</row>
    <row r="336" ht="15.75" hidden="1" customHeight="1">
      <c r="A336" s="217" t="s">
        <v>18</v>
      </c>
      <c r="B336" s="217" t="s">
        <v>255</v>
      </c>
      <c r="C336" s="217" t="s">
        <v>20</v>
      </c>
      <c r="D336" s="217" t="s">
        <v>21</v>
      </c>
      <c r="E336" s="217" t="s">
        <v>35</v>
      </c>
      <c r="F336" s="217" t="s">
        <v>256</v>
      </c>
      <c r="G336" s="217">
        <v>15147.448181</v>
      </c>
      <c r="H336" s="217" t="s">
        <v>24</v>
      </c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</row>
    <row r="337" ht="15.75" hidden="1" customHeight="1">
      <c r="A337" s="217" t="s">
        <v>18</v>
      </c>
      <c r="B337" s="217" t="s">
        <v>255</v>
      </c>
      <c r="C337" s="217" t="s">
        <v>20</v>
      </c>
      <c r="D337" s="217" t="s">
        <v>21</v>
      </c>
      <c r="E337" s="217" t="s">
        <v>35</v>
      </c>
      <c r="F337" s="217" t="s">
        <v>256</v>
      </c>
      <c r="G337" s="217">
        <v>17038.780152</v>
      </c>
      <c r="H337" s="217" t="s">
        <v>26</v>
      </c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</row>
    <row r="338" ht="15.75" hidden="1" customHeight="1">
      <c r="A338" s="217" t="s">
        <v>18</v>
      </c>
      <c r="B338" s="217" t="s">
        <v>255</v>
      </c>
      <c r="C338" s="217" t="s">
        <v>20</v>
      </c>
      <c r="D338" s="217" t="s">
        <v>21</v>
      </c>
      <c r="E338" s="217" t="s">
        <v>35</v>
      </c>
      <c r="F338" s="217" t="s">
        <v>256</v>
      </c>
      <c r="G338" s="218">
        <f>4776.24+nom_interna!L73</f>
        <v>14227.44</v>
      </c>
      <c r="H338" s="217" t="s">
        <v>25</v>
      </c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</row>
    <row r="339" ht="15.75" hidden="1" customHeight="1">
      <c r="A339" s="217" t="s">
        <v>18</v>
      </c>
      <c r="B339" s="217" t="s">
        <v>255</v>
      </c>
      <c r="C339" s="217" t="s">
        <v>20</v>
      </c>
      <c r="D339" s="217" t="s">
        <v>21</v>
      </c>
      <c r="E339" s="217" t="s">
        <v>35</v>
      </c>
      <c r="F339" s="217" t="s">
        <v>256</v>
      </c>
      <c r="G339" s="218">
        <f>624.624+nom_interna!L126</f>
        <v>10075.824</v>
      </c>
      <c r="H339" s="219" t="s">
        <v>27</v>
      </c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</row>
    <row r="340" ht="15.75" hidden="1" customHeight="1">
      <c r="A340" s="217" t="s">
        <v>18</v>
      </c>
      <c r="B340" s="217" t="s">
        <v>257</v>
      </c>
      <c r="C340" s="217" t="s">
        <v>20</v>
      </c>
      <c r="D340" s="217" t="s">
        <v>21</v>
      </c>
      <c r="E340" s="216"/>
      <c r="F340" s="217" t="s">
        <v>258</v>
      </c>
      <c r="G340" s="217">
        <v>7350.0</v>
      </c>
      <c r="H340" s="217" t="s">
        <v>26</v>
      </c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</row>
    <row r="341" ht="15.75" hidden="1" customHeight="1">
      <c r="A341" s="217" t="s">
        <v>18</v>
      </c>
      <c r="B341" s="217" t="s">
        <v>257</v>
      </c>
      <c r="C341" s="217" t="s">
        <v>20</v>
      </c>
      <c r="D341" s="217" t="s">
        <v>21</v>
      </c>
      <c r="E341" s="216"/>
      <c r="F341" s="217" t="s">
        <v>258</v>
      </c>
      <c r="G341" s="217">
        <v>7350.0</v>
      </c>
      <c r="H341" s="217" t="s">
        <v>24</v>
      </c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</row>
    <row r="342" ht="15.75" hidden="1" customHeight="1">
      <c r="A342" s="217" t="s">
        <v>18</v>
      </c>
      <c r="B342" s="217" t="s">
        <v>257</v>
      </c>
      <c r="C342" s="217" t="s">
        <v>20</v>
      </c>
      <c r="D342" s="217" t="s">
        <v>21</v>
      </c>
      <c r="E342" s="216"/>
      <c r="F342" s="217" t="s">
        <v>258</v>
      </c>
      <c r="G342" s="217">
        <v>3675.0</v>
      </c>
      <c r="H342" s="217" t="s">
        <v>25</v>
      </c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</row>
    <row r="343" ht="15.75" hidden="1" customHeight="1">
      <c r="A343" s="217" t="s">
        <v>18</v>
      </c>
      <c r="B343" s="217" t="s">
        <v>259</v>
      </c>
      <c r="C343" s="217" t="s">
        <v>31</v>
      </c>
      <c r="D343" s="217" t="s">
        <v>187</v>
      </c>
      <c r="E343" s="217" t="s">
        <v>22</v>
      </c>
      <c r="F343" s="217" t="s">
        <v>260</v>
      </c>
      <c r="G343" s="217">
        <v>23508.75854</v>
      </c>
      <c r="H343" s="217" t="s">
        <v>26</v>
      </c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</row>
    <row r="344" ht="15.75" hidden="1" customHeight="1">
      <c r="A344" s="217" t="s">
        <v>18</v>
      </c>
      <c r="B344" s="217" t="s">
        <v>259</v>
      </c>
      <c r="C344" s="217" t="s">
        <v>31</v>
      </c>
      <c r="D344" s="217" t="s">
        <v>187</v>
      </c>
      <c r="E344" s="217" t="s">
        <v>22</v>
      </c>
      <c r="F344" s="217" t="s">
        <v>260</v>
      </c>
      <c r="G344" s="217">
        <v>22304.9482</v>
      </c>
      <c r="H344" s="217" t="s">
        <v>25</v>
      </c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</row>
    <row r="345" ht="15.75" hidden="1" customHeight="1">
      <c r="A345" s="217" t="s">
        <v>18</v>
      </c>
      <c r="B345" s="217" t="s">
        <v>259</v>
      </c>
      <c r="C345" s="217" t="s">
        <v>31</v>
      </c>
      <c r="D345" s="217" t="s">
        <v>187</v>
      </c>
      <c r="E345" s="217" t="s">
        <v>22</v>
      </c>
      <c r="F345" s="217" t="s">
        <v>260</v>
      </c>
      <c r="G345" s="217">
        <v>22618.83996</v>
      </c>
      <c r="H345" s="217" t="s">
        <v>24</v>
      </c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</row>
    <row r="346" ht="15.75" hidden="1" customHeight="1">
      <c r="A346" s="217" t="s">
        <v>18</v>
      </c>
      <c r="B346" s="217" t="s">
        <v>261</v>
      </c>
      <c r="C346" s="217" t="s">
        <v>20</v>
      </c>
      <c r="D346" s="217" t="s">
        <v>21</v>
      </c>
      <c r="E346" s="217" t="s">
        <v>22</v>
      </c>
      <c r="F346" s="217" t="s">
        <v>262</v>
      </c>
      <c r="G346" s="217">
        <v>7350.0</v>
      </c>
      <c r="H346" s="217" t="s">
        <v>24</v>
      </c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</row>
    <row r="347" ht="15.75" hidden="1" customHeight="1">
      <c r="A347" s="217" t="s">
        <v>18</v>
      </c>
      <c r="B347" s="217" t="s">
        <v>261</v>
      </c>
      <c r="C347" s="217" t="s">
        <v>20</v>
      </c>
      <c r="D347" s="217" t="s">
        <v>21</v>
      </c>
      <c r="E347" s="217" t="s">
        <v>22</v>
      </c>
      <c r="F347" s="217" t="s">
        <v>262</v>
      </c>
      <c r="G347" s="217">
        <v>7350.0</v>
      </c>
      <c r="H347" s="217" t="s">
        <v>25</v>
      </c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</row>
    <row r="348" ht="15.75" hidden="1" customHeight="1">
      <c r="A348" s="217" t="s">
        <v>18</v>
      </c>
      <c r="B348" s="217" t="s">
        <v>261</v>
      </c>
      <c r="C348" s="217" t="s">
        <v>20</v>
      </c>
      <c r="D348" s="217" t="s">
        <v>21</v>
      </c>
      <c r="E348" s="217" t="s">
        <v>22</v>
      </c>
      <c r="F348" s="217" t="s">
        <v>262</v>
      </c>
      <c r="G348" s="217">
        <v>7350.0</v>
      </c>
      <c r="H348" s="217" t="s">
        <v>26</v>
      </c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</row>
    <row r="349" ht="15.75" hidden="1" customHeight="1">
      <c r="A349" s="217" t="s">
        <v>18</v>
      </c>
      <c r="B349" s="217" t="s">
        <v>263</v>
      </c>
      <c r="C349" s="217" t="s">
        <v>20</v>
      </c>
      <c r="D349" s="217" t="s">
        <v>21</v>
      </c>
      <c r="E349" s="217" t="s">
        <v>1648</v>
      </c>
      <c r="F349" s="217" t="s">
        <v>264</v>
      </c>
      <c r="G349" s="217">
        <v>15927.656463</v>
      </c>
      <c r="H349" s="217" t="s">
        <v>25</v>
      </c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</row>
    <row r="350" ht="15.75" hidden="1" customHeight="1">
      <c r="A350" s="217" t="s">
        <v>18</v>
      </c>
      <c r="B350" s="217" t="s">
        <v>263</v>
      </c>
      <c r="C350" s="217" t="s">
        <v>20</v>
      </c>
      <c r="D350" s="217" t="s">
        <v>21</v>
      </c>
      <c r="E350" s="217" t="s">
        <v>1648</v>
      </c>
      <c r="F350" s="217" t="s">
        <v>264</v>
      </c>
      <c r="G350" s="217">
        <v>15635.661516</v>
      </c>
      <c r="H350" s="217" t="s">
        <v>26</v>
      </c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</row>
    <row r="351" ht="15.75" hidden="1" customHeight="1">
      <c r="A351" s="217" t="s">
        <v>18</v>
      </c>
      <c r="B351" s="217" t="s">
        <v>263</v>
      </c>
      <c r="C351" s="217" t="s">
        <v>20</v>
      </c>
      <c r="D351" s="217" t="s">
        <v>21</v>
      </c>
      <c r="E351" s="217" t="s">
        <v>1648</v>
      </c>
      <c r="F351" s="217" t="s">
        <v>264</v>
      </c>
      <c r="G351" s="217">
        <v>15934.228414</v>
      </c>
      <c r="H351" s="217" t="s">
        <v>24</v>
      </c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</row>
    <row r="352" ht="15.75" hidden="1" customHeight="1">
      <c r="A352" s="217" t="s">
        <v>18</v>
      </c>
      <c r="B352" s="217" t="s">
        <v>265</v>
      </c>
      <c r="C352" s="217" t="s">
        <v>31</v>
      </c>
      <c r="D352" s="217" t="s">
        <v>47</v>
      </c>
      <c r="E352" s="216"/>
      <c r="F352" s="217" t="s">
        <v>266</v>
      </c>
      <c r="G352" s="217">
        <v>29400.0</v>
      </c>
      <c r="H352" s="217" t="s">
        <v>25</v>
      </c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</row>
    <row r="353" ht="15.75" hidden="1" customHeight="1">
      <c r="A353" s="217" t="s">
        <v>18</v>
      </c>
      <c r="B353" s="217" t="s">
        <v>265</v>
      </c>
      <c r="C353" s="217" t="s">
        <v>31</v>
      </c>
      <c r="D353" s="217" t="s">
        <v>47</v>
      </c>
      <c r="E353" s="216"/>
      <c r="F353" s="217" t="s">
        <v>266</v>
      </c>
      <c r="G353" s="217">
        <v>29400.0</v>
      </c>
      <c r="H353" s="217" t="s">
        <v>26</v>
      </c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</row>
    <row r="354" ht="15.75" hidden="1" customHeight="1">
      <c r="A354" s="217" t="s">
        <v>18</v>
      </c>
      <c r="B354" s="217" t="s">
        <v>265</v>
      </c>
      <c r="C354" s="217" t="s">
        <v>31</v>
      </c>
      <c r="D354" s="217" t="s">
        <v>47</v>
      </c>
      <c r="E354" s="216"/>
      <c r="F354" s="217" t="s">
        <v>266</v>
      </c>
      <c r="G354" s="217">
        <v>29400.0</v>
      </c>
      <c r="H354" s="217" t="s">
        <v>24</v>
      </c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</row>
    <row r="355" ht="15.75" hidden="1" customHeight="1">
      <c r="A355" s="217" t="s">
        <v>18</v>
      </c>
      <c r="B355" s="217" t="s">
        <v>267</v>
      </c>
      <c r="C355" s="217" t="s">
        <v>20</v>
      </c>
      <c r="D355" s="217" t="s">
        <v>21</v>
      </c>
      <c r="E355" s="217" t="s">
        <v>22</v>
      </c>
      <c r="F355" s="217" t="s">
        <v>268</v>
      </c>
      <c r="G355" s="218">
        <f>6351.24+nom_interna!C61+nom_interna!I59</f>
        <v>15802.44</v>
      </c>
      <c r="H355" s="217" t="s">
        <v>25</v>
      </c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</row>
    <row r="356" ht="15.75" hidden="1" customHeight="1">
      <c r="A356" s="217" t="s">
        <v>18</v>
      </c>
      <c r="B356" s="217" t="s">
        <v>267</v>
      </c>
      <c r="C356" s="217" t="s">
        <v>20</v>
      </c>
      <c r="D356" s="217" t="s">
        <v>21</v>
      </c>
      <c r="E356" s="217" t="s">
        <v>22</v>
      </c>
      <c r="F356" s="217" t="s">
        <v>268</v>
      </c>
      <c r="G356" s="217">
        <f>16540.080385+1575.2</f>
        <v>18115.28039</v>
      </c>
      <c r="H356" s="217" t="s">
        <v>26</v>
      </c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</row>
    <row r="357" ht="15.75" hidden="1" customHeight="1">
      <c r="A357" s="217" t="s">
        <v>18</v>
      </c>
      <c r="B357" s="217" t="s">
        <v>267</v>
      </c>
      <c r="C357" s="217" t="s">
        <v>20</v>
      </c>
      <c r="D357" s="217" t="s">
        <v>21</v>
      </c>
      <c r="E357" s="217" t="s">
        <v>22</v>
      </c>
      <c r="F357" s="217" t="s">
        <v>268</v>
      </c>
      <c r="G357" s="217">
        <v>18822.928181</v>
      </c>
      <c r="H357" s="217" t="s">
        <v>24</v>
      </c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</row>
    <row r="358" ht="15.75" hidden="1" customHeight="1">
      <c r="A358" s="226" t="s">
        <v>18</v>
      </c>
      <c r="B358" s="226" t="s">
        <v>267</v>
      </c>
      <c r="C358" s="226" t="s">
        <v>20</v>
      </c>
      <c r="D358" s="226" t="s">
        <v>21</v>
      </c>
      <c r="E358" s="226" t="s">
        <v>22</v>
      </c>
      <c r="F358" s="226" t="s">
        <v>268</v>
      </c>
      <c r="G358" s="220">
        <f>6112.89+nom_interna!C113+nom_interna!I113</f>
        <v>15564.09</v>
      </c>
      <c r="H358" s="227" t="s">
        <v>27</v>
      </c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9"/>
      <c r="U358" s="229"/>
      <c r="V358" s="229"/>
      <c r="W358" s="229"/>
      <c r="X358" s="229"/>
      <c r="Y358" s="30"/>
      <c r="Z358" s="30"/>
    </row>
    <row r="359" ht="15.75" hidden="1" customHeight="1">
      <c r="A359" s="217" t="s">
        <v>18</v>
      </c>
      <c r="B359" s="217" t="s">
        <v>269</v>
      </c>
      <c r="C359" s="217" t="s">
        <v>20</v>
      </c>
      <c r="D359" s="217" t="s">
        <v>21</v>
      </c>
      <c r="E359" s="217" t="s">
        <v>22</v>
      </c>
      <c r="F359" s="217" t="s">
        <v>270</v>
      </c>
      <c r="G359" s="217">
        <v>16974.754614</v>
      </c>
      <c r="H359" s="217" t="s">
        <v>25</v>
      </c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</row>
    <row r="360" ht="15.75" hidden="1" customHeight="1">
      <c r="A360" s="217" t="s">
        <v>18</v>
      </c>
      <c r="B360" s="217" t="s">
        <v>269</v>
      </c>
      <c r="C360" s="217" t="s">
        <v>20</v>
      </c>
      <c r="D360" s="217" t="s">
        <v>21</v>
      </c>
      <c r="E360" s="217" t="s">
        <v>22</v>
      </c>
      <c r="F360" s="217" t="s">
        <v>270</v>
      </c>
      <c r="G360" s="217">
        <v>16703.097092</v>
      </c>
      <c r="H360" s="217" t="s">
        <v>26</v>
      </c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</row>
    <row r="361" ht="15.75" hidden="1" customHeight="1">
      <c r="A361" s="217" t="s">
        <v>18</v>
      </c>
      <c r="B361" s="217" t="s">
        <v>269</v>
      </c>
      <c r="C361" s="217" t="s">
        <v>20</v>
      </c>
      <c r="D361" s="217" t="s">
        <v>21</v>
      </c>
      <c r="E361" s="217" t="s">
        <v>22</v>
      </c>
      <c r="F361" s="217" t="s">
        <v>270</v>
      </c>
      <c r="G361" s="217">
        <v>17021.39405</v>
      </c>
      <c r="H361" s="217" t="s">
        <v>24</v>
      </c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</row>
    <row r="362" ht="15.75" hidden="1" customHeight="1">
      <c r="A362" s="217" t="s">
        <v>18</v>
      </c>
      <c r="B362" s="217" t="s">
        <v>271</v>
      </c>
      <c r="C362" s="217" t="s">
        <v>31</v>
      </c>
      <c r="D362" s="217" t="s">
        <v>54</v>
      </c>
      <c r="E362" s="216"/>
      <c r="F362" s="217" t="s">
        <v>272</v>
      </c>
      <c r="G362" s="217">
        <v>21778.98612</v>
      </c>
      <c r="H362" s="217" t="s">
        <v>25</v>
      </c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</row>
    <row r="363" ht="15.75" hidden="1" customHeight="1">
      <c r="A363" s="217" t="s">
        <v>18</v>
      </c>
      <c r="B363" s="217" t="s">
        <v>271</v>
      </c>
      <c r="C363" s="217" t="s">
        <v>31</v>
      </c>
      <c r="D363" s="217" t="s">
        <v>54</v>
      </c>
      <c r="E363" s="216"/>
      <c r="F363" s="217" t="s">
        <v>272</v>
      </c>
      <c r="G363" s="217">
        <v>20697.705549</v>
      </c>
      <c r="H363" s="217" t="s">
        <v>24</v>
      </c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</row>
    <row r="364" ht="15.75" hidden="1" customHeight="1">
      <c r="A364" s="217" t="s">
        <v>18</v>
      </c>
      <c r="B364" s="217" t="s">
        <v>271</v>
      </c>
      <c r="C364" s="217" t="s">
        <v>31</v>
      </c>
      <c r="D364" s="217" t="s">
        <v>54</v>
      </c>
      <c r="E364" s="216"/>
      <c r="F364" s="217" t="s">
        <v>272</v>
      </c>
      <c r="G364" s="217">
        <v>21661.06821</v>
      </c>
      <c r="H364" s="217" t="s">
        <v>26</v>
      </c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</row>
    <row r="365" ht="15.75" hidden="1" customHeight="1">
      <c r="A365" s="217" t="s">
        <v>18</v>
      </c>
      <c r="B365" s="230" t="s">
        <v>273</v>
      </c>
      <c r="C365" s="231" t="s">
        <v>66</v>
      </c>
      <c r="D365" s="219" t="s">
        <v>67</v>
      </c>
      <c r="E365" s="217"/>
      <c r="F365" s="230" t="s">
        <v>273</v>
      </c>
      <c r="G365" s="232">
        <v>131250.0</v>
      </c>
      <c r="H365" s="219" t="s">
        <v>24</v>
      </c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</row>
    <row r="366" ht="15.75" hidden="1" customHeight="1">
      <c r="A366" s="217" t="s">
        <v>18</v>
      </c>
      <c r="B366" s="230" t="s">
        <v>273</v>
      </c>
      <c r="C366" s="231" t="s">
        <v>66</v>
      </c>
      <c r="D366" s="219" t="s">
        <v>67</v>
      </c>
      <c r="E366" s="217"/>
      <c r="F366" s="230" t="s">
        <v>273</v>
      </c>
      <c r="G366" s="232">
        <v>131250.0</v>
      </c>
      <c r="H366" s="219" t="s">
        <v>26</v>
      </c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</row>
    <row r="367" ht="15.75" hidden="1" customHeight="1">
      <c r="A367" s="217" t="s">
        <v>18</v>
      </c>
      <c r="B367" s="230" t="s">
        <v>273</v>
      </c>
      <c r="C367" s="231" t="s">
        <v>66</v>
      </c>
      <c r="D367" s="219" t="s">
        <v>67</v>
      </c>
      <c r="E367" s="217"/>
      <c r="F367" s="230" t="s">
        <v>273</v>
      </c>
      <c r="G367" s="232">
        <v>131250.0</v>
      </c>
      <c r="H367" s="219" t="s">
        <v>25</v>
      </c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</row>
    <row r="368" ht="15.75" hidden="1" customHeight="1">
      <c r="A368" s="217" t="s">
        <v>18</v>
      </c>
      <c r="B368" s="230" t="s">
        <v>273</v>
      </c>
      <c r="C368" s="231" t="s">
        <v>66</v>
      </c>
      <c r="D368" s="219" t="s">
        <v>67</v>
      </c>
      <c r="E368" s="217"/>
      <c r="F368" s="230" t="s">
        <v>273</v>
      </c>
      <c r="G368" s="232">
        <v>131250.0</v>
      </c>
      <c r="H368" s="219" t="s">
        <v>27</v>
      </c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</row>
    <row r="369" ht="15.75" hidden="1" customHeight="1">
      <c r="A369" s="217" t="s">
        <v>18</v>
      </c>
      <c r="B369" s="217" t="s">
        <v>274</v>
      </c>
      <c r="C369" s="217" t="s">
        <v>31</v>
      </c>
      <c r="D369" s="217" t="s">
        <v>187</v>
      </c>
      <c r="E369" s="217" t="s">
        <v>22</v>
      </c>
      <c r="F369" s="217" t="s">
        <v>275</v>
      </c>
      <c r="G369" s="217">
        <v>13291.944052</v>
      </c>
      <c r="H369" s="217" t="s">
        <v>24</v>
      </c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</row>
    <row r="370" ht="15.75" hidden="1" customHeight="1">
      <c r="A370" s="217" t="s">
        <v>18</v>
      </c>
      <c r="B370" s="217" t="s">
        <v>274</v>
      </c>
      <c r="C370" s="217" t="s">
        <v>31</v>
      </c>
      <c r="D370" s="217" t="s">
        <v>187</v>
      </c>
      <c r="E370" s="217" t="s">
        <v>22</v>
      </c>
      <c r="F370" s="217" t="s">
        <v>275</v>
      </c>
      <c r="G370" s="217">
        <v>14658.132292</v>
      </c>
      <c r="H370" s="217" t="s">
        <v>25</v>
      </c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</row>
    <row r="371" ht="15.75" hidden="1" customHeight="1">
      <c r="A371" s="217" t="s">
        <v>18</v>
      </c>
      <c r="B371" s="217" t="s">
        <v>274</v>
      </c>
      <c r="C371" s="217" t="s">
        <v>31</v>
      </c>
      <c r="D371" s="217" t="s">
        <v>187</v>
      </c>
      <c r="E371" s="217" t="s">
        <v>22</v>
      </c>
      <c r="F371" s="217" t="s">
        <v>275</v>
      </c>
      <c r="G371" s="217">
        <v>13045.633175</v>
      </c>
      <c r="H371" s="217" t="s">
        <v>26</v>
      </c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</row>
    <row r="372" ht="15.75" hidden="1" customHeight="1">
      <c r="A372" s="217" t="s">
        <v>18</v>
      </c>
      <c r="B372" s="217" t="s">
        <v>276</v>
      </c>
      <c r="C372" s="217" t="s">
        <v>20</v>
      </c>
      <c r="D372" s="217" t="s">
        <v>54</v>
      </c>
      <c r="E372" s="216"/>
      <c r="F372" s="217" t="s">
        <v>277</v>
      </c>
      <c r="G372" s="217">
        <v>21381.39405</v>
      </c>
      <c r="H372" s="217" t="s">
        <v>24</v>
      </c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</row>
    <row r="373" ht="15.75" hidden="1" customHeight="1">
      <c r="A373" s="217" t="s">
        <v>18</v>
      </c>
      <c r="B373" s="217" t="s">
        <v>276</v>
      </c>
      <c r="C373" s="217" t="s">
        <v>20</v>
      </c>
      <c r="D373" s="217" t="s">
        <v>54</v>
      </c>
      <c r="E373" s="216"/>
      <c r="F373" s="217" t="s">
        <v>277</v>
      </c>
      <c r="G373" s="217">
        <v>19452.096152</v>
      </c>
      <c r="H373" s="217" t="s">
        <v>25</v>
      </c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</row>
    <row r="374" ht="15.75" hidden="1" customHeight="1">
      <c r="A374" s="217" t="s">
        <v>18</v>
      </c>
      <c r="B374" s="217" t="s">
        <v>276</v>
      </c>
      <c r="C374" s="217" t="s">
        <v>20</v>
      </c>
      <c r="D374" s="217" t="s">
        <v>54</v>
      </c>
      <c r="E374" s="216"/>
      <c r="F374" s="217" t="s">
        <v>277</v>
      </c>
      <c r="G374" s="217">
        <v>14542.782092</v>
      </c>
      <c r="H374" s="217" t="s">
        <v>26</v>
      </c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</row>
    <row r="375" ht="15.75" hidden="1" customHeight="1">
      <c r="A375" s="217" t="s">
        <v>18</v>
      </c>
      <c r="B375" s="217" t="s">
        <v>278</v>
      </c>
      <c r="C375" s="217" t="s">
        <v>20</v>
      </c>
      <c r="D375" s="217" t="s">
        <v>21</v>
      </c>
      <c r="E375" s="217" t="s">
        <v>22</v>
      </c>
      <c r="F375" s="217" t="s">
        <v>279</v>
      </c>
      <c r="G375" s="217">
        <v>17778.225941</v>
      </c>
      <c r="H375" s="217" t="s">
        <v>26</v>
      </c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</row>
    <row r="376" ht="15.75" hidden="1" customHeight="1">
      <c r="A376" s="217" t="s">
        <v>18</v>
      </c>
      <c r="B376" s="217" t="s">
        <v>278</v>
      </c>
      <c r="C376" s="217" t="s">
        <v>20</v>
      </c>
      <c r="D376" s="217" t="s">
        <v>21</v>
      </c>
      <c r="E376" s="217" t="s">
        <v>22</v>
      </c>
      <c r="F376" s="217" t="s">
        <v>279</v>
      </c>
      <c r="G376" s="217">
        <v>18117.062778</v>
      </c>
      <c r="H376" s="217" t="s">
        <v>24</v>
      </c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</row>
    <row r="377" ht="15.75" hidden="1" customHeight="1">
      <c r="A377" s="217" t="s">
        <v>18</v>
      </c>
      <c r="B377" s="217" t="s">
        <v>278</v>
      </c>
      <c r="C377" s="217" t="s">
        <v>20</v>
      </c>
      <c r="D377" s="217" t="s">
        <v>21</v>
      </c>
      <c r="E377" s="217" t="s">
        <v>22</v>
      </c>
      <c r="F377" s="217" t="s">
        <v>279</v>
      </c>
      <c r="G377" s="217">
        <v>18030.558312</v>
      </c>
      <c r="H377" s="217" t="s">
        <v>25</v>
      </c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</row>
    <row r="378" ht="15.75" hidden="1" customHeight="1">
      <c r="A378" s="217" t="s">
        <v>18</v>
      </c>
      <c r="B378" s="217" t="s">
        <v>280</v>
      </c>
      <c r="C378" s="217" t="s">
        <v>20</v>
      </c>
      <c r="D378" s="217" t="s">
        <v>21</v>
      </c>
      <c r="E378" s="217" t="s">
        <v>61</v>
      </c>
      <c r="F378" s="217" t="s">
        <v>281</v>
      </c>
      <c r="G378" s="218">
        <f>2676.24+nom_interna!L74</f>
        <v>9292.08</v>
      </c>
      <c r="H378" s="217" t="s">
        <v>25</v>
      </c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</row>
    <row r="379" ht="15.75" hidden="1" customHeight="1">
      <c r="A379" s="217" t="s">
        <v>18</v>
      </c>
      <c r="B379" s="217" t="s">
        <v>280</v>
      </c>
      <c r="C379" s="217" t="s">
        <v>20</v>
      </c>
      <c r="D379" s="217" t="s">
        <v>21</v>
      </c>
      <c r="E379" s="217" t="s">
        <v>61</v>
      </c>
      <c r="F379" s="217" t="s">
        <v>281</v>
      </c>
      <c r="G379" s="217">
        <v>15686.20395</v>
      </c>
      <c r="H379" s="217" t="s">
        <v>26</v>
      </c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</row>
    <row r="380" ht="15.75" hidden="1" customHeight="1">
      <c r="A380" s="217" t="s">
        <v>18</v>
      </c>
      <c r="B380" s="217" t="s">
        <v>280</v>
      </c>
      <c r="C380" s="217" t="s">
        <v>20</v>
      </c>
      <c r="D380" s="217" t="s">
        <v>21</v>
      </c>
      <c r="E380" s="217" t="s">
        <v>61</v>
      </c>
      <c r="F380" s="217" t="s">
        <v>281</v>
      </c>
      <c r="G380" s="217">
        <v>15964.552952</v>
      </c>
      <c r="H380" s="217" t="s">
        <v>24</v>
      </c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</row>
    <row r="381" ht="15.75" hidden="1" customHeight="1">
      <c r="A381" s="217" t="s">
        <v>18</v>
      </c>
      <c r="B381" s="217" t="s">
        <v>280</v>
      </c>
      <c r="C381" s="217" t="s">
        <v>20</v>
      </c>
      <c r="D381" s="217" t="s">
        <v>21</v>
      </c>
      <c r="E381" s="217" t="s">
        <v>61</v>
      </c>
      <c r="F381" s="217" t="s">
        <v>281</v>
      </c>
      <c r="G381" s="218">
        <f>2676.24+nom_interna!L126</f>
        <v>12127.44</v>
      </c>
      <c r="H381" s="219" t="s">
        <v>27</v>
      </c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</row>
    <row r="382" ht="15.75" hidden="1" customHeight="1">
      <c r="A382" s="217" t="s">
        <v>18</v>
      </c>
      <c r="B382" s="217" t="s">
        <v>282</v>
      </c>
      <c r="C382" s="217" t="s">
        <v>31</v>
      </c>
      <c r="D382" s="217" t="s">
        <v>47</v>
      </c>
      <c r="E382" s="216"/>
      <c r="F382" s="217" t="s">
        <v>283</v>
      </c>
      <c r="G382" s="217">
        <v>18843.097092</v>
      </c>
      <c r="H382" s="217" t="s">
        <v>26</v>
      </c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</row>
    <row r="383" ht="15.75" hidden="1" customHeight="1">
      <c r="A383" s="217" t="s">
        <v>18</v>
      </c>
      <c r="B383" s="217" t="s">
        <v>282</v>
      </c>
      <c r="C383" s="217" t="s">
        <v>31</v>
      </c>
      <c r="D383" s="217" t="s">
        <v>47</v>
      </c>
      <c r="E383" s="216"/>
      <c r="F383" s="217" t="s">
        <v>283</v>
      </c>
      <c r="G383" s="217">
        <v>19201.39405</v>
      </c>
      <c r="H383" s="217" t="s">
        <v>24</v>
      </c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</row>
    <row r="384" ht="15.75" hidden="1" customHeight="1">
      <c r="A384" s="217" t="s">
        <v>18</v>
      </c>
      <c r="B384" s="217" t="s">
        <v>282</v>
      </c>
      <c r="C384" s="217" t="s">
        <v>31</v>
      </c>
      <c r="D384" s="217" t="s">
        <v>47</v>
      </c>
      <c r="E384" s="216"/>
      <c r="F384" s="217" t="s">
        <v>283</v>
      </c>
      <c r="G384" s="217">
        <v>19074.754614</v>
      </c>
      <c r="H384" s="217" t="s">
        <v>25</v>
      </c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</row>
    <row r="385" ht="15.75" hidden="1" customHeight="1">
      <c r="A385" s="217" t="s">
        <v>18</v>
      </c>
      <c r="B385" s="217" t="s">
        <v>284</v>
      </c>
      <c r="C385" s="217" t="s">
        <v>31</v>
      </c>
      <c r="D385" s="217" t="s">
        <v>54</v>
      </c>
      <c r="E385" s="216"/>
      <c r="F385" s="217" t="s">
        <v>285</v>
      </c>
      <c r="G385" s="217">
        <v>13161.494689</v>
      </c>
      <c r="H385" s="217" t="s">
        <v>24</v>
      </c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</row>
    <row r="386" ht="15.75" hidden="1" customHeight="1">
      <c r="A386" s="217" t="s">
        <v>18</v>
      </c>
      <c r="B386" s="217" t="s">
        <v>284</v>
      </c>
      <c r="C386" s="217" t="s">
        <v>31</v>
      </c>
      <c r="D386" s="217" t="s">
        <v>54</v>
      </c>
      <c r="E386" s="216"/>
      <c r="F386" s="217" t="s">
        <v>285</v>
      </c>
      <c r="G386" s="217">
        <v>12913.387193</v>
      </c>
      <c r="H386" s="217" t="s">
        <v>26</v>
      </c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</row>
    <row r="387" ht="15.75" hidden="1" customHeight="1">
      <c r="A387" s="217" t="s">
        <v>18</v>
      </c>
      <c r="B387" s="217" t="s">
        <v>284</v>
      </c>
      <c r="C387" s="217" t="s">
        <v>31</v>
      </c>
      <c r="D387" s="217" t="s">
        <v>54</v>
      </c>
      <c r="E387" s="216"/>
      <c r="F387" s="217" t="s">
        <v>285</v>
      </c>
      <c r="G387" s="217">
        <v>13257.012887</v>
      </c>
      <c r="H387" s="217" t="s">
        <v>25</v>
      </c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</row>
    <row r="388" ht="15.75" hidden="1" customHeight="1">
      <c r="A388" s="217" t="s">
        <v>18</v>
      </c>
      <c r="B388" s="217" t="s">
        <v>286</v>
      </c>
      <c r="C388" s="217" t="s">
        <v>66</v>
      </c>
      <c r="D388" s="217" t="s">
        <v>192</v>
      </c>
      <c r="E388" s="216"/>
      <c r="F388" s="217" t="s">
        <v>287</v>
      </c>
      <c r="G388" s="217">
        <v>20207.91754</v>
      </c>
      <c r="H388" s="217" t="s">
        <v>25</v>
      </c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</row>
    <row r="389" ht="15.75" hidden="1" customHeight="1">
      <c r="A389" s="217" t="s">
        <v>18</v>
      </c>
      <c r="B389" s="217" t="s">
        <v>286</v>
      </c>
      <c r="C389" s="217" t="s">
        <v>66</v>
      </c>
      <c r="D389" s="217" t="s">
        <v>192</v>
      </c>
      <c r="E389" s="216"/>
      <c r="F389" s="217" t="s">
        <v>287</v>
      </c>
      <c r="G389" s="217">
        <v>20063.457943</v>
      </c>
      <c r="H389" s="217" t="s">
        <v>26</v>
      </c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</row>
    <row r="390" ht="15.75" hidden="1" customHeight="1">
      <c r="A390" s="217" t="s">
        <v>18</v>
      </c>
      <c r="B390" s="217" t="s">
        <v>286</v>
      </c>
      <c r="C390" s="217" t="s">
        <v>66</v>
      </c>
      <c r="D390" s="217" t="s">
        <v>192</v>
      </c>
      <c r="E390" s="216"/>
      <c r="F390" s="217" t="s">
        <v>287</v>
      </c>
      <c r="G390" s="217">
        <v>20441.8093</v>
      </c>
      <c r="H390" s="217" t="s">
        <v>24</v>
      </c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</row>
    <row r="391" ht="15.75" hidden="1" customHeight="1">
      <c r="A391" s="217" t="s">
        <v>18</v>
      </c>
      <c r="B391" s="217" t="s">
        <v>288</v>
      </c>
      <c r="C391" s="219" t="s">
        <v>20</v>
      </c>
      <c r="D391" s="217" t="s">
        <v>21</v>
      </c>
      <c r="E391" s="217" t="s">
        <v>1653</v>
      </c>
      <c r="F391" s="217" t="s">
        <v>289</v>
      </c>
      <c r="G391" s="217">
        <v>24296.58051</v>
      </c>
      <c r="H391" s="217" t="s">
        <v>26</v>
      </c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</row>
    <row r="392" ht="15.75" hidden="1" customHeight="1">
      <c r="A392" s="217" t="s">
        <v>18</v>
      </c>
      <c r="B392" s="217" t="s">
        <v>288</v>
      </c>
      <c r="C392" s="219" t="s">
        <v>20</v>
      </c>
      <c r="D392" s="217" t="s">
        <v>21</v>
      </c>
      <c r="E392" s="217" t="s">
        <v>1653</v>
      </c>
      <c r="F392" s="217" t="s">
        <v>289</v>
      </c>
      <c r="G392" s="217">
        <v>24765.77046</v>
      </c>
      <c r="H392" s="217" t="s">
        <v>24</v>
      </c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</row>
    <row r="393" ht="15.75" hidden="1" customHeight="1">
      <c r="A393" s="217" t="s">
        <v>18</v>
      </c>
      <c r="B393" s="217" t="s">
        <v>288</v>
      </c>
      <c r="C393" s="219" t="s">
        <v>20</v>
      </c>
      <c r="D393" s="217" t="s">
        <v>21</v>
      </c>
      <c r="E393" s="217" t="s">
        <v>1653</v>
      </c>
      <c r="F393" s="217" t="s">
        <v>289</v>
      </c>
      <c r="G393" s="217">
        <v>24289.39677</v>
      </c>
      <c r="H393" s="217" t="s">
        <v>25</v>
      </c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</row>
    <row r="394" ht="15.75" hidden="1" customHeight="1">
      <c r="A394" s="217" t="s">
        <v>18</v>
      </c>
      <c r="B394" s="217" t="s">
        <v>290</v>
      </c>
      <c r="C394" s="217" t="s">
        <v>20</v>
      </c>
      <c r="D394" s="217" t="s">
        <v>21</v>
      </c>
      <c r="E394" s="217" t="s">
        <v>44</v>
      </c>
      <c r="F394" s="217" t="s">
        <v>291</v>
      </c>
      <c r="G394" s="217">
        <v>19153.68456</v>
      </c>
      <c r="H394" s="217" t="s">
        <v>25</v>
      </c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</row>
    <row r="395" ht="15.75" hidden="1" customHeight="1">
      <c r="A395" s="217" t="s">
        <v>18</v>
      </c>
      <c r="B395" s="217" t="s">
        <v>290</v>
      </c>
      <c r="C395" s="217" t="s">
        <v>20</v>
      </c>
      <c r="D395" s="217" t="s">
        <v>21</v>
      </c>
      <c r="E395" s="217" t="s">
        <v>44</v>
      </c>
      <c r="F395" s="217" t="s">
        <v>291</v>
      </c>
      <c r="G395" s="217">
        <v>18893.580152</v>
      </c>
      <c r="H395" s="217" t="s">
        <v>26</v>
      </c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</row>
    <row r="396" ht="15.75" hidden="1" customHeight="1">
      <c r="A396" s="217" t="s">
        <v>18</v>
      </c>
      <c r="B396" s="217" t="s">
        <v>290</v>
      </c>
      <c r="C396" s="217" t="s">
        <v>20</v>
      </c>
      <c r="D396" s="217" t="s">
        <v>21</v>
      </c>
      <c r="E396" s="217" t="s">
        <v>44</v>
      </c>
      <c r="F396" s="217" t="s">
        <v>291</v>
      </c>
      <c r="G396" s="217">
        <v>19231.678181</v>
      </c>
      <c r="H396" s="217" t="s">
        <v>24</v>
      </c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</row>
    <row r="397" ht="15.75" hidden="1" customHeight="1">
      <c r="A397" s="217" t="s">
        <v>18</v>
      </c>
      <c r="B397" s="217" t="s">
        <v>292</v>
      </c>
      <c r="C397" s="217" t="s">
        <v>31</v>
      </c>
      <c r="D397" s="217" t="s">
        <v>187</v>
      </c>
      <c r="E397" s="217" t="s">
        <v>22</v>
      </c>
      <c r="F397" s="217" t="s">
        <v>293</v>
      </c>
      <c r="G397" s="217">
        <v>17773.097092</v>
      </c>
      <c r="H397" s="217" t="s">
        <v>26</v>
      </c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</row>
    <row r="398" ht="15.75" hidden="1" customHeight="1">
      <c r="A398" s="217" t="s">
        <v>18</v>
      </c>
      <c r="B398" s="217" t="s">
        <v>292</v>
      </c>
      <c r="C398" s="217" t="s">
        <v>31</v>
      </c>
      <c r="D398" s="217" t="s">
        <v>187</v>
      </c>
      <c r="E398" s="217" t="s">
        <v>22</v>
      </c>
      <c r="F398" s="217" t="s">
        <v>293</v>
      </c>
      <c r="G398" s="217">
        <v>18111.39405</v>
      </c>
      <c r="H398" s="217" t="s">
        <v>24</v>
      </c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</row>
    <row r="399" ht="15.75" hidden="1" customHeight="1">
      <c r="A399" s="217" t="s">
        <v>18</v>
      </c>
      <c r="B399" s="217" t="s">
        <v>292</v>
      </c>
      <c r="C399" s="217" t="s">
        <v>31</v>
      </c>
      <c r="D399" s="217" t="s">
        <v>187</v>
      </c>
      <c r="E399" s="217" t="s">
        <v>22</v>
      </c>
      <c r="F399" s="217" t="s">
        <v>293</v>
      </c>
      <c r="G399" s="217">
        <v>18024.754614</v>
      </c>
      <c r="H399" s="217" t="s">
        <v>25</v>
      </c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</row>
    <row r="400" ht="15.75" hidden="1" customHeight="1">
      <c r="A400" s="217" t="s">
        <v>18</v>
      </c>
      <c r="B400" s="217" t="s">
        <v>294</v>
      </c>
      <c r="C400" s="217" t="s">
        <v>31</v>
      </c>
      <c r="D400" s="217" t="s">
        <v>54</v>
      </c>
      <c r="E400" s="216"/>
      <c r="F400" s="217" t="s">
        <v>295</v>
      </c>
      <c r="G400" s="217">
        <v>21786.40512</v>
      </c>
      <c r="H400" s="217" t="s">
        <v>25</v>
      </c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</row>
    <row r="401" ht="15.75" hidden="1" customHeight="1">
      <c r="A401" s="217" t="s">
        <v>18</v>
      </c>
      <c r="B401" s="217" t="s">
        <v>294</v>
      </c>
      <c r="C401" s="217" t="s">
        <v>31</v>
      </c>
      <c r="D401" s="217" t="s">
        <v>54</v>
      </c>
      <c r="E401" s="216"/>
      <c r="F401" s="217" t="s">
        <v>295</v>
      </c>
      <c r="G401" s="217">
        <v>20686.97919</v>
      </c>
      <c r="H401" s="217" t="s">
        <v>26</v>
      </c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</row>
    <row r="402" ht="15.75" hidden="1" customHeight="1">
      <c r="A402" s="217" t="s">
        <v>18</v>
      </c>
      <c r="B402" s="217" t="s">
        <v>294</v>
      </c>
      <c r="C402" s="217" t="s">
        <v>31</v>
      </c>
      <c r="D402" s="217" t="s">
        <v>54</v>
      </c>
      <c r="E402" s="216"/>
      <c r="F402" s="217" t="s">
        <v>295</v>
      </c>
      <c r="G402" s="217">
        <v>20176.369</v>
      </c>
      <c r="H402" s="217" t="s">
        <v>24</v>
      </c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</row>
    <row r="403" ht="15.75" hidden="1" customHeight="1">
      <c r="A403" s="217" t="s">
        <v>18</v>
      </c>
      <c r="B403" s="217" t="s">
        <v>296</v>
      </c>
      <c r="C403" s="217" t="s">
        <v>20</v>
      </c>
      <c r="D403" s="217" t="s">
        <v>21</v>
      </c>
      <c r="E403" s="217" t="s">
        <v>41</v>
      </c>
      <c r="F403" s="217" t="s">
        <v>297</v>
      </c>
      <c r="G403" s="218">
        <f>4488.12+nom_interna!C136</f>
        <v>9213.72</v>
      </c>
      <c r="H403" s="219" t="s">
        <v>27</v>
      </c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</row>
    <row r="404" ht="15.75" hidden="1" customHeight="1">
      <c r="A404" s="217" t="s">
        <v>18</v>
      </c>
      <c r="B404" s="217" t="s">
        <v>296</v>
      </c>
      <c r="C404" s="217" t="s">
        <v>20</v>
      </c>
      <c r="D404" s="217" t="s">
        <v>21</v>
      </c>
      <c r="E404" s="217" t="s">
        <v>41</v>
      </c>
      <c r="F404" s="217" t="s">
        <v>297</v>
      </c>
      <c r="G404" s="218">
        <f>14842.14224+nom_interna!I82</f>
        <v>19567.74224</v>
      </c>
      <c r="H404" s="217" t="s">
        <v>25</v>
      </c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</row>
    <row r="405" ht="15.75" hidden="1" customHeight="1">
      <c r="A405" s="217" t="s">
        <v>18</v>
      </c>
      <c r="B405" s="217" t="s">
        <v>298</v>
      </c>
      <c r="C405" s="217" t="s">
        <v>20</v>
      </c>
      <c r="D405" s="217" t="s">
        <v>54</v>
      </c>
      <c r="E405" s="216"/>
      <c r="F405" s="217" t="s">
        <v>299</v>
      </c>
      <c r="G405" s="217">
        <v>9599.206537</v>
      </c>
      <c r="H405" s="217" t="s">
        <v>26</v>
      </c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</row>
    <row r="406" ht="15.75" hidden="1" customHeight="1">
      <c r="A406" s="217" t="s">
        <v>18</v>
      </c>
      <c r="B406" s="217" t="s">
        <v>298</v>
      </c>
      <c r="C406" s="217" t="s">
        <v>20</v>
      </c>
      <c r="D406" s="217" t="s">
        <v>54</v>
      </c>
      <c r="E406" s="216"/>
      <c r="F406" s="217" t="s">
        <v>299</v>
      </c>
      <c r="G406" s="217">
        <v>19037.435568</v>
      </c>
      <c r="H406" s="217" t="s">
        <v>25</v>
      </c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</row>
    <row r="407" ht="15.75" hidden="1" customHeight="1">
      <c r="A407" s="217" t="s">
        <v>18</v>
      </c>
      <c r="B407" s="217" t="s">
        <v>298</v>
      </c>
      <c r="C407" s="217" t="s">
        <v>20</v>
      </c>
      <c r="D407" s="217" t="s">
        <v>54</v>
      </c>
      <c r="E407" s="216"/>
      <c r="F407" s="217" t="s">
        <v>299</v>
      </c>
      <c r="G407" s="217">
        <v>19265.007247</v>
      </c>
      <c r="H407" s="217" t="s">
        <v>24</v>
      </c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</row>
    <row r="408" ht="15.75" hidden="1" customHeight="1">
      <c r="A408" s="217" t="s">
        <v>18</v>
      </c>
      <c r="B408" s="217" t="s">
        <v>300</v>
      </c>
      <c r="C408" s="217" t="s">
        <v>20</v>
      </c>
      <c r="D408" s="217" t="s">
        <v>54</v>
      </c>
      <c r="E408" s="216"/>
      <c r="F408" s="217" t="s">
        <v>301</v>
      </c>
      <c r="G408" s="217">
        <v>7350.0</v>
      </c>
      <c r="H408" s="217" t="s">
        <v>24</v>
      </c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</row>
    <row r="409" ht="15.75" hidden="1" customHeight="1">
      <c r="A409" s="217" t="s">
        <v>18</v>
      </c>
      <c r="B409" s="217" t="s">
        <v>300</v>
      </c>
      <c r="C409" s="217" t="s">
        <v>20</v>
      </c>
      <c r="D409" s="217" t="s">
        <v>54</v>
      </c>
      <c r="E409" s="216"/>
      <c r="F409" s="217" t="s">
        <v>301</v>
      </c>
      <c r="G409" s="217">
        <v>10059.743257</v>
      </c>
      <c r="H409" s="217" t="s">
        <v>26</v>
      </c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</row>
    <row r="410" ht="15.75" hidden="1" customHeight="1">
      <c r="A410" s="217" t="s">
        <v>18</v>
      </c>
      <c r="B410" s="217" t="s">
        <v>300</v>
      </c>
      <c r="C410" s="217" t="s">
        <v>20</v>
      </c>
      <c r="D410" s="217" t="s">
        <v>54</v>
      </c>
      <c r="E410" s="216"/>
      <c r="F410" s="217" t="s">
        <v>301</v>
      </c>
      <c r="G410" s="217">
        <v>13202.829051</v>
      </c>
      <c r="H410" s="217" t="s">
        <v>25</v>
      </c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</row>
    <row r="411" ht="15.75" hidden="1" customHeight="1">
      <c r="A411" s="217" t="s">
        <v>18</v>
      </c>
      <c r="B411" s="217" t="s">
        <v>302</v>
      </c>
      <c r="C411" s="217" t="s">
        <v>20</v>
      </c>
      <c r="D411" s="217" t="s">
        <v>21</v>
      </c>
      <c r="E411" s="217" t="s">
        <v>44</v>
      </c>
      <c r="F411" s="217" t="s">
        <v>303</v>
      </c>
      <c r="G411" s="217">
        <v>17051.678181</v>
      </c>
      <c r="H411" s="217" t="s">
        <v>24</v>
      </c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</row>
    <row r="412" ht="15.75" hidden="1" customHeight="1">
      <c r="A412" s="217" t="s">
        <v>18</v>
      </c>
      <c r="B412" s="217" t="s">
        <v>302</v>
      </c>
      <c r="C412" s="217" t="s">
        <v>20</v>
      </c>
      <c r="D412" s="217" t="s">
        <v>21</v>
      </c>
      <c r="E412" s="217" t="s">
        <v>44</v>
      </c>
      <c r="F412" s="217" t="s">
        <v>303</v>
      </c>
      <c r="G412" s="217">
        <v>16753.580152</v>
      </c>
      <c r="H412" s="217" t="s">
        <v>26</v>
      </c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</row>
    <row r="413" ht="15.75" hidden="1" customHeight="1">
      <c r="A413" s="217" t="s">
        <v>18</v>
      </c>
      <c r="B413" s="217" t="s">
        <v>302</v>
      </c>
      <c r="C413" s="217" t="s">
        <v>20</v>
      </c>
      <c r="D413" s="217" t="s">
        <v>21</v>
      </c>
      <c r="E413" s="217" t="s">
        <v>44</v>
      </c>
      <c r="F413" s="217" t="s">
        <v>303</v>
      </c>
      <c r="G413" s="217">
        <v>16686.18456</v>
      </c>
      <c r="H413" s="217" t="s">
        <v>25</v>
      </c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</row>
    <row r="414" ht="15.75" hidden="1" customHeight="1">
      <c r="A414" s="217" t="s">
        <v>18</v>
      </c>
      <c r="B414" s="217" t="s">
        <v>304</v>
      </c>
      <c r="C414" s="217" t="s">
        <v>20</v>
      </c>
      <c r="D414" s="217" t="s">
        <v>21</v>
      </c>
      <c r="E414" s="217" t="s">
        <v>44</v>
      </c>
      <c r="F414" s="217" t="s">
        <v>305</v>
      </c>
      <c r="G414" s="217">
        <v>14145.9939</v>
      </c>
      <c r="H414" s="217" t="s">
        <v>25</v>
      </c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</row>
    <row r="415" ht="15.75" hidden="1" customHeight="1">
      <c r="A415" s="217" t="s">
        <v>18</v>
      </c>
      <c r="B415" s="217" t="s">
        <v>304</v>
      </c>
      <c r="C415" s="217" t="s">
        <v>20</v>
      </c>
      <c r="D415" s="217" t="s">
        <v>21</v>
      </c>
      <c r="E415" s="217" t="s">
        <v>44</v>
      </c>
      <c r="F415" s="217" t="s">
        <v>305</v>
      </c>
      <c r="G415" s="217">
        <v>16753.580152</v>
      </c>
      <c r="H415" s="217" t="s">
        <v>26</v>
      </c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</row>
    <row r="416" ht="15.75" hidden="1" customHeight="1">
      <c r="A416" s="217" t="s">
        <v>18</v>
      </c>
      <c r="B416" s="217" t="s">
        <v>304</v>
      </c>
      <c r="C416" s="217" t="s">
        <v>20</v>
      </c>
      <c r="D416" s="217" t="s">
        <v>21</v>
      </c>
      <c r="E416" s="217" t="s">
        <v>44</v>
      </c>
      <c r="F416" s="217" t="s">
        <v>305</v>
      </c>
      <c r="G416" s="217">
        <v>17051.678181</v>
      </c>
      <c r="H416" s="217" t="s">
        <v>24</v>
      </c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</row>
    <row r="417" ht="15.75" hidden="1" customHeight="1">
      <c r="A417" s="217" t="s">
        <v>18</v>
      </c>
      <c r="B417" s="217" t="s">
        <v>306</v>
      </c>
      <c r="C417" s="217" t="s">
        <v>20</v>
      </c>
      <c r="D417" s="217" t="s">
        <v>21</v>
      </c>
      <c r="E417" s="217" t="s">
        <v>1653</v>
      </c>
      <c r="F417" s="217" t="s">
        <v>307</v>
      </c>
      <c r="G417" s="217">
        <v>15685.577941</v>
      </c>
      <c r="H417" s="217" t="s">
        <v>26</v>
      </c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</row>
    <row r="418" ht="15.75" hidden="1" customHeight="1">
      <c r="A418" s="217" t="s">
        <v>18</v>
      </c>
      <c r="B418" s="217" t="s">
        <v>306</v>
      </c>
      <c r="C418" s="217" t="s">
        <v>20</v>
      </c>
      <c r="D418" s="217" t="s">
        <v>21</v>
      </c>
      <c r="E418" s="217" t="s">
        <v>1653</v>
      </c>
      <c r="F418" s="217" t="s">
        <v>307</v>
      </c>
      <c r="G418" s="217">
        <v>15989.399199</v>
      </c>
      <c r="H418" s="217" t="s">
        <v>24</v>
      </c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</row>
    <row r="419" ht="17.25" hidden="1" customHeight="1">
      <c r="A419" s="217" t="s">
        <v>18</v>
      </c>
      <c r="B419" s="217" t="s">
        <v>306</v>
      </c>
      <c r="C419" s="217" t="s">
        <v>20</v>
      </c>
      <c r="D419" s="217" t="s">
        <v>21</v>
      </c>
      <c r="E419" s="217" t="s">
        <v>1653</v>
      </c>
      <c r="F419" s="217" t="s">
        <v>307</v>
      </c>
      <c r="G419" s="217">
        <v>15881.92591</v>
      </c>
      <c r="H419" s="217" t="s">
        <v>25</v>
      </c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</row>
    <row r="420" ht="15.75" hidden="1" customHeight="1">
      <c r="A420" s="217" t="s">
        <v>18</v>
      </c>
      <c r="B420" s="217" t="s">
        <v>308</v>
      </c>
      <c r="C420" s="217" t="s">
        <v>31</v>
      </c>
      <c r="D420" s="217" t="s">
        <v>187</v>
      </c>
      <c r="E420" s="216"/>
      <c r="F420" s="217" t="s">
        <v>309</v>
      </c>
      <c r="G420" s="217">
        <v>7350.0</v>
      </c>
      <c r="H420" s="217" t="s">
        <v>24</v>
      </c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</row>
    <row r="421" ht="15.75" hidden="1" customHeight="1">
      <c r="A421" s="217" t="s">
        <v>18</v>
      </c>
      <c r="B421" s="217" t="s">
        <v>310</v>
      </c>
      <c r="C421" s="217" t="s">
        <v>20</v>
      </c>
      <c r="D421" s="217" t="s">
        <v>21</v>
      </c>
      <c r="E421" s="217" t="s">
        <v>41</v>
      </c>
      <c r="F421" s="217" t="s">
        <v>311</v>
      </c>
      <c r="G421" s="217">
        <v>16335.548181</v>
      </c>
      <c r="H421" s="217" t="s">
        <v>24</v>
      </c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</row>
    <row r="422" ht="15.75" hidden="1" customHeight="1">
      <c r="A422" s="217" t="s">
        <v>18</v>
      </c>
      <c r="B422" s="217" t="s">
        <v>310</v>
      </c>
      <c r="C422" s="217" t="s">
        <v>20</v>
      </c>
      <c r="D422" s="217" t="s">
        <v>21</v>
      </c>
      <c r="E422" s="217" t="s">
        <v>41</v>
      </c>
      <c r="F422" s="217" t="s">
        <v>311</v>
      </c>
      <c r="G422" s="218">
        <f>4776.24+nom_interna!L62</f>
        <v>14227.44</v>
      </c>
      <c r="H422" s="217" t="s">
        <v>25</v>
      </c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</row>
    <row r="423" ht="15.75" hidden="1" customHeight="1">
      <c r="A423" s="217" t="s">
        <v>18</v>
      </c>
      <c r="B423" s="217" t="s">
        <v>310</v>
      </c>
      <c r="C423" s="217" t="s">
        <v>20</v>
      </c>
      <c r="D423" s="217" t="s">
        <v>21</v>
      </c>
      <c r="E423" s="217" t="s">
        <v>41</v>
      </c>
      <c r="F423" s="217" t="s">
        <v>311</v>
      </c>
      <c r="G423" s="217">
        <v>17823.580152</v>
      </c>
      <c r="H423" s="217" t="s">
        <v>26</v>
      </c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</row>
    <row r="424" ht="15.75" hidden="1" customHeight="1">
      <c r="A424" s="217" t="s">
        <v>18</v>
      </c>
      <c r="B424" s="217" t="s">
        <v>310</v>
      </c>
      <c r="C424" s="217" t="s">
        <v>20</v>
      </c>
      <c r="D424" s="217" t="s">
        <v>21</v>
      </c>
      <c r="E424" s="217" t="s">
        <v>41</v>
      </c>
      <c r="F424" s="217" t="s">
        <v>311</v>
      </c>
      <c r="G424" s="220">
        <f>4776.24+nom_interna!L114</f>
        <v>14227.44</v>
      </c>
      <c r="H424" s="219" t="s">
        <v>27</v>
      </c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</row>
    <row r="425" ht="15.75" hidden="1" customHeight="1">
      <c r="A425" s="217" t="s">
        <v>18</v>
      </c>
      <c r="B425" s="217" t="s">
        <v>312</v>
      </c>
      <c r="C425" s="217" t="s">
        <v>31</v>
      </c>
      <c r="D425" s="217" t="s">
        <v>98</v>
      </c>
      <c r="E425" s="216"/>
      <c r="F425" s="217" t="s">
        <v>313</v>
      </c>
      <c r="G425" s="217">
        <v>21120.15378</v>
      </c>
      <c r="H425" s="217" t="s">
        <v>26</v>
      </c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</row>
    <row r="426" ht="15.75" hidden="1" customHeight="1">
      <c r="A426" s="217" t="s">
        <v>18</v>
      </c>
      <c r="B426" s="217" t="s">
        <v>312</v>
      </c>
      <c r="C426" s="217" t="s">
        <v>31</v>
      </c>
      <c r="D426" s="217" t="s">
        <v>98</v>
      </c>
      <c r="E426" s="216"/>
      <c r="F426" s="217" t="s">
        <v>313</v>
      </c>
      <c r="G426" s="217">
        <v>21517.17472</v>
      </c>
      <c r="H426" s="217" t="s">
        <v>24</v>
      </c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</row>
    <row r="427" ht="15.75" hidden="1" customHeight="1">
      <c r="A427" s="217" t="s">
        <v>18</v>
      </c>
      <c r="B427" s="217" t="s">
        <v>312</v>
      </c>
      <c r="C427" s="217" t="s">
        <v>31</v>
      </c>
      <c r="D427" s="217" t="s">
        <v>98</v>
      </c>
      <c r="E427" s="216"/>
      <c r="F427" s="217" t="s">
        <v>313</v>
      </c>
      <c r="G427" s="217">
        <v>21243.28296</v>
      </c>
      <c r="H427" s="217" t="s">
        <v>25</v>
      </c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</row>
    <row r="428" ht="15.75" hidden="1" customHeight="1">
      <c r="A428" s="217" t="s">
        <v>18</v>
      </c>
      <c r="B428" s="217" t="s">
        <v>314</v>
      </c>
      <c r="C428" s="217" t="s">
        <v>31</v>
      </c>
      <c r="D428" s="217" t="s">
        <v>187</v>
      </c>
      <c r="E428" s="217" t="s">
        <v>22</v>
      </c>
      <c r="F428" s="217" t="s">
        <v>315</v>
      </c>
      <c r="G428" s="217">
        <v>13045.633175</v>
      </c>
      <c r="H428" s="217" t="s">
        <v>26</v>
      </c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</row>
    <row r="429" ht="15.75" hidden="1" customHeight="1">
      <c r="A429" s="217" t="s">
        <v>18</v>
      </c>
      <c r="B429" s="217" t="s">
        <v>314</v>
      </c>
      <c r="C429" s="217" t="s">
        <v>31</v>
      </c>
      <c r="D429" s="217" t="s">
        <v>187</v>
      </c>
      <c r="E429" s="217" t="s">
        <v>22</v>
      </c>
      <c r="F429" s="217" t="s">
        <v>315</v>
      </c>
      <c r="G429" s="217">
        <v>13291.944052</v>
      </c>
      <c r="H429" s="217" t="s">
        <v>24</v>
      </c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</row>
    <row r="430" ht="15.75" hidden="1" customHeight="1">
      <c r="A430" s="217" t="s">
        <v>18</v>
      </c>
      <c r="B430" s="217" t="s">
        <v>314</v>
      </c>
      <c r="C430" s="217" t="s">
        <v>31</v>
      </c>
      <c r="D430" s="217" t="s">
        <v>187</v>
      </c>
      <c r="E430" s="217" t="s">
        <v>22</v>
      </c>
      <c r="F430" s="217" t="s">
        <v>315</v>
      </c>
      <c r="G430" s="217">
        <v>14658.132292</v>
      </c>
      <c r="H430" s="217" t="s">
        <v>25</v>
      </c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</row>
    <row r="431" ht="15.75" hidden="1" customHeight="1">
      <c r="A431" s="217" t="s">
        <v>18</v>
      </c>
      <c r="B431" s="217" t="s">
        <v>316</v>
      </c>
      <c r="C431" s="217" t="s">
        <v>20</v>
      </c>
      <c r="D431" s="217" t="s">
        <v>54</v>
      </c>
      <c r="E431" s="216"/>
      <c r="F431" s="217" t="s">
        <v>317</v>
      </c>
      <c r="G431" s="217">
        <v>16518.122589</v>
      </c>
      <c r="H431" s="217" t="s">
        <v>25</v>
      </c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</row>
    <row r="432" ht="15.75" hidden="1" customHeight="1">
      <c r="A432" s="217" t="s">
        <v>18</v>
      </c>
      <c r="B432" s="217" t="s">
        <v>316</v>
      </c>
      <c r="C432" s="217" t="s">
        <v>20</v>
      </c>
      <c r="D432" s="217" t="s">
        <v>54</v>
      </c>
      <c r="E432" s="216"/>
      <c r="F432" s="217" t="s">
        <v>317</v>
      </c>
      <c r="G432" s="217">
        <v>16300.94857</v>
      </c>
      <c r="H432" s="217" t="s">
        <v>26</v>
      </c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</row>
    <row r="433" ht="15.75" hidden="1" customHeight="1">
      <c r="A433" s="217" t="s">
        <v>18</v>
      </c>
      <c r="B433" s="217" t="s">
        <v>316</v>
      </c>
      <c r="C433" s="217" t="s">
        <v>20</v>
      </c>
      <c r="D433" s="217" t="s">
        <v>54</v>
      </c>
      <c r="E433" s="216"/>
      <c r="F433" s="217" t="s">
        <v>317</v>
      </c>
      <c r="G433" s="217">
        <v>16598.800683</v>
      </c>
      <c r="H433" s="217" t="s">
        <v>24</v>
      </c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</row>
    <row r="434" ht="15.75" hidden="1" customHeight="1">
      <c r="A434" s="217" t="s">
        <v>18</v>
      </c>
      <c r="B434" s="217" t="s">
        <v>318</v>
      </c>
      <c r="C434" s="217" t="s">
        <v>31</v>
      </c>
      <c r="D434" s="217" t="s">
        <v>113</v>
      </c>
      <c r="E434" s="216"/>
      <c r="F434" s="217" t="s">
        <v>319</v>
      </c>
      <c r="G434" s="217">
        <v>66396.25229</v>
      </c>
      <c r="H434" s="217" t="s">
        <v>25</v>
      </c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</row>
    <row r="435" ht="15.75" hidden="1" customHeight="1">
      <c r="A435" s="217" t="s">
        <v>18</v>
      </c>
      <c r="B435" s="217" t="s">
        <v>320</v>
      </c>
      <c r="C435" s="217" t="s">
        <v>31</v>
      </c>
      <c r="D435" s="217" t="s">
        <v>113</v>
      </c>
      <c r="E435" s="216"/>
      <c r="F435" s="217" t="s">
        <v>319</v>
      </c>
      <c r="G435" s="217">
        <v>68390.14405</v>
      </c>
      <c r="H435" s="217" t="s">
        <v>24</v>
      </c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</row>
    <row r="436" ht="15.75" hidden="1" customHeight="1">
      <c r="A436" s="217" t="s">
        <v>18</v>
      </c>
      <c r="B436" s="217" t="s">
        <v>320</v>
      </c>
      <c r="C436" s="217" t="s">
        <v>31</v>
      </c>
      <c r="D436" s="217" t="s">
        <v>113</v>
      </c>
      <c r="E436" s="216"/>
      <c r="F436" s="217" t="s">
        <v>319</v>
      </c>
      <c r="G436" s="217">
        <v>67132.85317</v>
      </c>
      <c r="H436" s="217" t="s">
        <v>26</v>
      </c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</row>
    <row r="437" ht="15.75" hidden="1" customHeight="1">
      <c r="A437" s="217" t="s">
        <v>18</v>
      </c>
      <c r="B437" s="217" t="s">
        <v>321</v>
      </c>
      <c r="C437" s="217" t="s">
        <v>20</v>
      </c>
      <c r="D437" s="217" t="s">
        <v>21</v>
      </c>
      <c r="E437" s="217" t="s">
        <v>44</v>
      </c>
      <c r="F437" s="217" t="s">
        <v>322</v>
      </c>
      <c r="G437" s="217">
        <v>12011.248991</v>
      </c>
      <c r="H437" s="217" t="s">
        <v>25</v>
      </c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</row>
    <row r="438" ht="15.75" hidden="1" customHeight="1">
      <c r="A438" s="217" t="s">
        <v>18</v>
      </c>
      <c r="B438" s="217" t="s">
        <v>323</v>
      </c>
      <c r="C438" s="217" t="s">
        <v>20</v>
      </c>
      <c r="D438" s="217" t="s">
        <v>21</v>
      </c>
      <c r="E438" s="217" t="s">
        <v>44</v>
      </c>
      <c r="F438" s="217" t="s">
        <v>324</v>
      </c>
      <c r="G438" s="217">
        <v>18118.442615</v>
      </c>
      <c r="H438" s="217" t="s">
        <v>25</v>
      </c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</row>
    <row r="439" ht="15.75" hidden="1" customHeight="1">
      <c r="A439" s="217" t="s">
        <v>18</v>
      </c>
      <c r="B439" s="217" t="s">
        <v>323</v>
      </c>
      <c r="C439" s="217" t="s">
        <v>20</v>
      </c>
      <c r="D439" s="217" t="s">
        <v>21</v>
      </c>
      <c r="E439" s="217" t="s">
        <v>44</v>
      </c>
      <c r="F439" s="217" t="s">
        <v>324</v>
      </c>
      <c r="G439" s="217">
        <v>17836.51173</v>
      </c>
      <c r="H439" s="217" t="s">
        <v>26</v>
      </c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</row>
    <row r="440" ht="15.75" hidden="1" customHeight="1">
      <c r="A440" s="217" t="s">
        <v>18</v>
      </c>
      <c r="B440" s="217" t="s">
        <v>323</v>
      </c>
      <c r="C440" s="217" t="s">
        <v>20</v>
      </c>
      <c r="D440" s="217" t="s">
        <v>21</v>
      </c>
      <c r="E440" s="217" t="s">
        <v>44</v>
      </c>
      <c r="F440" s="217" t="s">
        <v>324</v>
      </c>
      <c r="G440" s="217">
        <v>17789.606693</v>
      </c>
      <c r="H440" s="217" t="s">
        <v>24</v>
      </c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</row>
    <row r="441" ht="15.75" hidden="1" customHeight="1">
      <c r="A441" s="217" t="s">
        <v>18</v>
      </c>
      <c r="B441" s="217" t="s">
        <v>325</v>
      </c>
      <c r="C441" s="217" t="s">
        <v>20</v>
      </c>
      <c r="D441" s="217" t="s">
        <v>21</v>
      </c>
      <c r="E441" s="217" t="s">
        <v>44</v>
      </c>
      <c r="F441" s="217" t="s">
        <v>326</v>
      </c>
      <c r="G441" s="217">
        <v>3184.9965</v>
      </c>
      <c r="H441" s="217" t="s">
        <v>25</v>
      </c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</row>
    <row r="442" ht="15.75" hidden="1" customHeight="1">
      <c r="A442" s="217" t="s">
        <v>18</v>
      </c>
      <c r="B442" s="217" t="s">
        <v>327</v>
      </c>
      <c r="C442" s="217" t="s">
        <v>20</v>
      </c>
      <c r="D442" s="217" t="s">
        <v>21</v>
      </c>
      <c r="E442" s="217" t="s">
        <v>44</v>
      </c>
      <c r="F442" s="217" t="s">
        <v>328</v>
      </c>
      <c r="G442" s="218">
        <f>11377.410583+nom_interna!I83</f>
        <v>16103.01058</v>
      </c>
      <c r="H442" s="217" t="s">
        <v>25</v>
      </c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</row>
    <row r="443" ht="15.75" hidden="1" customHeight="1">
      <c r="A443" s="217" t="s">
        <v>18</v>
      </c>
      <c r="B443" s="217" t="s">
        <v>327</v>
      </c>
      <c r="C443" s="217" t="s">
        <v>20</v>
      </c>
      <c r="D443" s="217" t="s">
        <v>21</v>
      </c>
      <c r="E443" s="217" t="s">
        <v>44</v>
      </c>
      <c r="F443" s="217" t="s">
        <v>328</v>
      </c>
      <c r="G443" s="217">
        <v>17823.580152</v>
      </c>
      <c r="H443" s="217" t="s">
        <v>26</v>
      </c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</row>
    <row r="444" ht="15.75" hidden="1" customHeight="1">
      <c r="A444" s="217" t="s">
        <v>18</v>
      </c>
      <c r="B444" s="217" t="s">
        <v>327</v>
      </c>
      <c r="C444" s="217" t="s">
        <v>20</v>
      </c>
      <c r="D444" s="217" t="s">
        <v>21</v>
      </c>
      <c r="E444" s="217" t="s">
        <v>44</v>
      </c>
      <c r="F444" s="217" t="s">
        <v>328</v>
      </c>
      <c r="G444" s="217">
        <v>18141.678181</v>
      </c>
      <c r="H444" s="217" t="s">
        <v>24</v>
      </c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</row>
    <row r="445" ht="15.75" hidden="1" customHeight="1">
      <c r="A445" s="217" t="s">
        <v>18</v>
      </c>
      <c r="B445" s="217" t="s">
        <v>327</v>
      </c>
      <c r="C445" s="217" t="s">
        <v>20</v>
      </c>
      <c r="D445" s="217" t="s">
        <v>21</v>
      </c>
      <c r="E445" s="217" t="s">
        <v>44</v>
      </c>
      <c r="F445" s="217" t="s">
        <v>328</v>
      </c>
      <c r="G445" s="218">
        <f>4776.24+nom_interna!L137</f>
        <v>14227.44</v>
      </c>
      <c r="H445" s="219" t="s">
        <v>27</v>
      </c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</row>
    <row r="446" ht="15.75" hidden="1" customHeight="1">
      <c r="A446" s="217" t="s">
        <v>18</v>
      </c>
      <c r="B446" s="217" t="s">
        <v>329</v>
      </c>
      <c r="C446" s="217" t="s">
        <v>20</v>
      </c>
      <c r="D446" s="217" t="s">
        <v>21</v>
      </c>
      <c r="E446" s="217" t="s">
        <v>41</v>
      </c>
      <c r="F446" s="217" t="s">
        <v>330</v>
      </c>
      <c r="G446" s="218">
        <f>14842.14224+nom_interna!I78</f>
        <v>19567.74224</v>
      </c>
      <c r="H446" s="217" t="s">
        <v>25</v>
      </c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</row>
    <row r="447" ht="15.75" hidden="1" customHeight="1">
      <c r="A447" s="217" t="s">
        <v>18</v>
      </c>
      <c r="B447" s="217" t="s">
        <v>329</v>
      </c>
      <c r="C447" s="217" t="s">
        <v>20</v>
      </c>
      <c r="D447" s="217" t="s">
        <v>21</v>
      </c>
      <c r="E447" s="217" t="s">
        <v>41</v>
      </c>
      <c r="F447" s="217" t="s">
        <v>330</v>
      </c>
      <c r="G447" s="218">
        <f>8976.24+nom_interna!L132</f>
        <v>13768.16</v>
      </c>
      <c r="H447" s="219" t="s">
        <v>27</v>
      </c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</row>
    <row r="448" ht="15.75" hidden="1" customHeight="1">
      <c r="A448" s="217" t="s">
        <v>18</v>
      </c>
      <c r="B448" s="217" t="s">
        <v>331</v>
      </c>
      <c r="C448" s="217" t="s">
        <v>20</v>
      </c>
      <c r="D448" s="217" t="s">
        <v>21</v>
      </c>
      <c r="E448" s="217" t="s">
        <v>22</v>
      </c>
      <c r="F448" s="217" t="s">
        <v>332</v>
      </c>
      <c r="G448" s="217">
        <v>7350.0</v>
      </c>
      <c r="H448" s="217" t="s">
        <v>24</v>
      </c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</row>
    <row r="449" ht="15.75" hidden="1" customHeight="1">
      <c r="A449" s="217" t="s">
        <v>18</v>
      </c>
      <c r="B449" s="217" t="s">
        <v>331</v>
      </c>
      <c r="C449" s="217" t="s">
        <v>20</v>
      </c>
      <c r="D449" s="217" t="s">
        <v>21</v>
      </c>
      <c r="E449" s="217" t="s">
        <v>22</v>
      </c>
      <c r="F449" s="217" t="s">
        <v>332</v>
      </c>
      <c r="G449" s="217">
        <v>3675.0</v>
      </c>
      <c r="H449" s="217" t="s">
        <v>26</v>
      </c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</row>
    <row r="450" ht="15.75" hidden="1" customHeight="1">
      <c r="A450" s="217" t="s">
        <v>18</v>
      </c>
      <c r="B450" s="217" t="s">
        <v>333</v>
      </c>
      <c r="C450" s="217" t="s">
        <v>20</v>
      </c>
      <c r="D450" s="217" t="s">
        <v>21</v>
      </c>
      <c r="E450" s="217" t="s">
        <v>44</v>
      </c>
      <c r="F450" s="217" t="s">
        <v>334</v>
      </c>
      <c r="G450" s="218">
        <f>8976.24+nom_interna!L65</f>
        <v>18427.44</v>
      </c>
      <c r="H450" s="217" t="s">
        <v>25</v>
      </c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</row>
    <row r="451" ht="15.75" hidden="1" customHeight="1">
      <c r="A451" s="217" t="s">
        <v>18</v>
      </c>
      <c r="B451" s="217" t="s">
        <v>333</v>
      </c>
      <c r="C451" s="217" t="s">
        <v>20</v>
      </c>
      <c r="D451" s="217" t="s">
        <v>21</v>
      </c>
      <c r="E451" s="217" t="s">
        <v>44</v>
      </c>
      <c r="F451" s="217" t="s">
        <v>334</v>
      </c>
      <c r="G451" s="217">
        <v>22103.58015</v>
      </c>
      <c r="H451" s="217" t="s">
        <v>26</v>
      </c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</row>
    <row r="452" ht="15.75" hidden="1" customHeight="1">
      <c r="A452" s="217" t="s">
        <v>18</v>
      </c>
      <c r="B452" s="217" t="s">
        <v>333</v>
      </c>
      <c r="C452" s="217" t="s">
        <v>20</v>
      </c>
      <c r="D452" s="217" t="s">
        <v>21</v>
      </c>
      <c r="E452" s="217" t="s">
        <v>44</v>
      </c>
      <c r="F452" s="217" t="s">
        <v>334</v>
      </c>
      <c r="G452" s="217">
        <v>8223.170779</v>
      </c>
      <c r="H452" s="217" t="s">
        <v>24</v>
      </c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</row>
    <row r="453" ht="15.75" hidden="1" customHeight="1">
      <c r="A453" s="217" t="s">
        <v>18</v>
      </c>
      <c r="B453" s="217" t="s">
        <v>333</v>
      </c>
      <c r="C453" s="217" t="s">
        <v>20</v>
      </c>
      <c r="D453" s="217" t="s">
        <v>21</v>
      </c>
      <c r="E453" s="217" t="s">
        <v>44</v>
      </c>
      <c r="F453" s="217" t="s">
        <v>334</v>
      </c>
      <c r="G453" s="218">
        <f>8976.24+nom_interna!L65</f>
        <v>18427.44</v>
      </c>
      <c r="H453" s="219" t="s">
        <v>27</v>
      </c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</row>
    <row r="454" ht="15.75" hidden="1" customHeight="1">
      <c r="A454" s="217" t="s">
        <v>18</v>
      </c>
      <c r="B454" s="217" t="s">
        <v>335</v>
      </c>
      <c r="C454" s="217" t="s">
        <v>20</v>
      </c>
      <c r="D454" s="217" t="s">
        <v>21</v>
      </c>
      <c r="E454" s="217" t="s">
        <v>22</v>
      </c>
      <c r="F454" s="217" t="s">
        <v>336</v>
      </c>
      <c r="G454" s="217">
        <v>14597.59959</v>
      </c>
      <c r="H454" s="217" t="s">
        <v>26</v>
      </c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</row>
    <row r="455" ht="15.75" hidden="1" customHeight="1">
      <c r="A455" s="217" t="s">
        <v>18</v>
      </c>
      <c r="B455" s="217" t="s">
        <v>335</v>
      </c>
      <c r="C455" s="217" t="s">
        <v>20</v>
      </c>
      <c r="D455" s="217" t="s">
        <v>21</v>
      </c>
      <c r="E455" s="217" t="s">
        <v>22</v>
      </c>
      <c r="F455" s="217" t="s">
        <v>336</v>
      </c>
      <c r="G455" s="217">
        <v>15931.39405</v>
      </c>
      <c r="H455" s="217" t="s">
        <v>24</v>
      </c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</row>
    <row r="456" ht="15.75" hidden="1" customHeight="1">
      <c r="A456" s="217" t="s">
        <v>18</v>
      </c>
      <c r="B456" s="217" t="s">
        <v>335</v>
      </c>
      <c r="C456" s="217" t="s">
        <v>20</v>
      </c>
      <c r="D456" s="217" t="s">
        <v>21</v>
      </c>
      <c r="E456" s="217" t="s">
        <v>22</v>
      </c>
      <c r="F456" s="217" t="s">
        <v>336</v>
      </c>
      <c r="G456" s="217">
        <v>11622.781714</v>
      </c>
      <c r="H456" s="217" t="s">
        <v>25</v>
      </c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</row>
    <row r="457" ht="15.75" hidden="1" customHeight="1">
      <c r="A457" s="217" t="s">
        <v>18</v>
      </c>
      <c r="B457" s="217" t="s">
        <v>337</v>
      </c>
      <c r="C457" s="217" t="s">
        <v>20</v>
      </c>
      <c r="D457" s="217" t="s">
        <v>21</v>
      </c>
      <c r="E457" s="217" t="s">
        <v>44</v>
      </c>
      <c r="F457" s="217" t="s">
        <v>338</v>
      </c>
      <c r="G457" s="218">
        <f>18426.24+nom_interna!C54+nom_interna!I52</f>
        <v>28370.03</v>
      </c>
      <c r="H457" s="217" t="s">
        <v>25</v>
      </c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</row>
    <row r="458" ht="15.75" hidden="1" customHeight="1">
      <c r="A458" s="217" t="s">
        <v>18</v>
      </c>
      <c r="B458" s="217" t="s">
        <v>337</v>
      </c>
      <c r="C458" s="217" t="s">
        <v>20</v>
      </c>
      <c r="D458" s="217" t="s">
        <v>21</v>
      </c>
      <c r="E458" s="217" t="s">
        <v>44</v>
      </c>
      <c r="F458" s="217" t="s">
        <v>338</v>
      </c>
      <c r="G458" s="218">
        <f>28234.21921+nom_interna!I29</f>
        <v>29809.41921</v>
      </c>
      <c r="H458" s="217" t="s">
        <v>26</v>
      </c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</row>
    <row r="459" ht="15.75" hidden="1" customHeight="1">
      <c r="A459" s="217" t="s">
        <v>18</v>
      </c>
      <c r="B459" s="217" t="s">
        <v>337</v>
      </c>
      <c r="C459" s="217" t="s">
        <v>20</v>
      </c>
      <c r="D459" s="217" t="s">
        <v>21</v>
      </c>
      <c r="E459" s="217" t="s">
        <v>44</v>
      </c>
      <c r="F459" s="217" t="s">
        <v>338</v>
      </c>
      <c r="G459" s="217">
        <f>22339.29715</f>
        <v>22339.29715</v>
      </c>
      <c r="H459" s="217" t="s">
        <v>24</v>
      </c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</row>
    <row r="460" ht="15.75" hidden="1" customHeight="1">
      <c r="A460" s="217" t="s">
        <v>18</v>
      </c>
      <c r="B460" s="217" t="s">
        <v>337</v>
      </c>
      <c r="C460" s="217" t="s">
        <v>20</v>
      </c>
      <c r="D460" s="217" t="s">
        <v>21</v>
      </c>
      <c r="E460" s="217" t="s">
        <v>44</v>
      </c>
      <c r="F460" s="217" t="s">
        <v>338</v>
      </c>
      <c r="G460" s="218">
        <f>18426.24+nom_interna!C106+nom_interna!I106</f>
        <v>27877.44</v>
      </c>
      <c r="H460" s="219" t="s">
        <v>27</v>
      </c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</row>
    <row r="461" ht="15.75" hidden="1" customHeight="1">
      <c r="A461" s="217" t="s">
        <v>18</v>
      </c>
      <c r="B461" s="217" t="s">
        <v>339</v>
      </c>
      <c r="C461" s="217" t="s">
        <v>20</v>
      </c>
      <c r="D461" s="217" t="s">
        <v>21</v>
      </c>
      <c r="E461" s="217" t="s">
        <v>61</v>
      </c>
      <c r="F461" s="217" t="s">
        <v>340</v>
      </c>
      <c r="G461" s="217">
        <v>14563.097092</v>
      </c>
      <c r="H461" s="217" t="s">
        <v>26</v>
      </c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</row>
    <row r="462" ht="15.75" hidden="1" customHeight="1">
      <c r="A462" s="217" t="s">
        <v>18</v>
      </c>
      <c r="B462" s="217" t="s">
        <v>339</v>
      </c>
      <c r="C462" s="217" t="s">
        <v>20</v>
      </c>
      <c r="D462" s="217" t="s">
        <v>21</v>
      </c>
      <c r="E462" s="217" t="s">
        <v>61</v>
      </c>
      <c r="F462" s="217" t="s">
        <v>340</v>
      </c>
      <c r="G462" s="218">
        <f>1626.24+nom_interna!L77</f>
        <v>8242.08</v>
      </c>
      <c r="H462" s="217" t="s">
        <v>25</v>
      </c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</row>
    <row r="463" ht="15.75" hidden="1" customHeight="1">
      <c r="A463" s="217" t="s">
        <v>18</v>
      </c>
      <c r="B463" s="217" t="s">
        <v>339</v>
      </c>
      <c r="C463" s="217" t="s">
        <v>20</v>
      </c>
      <c r="D463" s="217" t="s">
        <v>21</v>
      </c>
      <c r="E463" s="217" t="s">
        <v>61</v>
      </c>
      <c r="F463" s="217" t="s">
        <v>340</v>
      </c>
      <c r="G463" s="217">
        <v>8845.99814</v>
      </c>
      <c r="H463" s="217" t="s">
        <v>24</v>
      </c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</row>
    <row r="464" ht="15.75" hidden="1" customHeight="1">
      <c r="A464" s="217" t="s">
        <v>18</v>
      </c>
      <c r="B464" s="217" t="s">
        <v>339</v>
      </c>
      <c r="C464" s="217" t="s">
        <v>20</v>
      </c>
      <c r="D464" s="217" t="s">
        <v>21</v>
      </c>
      <c r="E464" s="217" t="s">
        <v>61</v>
      </c>
      <c r="F464" s="217" t="s">
        <v>340</v>
      </c>
      <c r="G464" s="218">
        <f>1626.24+nom_interna!L129</f>
        <v>11077.44</v>
      </c>
      <c r="H464" s="219" t="s">
        <v>27</v>
      </c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</row>
    <row r="465" ht="15.75" hidden="1" customHeight="1">
      <c r="A465" s="217" t="s">
        <v>18</v>
      </c>
      <c r="B465" s="217" t="s">
        <v>341</v>
      </c>
      <c r="C465" s="217" t="s">
        <v>20</v>
      </c>
      <c r="D465" s="217" t="s">
        <v>21</v>
      </c>
      <c r="E465" s="217" t="s">
        <v>22</v>
      </c>
      <c r="F465" s="217" t="s">
        <v>342</v>
      </c>
      <c r="G465" s="217">
        <f>17052.48746+1575.2</f>
        <v>18627.68746</v>
      </c>
      <c r="H465" s="217" t="s">
        <v>26</v>
      </c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</row>
    <row r="466" ht="15.75" hidden="1" customHeight="1">
      <c r="A466" s="217" t="s">
        <v>18</v>
      </c>
      <c r="B466" s="217" t="s">
        <v>341</v>
      </c>
      <c r="C466" s="217" t="s">
        <v>20</v>
      </c>
      <c r="D466" s="217" t="s">
        <v>21</v>
      </c>
      <c r="E466" s="217" t="s">
        <v>22</v>
      </c>
      <c r="F466" s="217" t="s">
        <v>342</v>
      </c>
      <c r="G466" s="218">
        <f>6876.24+nom_interna!C58+nom_interna!I56</f>
        <v>16820.03</v>
      </c>
      <c r="H466" s="217" t="s">
        <v>25</v>
      </c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</row>
    <row r="467" ht="15.75" hidden="1" customHeight="1">
      <c r="A467" s="217" t="s">
        <v>18</v>
      </c>
      <c r="B467" s="217" t="s">
        <v>341</v>
      </c>
      <c r="C467" s="217" t="s">
        <v>20</v>
      </c>
      <c r="D467" s="217" t="s">
        <v>21</v>
      </c>
      <c r="E467" s="217" t="s">
        <v>22</v>
      </c>
      <c r="F467" s="217" t="s">
        <v>342</v>
      </c>
      <c r="G467" s="218">
        <f>6876.24+nom_interna!C110+nom_interna!I110</f>
        <v>16327.44</v>
      </c>
      <c r="H467" s="219" t="s">
        <v>27</v>
      </c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</row>
    <row r="468" ht="15.75" hidden="1" customHeight="1">
      <c r="A468" s="217" t="s">
        <v>18</v>
      </c>
      <c r="B468" s="217" t="s">
        <v>341</v>
      </c>
      <c r="C468" s="217" t="s">
        <v>20</v>
      </c>
      <c r="D468" s="217" t="s">
        <v>21</v>
      </c>
      <c r="E468" s="217" t="s">
        <v>22</v>
      </c>
      <c r="F468" s="217" t="s">
        <v>342</v>
      </c>
      <c r="G468" s="217">
        <v>20291.39405</v>
      </c>
      <c r="H468" s="217" t="s">
        <v>24</v>
      </c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</row>
    <row r="469" ht="15.75" hidden="1" customHeight="1">
      <c r="A469" s="217" t="s">
        <v>18</v>
      </c>
      <c r="B469" s="217" t="s">
        <v>343</v>
      </c>
      <c r="C469" s="219" t="s">
        <v>20</v>
      </c>
      <c r="D469" s="217" t="s">
        <v>21</v>
      </c>
      <c r="E469" s="217" t="s">
        <v>44</v>
      </c>
      <c r="F469" s="217" t="s">
        <v>344</v>
      </c>
      <c r="G469" s="217">
        <v>33868.44261</v>
      </c>
      <c r="H469" s="217" t="s">
        <v>25</v>
      </c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</row>
    <row r="470" ht="15.75" hidden="1" customHeight="1">
      <c r="A470" s="217" t="s">
        <v>18</v>
      </c>
      <c r="B470" s="217" t="s">
        <v>343</v>
      </c>
      <c r="C470" s="219" t="s">
        <v>20</v>
      </c>
      <c r="D470" s="217" t="s">
        <v>21</v>
      </c>
      <c r="E470" s="217" t="s">
        <v>44</v>
      </c>
      <c r="F470" s="217" t="s">
        <v>344</v>
      </c>
      <c r="G470" s="217">
        <v>32935.3767</v>
      </c>
      <c r="H470" s="217" t="s">
        <v>24</v>
      </c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</row>
    <row r="471" ht="15.75" hidden="1" customHeight="1">
      <c r="A471" s="217" t="s">
        <v>18</v>
      </c>
      <c r="B471" s="217" t="s">
        <v>343</v>
      </c>
      <c r="C471" s="219" t="s">
        <v>20</v>
      </c>
      <c r="D471" s="217" t="s">
        <v>21</v>
      </c>
      <c r="E471" s="217" t="s">
        <v>44</v>
      </c>
      <c r="F471" s="217" t="s">
        <v>344</v>
      </c>
      <c r="G471" s="217">
        <v>33886.51173</v>
      </c>
      <c r="H471" s="217" t="s">
        <v>26</v>
      </c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</row>
    <row r="472" ht="15.75" hidden="1" customHeight="1">
      <c r="A472" s="217" t="s">
        <v>18</v>
      </c>
      <c r="B472" s="217" t="s">
        <v>345</v>
      </c>
      <c r="C472" s="217" t="s">
        <v>20</v>
      </c>
      <c r="D472" s="217" t="s">
        <v>21</v>
      </c>
      <c r="E472" s="217" t="s">
        <v>35</v>
      </c>
      <c r="F472" s="217" t="s">
        <v>346</v>
      </c>
      <c r="G472" s="217">
        <v>21568.41622</v>
      </c>
      <c r="H472" s="217" t="s">
        <v>25</v>
      </c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</row>
    <row r="473" hidden="1">
      <c r="A473" s="217" t="s">
        <v>18</v>
      </c>
      <c r="B473" s="217" t="s">
        <v>347</v>
      </c>
      <c r="C473" s="217" t="s">
        <v>20</v>
      </c>
      <c r="D473" s="217" t="s">
        <v>21</v>
      </c>
      <c r="E473" s="217" t="s">
        <v>22</v>
      </c>
      <c r="F473" s="217" t="s">
        <v>348</v>
      </c>
      <c r="G473" s="217">
        <v>13042.93378</v>
      </c>
      <c r="H473" s="217" t="s">
        <v>26</v>
      </c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</row>
    <row r="474" hidden="1">
      <c r="A474" s="217" t="s">
        <v>18</v>
      </c>
      <c r="B474" s="217" t="s">
        <v>347</v>
      </c>
      <c r="C474" s="217" t="s">
        <v>20</v>
      </c>
      <c r="D474" s="217" t="s">
        <v>21</v>
      </c>
      <c r="E474" s="217" t="s">
        <v>22</v>
      </c>
      <c r="F474" s="217" t="s">
        <v>348</v>
      </c>
      <c r="G474" s="217">
        <v>13288.974718</v>
      </c>
      <c r="H474" s="217" t="s">
        <v>24</v>
      </c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</row>
    <row r="475" ht="15.75" hidden="1" customHeight="1">
      <c r="A475" s="217" t="s">
        <v>18</v>
      </c>
      <c r="B475" s="217" t="s">
        <v>347</v>
      </c>
      <c r="C475" s="217" t="s">
        <v>20</v>
      </c>
      <c r="D475" s="217" t="s">
        <v>21</v>
      </c>
      <c r="E475" s="217" t="s">
        <v>22</v>
      </c>
      <c r="F475" s="217" t="s">
        <v>348</v>
      </c>
      <c r="G475" s="218">
        <f>2676.24+nom_interna!L128</f>
        <v>12127.44</v>
      </c>
      <c r="H475" s="219" t="s">
        <v>27</v>
      </c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</row>
    <row r="476" ht="15.75" hidden="1" customHeight="1">
      <c r="A476" s="217" t="s">
        <v>349</v>
      </c>
      <c r="B476" s="233" t="s">
        <v>350</v>
      </c>
      <c r="C476" s="233" t="s">
        <v>31</v>
      </c>
      <c r="D476" s="234" t="s">
        <v>54</v>
      </c>
      <c r="E476" s="234"/>
      <c r="F476" s="234" t="s">
        <v>350</v>
      </c>
      <c r="G476" s="235">
        <v>3087.11</v>
      </c>
      <c r="H476" s="216"/>
      <c r="I476" s="216"/>
      <c r="J476" s="216"/>
      <c r="K476" s="216"/>
      <c r="L476" s="217"/>
      <c r="M476" s="236">
        <v>46082.0</v>
      </c>
      <c r="N476" s="217"/>
      <c r="O476" s="217"/>
      <c r="P476" s="217"/>
      <c r="Q476" s="216"/>
      <c r="R476" s="216"/>
      <c r="S476" s="216"/>
      <c r="T476" s="216"/>
      <c r="U476" s="216"/>
      <c r="V476" s="216"/>
      <c r="W476" s="216"/>
      <c r="X476" s="216"/>
    </row>
    <row r="477" ht="15.75" hidden="1" customHeight="1">
      <c r="A477" s="219" t="s">
        <v>430</v>
      </c>
      <c r="B477" s="217" t="s">
        <v>429</v>
      </c>
      <c r="C477" s="219" t="s">
        <v>31</v>
      </c>
      <c r="D477" s="221" t="s">
        <v>54</v>
      </c>
      <c r="E477" s="216"/>
      <c r="F477" s="216"/>
      <c r="G477" s="219">
        <v>10169.65289</v>
      </c>
      <c r="H477" s="216"/>
      <c r="I477" s="216"/>
      <c r="J477" s="216"/>
      <c r="K477" s="216"/>
      <c r="L477" s="217">
        <v>32688.17</v>
      </c>
      <c r="M477" s="217" t="s">
        <v>359</v>
      </c>
      <c r="N477" s="217" t="s">
        <v>354</v>
      </c>
      <c r="O477" s="217">
        <v>502.0</v>
      </c>
      <c r="P477" s="217" t="s">
        <v>431</v>
      </c>
      <c r="Q477" s="216"/>
      <c r="R477" s="216"/>
      <c r="S477" s="216"/>
      <c r="T477" s="216"/>
      <c r="U477" s="216"/>
      <c r="V477" s="216"/>
      <c r="W477" s="216"/>
      <c r="X477" s="216"/>
    </row>
    <row r="478" ht="15.75" hidden="1" customHeight="1">
      <c r="A478" s="219" t="s">
        <v>349</v>
      </c>
      <c r="B478" s="219" t="s">
        <v>356</v>
      </c>
      <c r="C478" s="219" t="s">
        <v>31</v>
      </c>
      <c r="D478" s="219" t="s">
        <v>38</v>
      </c>
      <c r="E478" s="219" t="s">
        <v>356</v>
      </c>
      <c r="F478" s="219"/>
      <c r="G478" s="219">
        <v>479.7</v>
      </c>
      <c r="H478" s="219"/>
      <c r="I478" s="219"/>
      <c r="J478" s="219"/>
      <c r="K478" s="219"/>
      <c r="L478" s="219"/>
      <c r="M478" s="219">
        <v>46082.0</v>
      </c>
      <c r="N478" s="219"/>
      <c r="O478" s="219"/>
      <c r="P478" s="219"/>
      <c r="Q478" s="219"/>
      <c r="R478" s="219"/>
      <c r="S478" s="219"/>
      <c r="T478" s="216"/>
      <c r="U478" s="216"/>
      <c r="V478" s="216"/>
      <c r="W478" s="216"/>
      <c r="X478" s="216"/>
    </row>
    <row r="479" ht="15.75" hidden="1" customHeight="1">
      <c r="A479" s="217" t="s">
        <v>18</v>
      </c>
      <c r="B479" s="217" t="s">
        <v>347</v>
      </c>
      <c r="C479" s="217" t="s">
        <v>20</v>
      </c>
      <c r="D479" s="217" t="s">
        <v>21</v>
      </c>
      <c r="E479" s="217" t="s">
        <v>22</v>
      </c>
      <c r="F479" s="217" t="s">
        <v>348</v>
      </c>
      <c r="G479" s="218">
        <f>2676.24+nom_interna!L76</f>
        <v>9292.08</v>
      </c>
      <c r="H479" s="217" t="s">
        <v>25</v>
      </c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</row>
    <row r="480" ht="15.75" hidden="1" customHeight="1">
      <c r="A480" s="217" t="s">
        <v>417</v>
      </c>
      <c r="B480" s="217" t="s">
        <v>418</v>
      </c>
      <c r="C480" s="219" t="s">
        <v>370</v>
      </c>
      <c r="D480" s="216"/>
      <c r="E480" s="216"/>
      <c r="F480" s="216"/>
      <c r="G480" s="217">
        <v>13833.01</v>
      </c>
      <c r="H480" s="216"/>
      <c r="I480" s="216"/>
      <c r="J480" s="216"/>
      <c r="K480" s="216"/>
      <c r="L480" s="217">
        <v>13833.01</v>
      </c>
      <c r="M480" s="217" t="s">
        <v>359</v>
      </c>
      <c r="N480" s="217" t="s">
        <v>354</v>
      </c>
      <c r="O480" s="217">
        <v>500.0</v>
      </c>
      <c r="P480" s="217" t="s">
        <v>417</v>
      </c>
      <c r="Q480" s="216"/>
      <c r="R480" s="216"/>
      <c r="S480" s="216"/>
      <c r="T480" s="216"/>
      <c r="U480" s="216"/>
      <c r="V480" s="216"/>
      <c r="W480" s="216"/>
      <c r="X480" s="216"/>
    </row>
    <row r="481" ht="15.75" hidden="1" customHeight="1">
      <c r="A481" s="217" t="s">
        <v>426</v>
      </c>
      <c r="B481" s="217" t="s">
        <v>463</v>
      </c>
      <c r="C481" s="219" t="s">
        <v>31</v>
      </c>
      <c r="D481" s="219" t="s">
        <v>187</v>
      </c>
      <c r="E481" s="216"/>
      <c r="F481" s="216"/>
      <c r="G481" s="217">
        <v>20324.14</v>
      </c>
      <c r="H481" s="216"/>
      <c r="I481" s="216"/>
      <c r="J481" s="216"/>
      <c r="K481" s="216"/>
      <c r="L481" s="217">
        <v>20324.14</v>
      </c>
      <c r="M481" s="217" t="s">
        <v>359</v>
      </c>
      <c r="N481" s="217" t="s">
        <v>354</v>
      </c>
      <c r="O481" s="217">
        <v>288.0</v>
      </c>
      <c r="P481" s="217" t="s">
        <v>397</v>
      </c>
      <c r="Q481" s="216"/>
      <c r="R481" s="216"/>
      <c r="S481" s="216"/>
      <c r="T481" s="216"/>
      <c r="U481" s="216"/>
      <c r="V481" s="216"/>
      <c r="W481" s="216"/>
      <c r="X481" s="216"/>
    </row>
    <row r="482" ht="15.75" hidden="1" customHeight="1">
      <c r="A482" s="217" t="s">
        <v>483</v>
      </c>
      <c r="B482" s="217" t="s">
        <v>488</v>
      </c>
      <c r="C482" s="217" t="s">
        <v>31</v>
      </c>
      <c r="D482" s="216"/>
      <c r="E482" s="216"/>
      <c r="F482" s="216"/>
      <c r="G482" s="217">
        <v>86206.9</v>
      </c>
      <c r="H482" s="216"/>
      <c r="I482" s="216"/>
      <c r="J482" s="216"/>
      <c r="K482" s="216"/>
      <c r="L482" s="217">
        <v>86206.9</v>
      </c>
      <c r="M482" s="217" t="s">
        <v>359</v>
      </c>
      <c r="N482" s="217" t="s">
        <v>354</v>
      </c>
      <c r="O482" s="217">
        <v>288.0</v>
      </c>
      <c r="P482" s="217" t="s">
        <v>397</v>
      </c>
      <c r="Q482" s="216"/>
      <c r="R482" s="216"/>
      <c r="S482" s="216"/>
      <c r="T482" s="216"/>
      <c r="U482" s="216"/>
      <c r="V482" s="216"/>
      <c r="W482" s="216"/>
      <c r="X482" s="216"/>
    </row>
    <row r="483" ht="15.75" hidden="1" customHeight="1">
      <c r="A483" s="217" t="s">
        <v>516</v>
      </c>
      <c r="B483" s="217" t="s">
        <v>517</v>
      </c>
      <c r="C483" s="219" t="s">
        <v>31</v>
      </c>
      <c r="D483" s="219" t="s">
        <v>38</v>
      </c>
      <c r="E483" s="216"/>
      <c r="F483" s="216"/>
      <c r="G483" s="217">
        <v>29000.0</v>
      </c>
      <c r="H483" s="216"/>
      <c r="I483" s="216"/>
      <c r="J483" s="216"/>
      <c r="K483" s="216"/>
      <c r="L483" s="217">
        <v>29000.0</v>
      </c>
      <c r="M483" s="217" t="s">
        <v>359</v>
      </c>
      <c r="N483" s="217" t="s">
        <v>354</v>
      </c>
      <c r="O483" s="217">
        <v>288.0</v>
      </c>
      <c r="P483" s="217" t="s">
        <v>397</v>
      </c>
      <c r="Q483" s="216"/>
      <c r="R483" s="216"/>
      <c r="S483" s="216"/>
      <c r="T483" s="216"/>
      <c r="U483" s="216"/>
      <c r="V483" s="216"/>
      <c r="W483" s="216"/>
      <c r="X483" s="216"/>
    </row>
    <row r="484" ht="15.75" hidden="1" customHeight="1">
      <c r="A484" s="217" t="s">
        <v>385</v>
      </c>
      <c r="B484" s="217" t="s">
        <v>419</v>
      </c>
      <c r="C484" s="219" t="s">
        <v>31</v>
      </c>
      <c r="D484" s="216"/>
      <c r="E484" s="216"/>
      <c r="F484" s="216"/>
      <c r="G484" s="217">
        <v>5244.76</v>
      </c>
      <c r="H484" s="216"/>
      <c r="I484" s="216"/>
      <c r="J484" s="216"/>
      <c r="K484" s="216"/>
      <c r="L484" s="217">
        <v>5244.76</v>
      </c>
      <c r="M484" s="217" t="s">
        <v>359</v>
      </c>
      <c r="N484" s="217" t="s">
        <v>354</v>
      </c>
      <c r="O484" s="217">
        <v>288.0</v>
      </c>
      <c r="P484" s="217" t="s">
        <v>397</v>
      </c>
      <c r="Q484" s="216"/>
      <c r="R484" s="216"/>
      <c r="S484" s="216"/>
      <c r="T484" s="216"/>
      <c r="U484" s="216"/>
      <c r="V484" s="216"/>
      <c r="W484" s="216"/>
      <c r="X484" s="216"/>
    </row>
    <row r="485" ht="15.75" hidden="1" customHeight="1">
      <c r="A485" s="217" t="s">
        <v>395</v>
      </c>
      <c r="B485" s="217" t="s">
        <v>396</v>
      </c>
      <c r="C485" s="219" t="s">
        <v>31</v>
      </c>
      <c r="D485" s="219" t="s">
        <v>113</v>
      </c>
      <c r="E485" s="216"/>
      <c r="F485" s="216"/>
      <c r="G485" s="217">
        <v>8500.0</v>
      </c>
      <c r="H485" s="216"/>
      <c r="I485" s="216"/>
      <c r="J485" s="216"/>
      <c r="K485" s="216"/>
      <c r="L485" s="217">
        <v>8500.0</v>
      </c>
      <c r="M485" s="217" t="s">
        <v>359</v>
      </c>
      <c r="N485" s="217" t="s">
        <v>354</v>
      </c>
      <c r="O485" s="217">
        <v>288.0</v>
      </c>
      <c r="P485" s="217" t="s">
        <v>397</v>
      </c>
      <c r="Q485" s="216"/>
      <c r="R485" s="216"/>
      <c r="S485" s="216"/>
      <c r="T485" s="216"/>
      <c r="U485" s="216"/>
      <c r="V485" s="216"/>
      <c r="W485" s="216"/>
      <c r="X485" s="216"/>
    </row>
    <row r="486" ht="15.75" hidden="1" customHeight="1">
      <c r="A486" s="217" t="s">
        <v>364</v>
      </c>
      <c r="B486" s="217" t="s">
        <v>365</v>
      </c>
      <c r="C486" s="219" t="s">
        <v>370</v>
      </c>
      <c r="D486" s="216"/>
      <c r="E486" s="216"/>
      <c r="F486" s="216"/>
      <c r="G486" s="217">
        <v>4258.36</v>
      </c>
      <c r="H486" s="216"/>
      <c r="I486" s="216"/>
      <c r="J486" s="216"/>
      <c r="K486" s="216"/>
      <c r="L486" s="217">
        <v>4258.36</v>
      </c>
      <c r="M486" s="217" t="s">
        <v>359</v>
      </c>
      <c r="N486" s="217" t="s">
        <v>354</v>
      </c>
      <c r="O486" s="217">
        <v>272.0</v>
      </c>
      <c r="P486" s="217" t="s">
        <v>366</v>
      </c>
      <c r="Q486" s="216"/>
      <c r="R486" s="216"/>
      <c r="S486" s="216"/>
      <c r="T486" s="216"/>
      <c r="U486" s="216"/>
      <c r="V486" s="216"/>
      <c r="W486" s="216"/>
      <c r="X486" s="216"/>
    </row>
    <row r="487" ht="15.75" hidden="1" customHeight="1">
      <c r="A487" s="217" t="s">
        <v>483</v>
      </c>
      <c r="B487" s="217" t="s">
        <v>489</v>
      </c>
      <c r="C487" s="217" t="s">
        <v>31</v>
      </c>
      <c r="D487" s="216"/>
      <c r="E487" s="216"/>
      <c r="F487" s="216"/>
      <c r="G487" s="217">
        <v>7343.97</v>
      </c>
      <c r="H487" s="216"/>
      <c r="I487" s="216"/>
      <c r="J487" s="216"/>
      <c r="K487" s="216"/>
      <c r="L487" s="217">
        <v>7343.97</v>
      </c>
      <c r="M487" s="217" t="s">
        <v>359</v>
      </c>
      <c r="N487" s="217" t="s">
        <v>354</v>
      </c>
      <c r="O487" s="217">
        <v>272.0</v>
      </c>
      <c r="P487" s="217" t="s">
        <v>367</v>
      </c>
      <c r="Q487" s="216"/>
      <c r="R487" s="216"/>
      <c r="S487" s="216"/>
      <c r="T487" s="216"/>
      <c r="U487" s="216"/>
      <c r="V487" s="216"/>
      <c r="W487" s="216"/>
      <c r="X487" s="216"/>
    </row>
    <row r="488" ht="15.75" hidden="1" customHeight="1">
      <c r="A488" s="217" t="s">
        <v>364</v>
      </c>
      <c r="B488" s="217" t="s">
        <v>365</v>
      </c>
      <c r="C488" s="219" t="s">
        <v>370</v>
      </c>
      <c r="D488" s="216"/>
      <c r="E488" s="216"/>
      <c r="F488" s="216"/>
      <c r="G488" s="217">
        <v>15365.54</v>
      </c>
      <c r="H488" s="216"/>
      <c r="I488" s="216"/>
      <c r="J488" s="216"/>
      <c r="K488" s="216"/>
      <c r="L488" s="217">
        <v>15365.54</v>
      </c>
      <c r="M488" s="217" t="s">
        <v>359</v>
      </c>
      <c r="N488" s="217" t="s">
        <v>354</v>
      </c>
      <c r="O488" s="217">
        <v>272.0</v>
      </c>
      <c r="P488" s="217" t="s">
        <v>367</v>
      </c>
      <c r="Q488" s="216"/>
      <c r="R488" s="216"/>
      <c r="S488" s="216"/>
      <c r="T488" s="216"/>
      <c r="U488" s="216"/>
      <c r="V488" s="216"/>
      <c r="W488" s="216"/>
      <c r="X488" s="216"/>
    </row>
    <row r="489" ht="15.75" hidden="1" customHeight="1">
      <c r="A489" s="217" t="s">
        <v>364</v>
      </c>
      <c r="B489" s="217" t="s">
        <v>365</v>
      </c>
      <c r="C489" s="219" t="s">
        <v>370</v>
      </c>
      <c r="D489" s="216"/>
      <c r="E489" s="216"/>
      <c r="F489" s="216"/>
      <c r="G489" s="217">
        <v>17316.68</v>
      </c>
      <c r="H489" s="216"/>
      <c r="I489" s="216"/>
      <c r="J489" s="216"/>
      <c r="K489" s="216"/>
      <c r="L489" s="217">
        <v>17316.68</v>
      </c>
      <c r="M489" s="217" t="s">
        <v>359</v>
      </c>
      <c r="N489" s="217" t="s">
        <v>354</v>
      </c>
      <c r="O489" s="217">
        <v>272.0</v>
      </c>
      <c r="P489" s="217" t="s">
        <v>367</v>
      </c>
      <c r="Q489" s="216"/>
      <c r="R489" s="216"/>
      <c r="S489" s="216"/>
      <c r="T489" s="216"/>
      <c r="U489" s="216"/>
      <c r="V489" s="216"/>
      <c r="W489" s="216"/>
      <c r="X489" s="216"/>
    </row>
    <row r="490" ht="15.75" hidden="1" customHeight="1">
      <c r="A490" s="217" t="s">
        <v>483</v>
      </c>
      <c r="B490" s="217" t="s">
        <v>490</v>
      </c>
      <c r="C490" s="217" t="s">
        <v>31</v>
      </c>
      <c r="D490" s="216"/>
      <c r="E490" s="216"/>
      <c r="F490" s="216"/>
      <c r="G490" s="217">
        <v>8900.0</v>
      </c>
      <c r="H490" s="216"/>
      <c r="I490" s="216"/>
      <c r="J490" s="216"/>
      <c r="K490" s="216"/>
      <c r="L490" s="217">
        <v>8900.0</v>
      </c>
      <c r="M490" s="217" t="s">
        <v>359</v>
      </c>
      <c r="N490" s="217" t="s">
        <v>354</v>
      </c>
      <c r="O490" s="217">
        <v>272.0</v>
      </c>
      <c r="P490" s="217" t="s">
        <v>367</v>
      </c>
      <c r="Q490" s="216"/>
      <c r="R490" s="216"/>
      <c r="S490" s="216"/>
      <c r="T490" s="216"/>
      <c r="U490" s="216"/>
      <c r="V490" s="216"/>
      <c r="W490" s="216"/>
      <c r="X490" s="216"/>
    </row>
    <row r="491" ht="15.75" hidden="1" customHeight="1">
      <c r="A491" s="217" t="s">
        <v>483</v>
      </c>
      <c r="B491" s="217" t="s">
        <v>491</v>
      </c>
      <c r="C491" s="217" t="s">
        <v>31</v>
      </c>
      <c r="D491" s="216"/>
      <c r="E491" s="216"/>
      <c r="F491" s="216"/>
      <c r="G491" s="217">
        <v>114992.67</v>
      </c>
      <c r="H491" s="216"/>
      <c r="I491" s="216"/>
      <c r="J491" s="216"/>
      <c r="K491" s="216"/>
      <c r="L491" s="217">
        <v>114992.67</v>
      </c>
      <c r="M491" s="217" t="s">
        <v>359</v>
      </c>
      <c r="N491" s="217" t="s">
        <v>354</v>
      </c>
      <c r="O491" s="217">
        <v>272.0</v>
      </c>
      <c r="P491" s="217" t="s">
        <v>367</v>
      </c>
      <c r="Q491" s="216"/>
      <c r="R491" s="216"/>
      <c r="S491" s="216"/>
      <c r="T491" s="216"/>
      <c r="U491" s="216"/>
      <c r="V491" s="216"/>
      <c r="W491" s="216"/>
      <c r="X491" s="216"/>
    </row>
    <row r="492" ht="15.75" hidden="1" customHeight="1">
      <c r="A492" s="217" t="s">
        <v>367</v>
      </c>
      <c r="B492" s="217" t="s">
        <v>368</v>
      </c>
      <c r="C492" s="237" t="s">
        <v>31</v>
      </c>
      <c r="D492" s="217" t="s">
        <v>54</v>
      </c>
      <c r="E492" s="216"/>
      <c r="F492" s="216"/>
      <c r="G492" s="219">
        <v>15289.59289</v>
      </c>
      <c r="H492" s="216"/>
      <c r="I492" s="216"/>
      <c r="J492" s="216"/>
      <c r="K492" s="216"/>
      <c r="L492" s="217">
        <v>3985.76</v>
      </c>
      <c r="M492" s="217" t="s">
        <v>359</v>
      </c>
      <c r="N492" s="217" t="s">
        <v>354</v>
      </c>
      <c r="O492" s="217">
        <v>272.0</v>
      </c>
      <c r="P492" s="217" t="s">
        <v>367</v>
      </c>
      <c r="Q492" s="216"/>
      <c r="R492" s="216"/>
      <c r="S492" s="216"/>
      <c r="T492" s="216"/>
      <c r="U492" s="216"/>
      <c r="V492" s="216"/>
      <c r="W492" s="216"/>
      <c r="X492" s="216"/>
    </row>
    <row r="493" ht="15.75" hidden="1" customHeight="1">
      <c r="A493" s="217" t="s">
        <v>367</v>
      </c>
      <c r="B493" s="217" t="s">
        <v>368</v>
      </c>
      <c r="C493" s="237" t="s">
        <v>31</v>
      </c>
      <c r="D493" s="217" t="s">
        <v>98</v>
      </c>
      <c r="E493" s="216"/>
      <c r="F493" s="216"/>
      <c r="G493" s="219">
        <v>1092.113778</v>
      </c>
      <c r="H493" s="216"/>
      <c r="I493" s="216"/>
      <c r="J493" s="216"/>
      <c r="K493" s="216"/>
      <c r="L493" s="217">
        <v>4172.27</v>
      </c>
      <c r="M493" s="217" t="s">
        <v>359</v>
      </c>
      <c r="N493" s="217" t="s">
        <v>354</v>
      </c>
      <c r="O493" s="217">
        <v>272.0</v>
      </c>
      <c r="P493" s="217" t="s">
        <v>367</v>
      </c>
      <c r="Q493" s="216"/>
      <c r="R493" s="216"/>
      <c r="S493" s="216"/>
      <c r="T493" s="216"/>
      <c r="U493" s="216"/>
      <c r="V493" s="216"/>
      <c r="W493" s="216"/>
      <c r="X493" s="216"/>
    </row>
    <row r="494" ht="15.75" hidden="1" customHeight="1">
      <c r="A494" s="217" t="s">
        <v>367</v>
      </c>
      <c r="B494" s="217" t="s">
        <v>368</v>
      </c>
      <c r="C494" s="237" t="s">
        <v>20</v>
      </c>
      <c r="D494" s="217" t="s">
        <v>21</v>
      </c>
      <c r="E494" s="216"/>
      <c r="F494" s="216"/>
      <c r="G494" s="219">
        <v>20750.16178</v>
      </c>
      <c r="H494" s="216"/>
      <c r="I494" s="216"/>
      <c r="J494" s="216"/>
      <c r="K494" s="216"/>
      <c r="L494" s="217">
        <v>4578.49</v>
      </c>
      <c r="M494" s="217" t="s">
        <v>359</v>
      </c>
      <c r="N494" s="217" t="s">
        <v>354</v>
      </c>
      <c r="O494" s="217">
        <v>272.0</v>
      </c>
      <c r="P494" s="217" t="s">
        <v>367</v>
      </c>
      <c r="Q494" s="216"/>
      <c r="R494" s="216"/>
      <c r="S494" s="216"/>
      <c r="T494" s="216"/>
      <c r="U494" s="216"/>
      <c r="V494" s="216"/>
      <c r="W494" s="216"/>
      <c r="X494" s="216"/>
    </row>
    <row r="495" ht="15.75" hidden="1" customHeight="1">
      <c r="A495" s="217" t="s">
        <v>367</v>
      </c>
      <c r="B495" s="217" t="s">
        <v>368</v>
      </c>
      <c r="C495" s="237" t="s">
        <v>31</v>
      </c>
      <c r="D495" s="217" t="s">
        <v>187</v>
      </c>
      <c r="E495" s="216"/>
      <c r="F495" s="216"/>
      <c r="G495" s="219">
        <v>2912.303407</v>
      </c>
      <c r="H495" s="216"/>
      <c r="I495" s="216"/>
      <c r="J495" s="216"/>
      <c r="K495" s="216"/>
      <c r="L495" s="217">
        <v>6890.7</v>
      </c>
      <c r="M495" s="217" t="s">
        <v>359</v>
      </c>
      <c r="N495" s="217" t="s">
        <v>354</v>
      </c>
      <c r="O495" s="217">
        <v>272.0</v>
      </c>
      <c r="P495" s="217" t="s">
        <v>367</v>
      </c>
      <c r="Q495" s="216"/>
      <c r="R495" s="216"/>
      <c r="S495" s="216"/>
      <c r="T495" s="216"/>
      <c r="U495" s="216"/>
      <c r="V495" s="216"/>
      <c r="W495" s="216"/>
      <c r="X495" s="216"/>
    </row>
    <row r="496" ht="15.75" hidden="1" customHeight="1">
      <c r="A496" s="217" t="s">
        <v>367</v>
      </c>
      <c r="B496" s="217" t="s">
        <v>368</v>
      </c>
      <c r="C496" s="237" t="s">
        <v>31</v>
      </c>
      <c r="D496" s="217" t="s">
        <v>38</v>
      </c>
      <c r="E496" s="216"/>
      <c r="F496" s="216"/>
      <c r="G496" s="219">
        <v>1638.170667</v>
      </c>
      <c r="H496" s="216"/>
      <c r="I496" s="216"/>
      <c r="J496" s="216"/>
      <c r="K496" s="216"/>
      <c r="L496" s="217">
        <v>7734.15</v>
      </c>
      <c r="M496" s="217" t="s">
        <v>359</v>
      </c>
      <c r="N496" s="217" t="s">
        <v>354</v>
      </c>
      <c r="O496" s="217">
        <v>272.0</v>
      </c>
      <c r="P496" s="217" t="s">
        <v>367</v>
      </c>
      <c r="Q496" s="216"/>
      <c r="R496" s="216"/>
      <c r="S496" s="216"/>
      <c r="T496" s="216"/>
      <c r="U496" s="216"/>
      <c r="V496" s="216"/>
      <c r="W496" s="216"/>
      <c r="X496" s="216"/>
    </row>
    <row r="497" ht="15.75" hidden="1" customHeight="1">
      <c r="A497" s="217" t="s">
        <v>367</v>
      </c>
      <c r="B497" s="217" t="s">
        <v>368</v>
      </c>
      <c r="C497" s="237" t="s">
        <v>31</v>
      </c>
      <c r="D497" s="217" t="s">
        <v>47</v>
      </c>
      <c r="E497" s="216"/>
      <c r="F497" s="216"/>
      <c r="G497" s="219">
        <v>5824.606815</v>
      </c>
      <c r="H497" s="216"/>
      <c r="I497" s="216"/>
      <c r="J497" s="216"/>
      <c r="K497" s="216"/>
      <c r="L497" s="217">
        <v>9987.58</v>
      </c>
      <c r="M497" s="217" t="s">
        <v>359</v>
      </c>
      <c r="N497" s="217" t="s">
        <v>354</v>
      </c>
      <c r="O497" s="217">
        <v>272.0</v>
      </c>
      <c r="P497" s="217" t="s">
        <v>367</v>
      </c>
      <c r="Q497" s="216"/>
      <c r="R497" s="216"/>
      <c r="S497" s="216"/>
      <c r="T497" s="216"/>
      <c r="U497" s="216"/>
      <c r="V497" s="216"/>
      <c r="W497" s="216"/>
      <c r="X497" s="216"/>
    </row>
    <row r="498" ht="15.75" hidden="1" customHeight="1">
      <c r="A498" s="217" t="s">
        <v>367</v>
      </c>
      <c r="B498" s="217" t="s">
        <v>368</v>
      </c>
      <c r="C498" s="237" t="s">
        <v>31</v>
      </c>
      <c r="D498" s="217" t="s">
        <v>113</v>
      </c>
      <c r="E498" s="216"/>
      <c r="F498" s="216"/>
      <c r="G498" s="219">
        <v>1638.170667</v>
      </c>
      <c r="H498" s="216"/>
      <c r="I498" s="216"/>
      <c r="J498" s="216"/>
      <c r="K498" s="216"/>
      <c r="L498" s="217">
        <v>11796.17</v>
      </c>
      <c r="M498" s="217" t="s">
        <v>359</v>
      </c>
      <c r="N498" s="217" t="s">
        <v>354</v>
      </c>
      <c r="O498" s="217">
        <v>272.0</v>
      </c>
      <c r="P498" s="217" t="s">
        <v>367</v>
      </c>
      <c r="Q498" s="216"/>
      <c r="R498" s="216"/>
      <c r="S498" s="216"/>
      <c r="T498" s="216"/>
      <c r="U498" s="216"/>
      <c r="V498" s="216"/>
      <c r="W498" s="216"/>
      <c r="X498" s="216"/>
    </row>
    <row r="499" ht="15.75" hidden="1" customHeight="1">
      <c r="A499" s="217" t="s">
        <v>367</v>
      </c>
      <c r="B499" s="217" t="s">
        <v>369</v>
      </c>
      <c r="C499" s="219" t="s">
        <v>370</v>
      </c>
      <c r="D499" s="216"/>
      <c r="E499" s="216"/>
      <c r="F499" s="216"/>
      <c r="G499" s="217">
        <v>11900.0</v>
      </c>
      <c r="H499" s="216"/>
      <c r="I499" s="216"/>
      <c r="J499" s="216"/>
      <c r="K499" s="216"/>
      <c r="L499" s="217">
        <v>11900.0</v>
      </c>
      <c r="M499" s="217" t="s">
        <v>359</v>
      </c>
      <c r="N499" s="217" t="s">
        <v>354</v>
      </c>
      <c r="O499" s="217">
        <v>272.0</v>
      </c>
      <c r="P499" s="217" t="s">
        <v>367</v>
      </c>
      <c r="Q499" s="216"/>
      <c r="R499" s="216"/>
      <c r="S499" s="216"/>
      <c r="T499" s="216"/>
      <c r="U499" s="216"/>
      <c r="V499" s="216"/>
      <c r="W499" s="216"/>
      <c r="X499" s="216"/>
    </row>
    <row r="500" ht="15.75" hidden="1" customHeight="1">
      <c r="A500" s="217" t="s">
        <v>378</v>
      </c>
      <c r="B500" s="217" t="s">
        <v>379</v>
      </c>
      <c r="C500" s="219" t="s">
        <v>370</v>
      </c>
      <c r="D500" s="216"/>
      <c r="E500" s="216"/>
      <c r="F500" s="216"/>
      <c r="G500" s="217">
        <v>19503.8</v>
      </c>
      <c r="H500" s="216"/>
      <c r="I500" s="216"/>
      <c r="J500" s="216"/>
      <c r="K500" s="216"/>
      <c r="L500" s="217">
        <v>19503.8</v>
      </c>
      <c r="M500" s="217" t="s">
        <v>359</v>
      </c>
      <c r="N500" s="217" t="s">
        <v>354</v>
      </c>
      <c r="O500" s="217">
        <v>272.0</v>
      </c>
      <c r="P500" s="217" t="s">
        <v>367</v>
      </c>
      <c r="Q500" s="216"/>
      <c r="R500" s="216"/>
      <c r="S500" s="216"/>
      <c r="T500" s="216"/>
      <c r="U500" s="216"/>
      <c r="V500" s="216"/>
      <c r="W500" s="216"/>
      <c r="X500" s="216"/>
    </row>
    <row r="501" ht="15.75" hidden="1" customHeight="1">
      <c r="A501" s="217" t="s">
        <v>367</v>
      </c>
      <c r="B501" s="217" t="s">
        <v>372</v>
      </c>
      <c r="C501" s="219" t="s">
        <v>20</v>
      </c>
      <c r="D501" s="219" t="s">
        <v>21</v>
      </c>
      <c r="E501" s="216"/>
      <c r="F501" s="216"/>
      <c r="G501" s="217">
        <v>2392.85</v>
      </c>
      <c r="H501" s="216"/>
      <c r="I501" s="216"/>
      <c r="J501" s="216"/>
      <c r="K501" s="216"/>
      <c r="L501" s="217">
        <v>2392.85</v>
      </c>
      <c r="M501" s="217" t="s">
        <v>359</v>
      </c>
      <c r="N501" s="217" t="s">
        <v>354</v>
      </c>
      <c r="O501" s="217">
        <v>272.0</v>
      </c>
      <c r="P501" s="217" t="s">
        <v>367</v>
      </c>
      <c r="Q501" s="216"/>
      <c r="R501" s="216"/>
      <c r="S501" s="216"/>
      <c r="T501" s="216"/>
      <c r="U501" s="216"/>
      <c r="V501" s="216"/>
      <c r="W501" s="216"/>
      <c r="X501" s="216"/>
    </row>
    <row r="502" ht="15.75" hidden="1" customHeight="1">
      <c r="A502" s="217" t="s">
        <v>367</v>
      </c>
      <c r="B502" s="217" t="s">
        <v>372</v>
      </c>
      <c r="C502" s="219" t="s">
        <v>20</v>
      </c>
      <c r="D502" s="219" t="s">
        <v>21</v>
      </c>
      <c r="E502" s="216"/>
      <c r="F502" s="216"/>
      <c r="G502" s="217">
        <v>2758.62</v>
      </c>
      <c r="H502" s="216"/>
      <c r="I502" s="216"/>
      <c r="J502" s="216"/>
      <c r="K502" s="216"/>
      <c r="L502" s="217">
        <v>2758.62</v>
      </c>
      <c r="M502" s="217" t="s">
        <v>359</v>
      </c>
      <c r="N502" s="217" t="s">
        <v>354</v>
      </c>
      <c r="O502" s="217">
        <v>272.0</v>
      </c>
      <c r="P502" s="217" t="s">
        <v>367</v>
      </c>
      <c r="Q502" s="216"/>
      <c r="R502" s="216"/>
      <c r="S502" s="216"/>
      <c r="T502" s="216"/>
      <c r="U502" s="216"/>
      <c r="V502" s="216"/>
      <c r="W502" s="216"/>
      <c r="X502" s="216"/>
    </row>
    <row r="503" ht="15.75" hidden="1" customHeight="1">
      <c r="A503" s="217" t="s">
        <v>367</v>
      </c>
      <c r="B503" s="217" t="s">
        <v>372</v>
      </c>
      <c r="C503" s="219" t="s">
        <v>20</v>
      </c>
      <c r="D503" s="219" t="s">
        <v>21</v>
      </c>
      <c r="E503" s="216"/>
      <c r="F503" s="216"/>
      <c r="G503" s="217">
        <v>5475.37</v>
      </c>
      <c r="H503" s="216"/>
      <c r="I503" s="216"/>
      <c r="J503" s="216"/>
      <c r="K503" s="216"/>
      <c r="L503" s="217">
        <v>5475.37</v>
      </c>
      <c r="M503" s="217" t="s">
        <v>359</v>
      </c>
      <c r="N503" s="217" t="s">
        <v>354</v>
      </c>
      <c r="O503" s="217">
        <v>272.0</v>
      </c>
      <c r="P503" s="217" t="s">
        <v>367</v>
      </c>
      <c r="Q503" s="216"/>
      <c r="R503" s="216"/>
      <c r="S503" s="216"/>
      <c r="T503" s="216"/>
      <c r="U503" s="216"/>
      <c r="V503" s="216"/>
      <c r="W503" s="216"/>
      <c r="X503" s="216"/>
    </row>
    <row r="504" ht="15.75" hidden="1" customHeight="1">
      <c r="A504" s="217" t="s">
        <v>378</v>
      </c>
      <c r="B504" s="217" t="s">
        <v>380</v>
      </c>
      <c r="C504" s="219" t="s">
        <v>20</v>
      </c>
      <c r="D504" s="219"/>
      <c r="E504" s="216"/>
      <c r="F504" s="219" t="s">
        <v>381</v>
      </c>
      <c r="G504" s="217">
        <v>17306.48</v>
      </c>
      <c r="H504" s="216"/>
      <c r="I504" s="216"/>
      <c r="J504" s="216"/>
      <c r="K504" s="216"/>
      <c r="L504" s="217">
        <v>17306.48</v>
      </c>
      <c r="M504" s="217" t="s">
        <v>359</v>
      </c>
      <c r="N504" s="217" t="s">
        <v>354</v>
      </c>
      <c r="O504" s="217">
        <v>272.0</v>
      </c>
      <c r="P504" s="217" t="s">
        <v>367</v>
      </c>
      <c r="Q504" s="216"/>
      <c r="R504" s="216"/>
      <c r="S504" s="216"/>
      <c r="T504" s="216"/>
      <c r="U504" s="216"/>
      <c r="V504" s="216"/>
      <c r="W504" s="216"/>
      <c r="X504" s="216"/>
    </row>
    <row r="505" ht="15.75" customHeight="1">
      <c r="A505" s="217" t="s">
        <v>367</v>
      </c>
      <c r="B505" s="217" t="s">
        <v>373</v>
      </c>
      <c r="C505" s="238" t="s">
        <v>31</v>
      </c>
      <c r="D505" s="221" t="s">
        <v>54</v>
      </c>
      <c r="E505" s="216"/>
      <c r="F505" s="216"/>
      <c r="G505" s="239">
        <v>145600.0</v>
      </c>
      <c r="H505" s="216"/>
      <c r="I505" s="216"/>
      <c r="J505" s="216"/>
      <c r="K505" s="216"/>
      <c r="L505" s="217"/>
      <c r="M505" s="217" t="s">
        <v>359</v>
      </c>
      <c r="N505" s="217" t="s">
        <v>354</v>
      </c>
      <c r="O505" s="217">
        <v>272.0</v>
      </c>
      <c r="P505" s="217" t="s">
        <v>367</v>
      </c>
      <c r="Q505" s="216"/>
      <c r="R505" s="216"/>
      <c r="S505" s="216"/>
      <c r="T505" s="216"/>
      <c r="U505" s="216"/>
      <c r="V505" s="216"/>
      <c r="W505" s="216"/>
      <c r="X505" s="216"/>
    </row>
    <row r="506" ht="15.75" customHeight="1">
      <c r="A506" s="217" t="s">
        <v>367</v>
      </c>
      <c r="B506" s="217" t="s">
        <v>373</v>
      </c>
      <c r="C506" s="238" t="s">
        <v>31</v>
      </c>
      <c r="D506" s="221" t="s">
        <v>98</v>
      </c>
      <c r="E506" s="216"/>
      <c r="F506" s="216"/>
      <c r="G506" s="239">
        <v>10400.0</v>
      </c>
      <c r="H506" s="216"/>
      <c r="I506" s="216"/>
      <c r="J506" s="216"/>
      <c r="K506" s="216"/>
      <c r="L506" s="217"/>
      <c r="M506" s="217" t="s">
        <v>359</v>
      </c>
      <c r="N506" s="217" t="s">
        <v>354</v>
      </c>
      <c r="O506" s="217">
        <v>272.0</v>
      </c>
      <c r="P506" s="217" t="s">
        <v>367</v>
      </c>
      <c r="Q506" s="216"/>
      <c r="R506" s="216"/>
      <c r="S506" s="216"/>
      <c r="T506" s="216"/>
      <c r="U506" s="216"/>
      <c r="V506" s="216"/>
      <c r="W506" s="216"/>
      <c r="X506" s="216"/>
    </row>
    <row r="507" ht="15.75" customHeight="1">
      <c r="A507" s="217" t="s">
        <v>367</v>
      </c>
      <c r="B507" s="217" t="s">
        <v>373</v>
      </c>
      <c r="C507" s="219" t="s">
        <v>20</v>
      </c>
      <c r="D507" s="221" t="s">
        <v>21</v>
      </c>
      <c r="E507" s="219" t="s">
        <v>22</v>
      </c>
      <c r="F507" s="216"/>
      <c r="G507" s="239">
        <v>197600.0</v>
      </c>
      <c r="H507" s="216"/>
      <c r="I507" s="216"/>
      <c r="J507" s="216"/>
      <c r="K507" s="216"/>
      <c r="L507" s="217"/>
      <c r="M507" s="217" t="s">
        <v>359</v>
      </c>
      <c r="N507" s="217" t="s">
        <v>354</v>
      </c>
      <c r="O507" s="217">
        <v>272.0</v>
      </c>
      <c r="P507" s="217" t="s">
        <v>367</v>
      </c>
      <c r="Q507" s="216"/>
      <c r="R507" s="216"/>
      <c r="S507" s="216"/>
      <c r="T507" s="216"/>
      <c r="U507" s="216"/>
      <c r="V507" s="216"/>
      <c r="W507" s="216"/>
      <c r="X507" s="216"/>
    </row>
    <row r="508" ht="15.75" hidden="1" customHeight="1">
      <c r="A508" s="217" t="s">
        <v>389</v>
      </c>
      <c r="B508" s="217" t="s">
        <v>390</v>
      </c>
      <c r="C508" s="217" t="s">
        <v>20</v>
      </c>
      <c r="D508" s="219" t="s">
        <v>21</v>
      </c>
      <c r="E508" s="216"/>
      <c r="F508" s="216"/>
      <c r="G508" s="217">
        <v>20826.33</v>
      </c>
      <c r="H508" s="216"/>
      <c r="I508" s="216"/>
      <c r="J508" s="216"/>
      <c r="K508" s="216"/>
      <c r="L508" s="217">
        <v>20826.33</v>
      </c>
      <c r="M508" s="217" t="s">
        <v>359</v>
      </c>
      <c r="N508" s="217" t="s">
        <v>354</v>
      </c>
      <c r="O508" s="217">
        <v>272.0</v>
      </c>
      <c r="P508" s="217" t="s">
        <v>367</v>
      </c>
      <c r="Q508" s="216"/>
      <c r="R508" s="216"/>
      <c r="S508" s="216"/>
      <c r="T508" s="216"/>
      <c r="U508" s="216"/>
      <c r="V508" s="216"/>
      <c r="W508" s="216"/>
      <c r="X508" s="216"/>
    </row>
    <row r="509" ht="15.75" hidden="1" customHeight="1">
      <c r="A509" s="240" t="s">
        <v>401</v>
      </c>
      <c r="B509" s="240" t="s">
        <v>402</v>
      </c>
      <c r="C509" s="240" t="s">
        <v>20</v>
      </c>
      <c r="D509" s="241"/>
      <c r="E509" s="241"/>
      <c r="F509" s="241"/>
      <c r="G509" s="240">
        <v>19833.79</v>
      </c>
      <c r="H509" s="241"/>
      <c r="I509" s="241"/>
      <c r="J509" s="241"/>
      <c r="K509" s="241"/>
      <c r="L509" s="240">
        <v>19833.79</v>
      </c>
      <c r="M509" s="240" t="s">
        <v>359</v>
      </c>
      <c r="N509" s="240" t="s">
        <v>354</v>
      </c>
      <c r="O509" s="240">
        <v>260.0</v>
      </c>
      <c r="P509" s="240" t="s">
        <v>401</v>
      </c>
      <c r="Q509" s="241"/>
      <c r="R509" s="241"/>
      <c r="S509" s="241"/>
      <c r="T509" s="241"/>
      <c r="U509" s="241"/>
      <c r="V509" s="241"/>
      <c r="W509" s="241"/>
      <c r="X509" s="241"/>
      <c r="Y509" s="242"/>
      <c r="Z509" s="242"/>
    </row>
    <row r="510" ht="15.75" hidden="1" customHeight="1">
      <c r="A510" s="217" t="s">
        <v>349</v>
      </c>
      <c r="B510" s="243" t="s">
        <v>382</v>
      </c>
      <c r="C510" s="244" t="s">
        <v>20</v>
      </c>
      <c r="D510" s="245" t="s">
        <v>21</v>
      </c>
      <c r="E510" s="245" t="s">
        <v>22</v>
      </c>
      <c r="F510" s="246"/>
      <c r="G510" s="247">
        <v>115700.88</v>
      </c>
      <c r="H510" s="216"/>
      <c r="I510" s="216"/>
      <c r="J510" s="216"/>
      <c r="K510" s="216"/>
      <c r="L510" s="217"/>
      <c r="M510" s="217" t="s">
        <v>359</v>
      </c>
      <c r="N510" s="217"/>
      <c r="O510" s="217"/>
      <c r="P510" s="217"/>
      <c r="Q510" s="216"/>
      <c r="R510" s="216"/>
      <c r="S510" s="216"/>
      <c r="T510" s="216"/>
      <c r="U510" s="216"/>
      <c r="V510" s="216"/>
      <c r="W510" s="216"/>
      <c r="X510" s="216"/>
    </row>
    <row r="511" ht="15.75" hidden="1" customHeight="1">
      <c r="A511" s="217" t="s">
        <v>349</v>
      </c>
      <c r="B511" s="248" t="s">
        <v>383</v>
      </c>
      <c r="C511" s="233" t="s">
        <v>20</v>
      </c>
      <c r="D511" s="234" t="s">
        <v>21</v>
      </c>
      <c r="E511" s="234" t="s">
        <v>22</v>
      </c>
      <c r="F511" s="249" t="s">
        <v>383</v>
      </c>
      <c r="G511" s="250">
        <v>283.5</v>
      </c>
      <c r="H511" s="216"/>
      <c r="I511" s="216"/>
      <c r="J511" s="216"/>
      <c r="K511" s="216"/>
      <c r="L511" s="217"/>
      <c r="M511" s="217" t="s">
        <v>359</v>
      </c>
      <c r="N511" s="217"/>
      <c r="O511" s="217"/>
      <c r="P511" s="217"/>
      <c r="Q511" s="216"/>
      <c r="R511" s="216"/>
      <c r="S511" s="216"/>
      <c r="T511" s="216"/>
      <c r="U511" s="216"/>
      <c r="V511" s="216"/>
      <c r="W511" s="216"/>
      <c r="X511" s="216"/>
    </row>
    <row r="512" ht="15.75" hidden="1" customHeight="1">
      <c r="A512" s="251" t="s">
        <v>367</v>
      </c>
      <c r="B512" s="217" t="s">
        <v>374</v>
      </c>
      <c r="C512" s="219" t="s">
        <v>20</v>
      </c>
      <c r="D512" s="219" t="s">
        <v>21</v>
      </c>
      <c r="E512" s="216"/>
      <c r="F512" s="216"/>
      <c r="G512" s="217">
        <v>4346.25</v>
      </c>
      <c r="H512" s="216"/>
      <c r="I512" s="216"/>
      <c r="J512" s="216"/>
      <c r="K512" s="216"/>
      <c r="L512" s="217">
        <v>4346.25</v>
      </c>
      <c r="M512" s="217" t="s">
        <v>359</v>
      </c>
      <c r="N512" s="217" t="s">
        <v>354</v>
      </c>
      <c r="O512" s="217">
        <v>275.0</v>
      </c>
      <c r="P512" s="217" t="s">
        <v>375</v>
      </c>
      <c r="Q512" s="216"/>
      <c r="R512" s="216"/>
      <c r="S512" s="216"/>
      <c r="T512" s="216"/>
      <c r="U512" s="216"/>
      <c r="V512" s="216"/>
      <c r="W512" s="216"/>
      <c r="X512" s="216"/>
    </row>
    <row r="513" ht="15.75" hidden="1" customHeight="1">
      <c r="A513" s="217" t="s">
        <v>349</v>
      </c>
      <c r="B513" s="252"/>
      <c r="C513" s="244" t="s">
        <v>20</v>
      </c>
      <c r="D513" s="245" t="s">
        <v>21</v>
      </c>
      <c r="E513" s="245" t="s">
        <v>61</v>
      </c>
      <c r="F513" s="246"/>
      <c r="G513" s="253">
        <v>276857.45</v>
      </c>
      <c r="H513" s="216"/>
      <c r="I513" s="216"/>
      <c r="J513" s="216"/>
      <c r="K513" s="216"/>
      <c r="L513" s="217"/>
      <c r="M513" s="217" t="s">
        <v>359</v>
      </c>
      <c r="N513" s="217"/>
      <c r="O513" s="217"/>
      <c r="P513" s="217"/>
      <c r="Q513" s="216"/>
      <c r="R513" s="216"/>
      <c r="S513" s="216"/>
      <c r="T513" s="216"/>
      <c r="U513" s="216"/>
      <c r="V513" s="216"/>
      <c r="W513" s="216"/>
      <c r="X513" s="216"/>
    </row>
    <row r="514" ht="15.75" hidden="1" customHeight="1">
      <c r="A514" s="217" t="s">
        <v>349</v>
      </c>
      <c r="B514" s="254"/>
      <c r="C514" s="233" t="s">
        <v>20</v>
      </c>
      <c r="D514" s="234" t="s">
        <v>21</v>
      </c>
      <c r="E514" s="234" t="s">
        <v>44</v>
      </c>
      <c r="F514" s="255"/>
      <c r="G514" s="256">
        <v>116807.69</v>
      </c>
      <c r="H514" s="216"/>
      <c r="I514" s="216"/>
      <c r="J514" s="216"/>
      <c r="K514" s="216"/>
      <c r="L514" s="217"/>
      <c r="M514" s="217" t="s">
        <v>359</v>
      </c>
      <c r="N514" s="217"/>
      <c r="O514" s="217"/>
      <c r="P514" s="217"/>
      <c r="Q514" s="216"/>
      <c r="R514" s="216"/>
      <c r="S514" s="216"/>
      <c r="T514" s="216"/>
      <c r="U514" s="216"/>
      <c r="V514" s="216"/>
      <c r="W514" s="216"/>
      <c r="X514" s="216"/>
    </row>
    <row r="515" ht="15.75" hidden="1" customHeight="1">
      <c r="A515" s="217" t="s">
        <v>349</v>
      </c>
      <c r="B515" s="252"/>
      <c r="C515" s="244" t="s">
        <v>20</v>
      </c>
      <c r="D515" s="245" t="s">
        <v>21</v>
      </c>
      <c r="E515" s="245" t="s">
        <v>386</v>
      </c>
      <c r="F515" s="246"/>
      <c r="G515" s="253">
        <v>15788.81</v>
      </c>
      <c r="H515" s="216"/>
      <c r="I515" s="216"/>
      <c r="J515" s="216"/>
      <c r="K515" s="216"/>
      <c r="L515" s="217"/>
      <c r="M515" s="217" t="s">
        <v>359</v>
      </c>
      <c r="N515" s="217"/>
      <c r="O515" s="217"/>
      <c r="P515" s="217"/>
      <c r="Q515" s="216"/>
      <c r="R515" s="216"/>
      <c r="S515" s="216"/>
      <c r="T515" s="216"/>
      <c r="U515" s="216"/>
      <c r="V515" s="216"/>
      <c r="W515" s="216"/>
      <c r="X515" s="216"/>
    </row>
    <row r="516" ht="15.75" hidden="1" customHeight="1">
      <c r="A516" s="217" t="s">
        <v>349</v>
      </c>
      <c r="B516" s="233" t="s">
        <v>387</v>
      </c>
      <c r="C516" s="233" t="s">
        <v>31</v>
      </c>
      <c r="D516" s="234" t="s">
        <v>54</v>
      </c>
      <c r="E516" s="234"/>
      <c r="F516" s="234" t="s">
        <v>387</v>
      </c>
      <c r="G516" s="257">
        <v>52488.89</v>
      </c>
      <c r="H516" s="216"/>
      <c r="I516" s="216"/>
      <c r="J516" s="216"/>
      <c r="K516" s="216"/>
      <c r="L516" s="217"/>
      <c r="M516" s="217" t="s">
        <v>359</v>
      </c>
      <c r="N516" s="217"/>
      <c r="O516" s="217"/>
      <c r="P516" s="217"/>
      <c r="Q516" s="216"/>
      <c r="R516" s="216"/>
      <c r="S516" s="216"/>
      <c r="T516" s="216"/>
      <c r="U516" s="216"/>
      <c r="V516" s="216"/>
      <c r="W516" s="216"/>
      <c r="X516" s="216"/>
    </row>
    <row r="517" ht="15.75" hidden="1" customHeight="1">
      <c r="A517" s="217" t="s">
        <v>349</v>
      </c>
      <c r="B517" s="244" t="s">
        <v>388</v>
      </c>
      <c r="C517" s="244" t="s">
        <v>20</v>
      </c>
      <c r="D517" s="245" t="s">
        <v>54</v>
      </c>
      <c r="E517" s="245"/>
      <c r="F517" s="245" t="s">
        <v>388</v>
      </c>
      <c r="G517" s="253">
        <v>5599.92</v>
      </c>
      <c r="H517" s="216"/>
      <c r="I517" s="216"/>
      <c r="J517" s="216"/>
      <c r="K517" s="216"/>
      <c r="L517" s="217"/>
      <c r="M517" s="217" t="s">
        <v>359</v>
      </c>
      <c r="N517" s="217"/>
      <c r="O517" s="217"/>
      <c r="P517" s="217"/>
      <c r="Q517" s="216"/>
      <c r="R517" s="216"/>
      <c r="S517" s="216"/>
      <c r="T517" s="216"/>
      <c r="U517" s="216"/>
      <c r="V517" s="216"/>
      <c r="W517" s="216"/>
      <c r="X517" s="216"/>
    </row>
    <row r="518" ht="15.75" hidden="1" customHeight="1">
      <c r="A518" s="217" t="s">
        <v>367</v>
      </c>
      <c r="B518" s="217" t="s">
        <v>376</v>
      </c>
      <c r="C518" s="219" t="s">
        <v>20</v>
      </c>
      <c r="D518" s="219" t="s">
        <v>21</v>
      </c>
      <c r="E518" s="216"/>
      <c r="F518" s="216"/>
      <c r="G518" s="217">
        <v>4456.0</v>
      </c>
      <c r="H518" s="216"/>
      <c r="I518" s="216"/>
      <c r="J518" s="216"/>
      <c r="K518" s="216"/>
      <c r="L518" s="217">
        <v>4456.0</v>
      </c>
      <c r="M518" s="217" t="s">
        <v>359</v>
      </c>
      <c r="N518" s="217" t="s">
        <v>354</v>
      </c>
      <c r="O518" s="217">
        <v>293.0</v>
      </c>
      <c r="P518" s="217" t="s">
        <v>377</v>
      </c>
      <c r="Q518" s="216"/>
      <c r="R518" s="216"/>
      <c r="S518" s="216"/>
      <c r="T518" s="216"/>
      <c r="U518" s="216"/>
      <c r="V518" s="216"/>
      <c r="W518" s="216"/>
      <c r="X518" s="216"/>
    </row>
    <row r="519" ht="15.75" hidden="1" customHeight="1">
      <c r="A519" s="217" t="s">
        <v>367</v>
      </c>
      <c r="B519" s="217" t="s">
        <v>376</v>
      </c>
      <c r="C519" s="219" t="s">
        <v>20</v>
      </c>
      <c r="D519" s="219" t="s">
        <v>21</v>
      </c>
      <c r="E519" s="216"/>
      <c r="F519" s="216"/>
      <c r="G519" s="217">
        <v>4456.0</v>
      </c>
      <c r="H519" s="216"/>
      <c r="I519" s="216"/>
      <c r="J519" s="216"/>
      <c r="K519" s="216"/>
      <c r="L519" s="217">
        <v>4456.0</v>
      </c>
      <c r="M519" s="217" t="s">
        <v>359</v>
      </c>
      <c r="N519" s="217" t="s">
        <v>354</v>
      </c>
      <c r="O519" s="217">
        <v>293.0</v>
      </c>
      <c r="P519" s="217" t="s">
        <v>377</v>
      </c>
      <c r="Q519" s="216"/>
      <c r="R519" s="216"/>
      <c r="S519" s="216"/>
      <c r="T519" s="216"/>
      <c r="U519" s="216"/>
      <c r="V519" s="216"/>
      <c r="W519" s="216"/>
      <c r="X519" s="216"/>
    </row>
    <row r="520" ht="15.75" hidden="1" customHeight="1">
      <c r="A520" s="217" t="s">
        <v>528</v>
      </c>
      <c r="B520" s="217" t="s">
        <v>529</v>
      </c>
      <c r="C520" s="219" t="s">
        <v>31</v>
      </c>
      <c r="D520" s="221" t="s">
        <v>54</v>
      </c>
      <c r="E520" s="216"/>
      <c r="F520" s="216"/>
      <c r="G520" s="258">
        <v>42625.90578</v>
      </c>
      <c r="H520" s="216"/>
      <c r="I520" s="216"/>
      <c r="J520" s="216"/>
      <c r="K520" s="216"/>
      <c r="L520" s="217">
        <v>15000.0</v>
      </c>
      <c r="M520" s="217" t="s">
        <v>359</v>
      </c>
      <c r="N520" s="217" t="s">
        <v>354</v>
      </c>
      <c r="O520" s="217">
        <v>290.0</v>
      </c>
      <c r="P520" s="217" t="s">
        <v>493</v>
      </c>
      <c r="Q520" s="216"/>
      <c r="R520" s="216"/>
      <c r="S520" s="216"/>
      <c r="T520" s="216"/>
      <c r="U520" s="216"/>
      <c r="V520" s="216"/>
      <c r="W520" s="216"/>
      <c r="X520" s="216"/>
    </row>
    <row r="521" ht="15.75" hidden="1" customHeight="1">
      <c r="A521" s="217" t="s">
        <v>483</v>
      </c>
      <c r="B521" s="217" t="s">
        <v>492</v>
      </c>
      <c r="C521" s="217" t="s">
        <v>31</v>
      </c>
      <c r="D521" s="216"/>
      <c r="E521" s="216"/>
      <c r="F521" s="216"/>
      <c r="G521" s="217">
        <v>17.24</v>
      </c>
      <c r="H521" s="216"/>
      <c r="I521" s="216"/>
      <c r="J521" s="216"/>
      <c r="K521" s="216"/>
      <c r="L521" s="217">
        <v>17.24</v>
      </c>
      <c r="M521" s="217" t="s">
        <v>359</v>
      </c>
      <c r="N521" s="217" t="s">
        <v>354</v>
      </c>
      <c r="O521" s="217">
        <v>290.0</v>
      </c>
      <c r="P521" s="217" t="s">
        <v>493</v>
      </c>
      <c r="Q521" s="216"/>
      <c r="R521" s="216"/>
      <c r="S521" s="216"/>
      <c r="T521" s="216"/>
      <c r="U521" s="216"/>
      <c r="V521" s="216"/>
      <c r="W521" s="216"/>
      <c r="X521" s="216"/>
    </row>
    <row r="522" ht="15.75" hidden="1" customHeight="1">
      <c r="A522" s="217" t="s">
        <v>528</v>
      </c>
      <c r="B522" s="217" t="s">
        <v>530</v>
      </c>
      <c r="C522" s="219" t="s">
        <v>31</v>
      </c>
      <c r="D522" s="221" t="s">
        <v>98</v>
      </c>
      <c r="E522" s="216"/>
      <c r="F522" s="216"/>
      <c r="G522" s="259">
        <v>3044.707556</v>
      </c>
      <c r="H522" s="216"/>
      <c r="I522" s="216"/>
      <c r="J522" s="216"/>
      <c r="K522" s="216"/>
      <c r="L522" s="217">
        <v>36844.28</v>
      </c>
      <c r="M522" s="217" t="s">
        <v>359</v>
      </c>
      <c r="N522" s="217" t="s">
        <v>354</v>
      </c>
      <c r="O522" s="217">
        <v>290.0</v>
      </c>
      <c r="P522" s="217" t="s">
        <v>493</v>
      </c>
      <c r="Q522" s="216"/>
      <c r="R522" s="216"/>
      <c r="S522" s="216"/>
      <c r="T522" s="216"/>
      <c r="U522" s="216"/>
      <c r="V522" s="216"/>
      <c r="W522" s="216"/>
      <c r="X522" s="216"/>
    </row>
    <row r="523" ht="15.75" hidden="1" customHeight="1">
      <c r="A523" s="217" t="s">
        <v>528</v>
      </c>
      <c r="B523" s="217" t="s">
        <v>531</v>
      </c>
      <c r="C523" s="219" t="s">
        <v>20</v>
      </c>
      <c r="D523" s="221" t="s">
        <v>21</v>
      </c>
      <c r="E523" s="216"/>
      <c r="F523" s="216"/>
      <c r="G523" s="258">
        <v>57849.44356</v>
      </c>
      <c r="H523" s="216"/>
      <c r="I523" s="216"/>
      <c r="J523" s="216"/>
      <c r="K523" s="216"/>
      <c r="L523" s="217">
        <v>473.28</v>
      </c>
      <c r="M523" s="217" t="s">
        <v>359</v>
      </c>
      <c r="N523" s="217" t="s">
        <v>354</v>
      </c>
      <c r="O523" s="217">
        <v>290.0</v>
      </c>
      <c r="P523" s="217" t="s">
        <v>493</v>
      </c>
      <c r="Q523" s="216"/>
      <c r="R523" s="216"/>
      <c r="S523" s="216"/>
      <c r="T523" s="216"/>
      <c r="U523" s="216"/>
      <c r="V523" s="216"/>
      <c r="W523" s="216"/>
      <c r="X523" s="216"/>
    </row>
    <row r="524" ht="15.75" hidden="1" customHeight="1">
      <c r="A524" s="217" t="s">
        <v>528</v>
      </c>
      <c r="B524" s="217" t="s">
        <v>532</v>
      </c>
      <c r="C524" s="219" t="s">
        <v>31</v>
      </c>
      <c r="D524" s="221" t="s">
        <v>187</v>
      </c>
      <c r="E524" s="216"/>
      <c r="F524" s="216"/>
      <c r="G524" s="259">
        <v>8119.220148</v>
      </c>
      <c r="H524" s="216"/>
      <c r="I524" s="216"/>
      <c r="J524" s="216"/>
      <c r="K524" s="216"/>
      <c r="L524" s="217">
        <v>688.79</v>
      </c>
      <c r="M524" s="217" t="s">
        <v>359</v>
      </c>
      <c r="N524" s="217" t="s">
        <v>354</v>
      </c>
      <c r="O524" s="217">
        <v>290.0</v>
      </c>
      <c r="P524" s="217" t="s">
        <v>493</v>
      </c>
      <c r="Q524" s="216"/>
      <c r="R524" s="216"/>
      <c r="S524" s="216"/>
      <c r="T524" s="216"/>
      <c r="U524" s="216"/>
      <c r="V524" s="216"/>
      <c r="W524" s="216"/>
      <c r="X524" s="216"/>
    </row>
    <row r="525" ht="15.75" hidden="1" customHeight="1">
      <c r="A525" s="217" t="s">
        <v>528</v>
      </c>
      <c r="B525" s="217" t="s">
        <v>531</v>
      </c>
      <c r="C525" s="219" t="s">
        <v>31</v>
      </c>
      <c r="D525" s="221" t="s">
        <v>38</v>
      </c>
      <c r="E525" s="216"/>
      <c r="F525" s="216"/>
      <c r="G525" s="258">
        <v>4567.061333</v>
      </c>
      <c r="H525" s="216"/>
      <c r="I525" s="216"/>
      <c r="J525" s="216"/>
      <c r="K525" s="216"/>
      <c r="L525" s="217">
        <v>194.39</v>
      </c>
      <c r="M525" s="217" t="s">
        <v>359</v>
      </c>
      <c r="N525" s="217" t="s">
        <v>354</v>
      </c>
      <c r="O525" s="217">
        <v>290.0</v>
      </c>
      <c r="P525" s="217" t="s">
        <v>493</v>
      </c>
      <c r="Q525" s="216"/>
      <c r="R525" s="216"/>
      <c r="S525" s="216"/>
      <c r="T525" s="216"/>
      <c r="U525" s="216"/>
      <c r="V525" s="216"/>
      <c r="W525" s="216"/>
      <c r="X525" s="216"/>
    </row>
    <row r="526" ht="15.75" hidden="1" customHeight="1">
      <c r="A526" s="217" t="s">
        <v>528</v>
      </c>
      <c r="B526" s="217" t="s">
        <v>533</v>
      </c>
      <c r="C526" s="219" t="s">
        <v>31</v>
      </c>
      <c r="D526" s="221" t="s">
        <v>47</v>
      </c>
      <c r="E526" s="216"/>
      <c r="F526" s="216"/>
      <c r="G526" s="259">
        <v>16238.4403</v>
      </c>
      <c r="H526" s="216"/>
      <c r="I526" s="216"/>
      <c r="J526" s="216"/>
      <c r="K526" s="216"/>
      <c r="L526" s="217">
        <v>473.28</v>
      </c>
      <c r="M526" s="217" t="s">
        <v>359</v>
      </c>
      <c r="N526" s="217" t="s">
        <v>354</v>
      </c>
      <c r="O526" s="217">
        <v>290.0</v>
      </c>
      <c r="P526" s="217" t="s">
        <v>493</v>
      </c>
      <c r="Q526" s="216"/>
      <c r="R526" s="216"/>
      <c r="S526" s="216"/>
      <c r="T526" s="216"/>
      <c r="U526" s="216"/>
      <c r="V526" s="216"/>
      <c r="W526" s="216"/>
      <c r="X526" s="216"/>
    </row>
    <row r="527" ht="15.75" hidden="1" customHeight="1">
      <c r="A527" s="217" t="s">
        <v>528</v>
      </c>
      <c r="B527" s="217" t="s">
        <v>534</v>
      </c>
      <c r="C527" s="219" t="s">
        <v>31</v>
      </c>
      <c r="D527" s="221" t="s">
        <v>113</v>
      </c>
      <c r="E527" s="216"/>
      <c r="F527" s="216"/>
      <c r="G527" s="258">
        <v>4567.061333</v>
      </c>
      <c r="H527" s="216"/>
      <c r="I527" s="216"/>
      <c r="J527" s="216"/>
      <c r="K527" s="216"/>
      <c r="L527" s="217">
        <v>86.52</v>
      </c>
      <c r="M527" s="217" t="s">
        <v>359</v>
      </c>
      <c r="N527" s="217" t="s">
        <v>354</v>
      </c>
      <c r="O527" s="217">
        <v>290.0</v>
      </c>
      <c r="P527" s="217" t="s">
        <v>493</v>
      </c>
      <c r="Q527" s="216"/>
      <c r="R527" s="216"/>
      <c r="S527" s="216"/>
      <c r="T527" s="216"/>
      <c r="U527" s="216"/>
      <c r="V527" s="216"/>
      <c r="W527" s="216"/>
      <c r="X527" s="216"/>
    </row>
    <row r="528" ht="15.75" hidden="1" customHeight="1">
      <c r="A528" s="217" t="s">
        <v>357</v>
      </c>
      <c r="B528" s="217" t="s">
        <v>534</v>
      </c>
      <c r="C528" s="219" t="s">
        <v>31</v>
      </c>
      <c r="D528" s="221" t="s">
        <v>54</v>
      </c>
      <c r="E528" s="216"/>
      <c r="F528" s="216"/>
      <c r="G528" s="258">
        <v>816.8222222</v>
      </c>
      <c r="H528" s="216"/>
      <c r="I528" s="216"/>
      <c r="J528" s="216"/>
      <c r="K528" s="216"/>
      <c r="L528" s="217">
        <v>106.0</v>
      </c>
      <c r="M528" s="217" t="s">
        <v>359</v>
      </c>
      <c r="N528" s="217" t="s">
        <v>354</v>
      </c>
      <c r="O528" s="217">
        <v>271.0</v>
      </c>
      <c r="P528" s="217" t="s">
        <v>357</v>
      </c>
      <c r="Q528" s="216"/>
      <c r="R528" s="216"/>
      <c r="S528" s="216"/>
      <c r="T528" s="216"/>
      <c r="U528" s="216"/>
      <c r="V528" s="216"/>
      <c r="W528" s="216"/>
      <c r="X528" s="216"/>
    </row>
    <row r="529" ht="15.75" hidden="1" customHeight="1">
      <c r="A529" s="217" t="s">
        <v>357</v>
      </c>
      <c r="B529" s="217" t="s">
        <v>1770</v>
      </c>
      <c r="C529" s="219" t="s">
        <v>31</v>
      </c>
      <c r="D529" s="221" t="s">
        <v>98</v>
      </c>
      <c r="E529" s="216"/>
      <c r="F529" s="216"/>
      <c r="G529" s="259">
        <v>58.34444444</v>
      </c>
      <c r="H529" s="216"/>
      <c r="I529" s="216"/>
      <c r="J529" s="216"/>
      <c r="K529" s="216"/>
      <c r="L529" s="217">
        <v>192.0</v>
      </c>
      <c r="M529" s="217" t="s">
        <v>359</v>
      </c>
      <c r="N529" s="217" t="s">
        <v>354</v>
      </c>
      <c r="O529" s="217">
        <v>271.0</v>
      </c>
      <c r="P529" s="217" t="s">
        <v>357</v>
      </c>
      <c r="Q529" s="216"/>
      <c r="R529" s="216"/>
      <c r="S529" s="216"/>
      <c r="T529" s="216"/>
      <c r="U529" s="216"/>
      <c r="V529" s="216"/>
      <c r="W529" s="216"/>
      <c r="X529" s="216"/>
    </row>
    <row r="530" ht="15.75" hidden="1" customHeight="1">
      <c r="A530" s="217" t="s">
        <v>357</v>
      </c>
      <c r="B530" s="217" t="s">
        <v>1770</v>
      </c>
      <c r="C530" s="219" t="s">
        <v>20</v>
      </c>
      <c r="D530" s="221" t="s">
        <v>21</v>
      </c>
      <c r="E530" s="216"/>
      <c r="F530" s="216"/>
      <c r="G530" s="258">
        <v>1108.544444</v>
      </c>
      <c r="H530" s="216"/>
      <c r="I530" s="216"/>
      <c r="J530" s="216"/>
      <c r="K530" s="216"/>
      <c r="L530" s="217">
        <v>430.0</v>
      </c>
      <c r="M530" s="217" t="s">
        <v>359</v>
      </c>
      <c r="N530" s="217" t="s">
        <v>354</v>
      </c>
      <c r="O530" s="217">
        <v>271.0</v>
      </c>
      <c r="P530" s="217" t="s">
        <v>357</v>
      </c>
      <c r="Q530" s="216"/>
      <c r="R530" s="216"/>
      <c r="S530" s="216"/>
      <c r="T530" s="216"/>
      <c r="U530" s="216"/>
      <c r="V530" s="216"/>
      <c r="W530" s="216"/>
      <c r="X530" s="216"/>
    </row>
    <row r="531" ht="15.75" hidden="1" customHeight="1">
      <c r="A531" s="217" t="s">
        <v>357</v>
      </c>
      <c r="B531" s="217" t="s">
        <v>470</v>
      </c>
      <c r="C531" s="219" t="s">
        <v>31</v>
      </c>
      <c r="D531" s="221" t="s">
        <v>187</v>
      </c>
      <c r="E531" s="216"/>
      <c r="F531" s="216"/>
      <c r="G531" s="259">
        <v>155.5851852</v>
      </c>
      <c r="H531" s="216"/>
      <c r="I531" s="216"/>
      <c r="J531" s="216"/>
      <c r="K531" s="216"/>
      <c r="L531" s="217">
        <v>1897.5</v>
      </c>
      <c r="M531" s="217" t="s">
        <v>359</v>
      </c>
      <c r="N531" s="217" t="s">
        <v>354</v>
      </c>
      <c r="O531" s="217">
        <v>271.0</v>
      </c>
      <c r="P531" s="217" t="s">
        <v>357</v>
      </c>
      <c r="Q531" s="216"/>
      <c r="R531" s="216"/>
      <c r="S531" s="216"/>
      <c r="T531" s="216"/>
      <c r="U531" s="216"/>
      <c r="V531" s="216"/>
      <c r="W531" s="216"/>
      <c r="X531" s="216"/>
    </row>
    <row r="532" ht="15.75" hidden="1" customHeight="1">
      <c r="A532" s="217" t="s">
        <v>469</v>
      </c>
      <c r="B532" s="217" t="s">
        <v>472</v>
      </c>
      <c r="C532" s="216"/>
      <c r="D532" s="216"/>
      <c r="E532" s="216"/>
      <c r="F532" s="216"/>
      <c r="G532" s="217">
        <v>5921.68</v>
      </c>
      <c r="H532" s="216"/>
      <c r="I532" s="216"/>
      <c r="J532" s="216"/>
      <c r="K532" s="216"/>
      <c r="L532" s="217">
        <v>5921.68</v>
      </c>
      <c r="M532" s="217" t="s">
        <v>359</v>
      </c>
      <c r="N532" s="217" t="s">
        <v>354</v>
      </c>
      <c r="O532" s="217">
        <v>283.0</v>
      </c>
      <c r="P532" s="217" t="s">
        <v>469</v>
      </c>
      <c r="Q532" s="216"/>
      <c r="R532" s="216"/>
      <c r="S532" s="216"/>
      <c r="T532" s="216"/>
      <c r="U532" s="216"/>
      <c r="V532" s="216"/>
      <c r="W532" s="216"/>
      <c r="X532" s="216"/>
    </row>
    <row r="533" ht="15.75" hidden="1" customHeight="1">
      <c r="A533" s="217" t="s">
        <v>471</v>
      </c>
      <c r="B533" s="217" t="s">
        <v>472</v>
      </c>
      <c r="C533" s="216"/>
      <c r="D533" s="216"/>
      <c r="E533" s="216"/>
      <c r="F533" s="216"/>
      <c r="G533" s="217">
        <v>5000.0</v>
      </c>
      <c r="H533" s="216"/>
      <c r="I533" s="216"/>
      <c r="J533" s="216"/>
      <c r="K533" s="216"/>
      <c r="L533" s="217">
        <v>5000.0</v>
      </c>
      <c r="M533" s="217" t="s">
        <v>359</v>
      </c>
      <c r="N533" s="217" t="s">
        <v>354</v>
      </c>
      <c r="O533" s="217">
        <v>283.0</v>
      </c>
      <c r="P533" s="217" t="s">
        <v>469</v>
      </c>
      <c r="Q533" s="216"/>
      <c r="R533" s="216"/>
      <c r="S533" s="216"/>
      <c r="T533" s="216"/>
      <c r="U533" s="216"/>
      <c r="V533" s="216"/>
      <c r="W533" s="216"/>
      <c r="X533" s="216"/>
    </row>
    <row r="534" ht="15.75" hidden="1" customHeight="1">
      <c r="A534" s="217" t="s">
        <v>471</v>
      </c>
      <c r="B534" s="217" t="s">
        <v>509</v>
      </c>
      <c r="C534" s="216"/>
      <c r="D534" s="216"/>
      <c r="E534" s="216"/>
      <c r="F534" s="216"/>
      <c r="G534" s="217">
        <v>758.62</v>
      </c>
      <c r="H534" s="216"/>
      <c r="I534" s="216"/>
      <c r="J534" s="216"/>
      <c r="K534" s="216"/>
      <c r="L534" s="217">
        <v>758.62</v>
      </c>
      <c r="M534" s="217" t="s">
        <v>359</v>
      </c>
      <c r="N534" s="217" t="s">
        <v>354</v>
      </c>
      <c r="O534" s="217">
        <v>283.0</v>
      </c>
      <c r="P534" s="217" t="s">
        <v>469</v>
      </c>
      <c r="Q534" s="216"/>
      <c r="R534" s="216"/>
      <c r="S534" s="216"/>
      <c r="T534" s="216"/>
      <c r="U534" s="216"/>
      <c r="V534" s="216"/>
      <c r="W534" s="216"/>
      <c r="X534" s="216"/>
    </row>
    <row r="535" ht="15.75" hidden="1" customHeight="1">
      <c r="A535" s="217" t="s">
        <v>508</v>
      </c>
      <c r="B535" s="217" t="s">
        <v>510</v>
      </c>
      <c r="C535" s="216"/>
      <c r="D535" s="216"/>
      <c r="E535" s="216"/>
      <c r="F535" s="216"/>
      <c r="G535" s="217">
        <v>14653.38</v>
      </c>
      <c r="H535" s="216"/>
      <c r="I535" s="216"/>
      <c r="J535" s="216"/>
      <c r="K535" s="216"/>
      <c r="L535" s="217">
        <v>14653.38</v>
      </c>
      <c r="M535" s="217" t="s">
        <v>359</v>
      </c>
      <c r="N535" s="217" t="s">
        <v>354</v>
      </c>
      <c r="O535" s="217">
        <v>266.0</v>
      </c>
      <c r="P535" s="217" t="s">
        <v>475</v>
      </c>
      <c r="Q535" s="216"/>
      <c r="R535" s="216"/>
      <c r="S535" s="216"/>
      <c r="T535" s="216"/>
      <c r="U535" s="216"/>
      <c r="V535" s="216"/>
      <c r="W535" s="216"/>
      <c r="X535" s="216"/>
    </row>
    <row r="536" ht="15.75" hidden="1" customHeight="1">
      <c r="A536" s="217" t="s">
        <v>508</v>
      </c>
      <c r="B536" s="217" t="s">
        <v>511</v>
      </c>
      <c r="C536" s="216"/>
      <c r="D536" s="216"/>
      <c r="E536" s="216"/>
      <c r="F536" s="216"/>
      <c r="G536" s="217">
        <v>3580.45</v>
      </c>
      <c r="H536" s="216"/>
      <c r="I536" s="216"/>
      <c r="J536" s="216"/>
      <c r="K536" s="216"/>
      <c r="L536" s="217">
        <v>3580.45</v>
      </c>
      <c r="M536" s="217" t="s">
        <v>359</v>
      </c>
      <c r="N536" s="217" t="s">
        <v>354</v>
      </c>
      <c r="O536" s="217">
        <v>286.0</v>
      </c>
      <c r="P536" s="217" t="s">
        <v>475</v>
      </c>
      <c r="Q536" s="216"/>
      <c r="R536" s="216"/>
      <c r="S536" s="216"/>
      <c r="T536" s="216"/>
      <c r="U536" s="216"/>
      <c r="V536" s="216"/>
      <c r="W536" s="216"/>
      <c r="X536" s="216"/>
    </row>
    <row r="537" ht="15.75" hidden="1" customHeight="1">
      <c r="A537" s="217" t="s">
        <v>508</v>
      </c>
      <c r="B537" s="217" t="s">
        <v>512</v>
      </c>
      <c r="C537" s="216"/>
      <c r="D537" s="216"/>
      <c r="E537" s="216"/>
      <c r="F537" s="216"/>
      <c r="G537" s="217">
        <v>13054.18</v>
      </c>
      <c r="H537" s="216"/>
      <c r="I537" s="216"/>
      <c r="J537" s="216"/>
      <c r="K537" s="216"/>
      <c r="L537" s="217">
        <v>13054.18</v>
      </c>
      <c r="M537" s="217" t="s">
        <v>359</v>
      </c>
      <c r="N537" s="217" t="s">
        <v>354</v>
      </c>
      <c r="O537" s="217">
        <v>286.0</v>
      </c>
      <c r="P537" s="217" t="s">
        <v>475</v>
      </c>
      <c r="Q537" s="216"/>
      <c r="R537" s="216"/>
      <c r="S537" s="216"/>
      <c r="T537" s="216"/>
      <c r="U537" s="216"/>
      <c r="V537" s="216"/>
      <c r="W537" s="216"/>
      <c r="X537" s="216"/>
    </row>
    <row r="538" ht="15.75" hidden="1" customHeight="1">
      <c r="A538" s="217" t="s">
        <v>508</v>
      </c>
      <c r="B538" s="217" t="s">
        <v>473</v>
      </c>
      <c r="C538" s="216"/>
      <c r="D538" s="216"/>
      <c r="E538" s="216"/>
      <c r="F538" s="216"/>
      <c r="G538" s="217">
        <v>1618.88</v>
      </c>
      <c r="H538" s="216"/>
      <c r="I538" s="216"/>
      <c r="J538" s="216"/>
      <c r="K538" s="216"/>
      <c r="L538" s="217">
        <v>1618.88</v>
      </c>
      <c r="M538" s="217" t="s">
        <v>359</v>
      </c>
      <c r="N538" s="217" t="s">
        <v>354</v>
      </c>
      <c r="O538" s="217">
        <v>286.0</v>
      </c>
      <c r="P538" s="217" t="s">
        <v>475</v>
      </c>
      <c r="Q538" s="216"/>
      <c r="R538" s="216"/>
      <c r="S538" s="216"/>
      <c r="T538" s="216"/>
      <c r="U538" s="216"/>
      <c r="V538" s="216"/>
      <c r="W538" s="216"/>
      <c r="X538" s="216"/>
    </row>
    <row r="539" ht="15.75" hidden="1" customHeight="1">
      <c r="A539" s="217" t="s">
        <v>471</v>
      </c>
      <c r="B539" s="217" t="s">
        <v>476</v>
      </c>
      <c r="C539" s="216"/>
      <c r="D539" s="216"/>
      <c r="E539" s="216"/>
      <c r="F539" s="216"/>
      <c r="G539" s="217">
        <v>6425.56</v>
      </c>
      <c r="H539" s="216"/>
      <c r="I539" s="216"/>
      <c r="J539" s="216"/>
      <c r="K539" s="216"/>
      <c r="L539" s="217">
        <v>6425.56</v>
      </c>
      <c r="M539" s="217" t="s">
        <v>359</v>
      </c>
      <c r="N539" s="217" t="s">
        <v>354</v>
      </c>
      <c r="O539" s="217">
        <v>264.0</v>
      </c>
      <c r="P539" s="217" t="s">
        <v>393</v>
      </c>
      <c r="Q539" s="216"/>
      <c r="R539" s="216"/>
      <c r="S539" s="216"/>
      <c r="T539" s="216"/>
      <c r="U539" s="216"/>
      <c r="V539" s="216"/>
      <c r="W539" s="216"/>
      <c r="X539" s="216"/>
    </row>
    <row r="540" ht="15.75" hidden="1" customHeight="1">
      <c r="A540" s="217" t="s">
        <v>471</v>
      </c>
      <c r="B540" s="217" t="s">
        <v>477</v>
      </c>
      <c r="C540" s="216"/>
      <c r="D540" s="216"/>
      <c r="E540" s="216"/>
      <c r="F540" s="216"/>
      <c r="G540" s="217">
        <v>934.0</v>
      </c>
      <c r="H540" s="216"/>
      <c r="I540" s="216"/>
      <c r="J540" s="216"/>
      <c r="K540" s="216"/>
      <c r="L540" s="217">
        <v>934.0</v>
      </c>
      <c r="M540" s="217" t="s">
        <v>359</v>
      </c>
      <c r="N540" s="217" t="s">
        <v>354</v>
      </c>
      <c r="O540" s="217">
        <v>284.0</v>
      </c>
      <c r="P540" s="217" t="s">
        <v>393</v>
      </c>
      <c r="Q540" s="216"/>
      <c r="R540" s="216"/>
      <c r="S540" s="216"/>
      <c r="T540" s="216"/>
      <c r="U540" s="216"/>
      <c r="V540" s="216"/>
      <c r="W540" s="216"/>
      <c r="X540" s="216"/>
    </row>
    <row r="541" ht="15.75" hidden="1" customHeight="1">
      <c r="A541" s="217" t="s">
        <v>471</v>
      </c>
      <c r="B541" s="217" t="s">
        <v>477</v>
      </c>
      <c r="C541" s="216"/>
      <c r="D541" s="216"/>
      <c r="E541" s="216"/>
      <c r="F541" s="216"/>
      <c r="G541" s="217">
        <v>6397.41</v>
      </c>
      <c r="H541" s="216"/>
      <c r="I541" s="216"/>
      <c r="J541" s="216"/>
      <c r="K541" s="216"/>
      <c r="L541" s="217">
        <v>6397.41</v>
      </c>
      <c r="M541" s="217" t="s">
        <v>359</v>
      </c>
      <c r="N541" s="217" t="s">
        <v>354</v>
      </c>
      <c r="O541" s="217">
        <v>284.0</v>
      </c>
      <c r="P541" s="217" t="s">
        <v>393</v>
      </c>
      <c r="Q541" s="216"/>
      <c r="R541" s="216"/>
      <c r="S541" s="216"/>
      <c r="T541" s="216"/>
      <c r="U541" s="216"/>
      <c r="V541" s="216"/>
      <c r="W541" s="216"/>
      <c r="X541" s="216"/>
    </row>
    <row r="542" ht="15.75" hidden="1" customHeight="1">
      <c r="A542" s="217" t="s">
        <v>471</v>
      </c>
      <c r="B542" s="217" t="s">
        <v>478</v>
      </c>
      <c r="C542" s="216"/>
      <c r="D542" s="216"/>
      <c r="E542" s="216"/>
      <c r="F542" s="216"/>
      <c r="G542" s="217">
        <v>8505.17</v>
      </c>
      <c r="H542" s="216"/>
      <c r="I542" s="216"/>
      <c r="J542" s="216"/>
      <c r="K542" s="216"/>
      <c r="L542" s="217">
        <v>8505.17</v>
      </c>
      <c r="M542" s="217" t="s">
        <v>359</v>
      </c>
      <c r="N542" s="217" t="s">
        <v>354</v>
      </c>
      <c r="O542" s="217">
        <v>284.0</v>
      </c>
      <c r="P542" s="217" t="s">
        <v>393</v>
      </c>
      <c r="Q542" s="216"/>
      <c r="R542" s="216"/>
      <c r="S542" s="216"/>
      <c r="T542" s="216"/>
      <c r="U542" s="216"/>
      <c r="V542" s="216"/>
      <c r="W542" s="216"/>
      <c r="X542" s="216"/>
    </row>
    <row r="543" ht="15.75" hidden="1" customHeight="1">
      <c r="A543" s="217" t="s">
        <v>471</v>
      </c>
      <c r="B543" s="217" t="s">
        <v>392</v>
      </c>
      <c r="C543" s="216"/>
      <c r="D543" s="216"/>
      <c r="E543" s="216"/>
      <c r="F543" s="216"/>
      <c r="G543" s="217">
        <v>3370.7</v>
      </c>
      <c r="H543" s="216"/>
      <c r="I543" s="216"/>
      <c r="J543" s="216"/>
      <c r="K543" s="216"/>
      <c r="L543" s="217">
        <v>3370.7</v>
      </c>
      <c r="M543" s="217" t="s">
        <v>359</v>
      </c>
      <c r="N543" s="217" t="s">
        <v>354</v>
      </c>
      <c r="O543" s="217">
        <v>284.0</v>
      </c>
      <c r="P543" s="217" t="s">
        <v>393</v>
      </c>
      <c r="Q543" s="216"/>
      <c r="R543" s="216"/>
      <c r="S543" s="216"/>
      <c r="T543" s="216"/>
      <c r="U543" s="216"/>
      <c r="V543" s="216"/>
      <c r="W543" s="216"/>
      <c r="X543" s="216"/>
    </row>
    <row r="544" ht="15.75" hidden="1" customHeight="1">
      <c r="A544" s="217" t="s">
        <v>391</v>
      </c>
      <c r="B544" s="217" t="s">
        <v>525</v>
      </c>
      <c r="C544" s="217" t="s">
        <v>31</v>
      </c>
      <c r="D544" s="216"/>
      <c r="E544" s="216"/>
      <c r="F544" s="216"/>
      <c r="G544" s="217">
        <v>25000.0</v>
      </c>
      <c r="H544" s="216"/>
      <c r="I544" s="216"/>
      <c r="J544" s="216"/>
      <c r="K544" s="216"/>
      <c r="L544" s="217">
        <v>25000.0</v>
      </c>
      <c r="M544" s="217" t="s">
        <v>359</v>
      </c>
      <c r="N544" s="217" t="s">
        <v>354</v>
      </c>
      <c r="O544" s="217">
        <v>287.0</v>
      </c>
      <c r="P544" s="217" t="s">
        <v>422</v>
      </c>
      <c r="Q544" s="216"/>
      <c r="R544" s="216"/>
      <c r="S544" s="216"/>
      <c r="T544" s="216"/>
      <c r="U544" s="216"/>
      <c r="V544" s="216"/>
      <c r="W544" s="216"/>
      <c r="X544" s="216"/>
    </row>
    <row r="545" ht="15.75" hidden="1" customHeight="1">
      <c r="A545" s="217" t="s">
        <v>422</v>
      </c>
      <c r="B545" s="217" t="s">
        <v>525</v>
      </c>
      <c r="C545" s="237" t="s">
        <v>31</v>
      </c>
      <c r="D545" s="216"/>
      <c r="E545" s="216"/>
      <c r="F545" s="216"/>
      <c r="G545" s="217">
        <v>3608.33</v>
      </c>
      <c r="H545" s="216"/>
      <c r="I545" s="216"/>
      <c r="J545" s="216"/>
      <c r="K545" s="216"/>
      <c r="L545" s="217">
        <v>3608.33</v>
      </c>
      <c r="M545" s="217" t="s">
        <v>526</v>
      </c>
      <c r="N545" s="217" t="s">
        <v>408</v>
      </c>
      <c r="O545" s="217">
        <v>2.0</v>
      </c>
      <c r="P545" s="217" t="s">
        <v>422</v>
      </c>
      <c r="Q545" s="216"/>
      <c r="R545" s="216"/>
      <c r="S545" s="216"/>
      <c r="T545" s="216"/>
      <c r="U545" s="216"/>
      <c r="V545" s="216"/>
      <c r="W545" s="216"/>
      <c r="X545" s="216"/>
    </row>
    <row r="546" ht="15.75" hidden="1" customHeight="1">
      <c r="A546" s="219" t="s">
        <v>391</v>
      </c>
      <c r="B546" s="217" t="s">
        <v>527</v>
      </c>
      <c r="C546" s="237" t="s">
        <v>31</v>
      </c>
      <c r="D546" s="216"/>
      <c r="E546" s="216"/>
      <c r="F546" s="216"/>
      <c r="G546" s="217">
        <v>53535.0</v>
      </c>
      <c r="H546" s="216"/>
      <c r="I546" s="216"/>
      <c r="J546" s="216"/>
      <c r="K546" s="216"/>
      <c r="L546" s="217">
        <v>53535.0</v>
      </c>
      <c r="M546" s="217" t="s">
        <v>458</v>
      </c>
      <c r="N546" s="217" t="s">
        <v>408</v>
      </c>
      <c r="O546" s="217">
        <v>79.0</v>
      </c>
      <c r="P546" s="217" t="s">
        <v>422</v>
      </c>
      <c r="Q546" s="216"/>
      <c r="R546" s="216"/>
      <c r="S546" s="216"/>
      <c r="T546" s="216"/>
      <c r="U546" s="216"/>
      <c r="V546" s="216"/>
      <c r="W546" s="216"/>
      <c r="X546" s="216"/>
    </row>
    <row r="547" ht="15.75" hidden="1" customHeight="1">
      <c r="A547" s="219" t="s">
        <v>378</v>
      </c>
      <c r="B547" s="217" t="s">
        <v>420</v>
      </c>
      <c r="C547" s="237" t="s">
        <v>31</v>
      </c>
      <c r="D547" s="216"/>
      <c r="E547" s="216"/>
      <c r="F547" s="216"/>
      <c r="G547" s="217">
        <v>5700.83</v>
      </c>
      <c r="H547" s="216"/>
      <c r="I547" s="216"/>
      <c r="J547" s="216"/>
      <c r="K547" s="216"/>
      <c r="L547" s="217">
        <v>5700.83</v>
      </c>
      <c r="M547" s="217" t="s">
        <v>421</v>
      </c>
      <c r="N547" s="217" t="s">
        <v>408</v>
      </c>
      <c r="O547" s="217">
        <v>148.0</v>
      </c>
      <c r="P547" s="217" t="s">
        <v>422</v>
      </c>
      <c r="Q547" s="216"/>
      <c r="R547" s="216"/>
      <c r="S547" s="216"/>
      <c r="T547" s="216"/>
      <c r="U547" s="216"/>
      <c r="V547" s="216"/>
      <c r="W547" s="216"/>
      <c r="X547" s="216"/>
    </row>
    <row r="548" ht="15.75" hidden="1" customHeight="1">
      <c r="A548" s="219" t="s">
        <v>528</v>
      </c>
      <c r="B548" s="217" t="s">
        <v>384</v>
      </c>
      <c r="C548" s="237" t="s">
        <v>31</v>
      </c>
      <c r="D548" s="216"/>
      <c r="E548" s="216"/>
      <c r="F548" s="216"/>
      <c r="G548" s="217">
        <v>585.56</v>
      </c>
      <c r="H548" s="216"/>
      <c r="I548" s="216"/>
      <c r="J548" s="216"/>
      <c r="K548" s="216"/>
      <c r="L548" s="217">
        <v>585.56</v>
      </c>
      <c r="M548" s="217" t="s">
        <v>359</v>
      </c>
      <c r="N548" s="217" t="s">
        <v>354</v>
      </c>
      <c r="O548" s="217">
        <v>262.0</v>
      </c>
      <c r="P548" s="217" t="s">
        <v>385</v>
      </c>
      <c r="Q548" s="216"/>
      <c r="R548" s="216"/>
      <c r="S548" s="216"/>
      <c r="T548" s="216"/>
      <c r="U548" s="216"/>
      <c r="V548" s="216"/>
      <c r="W548" s="216"/>
      <c r="X548" s="216"/>
    </row>
    <row r="549" ht="15.75" hidden="1" customHeight="1">
      <c r="A549" s="219" t="s">
        <v>426</v>
      </c>
      <c r="B549" s="217" t="s">
        <v>384</v>
      </c>
      <c r="C549" s="219" t="s">
        <v>31</v>
      </c>
      <c r="D549" s="219" t="s">
        <v>54</v>
      </c>
      <c r="E549" s="216"/>
      <c r="F549" s="216"/>
      <c r="G549" s="217">
        <v>1227.1</v>
      </c>
      <c r="H549" s="216"/>
      <c r="I549" s="216"/>
      <c r="J549" s="216"/>
      <c r="K549" s="216"/>
      <c r="L549" s="217">
        <v>1227.1</v>
      </c>
      <c r="M549" s="217" t="s">
        <v>359</v>
      </c>
      <c r="N549" s="217" t="s">
        <v>354</v>
      </c>
      <c r="O549" s="217">
        <v>276.0</v>
      </c>
      <c r="P549" s="217" t="s">
        <v>385</v>
      </c>
      <c r="Q549" s="216"/>
      <c r="R549" s="216"/>
      <c r="S549" s="216"/>
      <c r="T549" s="216"/>
      <c r="U549" s="216"/>
      <c r="V549" s="216"/>
      <c r="W549" s="216"/>
      <c r="X549" s="216"/>
    </row>
    <row r="550" ht="15.75" hidden="1" customHeight="1">
      <c r="A550" s="219" t="s">
        <v>426</v>
      </c>
      <c r="B550" s="217" t="s">
        <v>384</v>
      </c>
      <c r="C550" s="219" t="s">
        <v>31</v>
      </c>
      <c r="D550" s="219" t="s">
        <v>54</v>
      </c>
      <c r="E550" s="216"/>
      <c r="F550" s="216"/>
      <c r="G550" s="217">
        <v>4275.0</v>
      </c>
      <c r="H550" s="216"/>
      <c r="I550" s="216"/>
      <c r="J550" s="216"/>
      <c r="K550" s="216"/>
      <c r="L550" s="217">
        <v>4275.0</v>
      </c>
      <c r="M550" s="217" t="s">
        <v>359</v>
      </c>
      <c r="N550" s="217" t="s">
        <v>354</v>
      </c>
      <c r="O550" s="217">
        <v>276.0</v>
      </c>
      <c r="P550" s="217" t="s">
        <v>385</v>
      </c>
      <c r="Q550" s="216"/>
      <c r="R550" s="216"/>
      <c r="S550" s="216"/>
      <c r="T550" s="216"/>
      <c r="U550" s="216"/>
      <c r="V550" s="216"/>
      <c r="W550" s="216"/>
      <c r="X550" s="216"/>
    </row>
    <row r="551" ht="15.75" hidden="1" customHeight="1">
      <c r="A551" s="219" t="s">
        <v>426</v>
      </c>
      <c r="B551" s="217" t="s">
        <v>423</v>
      </c>
      <c r="C551" s="219" t="s">
        <v>31</v>
      </c>
      <c r="D551" s="219" t="s">
        <v>54</v>
      </c>
      <c r="E551" s="216"/>
      <c r="F551" s="216"/>
      <c r="G551" s="217">
        <v>18254.66</v>
      </c>
      <c r="H551" s="216"/>
      <c r="I551" s="216"/>
      <c r="J551" s="216"/>
      <c r="K551" s="216"/>
      <c r="L551" s="217">
        <v>18254.66</v>
      </c>
      <c r="M551" s="217" t="s">
        <v>359</v>
      </c>
      <c r="N551" s="217" t="s">
        <v>354</v>
      </c>
      <c r="O551" s="217">
        <v>276.0</v>
      </c>
      <c r="P551" s="217" t="s">
        <v>385</v>
      </c>
      <c r="Q551" s="216"/>
      <c r="R551" s="216"/>
      <c r="S551" s="216"/>
      <c r="T551" s="216"/>
      <c r="U551" s="216"/>
      <c r="V551" s="216"/>
      <c r="W551" s="216"/>
      <c r="X551" s="216"/>
    </row>
    <row r="552" ht="15.75" hidden="1" customHeight="1">
      <c r="A552" s="217" t="s">
        <v>385</v>
      </c>
      <c r="B552" s="217" t="s">
        <v>423</v>
      </c>
      <c r="C552" s="219" t="s">
        <v>31</v>
      </c>
      <c r="D552" s="219" t="s">
        <v>187</v>
      </c>
      <c r="E552" s="216"/>
      <c r="F552" s="216"/>
      <c r="G552" s="217">
        <v>4500.0</v>
      </c>
      <c r="H552" s="216"/>
      <c r="I552" s="216"/>
      <c r="J552" s="216"/>
      <c r="K552" s="216"/>
      <c r="L552" s="217">
        <v>4500.0</v>
      </c>
      <c r="M552" s="217" t="s">
        <v>359</v>
      </c>
      <c r="N552" s="217" t="s">
        <v>354</v>
      </c>
      <c r="O552" s="217">
        <v>276.0</v>
      </c>
      <c r="P552" s="217" t="s">
        <v>385</v>
      </c>
      <c r="Q552" s="216"/>
      <c r="R552" s="216"/>
      <c r="S552" s="216"/>
      <c r="T552" s="216"/>
      <c r="U552" s="216"/>
      <c r="V552" s="216"/>
      <c r="W552" s="216"/>
      <c r="X552" s="216"/>
    </row>
    <row r="553" ht="15.75" hidden="1" customHeight="1">
      <c r="A553" s="217" t="s">
        <v>385</v>
      </c>
      <c r="B553" s="217" t="s">
        <v>424</v>
      </c>
      <c r="C553" s="219" t="s">
        <v>31</v>
      </c>
      <c r="D553" s="219" t="s">
        <v>187</v>
      </c>
      <c r="E553" s="216"/>
      <c r="F553" s="216"/>
      <c r="G553" s="217">
        <v>3190.0</v>
      </c>
      <c r="H553" s="216"/>
      <c r="I553" s="216"/>
      <c r="J553" s="216"/>
      <c r="K553" s="216"/>
      <c r="L553" s="217">
        <v>3190.0</v>
      </c>
      <c r="M553" s="217" t="s">
        <v>359</v>
      </c>
      <c r="N553" s="217" t="s">
        <v>354</v>
      </c>
      <c r="O553" s="217">
        <v>276.0</v>
      </c>
      <c r="P553" s="217" t="s">
        <v>385</v>
      </c>
      <c r="Q553" s="216"/>
      <c r="R553" s="216"/>
      <c r="S553" s="216"/>
      <c r="T553" s="216"/>
      <c r="U553" s="216"/>
      <c r="V553" s="216"/>
      <c r="W553" s="216"/>
      <c r="X553" s="216"/>
    </row>
    <row r="554" ht="15.75" hidden="1" customHeight="1">
      <c r="A554" s="217" t="s">
        <v>385</v>
      </c>
      <c r="B554" s="217" t="s">
        <v>425</v>
      </c>
      <c r="C554" s="219" t="s">
        <v>31</v>
      </c>
      <c r="D554" s="219" t="s">
        <v>98</v>
      </c>
      <c r="E554" s="216"/>
      <c r="F554" s="216"/>
      <c r="G554" s="217">
        <v>3864.0</v>
      </c>
      <c r="H554" s="216"/>
      <c r="I554" s="216"/>
      <c r="J554" s="216"/>
      <c r="K554" s="216"/>
      <c r="L554" s="217">
        <v>3864.0</v>
      </c>
      <c r="M554" s="217" t="s">
        <v>359</v>
      </c>
      <c r="N554" s="217" t="s">
        <v>354</v>
      </c>
      <c r="O554" s="217">
        <v>276.0</v>
      </c>
      <c r="P554" s="217" t="s">
        <v>385</v>
      </c>
      <c r="Q554" s="216"/>
      <c r="R554" s="216"/>
      <c r="S554" s="216"/>
      <c r="T554" s="216"/>
      <c r="U554" s="216"/>
      <c r="V554" s="216"/>
      <c r="W554" s="216"/>
      <c r="X554" s="216"/>
    </row>
    <row r="555" ht="15.75" hidden="1" customHeight="1">
      <c r="A555" s="217" t="s">
        <v>385</v>
      </c>
      <c r="B555" s="217" t="s">
        <v>425</v>
      </c>
      <c r="C555" s="219" t="s">
        <v>31</v>
      </c>
      <c r="D555" s="221" t="s">
        <v>54</v>
      </c>
      <c r="E555" s="216"/>
      <c r="F555" s="216"/>
      <c r="G555" s="239">
        <v>2681.992444</v>
      </c>
      <c r="H555" s="216"/>
      <c r="I555" s="216"/>
      <c r="J555" s="216"/>
      <c r="K555" s="216"/>
      <c r="L555" s="217">
        <v>-5233.75</v>
      </c>
      <c r="M555" s="217" t="s">
        <v>359</v>
      </c>
      <c r="N555" s="217" t="s">
        <v>354</v>
      </c>
      <c r="O555" s="217">
        <v>281.0</v>
      </c>
      <c r="P555" s="217" t="s">
        <v>385</v>
      </c>
      <c r="Q555" s="216"/>
      <c r="R555" s="216"/>
      <c r="S555" s="216"/>
      <c r="T555" s="216"/>
      <c r="U555" s="216"/>
      <c r="V555" s="216"/>
      <c r="W555" s="216"/>
      <c r="X555" s="216"/>
    </row>
    <row r="556" ht="15.75" hidden="1" customHeight="1">
      <c r="A556" s="217" t="s">
        <v>385</v>
      </c>
      <c r="B556" s="217" t="s">
        <v>425</v>
      </c>
      <c r="C556" s="219" t="s">
        <v>31</v>
      </c>
      <c r="D556" s="221" t="s">
        <v>98</v>
      </c>
      <c r="E556" s="216"/>
      <c r="F556" s="216"/>
      <c r="G556" s="239">
        <v>191.5708889</v>
      </c>
      <c r="H556" s="216"/>
      <c r="I556" s="216"/>
      <c r="J556" s="216"/>
      <c r="K556" s="216"/>
      <c r="L556" s="217">
        <v>-3274.32</v>
      </c>
      <c r="M556" s="217" t="s">
        <v>359</v>
      </c>
      <c r="N556" s="217" t="s">
        <v>354</v>
      </c>
      <c r="O556" s="217">
        <v>281.0</v>
      </c>
      <c r="P556" s="217" t="s">
        <v>385</v>
      </c>
      <c r="Q556" s="216"/>
      <c r="R556" s="216"/>
      <c r="S556" s="216"/>
      <c r="T556" s="216"/>
      <c r="U556" s="216"/>
      <c r="V556" s="216"/>
      <c r="W556" s="216"/>
      <c r="X556" s="216"/>
    </row>
    <row r="557" ht="15.75" hidden="1" customHeight="1">
      <c r="A557" s="217" t="s">
        <v>385</v>
      </c>
      <c r="B557" s="217" t="s">
        <v>425</v>
      </c>
      <c r="C557" s="219" t="s">
        <v>20</v>
      </c>
      <c r="D557" s="221" t="s">
        <v>21</v>
      </c>
      <c r="E557" s="216"/>
      <c r="F557" s="216"/>
      <c r="G557" s="239">
        <v>3639.846889</v>
      </c>
      <c r="H557" s="216"/>
      <c r="I557" s="216"/>
      <c r="J557" s="216"/>
      <c r="K557" s="216"/>
      <c r="L557" s="217">
        <v>8508.07</v>
      </c>
      <c r="M557" s="217" t="s">
        <v>359</v>
      </c>
      <c r="N557" s="217" t="s">
        <v>354</v>
      </c>
      <c r="O557" s="217">
        <v>281.0</v>
      </c>
      <c r="P557" s="217" t="s">
        <v>385</v>
      </c>
      <c r="Q557" s="216"/>
      <c r="R557" s="216"/>
      <c r="S557" s="216"/>
      <c r="T557" s="216"/>
      <c r="U557" s="216"/>
      <c r="V557" s="216"/>
      <c r="W557" s="216"/>
      <c r="X557" s="216"/>
    </row>
    <row r="558" ht="15.75" hidden="1" customHeight="1">
      <c r="A558" s="217" t="s">
        <v>385</v>
      </c>
      <c r="B558" s="217" t="s">
        <v>427</v>
      </c>
      <c r="C558" s="219" t="s">
        <v>31</v>
      </c>
      <c r="D558" s="221" t="s">
        <v>187</v>
      </c>
      <c r="E558" s="216"/>
      <c r="F558" s="216"/>
      <c r="G558" s="239">
        <v>510.8557037</v>
      </c>
      <c r="H558" s="216"/>
      <c r="I558" s="216"/>
      <c r="J558" s="216"/>
      <c r="K558" s="216"/>
      <c r="L558" s="217">
        <v>8620.69</v>
      </c>
      <c r="M558" s="217" t="s">
        <v>359</v>
      </c>
      <c r="N558" s="217" t="s">
        <v>354</v>
      </c>
      <c r="O558" s="217">
        <v>281.0</v>
      </c>
      <c r="P558" s="217" t="s">
        <v>385</v>
      </c>
      <c r="Q558" s="216"/>
      <c r="R558" s="216"/>
      <c r="S558" s="216"/>
      <c r="T558" s="216"/>
      <c r="U558" s="216"/>
      <c r="V558" s="216"/>
      <c r="W558" s="216"/>
      <c r="X558" s="216"/>
    </row>
    <row r="559" ht="15.75" hidden="1" customHeight="1">
      <c r="A559" s="219" t="s">
        <v>483</v>
      </c>
      <c r="B559" s="217" t="s">
        <v>494</v>
      </c>
      <c r="C559" s="219" t="s">
        <v>495</v>
      </c>
      <c r="D559" s="219" t="s">
        <v>485</v>
      </c>
      <c r="E559" s="216"/>
      <c r="F559" s="216"/>
      <c r="G559" s="217">
        <v>46093.1</v>
      </c>
      <c r="H559" s="216"/>
      <c r="I559" s="216"/>
      <c r="J559" s="216"/>
      <c r="K559" s="216"/>
      <c r="L559" s="217">
        <v>46093.1</v>
      </c>
      <c r="M559" s="217" t="s">
        <v>359</v>
      </c>
      <c r="N559" s="217" t="s">
        <v>354</v>
      </c>
      <c r="O559" s="217">
        <v>282.0</v>
      </c>
      <c r="P559" s="217" t="s">
        <v>385</v>
      </c>
      <c r="Q559" s="216"/>
      <c r="R559" s="216"/>
      <c r="S559" s="216"/>
      <c r="T559" s="216"/>
      <c r="U559" s="216"/>
      <c r="V559" s="216"/>
      <c r="W559" s="216"/>
      <c r="X559" s="216"/>
    </row>
    <row r="560" ht="15.75" hidden="1" customHeight="1">
      <c r="A560" s="217" t="s">
        <v>483</v>
      </c>
      <c r="B560" s="217" t="s">
        <v>496</v>
      </c>
      <c r="C560" s="217" t="s">
        <v>31</v>
      </c>
      <c r="D560" s="216"/>
      <c r="E560" s="216"/>
      <c r="F560" s="216"/>
      <c r="G560" s="217">
        <v>7067.24</v>
      </c>
      <c r="H560" s="216"/>
      <c r="I560" s="216"/>
      <c r="J560" s="216"/>
      <c r="K560" s="216"/>
      <c r="L560" s="217">
        <v>7067.24</v>
      </c>
      <c r="M560" s="217" t="s">
        <v>497</v>
      </c>
      <c r="N560" s="217" t="s">
        <v>408</v>
      </c>
      <c r="O560" s="217">
        <v>106.0</v>
      </c>
      <c r="P560" s="217" t="s">
        <v>385</v>
      </c>
      <c r="Q560" s="216"/>
      <c r="R560" s="216"/>
      <c r="S560" s="216"/>
      <c r="T560" s="216"/>
      <c r="U560" s="216"/>
      <c r="V560" s="216"/>
      <c r="W560" s="216"/>
      <c r="X560" s="216"/>
    </row>
    <row r="561" ht="15.75" hidden="1" customHeight="1">
      <c r="A561" s="217" t="s">
        <v>483</v>
      </c>
      <c r="B561" s="217" t="s">
        <v>496</v>
      </c>
      <c r="C561" s="217" t="s">
        <v>31</v>
      </c>
      <c r="D561" s="216"/>
      <c r="E561" s="216"/>
      <c r="F561" s="216"/>
      <c r="G561" s="217">
        <v>3052.96</v>
      </c>
      <c r="H561" s="216"/>
      <c r="I561" s="216"/>
      <c r="J561" s="216"/>
      <c r="K561" s="216"/>
      <c r="L561" s="217">
        <v>3052.96</v>
      </c>
      <c r="M561" s="217" t="s">
        <v>498</v>
      </c>
      <c r="N561" s="217" t="s">
        <v>408</v>
      </c>
      <c r="O561" s="217">
        <v>220.0</v>
      </c>
      <c r="P561" s="217" t="s">
        <v>385</v>
      </c>
      <c r="Q561" s="216"/>
      <c r="R561" s="216"/>
      <c r="S561" s="216"/>
      <c r="T561" s="216"/>
      <c r="U561" s="216"/>
      <c r="V561" s="216"/>
      <c r="W561" s="216"/>
      <c r="X561" s="216"/>
    </row>
    <row r="562" ht="15.75" hidden="1" customHeight="1">
      <c r="A562" s="217" t="s">
        <v>483</v>
      </c>
      <c r="B562" s="217" t="s">
        <v>496</v>
      </c>
      <c r="C562" s="217" t="s">
        <v>31</v>
      </c>
      <c r="D562" s="216"/>
      <c r="E562" s="216"/>
      <c r="F562" s="216"/>
      <c r="G562" s="217">
        <v>14460.38</v>
      </c>
      <c r="H562" s="216"/>
      <c r="I562" s="216"/>
      <c r="J562" s="216"/>
      <c r="K562" s="216"/>
      <c r="L562" s="217">
        <v>14460.38</v>
      </c>
      <c r="M562" s="217" t="s">
        <v>498</v>
      </c>
      <c r="N562" s="217" t="s">
        <v>408</v>
      </c>
      <c r="O562" s="217">
        <v>235.0</v>
      </c>
      <c r="P562" s="217" t="s">
        <v>385</v>
      </c>
      <c r="Q562" s="216"/>
      <c r="R562" s="216"/>
      <c r="S562" s="216"/>
      <c r="T562" s="216"/>
      <c r="U562" s="216"/>
      <c r="V562" s="216"/>
      <c r="W562" s="216"/>
      <c r="X562" s="216"/>
    </row>
    <row r="563" ht="15.75" hidden="1" customHeight="1">
      <c r="A563" s="217" t="s">
        <v>483</v>
      </c>
      <c r="B563" s="217" t="s">
        <v>496</v>
      </c>
      <c r="C563" s="217" t="s">
        <v>31</v>
      </c>
      <c r="D563" s="216"/>
      <c r="E563" s="216"/>
      <c r="F563" s="216"/>
      <c r="G563" s="217">
        <v>28237.34</v>
      </c>
      <c r="H563" s="216"/>
      <c r="I563" s="216"/>
      <c r="J563" s="216"/>
      <c r="K563" s="216"/>
      <c r="L563" s="217">
        <v>28237.34</v>
      </c>
      <c r="M563" s="217" t="s">
        <v>498</v>
      </c>
      <c r="N563" s="217" t="s">
        <v>408</v>
      </c>
      <c r="O563" s="217">
        <v>236.0</v>
      </c>
      <c r="P563" s="217" t="s">
        <v>385</v>
      </c>
      <c r="Q563" s="216"/>
      <c r="R563" s="216"/>
      <c r="S563" s="216"/>
      <c r="T563" s="216"/>
      <c r="U563" s="216"/>
      <c r="V563" s="216"/>
      <c r="W563" s="216"/>
      <c r="X563" s="216"/>
    </row>
    <row r="564" ht="15.75" hidden="1" customHeight="1">
      <c r="A564" s="217" t="s">
        <v>483</v>
      </c>
      <c r="B564" s="217" t="s">
        <v>496</v>
      </c>
      <c r="C564" s="217" t="s">
        <v>31</v>
      </c>
      <c r="D564" s="216"/>
      <c r="E564" s="216"/>
      <c r="F564" s="216"/>
      <c r="G564" s="217">
        <v>6454.65</v>
      </c>
      <c r="H564" s="216"/>
      <c r="I564" s="216"/>
      <c r="J564" s="216"/>
      <c r="K564" s="216"/>
      <c r="L564" s="217">
        <v>6454.65</v>
      </c>
      <c r="M564" s="217" t="s">
        <v>411</v>
      </c>
      <c r="N564" s="217" t="s">
        <v>408</v>
      </c>
      <c r="O564" s="217">
        <v>237.0</v>
      </c>
      <c r="P564" s="217" t="s">
        <v>385</v>
      </c>
      <c r="Q564" s="216"/>
      <c r="R564" s="216"/>
      <c r="S564" s="216"/>
      <c r="T564" s="216"/>
      <c r="U564" s="216"/>
      <c r="V564" s="216"/>
      <c r="W564" s="216"/>
      <c r="X564" s="216"/>
    </row>
    <row r="565" ht="15.75" hidden="1" customHeight="1">
      <c r="A565" s="217" t="s">
        <v>483</v>
      </c>
      <c r="B565" s="217" t="s">
        <v>499</v>
      </c>
      <c r="C565" s="217" t="s">
        <v>31</v>
      </c>
      <c r="D565" s="216"/>
      <c r="E565" s="216"/>
      <c r="F565" s="216"/>
      <c r="G565" s="217">
        <v>2422.94</v>
      </c>
      <c r="H565" s="216"/>
      <c r="I565" s="216"/>
      <c r="J565" s="216"/>
      <c r="K565" s="216"/>
      <c r="L565" s="217">
        <v>2422.94</v>
      </c>
      <c r="M565" s="217" t="s">
        <v>411</v>
      </c>
      <c r="N565" s="217" t="s">
        <v>408</v>
      </c>
      <c r="O565" s="217">
        <v>238.0</v>
      </c>
      <c r="P565" s="217" t="s">
        <v>385</v>
      </c>
      <c r="Q565" s="216"/>
      <c r="R565" s="216"/>
      <c r="S565" s="216"/>
      <c r="T565" s="216"/>
      <c r="U565" s="216"/>
      <c r="V565" s="216"/>
      <c r="W565" s="216"/>
      <c r="X565" s="216"/>
    </row>
    <row r="566" ht="15.75" hidden="1" customHeight="1">
      <c r="A566" s="217" t="s">
        <v>483</v>
      </c>
      <c r="B566" s="217" t="s">
        <v>500</v>
      </c>
      <c r="C566" s="217" t="s">
        <v>31</v>
      </c>
      <c r="D566" s="216"/>
      <c r="E566" s="216"/>
      <c r="F566" s="216"/>
      <c r="G566" s="217">
        <v>86195.46</v>
      </c>
      <c r="H566" s="216"/>
      <c r="I566" s="216"/>
      <c r="J566" s="216"/>
      <c r="K566" s="216"/>
      <c r="L566" s="217">
        <v>86195.46</v>
      </c>
      <c r="M566" s="217" t="s">
        <v>501</v>
      </c>
      <c r="N566" s="217" t="s">
        <v>408</v>
      </c>
      <c r="O566" s="217">
        <v>241.0</v>
      </c>
      <c r="P566" s="217" t="s">
        <v>385</v>
      </c>
      <c r="Q566" s="216"/>
      <c r="R566" s="216"/>
      <c r="S566" s="216"/>
      <c r="T566" s="216"/>
      <c r="U566" s="216"/>
      <c r="V566" s="216"/>
      <c r="W566" s="216"/>
      <c r="X566" s="216"/>
    </row>
    <row r="567" ht="15.75" hidden="1" customHeight="1">
      <c r="A567" s="219" t="s">
        <v>536</v>
      </c>
      <c r="B567" s="217" t="s">
        <v>468</v>
      </c>
      <c r="C567" s="219" t="s">
        <v>20</v>
      </c>
      <c r="D567" s="219" t="s">
        <v>21</v>
      </c>
      <c r="E567" s="216"/>
      <c r="F567" s="216"/>
      <c r="G567" s="217">
        <v>2478.51</v>
      </c>
      <c r="H567" s="216"/>
      <c r="I567" s="216"/>
      <c r="J567" s="216"/>
      <c r="K567" s="216"/>
      <c r="L567" s="217">
        <v>2478.51</v>
      </c>
      <c r="M567" s="217" t="s">
        <v>501</v>
      </c>
      <c r="N567" s="217" t="s">
        <v>408</v>
      </c>
      <c r="O567" s="217">
        <v>252.0</v>
      </c>
      <c r="P567" s="217" t="s">
        <v>385</v>
      </c>
      <c r="Q567" s="216"/>
      <c r="R567" s="216"/>
      <c r="S567" s="216"/>
      <c r="T567" s="216"/>
      <c r="U567" s="216"/>
      <c r="V567" s="216"/>
      <c r="W567" s="216"/>
      <c r="X567" s="216"/>
    </row>
    <row r="568" ht="15.75" hidden="1" customHeight="1">
      <c r="A568" s="217" t="s">
        <v>536</v>
      </c>
      <c r="B568" s="217" t="s">
        <v>537</v>
      </c>
      <c r="C568" s="217" t="s">
        <v>20</v>
      </c>
      <c r="D568" s="216"/>
      <c r="E568" s="216"/>
      <c r="F568" s="216"/>
      <c r="G568" s="217">
        <v>32000.0</v>
      </c>
      <c r="H568" s="216"/>
      <c r="I568" s="216"/>
      <c r="J568" s="216"/>
      <c r="K568" s="216"/>
      <c r="L568" s="217">
        <v>32000.0</v>
      </c>
      <c r="M568" s="217" t="s">
        <v>359</v>
      </c>
      <c r="N568" s="217" t="s">
        <v>354</v>
      </c>
      <c r="O568" s="217">
        <v>292.0</v>
      </c>
      <c r="P568" s="217" t="s">
        <v>538</v>
      </c>
      <c r="Q568" s="216"/>
      <c r="R568" s="216"/>
      <c r="S568" s="216"/>
      <c r="T568" s="216"/>
      <c r="U568" s="216"/>
      <c r="V568" s="216"/>
      <c r="W568" s="216"/>
      <c r="X568" s="216"/>
    </row>
    <row r="569" ht="15.75" hidden="1" customHeight="1">
      <c r="A569" s="217" t="s">
        <v>467</v>
      </c>
      <c r="B569" s="217" t="s">
        <v>543</v>
      </c>
      <c r="C569" s="219" t="s">
        <v>31</v>
      </c>
      <c r="D569" s="216"/>
      <c r="E569" s="216"/>
      <c r="F569" s="216"/>
      <c r="G569" s="217">
        <v>6378.42</v>
      </c>
      <c r="H569" s="216"/>
      <c r="I569" s="216"/>
      <c r="J569" s="216"/>
      <c r="K569" s="216"/>
      <c r="L569" s="217">
        <v>6378.42</v>
      </c>
      <c r="M569" s="217" t="s">
        <v>359</v>
      </c>
      <c r="N569" s="217" t="s">
        <v>354</v>
      </c>
      <c r="O569" s="217">
        <v>269.0</v>
      </c>
      <c r="P569" s="217" t="s">
        <v>467</v>
      </c>
      <c r="Q569" s="216"/>
      <c r="R569" s="216"/>
      <c r="S569" s="216"/>
      <c r="T569" s="216"/>
      <c r="U569" s="216"/>
      <c r="V569" s="216"/>
      <c r="W569" s="216"/>
      <c r="X569" s="216"/>
    </row>
    <row r="570" ht="15.75" hidden="1" customHeight="1">
      <c r="A570" s="217" t="s">
        <v>467</v>
      </c>
      <c r="B570" s="217" t="s">
        <v>543</v>
      </c>
      <c r="C570" s="219" t="s">
        <v>31</v>
      </c>
      <c r="D570" s="216"/>
      <c r="E570" s="216"/>
      <c r="F570" s="216"/>
      <c r="G570" s="217">
        <v>4212.0</v>
      </c>
      <c r="H570" s="216"/>
      <c r="I570" s="216"/>
      <c r="J570" s="216"/>
      <c r="K570" s="216"/>
      <c r="L570" s="217">
        <v>4212.0</v>
      </c>
      <c r="M570" s="217" t="s">
        <v>359</v>
      </c>
      <c r="N570" s="217" t="s">
        <v>354</v>
      </c>
      <c r="O570" s="217">
        <v>294.0</v>
      </c>
      <c r="P570" s="217" t="s">
        <v>467</v>
      </c>
      <c r="Q570" s="216"/>
      <c r="R570" s="216"/>
      <c r="S570" s="216"/>
      <c r="T570" s="216"/>
      <c r="U570" s="216"/>
      <c r="V570" s="216"/>
      <c r="W570" s="216"/>
      <c r="X570" s="216"/>
    </row>
    <row r="571" ht="15.75" hidden="1" customHeight="1">
      <c r="A571" s="219" t="s">
        <v>465</v>
      </c>
      <c r="B571" s="217" t="s">
        <v>466</v>
      </c>
      <c r="C571" s="219" t="s">
        <v>20</v>
      </c>
      <c r="D571" s="219" t="s">
        <v>21</v>
      </c>
      <c r="E571" s="216"/>
      <c r="F571" s="216"/>
      <c r="G571" s="217">
        <v>14762.0</v>
      </c>
      <c r="H571" s="216"/>
      <c r="I571" s="216"/>
      <c r="J571" s="216"/>
      <c r="K571" s="216"/>
      <c r="L571" s="217">
        <v>14762.0</v>
      </c>
      <c r="M571" s="217" t="s">
        <v>359</v>
      </c>
      <c r="N571" s="217" t="s">
        <v>354</v>
      </c>
      <c r="O571" s="217">
        <v>294.0</v>
      </c>
      <c r="P571" s="217" t="s">
        <v>467</v>
      </c>
      <c r="Q571" s="216"/>
      <c r="R571" s="216"/>
      <c r="S571" s="216"/>
      <c r="T571" s="216"/>
      <c r="U571" s="216"/>
      <c r="V571" s="216"/>
      <c r="W571" s="216"/>
      <c r="X571" s="216"/>
    </row>
    <row r="572" ht="15.75" hidden="1" customHeight="1">
      <c r="A572" s="217" t="s">
        <v>465</v>
      </c>
      <c r="B572" s="217" t="s">
        <v>466</v>
      </c>
      <c r="C572" s="219" t="s">
        <v>20</v>
      </c>
      <c r="D572" s="219" t="s">
        <v>21</v>
      </c>
      <c r="E572" s="216"/>
      <c r="F572" s="216"/>
      <c r="G572" s="217">
        <v>583.4</v>
      </c>
      <c r="H572" s="216"/>
      <c r="I572" s="216"/>
      <c r="J572" s="216"/>
      <c r="K572" s="216"/>
      <c r="L572" s="217">
        <v>583.4</v>
      </c>
      <c r="M572" s="217" t="s">
        <v>359</v>
      </c>
      <c r="N572" s="217" t="s">
        <v>354</v>
      </c>
      <c r="O572" s="217">
        <v>294.0</v>
      </c>
      <c r="P572" s="217" t="s">
        <v>467</v>
      </c>
      <c r="Q572" s="216"/>
      <c r="R572" s="216"/>
      <c r="S572" s="216"/>
      <c r="T572" s="216"/>
      <c r="U572" s="216"/>
      <c r="V572" s="216"/>
      <c r="W572" s="216"/>
      <c r="X572" s="216"/>
    </row>
    <row r="573" ht="15.75" hidden="1" customHeight="1">
      <c r="A573" s="217" t="s">
        <v>465</v>
      </c>
      <c r="B573" s="217" t="s">
        <v>468</v>
      </c>
      <c r="C573" s="219" t="s">
        <v>20</v>
      </c>
      <c r="D573" s="219" t="s">
        <v>21</v>
      </c>
      <c r="E573" s="216"/>
      <c r="F573" s="216"/>
      <c r="G573" s="217">
        <v>7029.5</v>
      </c>
      <c r="H573" s="216"/>
      <c r="I573" s="216"/>
      <c r="J573" s="216"/>
      <c r="K573" s="216"/>
      <c r="L573" s="217">
        <v>7029.5</v>
      </c>
      <c r="M573" s="217" t="s">
        <v>359</v>
      </c>
      <c r="N573" s="217" t="s">
        <v>354</v>
      </c>
      <c r="O573" s="217">
        <v>294.0</v>
      </c>
      <c r="P573" s="217" t="s">
        <v>467</v>
      </c>
      <c r="Q573" s="216"/>
      <c r="R573" s="216"/>
      <c r="S573" s="216"/>
      <c r="T573" s="216"/>
      <c r="U573" s="216"/>
      <c r="V573" s="216"/>
      <c r="W573" s="216"/>
      <c r="X573" s="216"/>
    </row>
    <row r="574" ht="15.75" hidden="1" customHeight="1">
      <c r="A574" s="217" t="s">
        <v>536</v>
      </c>
      <c r="B574" s="217" t="s">
        <v>504</v>
      </c>
      <c r="C574" s="222" t="s">
        <v>66</v>
      </c>
      <c r="D574" s="216"/>
      <c r="E574" s="216"/>
      <c r="F574" s="216"/>
      <c r="G574" s="217">
        <v>400.0</v>
      </c>
      <c r="H574" s="216"/>
      <c r="I574" s="216"/>
      <c r="J574" s="216"/>
      <c r="K574" s="216"/>
      <c r="L574" s="217">
        <v>400.0</v>
      </c>
      <c r="M574" s="217" t="s">
        <v>486</v>
      </c>
      <c r="N574" s="217" t="s">
        <v>408</v>
      </c>
      <c r="O574" s="217">
        <v>4.0</v>
      </c>
      <c r="P574" s="217" t="s">
        <v>459</v>
      </c>
      <c r="Q574" s="216"/>
      <c r="R574" s="216"/>
      <c r="S574" s="216"/>
      <c r="T574" s="216"/>
      <c r="U574" s="216"/>
      <c r="V574" s="216"/>
      <c r="W574" s="216"/>
      <c r="X574" s="216"/>
    </row>
    <row r="575" ht="15.75" hidden="1" customHeight="1">
      <c r="A575" s="217" t="s">
        <v>483</v>
      </c>
      <c r="B575" s="217" t="s">
        <v>491</v>
      </c>
      <c r="C575" s="217" t="s">
        <v>31</v>
      </c>
      <c r="D575" s="216"/>
      <c r="E575" s="216"/>
      <c r="F575" s="216"/>
      <c r="G575" s="217">
        <v>272.02</v>
      </c>
      <c r="H575" s="216"/>
      <c r="I575" s="216"/>
      <c r="J575" s="216"/>
      <c r="K575" s="216"/>
      <c r="L575" s="217">
        <v>272.02</v>
      </c>
      <c r="M575" s="217" t="s">
        <v>486</v>
      </c>
      <c r="N575" s="217" t="s">
        <v>408</v>
      </c>
      <c r="O575" s="217">
        <v>200.0</v>
      </c>
      <c r="P575" s="217" t="s">
        <v>459</v>
      </c>
      <c r="Q575" s="216"/>
      <c r="R575" s="216"/>
      <c r="S575" s="216"/>
      <c r="T575" s="216"/>
      <c r="U575" s="216"/>
      <c r="V575" s="216"/>
      <c r="W575" s="216"/>
      <c r="X575" s="216"/>
    </row>
    <row r="576" ht="15.75" hidden="1" customHeight="1">
      <c r="A576" s="217" t="s">
        <v>483</v>
      </c>
      <c r="B576" s="217" t="s">
        <v>502</v>
      </c>
      <c r="C576" s="217" t="s">
        <v>31</v>
      </c>
      <c r="D576" s="216"/>
      <c r="E576" s="216"/>
      <c r="F576" s="216"/>
      <c r="G576" s="217">
        <v>0.01</v>
      </c>
      <c r="H576" s="216"/>
      <c r="I576" s="216"/>
      <c r="J576" s="216"/>
      <c r="K576" s="216"/>
      <c r="L576" s="217">
        <v>0.01</v>
      </c>
      <c r="M576" s="217" t="s">
        <v>407</v>
      </c>
      <c r="N576" s="217" t="s">
        <v>408</v>
      </c>
      <c r="O576" s="217">
        <v>27.0</v>
      </c>
      <c r="P576" s="217" t="s">
        <v>459</v>
      </c>
      <c r="Q576" s="216"/>
      <c r="R576" s="216"/>
      <c r="S576" s="216"/>
      <c r="T576" s="216"/>
      <c r="U576" s="216"/>
      <c r="V576" s="216"/>
      <c r="W576" s="216"/>
      <c r="X576" s="216"/>
    </row>
    <row r="577" ht="15.75" hidden="1" customHeight="1">
      <c r="A577" s="217" t="s">
        <v>389</v>
      </c>
      <c r="B577" s="217" t="s">
        <v>503</v>
      </c>
      <c r="C577" s="217" t="s">
        <v>20</v>
      </c>
      <c r="D577" s="216"/>
      <c r="E577" s="216"/>
      <c r="F577" s="216"/>
      <c r="G577" s="217">
        <v>14252.68</v>
      </c>
      <c r="H577" s="216"/>
      <c r="I577" s="216"/>
      <c r="J577" s="216"/>
      <c r="K577" s="216"/>
      <c r="L577" s="217">
        <v>14252.68</v>
      </c>
      <c r="M577" s="217" t="s">
        <v>407</v>
      </c>
      <c r="N577" s="217" t="s">
        <v>408</v>
      </c>
      <c r="O577" s="217">
        <v>28.0</v>
      </c>
      <c r="P577" s="217" t="s">
        <v>459</v>
      </c>
      <c r="Q577" s="216"/>
      <c r="R577" s="216"/>
      <c r="S577" s="216"/>
      <c r="T577" s="216"/>
      <c r="U577" s="216"/>
      <c r="V577" s="216"/>
      <c r="W577" s="216"/>
      <c r="X577" s="216"/>
    </row>
    <row r="578" ht="15.75" hidden="1" customHeight="1">
      <c r="A578" s="217" t="s">
        <v>455</v>
      </c>
      <c r="B578" s="217" t="s">
        <v>503</v>
      </c>
      <c r="C578" s="217" t="s">
        <v>457</v>
      </c>
      <c r="D578" s="216"/>
      <c r="E578" s="216"/>
      <c r="F578" s="216"/>
      <c r="G578" s="217">
        <v>1849.04</v>
      </c>
      <c r="H578" s="216"/>
      <c r="I578" s="216"/>
      <c r="J578" s="216"/>
      <c r="K578" s="216"/>
      <c r="L578" s="217">
        <v>1849.04</v>
      </c>
      <c r="M578" s="217" t="s">
        <v>458</v>
      </c>
      <c r="N578" s="217" t="s">
        <v>408</v>
      </c>
      <c r="O578" s="217">
        <v>78.0</v>
      </c>
      <c r="P578" s="217" t="s">
        <v>459</v>
      </c>
      <c r="Q578" s="216"/>
      <c r="R578" s="216"/>
      <c r="S578" s="216"/>
      <c r="T578" s="216"/>
      <c r="U578" s="216"/>
      <c r="V578" s="216"/>
      <c r="W578" s="216"/>
      <c r="X578" s="216"/>
    </row>
    <row r="579" ht="15.75" hidden="1" customHeight="1">
      <c r="A579" s="217" t="s">
        <v>455</v>
      </c>
      <c r="B579" s="217" t="s">
        <v>499</v>
      </c>
      <c r="C579" s="217" t="s">
        <v>457</v>
      </c>
      <c r="D579" s="216"/>
      <c r="E579" s="216"/>
      <c r="F579" s="216"/>
      <c r="G579" s="217">
        <v>428.0</v>
      </c>
      <c r="H579" s="216"/>
      <c r="I579" s="216"/>
      <c r="J579" s="216"/>
      <c r="K579" s="216"/>
      <c r="L579" s="217">
        <v>428.0</v>
      </c>
      <c r="M579" s="217" t="s">
        <v>460</v>
      </c>
      <c r="N579" s="217" t="s">
        <v>408</v>
      </c>
      <c r="O579" s="217">
        <v>95.0</v>
      </c>
      <c r="P579" s="217" t="s">
        <v>459</v>
      </c>
      <c r="Q579" s="216"/>
      <c r="R579" s="216"/>
      <c r="S579" s="216"/>
      <c r="T579" s="216"/>
      <c r="U579" s="216"/>
      <c r="V579" s="216"/>
      <c r="W579" s="216"/>
      <c r="X579" s="216"/>
    </row>
    <row r="580" ht="15.75" hidden="1" customHeight="1">
      <c r="A580" s="217" t="s">
        <v>483</v>
      </c>
      <c r="B580" s="217" t="s">
        <v>503</v>
      </c>
      <c r="C580" s="217" t="s">
        <v>31</v>
      </c>
      <c r="D580" s="216"/>
      <c r="E580" s="216"/>
      <c r="F580" s="216"/>
      <c r="G580" s="217">
        <v>1256.54</v>
      </c>
      <c r="H580" s="216"/>
      <c r="I580" s="216"/>
      <c r="J580" s="216"/>
      <c r="K580" s="216"/>
      <c r="L580" s="217">
        <v>1256.54</v>
      </c>
      <c r="M580" s="217" t="s">
        <v>498</v>
      </c>
      <c r="N580" s="217" t="s">
        <v>408</v>
      </c>
      <c r="O580" s="217">
        <v>234.0</v>
      </c>
      <c r="P580" s="217" t="s">
        <v>459</v>
      </c>
      <c r="Q580" s="216"/>
      <c r="R580" s="216"/>
      <c r="S580" s="216"/>
      <c r="T580" s="216"/>
      <c r="U580" s="216"/>
      <c r="V580" s="216"/>
      <c r="W580" s="216"/>
      <c r="X580" s="216"/>
    </row>
    <row r="581" ht="15.75" hidden="1" customHeight="1">
      <c r="A581" s="217" t="s">
        <v>455</v>
      </c>
      <c r="B581" s="217" t="s">
        <v>1361</v>
      </c>
      <c r="C581" s="217" t="s">
        <v>457</v>
      </c>
      <c r="D581" s="216"/>
      <c r="E581" s="216"/>
      <c r="F581" s="216"/>
      <c r="G581" s="217">
        <v>4958.17</v>
      </c>
      <c r="H581" s="216"/>
      <c r="I581" s="216"/>
      <c r="J581" s="216"/>
      <c r="K581" s="216"/>
      <c r="L581" s="217">
        <v>4958.17</v>
      </c>
      <c r="M581" s="217" t="s">
        <v>411</v>
      </c>
      <c r="N581" s="217" t="s">
        <v>408</v>
      </c>
      <c r="O581" s="217">
        <v>222.0</v>
      </c>
      <c r="P581" s="217" t="s">
        <v>459</v>
      </c>
      <c r="Q581" s="216"/>
      <c r="R581" s="216"/>
      <c r="S581" s="216"/>
      <c r="T581" s="216"/>
      <c r="U581" s="216"/>
      <c r="V581" s="216"/>
      <c r="W581" s="216"/>
      <c r="X581" s="216"/>
    </row>
    <row r="582" ht="15.75" hidden="1" customHeight="1">
      <c r="A582" s="217" t="s">
        <v>483</v>
      </c>
      <c r="B582" s="217" t="s">
        <v>480</v>
      </c>
      <c r="C582" s="217" t="s">
        <v>31</v>
      </c>
      <c r="D582" s="216"/>
      <c r="E582" s="216"/>
      <c r="F582" s="216"/>
      <c r="G582" s="217">
        <v>1121.46</v>
      </c>
      <c r="H582" s="216"/>
      <c r="I582" s="216"/>
      <c r="J582" s="216"/>
      <c r="K582" s="216"/>
      <c r="L582" s="217">
        <v>1121.46</v>
      </c>
      <c r="M582" s="217" t="s">
        <v>414</v>
      </c>
      <c r="N582" s="217" t="s">
        <v>408</v>
      </c>
      <c r="O582" s="217">
        <v>242.0</v>
      </c>
      <c r="P582" s="217" t="s">
        <v>459</v>
      </c>
      <c r="Q582" s="216"/>
      <c r="R582" s="216"/>
      <c r="S582" s="216"/>
      <c r="T582" s="216"/>
      <c r="U582" s="216"/>
      <c r="V582" s="216"/>
      <c r="W582" s="216"/>
      <c r="X582" s="216"/>
    </row>
    <row r="583" ht="15.75" hidden="1" customHeight="1">
      <c r="A583" s="217" t="s">
        <v>479</v>
      </c>
      <c r="B583" s="217" t="s">
        <v>480</v>
      </c>
      <c r="C583" s="219" t="s">
        <v>20</v>
      </c>
      <c r="D583" s="219" t="s">
        <v>21</v>
      </c>
      <c r="E583" s="216"/>
      <c r="F583" s="216"/>
      <c r="G583" s="217">
        <v>1614.2</v>
      </c>
      <c r="H583" s="216"/>
      <c r="I583" s="216"/>
      <c r="J583" s="216"/>
      <c r="K583" s="216"/>
      <c r="L583" s="217">
        <v>1614.2</v>
      </c>
      <c r="M583" s="217" t="s">
        <v>359</v>
      </c>
      <c r="N583" s="217" t="s">
        <v>354</v>
      </c>
      <c r="O583" s="217">
        <v>285.0</v>
      </c>
      <c r="P583" s="217" t="s">
        <v>479</v>
      </c>
      <c r="Q583" s="216"/>
      <c r="R583" s="216"/>
      <c r="S583" s="216"/>
      <c r="T583" s="216"/>
      <c r="U583" s="216"/>
      <c r="V583" s="216"/>
      <c r="W583" s="216"/>
      <c r="X583" s="216"/>
    </row>
    <row r="584" ht="15.75" hidden="1" customHeight="1">
      <c r="A584" s="217" t="s">
        <v>479</v>
      </c>
      <c r="B584" s="217" t="s">
        <v>480</v>
      </c>
      <c r="C584" s="219" t="s">
        <v>20</v>
      </c>
      <c r="D584" s="219" t="s">
        <v>21</v>
      </c>
      <c r="E584" s="216"/>
      <c r="F584" s="216"/>
      <c r="G584" s="217">
        <v>8686.68</v>
      </c>
      <c r="H584" s="216"/>
      <c r="I584" s="216"/>
      <c r="J584" s="216"/>
      <c r="K584" s="216"/>
      <c r="L584" s="217">
        <v>8686.68</v>
      </c>
      <c r="M584" s="217" t="s">
        <v>359</v>
      </c>
      <c r="N584" s="217" t="s">
        <v>354</v>
      </c>
      <c r="O584" s="217">
        <v>285.0</v>
      </c>
      <c r="P584" s="217" t="s">
        <v>479</v>
      </c>
      <c r="Q584" s="216"/>
      <c r="R584" s="216"/>
      <c r="S584" s="216"/>
      <c r="T584" s="216"/>
      <c r="U584" s="216"/>
      <c r="V584" s="216"/>
      <c r="W584" s="216"/>
      <c r="X584" s="216"/>
    </row>
    <row r="585" ht="15.75" hidden="1" customHeight="1">
      <c r="A585" s="217" t="s">
        <v>479</v>
      </c>
      <c r="B585" s="217" t="s">
        <v>480</v>
      </c>
      <c r="C585" s="219" t="s">
        <v>20</v>
      </c>
      <c r="D585" s="219" t="s">
        <v>21</v>
      </c>
      <c r="E585" s="216"/>
      <c r="F585" s="216"/>
      <c r="G585" s="217">
        <v>12420.34</v>
      </c>
      <c r="H585" s="216"/>
      <c r="I585" s="216"/>
      <c r="J585" s="216"/>
      <c r="K585" s="216"/>
      <c r="L585" s="217">
        <v>12420.34</v>
      </c>
      <c r="M585" s="217" t="s">
        <v>359</v>
      </c>
      <c r="N585" s="217" t="s">
        <v>354</v>
      </c>
      <c r="O585" s="217">
        <v>285.0</v>
      </c>
      <c r="P585" s="217" t="s">
        <v>479</v>
      </c>
      <c r="Q585" s="216"/>
      <c r="R585" s="216"/>
      <c r="S585" s="216"/>
      <c r="T585" s="216"/>
      <c r="U585" s="216"/>
      <c r="V585" s="216"/>
      <c r="W585" s="216"/>
      <c r="X585" s="216"/>
    </row>
    <row r="586" ht="15.75" hidden="1" customHeight="1">
      <c r="A586" s="217" t="s">
        <v>479</v>
      </c>
      <c r="B586" s="217" t="s">
        <v>480</v>
      </c>
      <c r="C586" s="219" t="s">
        <v>20</v>
      </c>
      <c r="D586" s="219" t="s">
        <v>21</v>
      </c>
      <c r="E586" s="216"/>
      <c r="F586" s="216"/>
      <c r="G586" s="217">
        <v>14372.07</v>
      </c>
      <c r="H586" s="216"/>
      <c r="I586" s="216"/>
      <c r="J586" s="216"/>
      <c r="K586" s="216"/>
      <c r="L586" s="217">
        <v>14372.07</v>
      </c>
      <c r="M586" s="217" t="s">
        <v>359</v>
      </c>
      <c r="N586" s="217" t="s">
        <v>354</v>
      </c>
      <c r="O586" s="217">
        <v>285.0</v>
      </c>
      <c r="P586" s="217" t="s">
        <v>479</v>
      </c>
      <c r="Q586" s="216"/>
      <c r="R586" s="216"/>
      <c r="S586" s="216"/>
      <c r="T586" s="216"/>
      <c r="U586" s="216"/>
      <c r="V586" s="216"/>
      <c r="W586" s="216"/>
      <c r="X586" s="216"/>
    </row>
    <row r="587" ht="15.75" hidden="1" customHeight="1">
      <c r="A587" s="217" t="s">
        <v>479</v>
      </c>
      <c r="B587" s="217" t="s">
        <v>481</v>
      </c>
      <c r="C587" s="219" t="s">
        <v>20</v>
      </c>
      <c r="D587" s="219" t="s">
        <v>21</v>
      </c>
      <c r="E587" s="216"/>
      <c r="F587" s="216"/>
      <c r="G587" s="217">
        <v>15416.65</v>
      </c>
      <c r="H587" s="216"/>
      <c r="I587" s="216"/>
      <c r="J587" s="216"/>
      <c r="K587" s="216"/>
      <c r="L587" s="217">
        <v>15416.65</v>
      </c>
      <c r="M587" s="217" t="s">
        <v>359</v>
      </c>
      <c r="N587" s="217" t="s">
        <v>354</v>
      </c>
      <c r="O587" s="217">
        <v>285.0</v>
      </c>
      <c r="P587" s="217" t="s">
        <v>479</v>
      </c>
      <c r="Q587" s="216"/>
      <c r="R587" s="216"/>
      <c r="S587" s="216"/>
      <c r="T587" s="216"/>
      <c r="U587" s="216"/>
      <c r="V587" s="216"/>
      <c r="W587" s="216"/>
      <c r="X587" s="216"/>
    </row>
    <row r="588" ht="15.75" hidden="1" customHeight="1">
      <c r="A588" s="217" t="s">
        <v>437</v>
      </c>
      <c r="B588" s="217" t="s">
        <v>439</v>
      </c>
      <c r="C588" s="217" t="s">
        <v>20</v>
      </c>
      <c r="D588" s="219" t="s">
        <v>21</v>
      </c>
      <c r="E588" s="216"/>
      <c r="F588" s="216"/>
      <c r="G588" s="217">
        <v>8000.0</v>
      </c>
      <c r="H588" s="216"/>
      <c r="I588" s="216"/>
      <c r="J588" s="216"/>
      <c r="K588" s="216"/>
      <c r="L588" s="217">
        <v>8000.0</v>
      </c>
      <c r="M588" s="217" t="s">
        <v>359</v>
      </c>
      <c r="N588" s="217" t="s">
        <v>354</v>
      </c>
      <c r="O588" s="217">
        <v>278.0</v>
      </c>
      <c r="P588" s="217" t="s">
        <v>437</v>
      </c>
      <c r="Q588" s="216"/>
      <c r="R588" s="216"/>
      <c r="S588" s="216"/>
      <c r="T588" s="216"/>
      <c r="U588" s="216"/>
      <c r="V588" s="216"/>
      <c r="W588" s="216"/>
      <c r="X588" s="216"/>
    </row>
    <row r="589" ht="15.75" hidden="1" customHeight="1">
      <c r="A589" s="217" t="s">
        <v>437</v>
      </c>
      <c r="B589" s="217" t="s">
        <v>441</v>
      </c>
      <c r="C589" s="217" t="s">
        <v>20</v>
      </c>
      <c r="D589" s="219" t="s">
        <v>21</v>
      </c>
      <c r="E589" s="216"/>
      <c r="F589" s="216"/>
      <c r="G589" s="217">
        <v>24124.7</v>
      </c>
      <c r="H589" s="216"/>
      <c r="I589" s="216"/>
      <c r="J589" s="216"/>
      <c r="K589" s="216"/>
      <c r="L589" s="217">
        <v>24124.7</v>
      </c>
      <c r="M589" s="217" t="s">
        <v>359</v>
      </c>
      <c r="N589" s="217" t="s">
        <v>354</v>
      </c>
      <c r="O589" s="217">
        <v>278.0</v>
      </c>
      <c r="P589" s="217" t="s">
        <v>437</v>
      </c>
      <c r="Q589" s="216"/>
      <c r="R589" s="216"/>
      <c r="S589" s="216"/>
      <c r="T589" s="216"/>
      <c r="U589" s="216"/>
      <c r="V589" s="216"/>
      <c r="W589" s="216"/>
      <c r="X589" s="216"/>
    </row>
    <row r="590" ht="15.75" hidden="1" customHeight="1">
      <c r="A590" s="217" t="s">
        <v>440</v>
      </c>
      <c r="B590" s="217" t="s">
        <v>461</v>
      </c>
      <c r="C590" s="219" t="s">
        <v>20</v>
      </c>
      <c r="D590" s="219" t="s">
        <v>21</v>
      </c>
      <c r="E590" s="216"/>
      <c r="F590" s="216"/>
      <c r="G590" s="217">
        <v>8208.0</v>
      </c>
      <c r="H590" s="216"/>
      <c r="I590" s="216"/>
      <c r="J590" s="216"/>
      <c r="K590" s="216"/>
      <c r="L590" s="217">
        <v>8208.0</v>
      </c>
      <c r="M590" s="217" t="s">
        <v>359</v>
      </c>
      <c r="N590" s="217" t="s">
        <v>354</v>
      </c>
      <c r="O590" s="217">
        <v>278.0</v>
      </c>
      <c r="P590" s="217" t="s">
        <v>437</v>
      </c>
      <c r="Q590" s="216"/>
      <c r="R590" s="216"/>
      <c r="S590" s="216"/>
      <c r="T590" s="216"/>
      <c r="U590" s="216"/>
      <c r="V590" s="216"/>
      <c r="W590" s="216"/>
      <c r="X590" s="216"/>
    </row>
    <row r="591" ht="15.75" hidden="1" customHeight="1">
      <c r="A591" s="217" t="s">
        <v>451</v>
      </c>
      <c r="B591" s="217" t="s">
        <v>461</v>
      </c>
      <c r="C591" s="219" t="s">
        <v>20</v>
      </c>
      <c r="D591" s="219" t="s">
        <v>21</v>
      </c>
      <c r="E591" s="216"/>
      <c r="F591" s="216"/>
      <c r="G591" s="217">
        <v>689.66</v>
      </c>
      <c r="H591" s="216"/>
      <c r="I591" s="216"/>
      <c r="J591" s="216"/>
      <c r="K591" s="216"/>
      <c r="L591" s="217">
        <v>689.66</v>
      </c>
      <c r="M591" s="217" t="s">
        <v>359</v>
      </c>
      <c r="N591" s="217" t="s">
        <v>354</v>
      </c>
      <c r="O591" s="217">
        <v>278.0</v>
      </c>
      <c r="P591" s="217" t="s">
        <v>437</v>
      </c>
      <c r="Q591" s="216"/>
      <c r="R591" s="216"/>
      <c r="S591" s="216"/>
      <c r="T591" s="216"/>
      <c r="U591" s="216"/>
      <c r="V591" s="216"/>
      <c r="W591" s="216"/>
      <c r="X591" s="216"/>
    </row>
    <row r="592" ht="15.75" hidden="1" customHeight="1">
      <c r="A592" s="217" t="s">
        <v>451</v>
      </c>
      <c r="B592" s="217" t="s">
        <v>461</v>
      </c>
      <c r="C592" s="219" t="s">
        <v>20</v>
      </c>
      <c r="D592" s="219" t="s">
        <v>21</v>
      </c>
      <c r="E592" s="216"/>
      <c r="F592" s="216"/>
      <c r="G592" s="217">
        <v>900.0</v>
      </c>
      <c r="H592" s="216"/>
      <c r="I592" s="216"/>
      <c r="J592" s="216"/>
      <c r="K592" s="216"/>
      <c r="L592" s="217">
        <v>900.0</v>
      </c>
      <c r="M592" s="217" t="s">
        <v>359</v>
      </c>
      <c r="N592" s="217" t="s">
        <v>354</v>
      </c>
      <c r="O592" s="217">
        <v>278.0</v>
      </c>
      <c r="P592" s="217" t="s">
        <v>437</v>
      </c>
      <c r="Q592" s="216"/>
      <c r="R592" s="216"/>
      <c r="S592" s="216"/>
      <c r="T592" s="216"/>
      <c r="U592" s="216"/>
      <c r="V592" s="216"/>
      <c r="W592" s="216"/>
      <c r="X592" s="216"/>
    </row>
    <row r="593" ht="15.75" hidden="1" customHeight="1">
      <c r="A593" s="217" t="s">
        <v>451</v>
      </c>
      <c r="B593" s="217" t="s">
        <v>461</v>
      </c>
      <c r="C593" s="219" t="s">
        <v>20</v>
      </c>
      <c r="D593" s="219" t="s">
        <v>21</v>
      </c>
      <c r="E593" s="216"/>
      <c r="F593" s="216"/>
      <c r="G593" s="217">
        <v>1000.0</v>
      </c>
      <c r="H593" s="216"/>
      <c r="I593" s="216"/>
      <c r="J593" s="216"/>
      <c r="K593" s="216"/>
      <c r="L593" s="217">
        <v>1000.0</v>
      </c>
      <c r="M593" s="217" t="s">
        <v>359</v>
      </c>
      <c r="N593" s="217" t="s">
        <v>354</v>
      </c>
      <c r="O593" s="217">
        <v>278.0</v>
      </c>
      <c r="P593" s="217" t="s">
        <v>437</v>
      </c>
      <c r="Q593" s="216"/>
      <c r="R593" s="216"/>
      <c r="S593" s="216"/>
      <c r="T593" s="216"/>
      <c r="U593" s="216"/>
      <c r="V593" s="216"/>
      <c r="W593" s="216"/>
      <c r="X593" s="216"/>
    </row>
    <row r="594" ht="15.75" hidden="1" customHeight="1">
      <c r="A594" s="217" t="s">
        <v>451</v>
      </c>
      <c r="B594" s="217" t="s">
        <v>442</v>
      </c>
      <c r="C594" s="219" t="s">
        <v>20</v>
      </c>
      <c r="D594" s="219" t="s">
        <v>21</v>
      </c>
      <c r="E594" s="216"/>
      <c r="F594" s="216"/>
      <c r="G594" s="217">
        <v>1000.0</v>
      </c>
      <c r="H594" s="216"/>
      <c r="I594" s="216"/>
      <c r="J594" s="216"/>
      <c r="K594" s="216"/>
      <c r="L594" s="217">
        <v>1000.0</v>
      </c>
      <c r="M594" s="217" t="s">
        <v>359</v>
      </c>
      <c r="N594" s="217" t="s">
        <v>354</v>
      </c>
      <c r="O594" s="217">
        <v>278.0</v>
      </c>
      <c r="P594" s="217" t="s">
        <v>437</v>
      </c>
      <c r="Q594" s="216"/>
      <c r="R594" s="216"/>
      <c r="S594" s="216"/>
      <c r="T594" s="216"/>
      <c r="U594" s="216"/>
      <c r="V594" s="216"/>
      <c r="W594" s="216"/>
      <c r="X594" s="216"/>
    </row>
    <row r="595" ht="15.75" hidden="1" customHeight="1">
      <c r="A595" s="217" t="s">
        <v>437</v>
      </c>
      <c r="B595" s="217" t="s">
        <v>442</v>
      </c>
      <c r="C595" s="217" t="s">
        <v>20</v>
      </c>
      <c r="D595" s="219" t="s">
        <v>21</v>
      </c>
      <c r="E595" s="216"/>
      <c r="F595" s="216"/>
      <c r="G595" s="217">
        <v>14000.0</v>
      </c>
      <c r="H595" s="216"/>
      <c r="I595" s="216"/>
      <c r="J595" s="216"/>
      <c r="K595" s="216"/>
      <c r="L595" s="217">
        <v>14000.0</v>
      </c>
      <c r="M595" s="217" t="s">
        <v>359</v>
      </c>
      <c r="N595" s="217" t="s">
        <v>354</v>
      </c>
      <c r="O595" s="217">
        <v>278.0</v>
      </c>
      <c r="P595" s="217" t="s">
        <v>437</v>
      </c>
      <c r="Q595" s="216"/>
      <c r="R595" s="216"/>
      <c r="S595" s="216"/>
      <c r="T595" s="216"/>
      <c r="U595" s="216"/>
      <c r="V595" s="216"/>
      <c r="W595" s="216"/>
      <c r="X595" s="216"/>
    </row>
    <row r="596" ht="15.75" hidden="1" customHeight="1">
      <c r="A596" s="217" t="s">
        <v>437</v>
      </c>
      <c r="B596" s="217" t="s">
        <v>518</v>
      </c>
      <c r="C596" s="217" t="s">
        <v>20</v>
      </c>
      <c r="D596" s="219" t="s">
        <v>21</v>
      </c>
      <c r="E596" s="216"/>
      <c r="F596" s="216"/>
      <c r="G596" s="217">
        <v>18500.0</v>
      </c>
      <c r="H596" s="216"/>
      <c r="I596" s="216"/>
      <c r="J596" s="216"/>
      <c r="K596" s="216"/>
      <c r="L596" s="217">
        <v>18500.0</v>
      </c>
      <c r="M596" s="217" t="s">
        <v>359</v>
      </c>
      <c r="N596" s="217" t="s">
        <v>354</v>
      </c>
      <c r="O596" s="217">
        <v>278.0</v>
      </c>
      <c r="P596" s="217" t="s">
        <v>437</v>
      </c>
      <c r="Q596" s="216"/>
      <c r="R596" s="216"/>
      <c r="S596" s="216"/>
      <c r="T596" s="216"/>
      <c r="U596" s="216"/>
      <c r="V596" s="216"/>
      <c r="W596" s="216"/>
      <c r="X596" s="216"/>
    </row>
    <row r="597" ht="15.75" hidden="1" customHeight="1">
      <c r="A597" s="217" t="s">
        <v>440</v>
      </c>
      <c r="B597" s="217" t="s">
        <v>518</v>
      </c>
      <c r="C597" s="219" t="s">
        <v>31</v>
      </c>
      <c r="D597" s="219" t="s">
        <v>54</v>
      </c>
      <c r="E597" s="216"/>
      <c r="F597" s="216"/>
      <c r="G597" s="217">
        <v>14595.06</v>
      </c>
      <c r="H597" s="216"/>
      <c r="I597" s="216"/>
      <c r="J597" s="216"/>
      <c r="K597" s="216"/>
      <c r="L597" s="217">
        <v>14595.06</v>
      </c>
      <c r="M597" s="217" t="s">
        <v>359</v>
      </c>
      <c r="N597" s="217" t="s">
        <v>354</v>
      </c>
      <c r="O597" s="217">
        <v>278.0</v>
      </c>
      <c r="P597" s="217" t="s">
        <v>437</v>
      </c>
      <c r="Q597" s="216"/>
      <c r="R597" s="216"/>
      <c r="S597" s="216"/>
      <c r="T597" s="216"/>
      <c r="U597" s="216"/>
      <c r="V597" s="216"/>
      <c r="W597" s="216"/>
      <c r="X597" s="216"/>
    </row>
    <row r="598" ht="15.75" hidden="1" customHeight="1">
      <c r="A598" s="217" t="s">
        <v>440</v>
      </c>
      <c r="B598" s="217" t="s">
        <v>443</v>
      </c>
      <c r="C598" s="219" t="s">
        <v>20</v>
      </c>
      <c r="D598" s="219" t="s">
        <v>21</v>
      </c>
      <c r="E598" s="216"/>
      <c r="F598" s="216"/>
      <c r="G598" s="217">
        <v>14595.06</v>
      </c>
      <c r="H598" s="216"/>
      <c r="I598" s="216"/>
      <c r="J598" s="216"/>
      <c r="K598" s="216"/>
      <c r="L598" s="217">
        <v>14595.06</v>
      </c>
      <c r="M598" s="217" t="s">
        <v>359</v>
      </c>
      <c r="N598" s="217" t="s">
        <v>354</v>
      </c>
      <c r="O598" s="217">
        <v>278.0</v>
      </c>
      <c r="P598" s="217" t="s">
        <v>437</v>
      </c>
      <c r="Q598" s="216"/>
      <c r="R598" s="216"/>
      <c r="S598" s="216"/>
      <c r="T598" s="216"/>
      <c r="U598" s="216"/>
      <c r="V598" s="216"/>
      <c r="W598" s="216"/>
      <c r="X598" s="216"/>
    </row>
    <row r="599" ht="15.75" hidden="1" customHeight="1">
      <c r="A599" s="217" t="s">
        <v>437</v>
      </c>
      <c r="B599" s="217" t="s">
        <v>443</v>
      </c>
      <c r="C599" s="217" t="s">
        <v>20</v>
      </c>
      <c r="D599" s="219" t="s">
        <v>21</v>
      </c>
      <c r="E599" s="216"/>
      <c r="F599" s="216"/>
      <c r="G599" s="217">
        <v>3097.23</v>
      </c>
      <c r="H599" s="216"/>
      <c r="I599" s="216"/>
      <c r="J599" s="216"/>
      <c r="K599" s="216"/>
      <c r="L599" s="217">
        <v>3097.23</v>
      </c>
      <c r="M599" s="217" t="s">
        <v>359</v>
      </c>
      <c r="N599" s="217" t="s">
        <v>354</v>
      </c>
      <c r="O599" s="217">
        <v>278.0</v>
      </c>
      <c r="P599" s="217" t="s">
        <v>437</v>
      </c>
      <c r="Q599" s="216"/>
      <c r="R599" s="216"/>
      <c r="S599" s="216"/>
      <c r="T599" s="216"/>
      <c r="U599" s="216"/>
      <c r="V599" s="216"/>
      <c r="W599" s="216"/>
      <c r="X599" s="216"/>
    </row>
    <row r="600" ht="15.75" hidden="1" customHeight="1">
      <c r="A600" s="217" t="s">
        <v>437</v>
      </c>
      <c r="B600" s="217" t="s">
        <v>443</v>
      </c>
      <c r="C600" s="217" t="s">
        <v>20</v>
      </c>
      <c r="D600" s="219" t="s">
        <v>21</v>
      </c>
      <c r="E600" s="216"/>
      <c r="F600" s="216"/>
      <c r="G600" s="217">
        <v>4386.83</v>
      </c>
      <c r="H600" s="216"/>
      <c r="I600" s="216"/>
      <c r="J600" s="216"/>
      <c r="K600" s="216"/>
      <c r="L600" s="217">
        <v>4386.83</v>
      </c>
      <c r="M600" s="217" t="s">
        <v>359</v>
      </c>
      <c r="N600" s="217" t="s">
        <v>354</v>
      </c>
      <c r="O600" s="217">
        <v>278.0</v>
      </c>
      <c r="P600" s="217" t="s">
        <v>437</v>
      </c>
      <c r="Q600" s="216"/>
      <c r="R600" s="216"/>
      <c r="S600" s="216"/>
      <c r="T600" s="216"/>
      <c r="U600" s="216"/>
      <c r="V600" s="216"/>
      <c r="W600" s="216"/>
      <c r="X600" s="216"/>
    </row>
    <row r="601" ht="15.75" hidden="1" customHeight="1">
      <c r="A601" s="217" t="s">
        <v>437</v>
      </c>
      <c r="B601" s="217" t="s">
        <v>444</v>
      </c>
      <c r="C601" s="217" t="s">
        <v>20</v>
      </c>
      <c r="D601" s="219" t="s">
        <v>21</v>
      </c>
      <c r="E601" s="216"/>
      <c r="F601" s="216"/>
      <c r="G601" s="217">
        <v>6000.0</v>
      </c>
      <c r="H601" s="216"/>
      <c r="I601" s="216"/>
      <c r="J601" s="216"/>
      <c r="K601" s="216"/>
      <c r="L601" s="217">
        <v>6000.0</v>
      </c>
      <c r="M601" s="217" t="s">
        <v>359</v>
      </c>
      <c r="N601" s="217" t="s">
        <v>354</v>
      </c>
      <c r="O601" s="217">
        <v>278.0</v>
      </c>
      <c r="P601" s="217" t="s">
        <v>437</v>
      </c>
      <c r="Q601" s="216"/>
      <c r="R601" s="216"/>
      <c r="S601" s="216"/>
      <c r="T601" s="216"/>
      <c r="U601" s="216"/>
      <c r="V601" s="216"/>
      <c r="W601" s="216"/>
      <c r="X601" s="216"/>
    </row>
    <row r="602" ht="15.75" hidden="1" customHeight="1">
      <c r="A602" s="217" t="s">
        <v>437</v>
      </c>
      <c r="B602" s="217" t="s">
        <v>445</v>
      </c>
      <c r="C602" s="217" t="s">
        <v>20</v>
      </c>
      <c r="D602" s="219" t="s">
        <v>21</v>
      </c>
      <c r="E602" s="216"/>
      <c r="F602" s="216"/>
      <c r="G602" s="217">
        <v>6500.0</v>
      </c>
      <c r="H602" s="216"/>
      <c r="I602" s="216"/>
      <c r="J602" s="216"/>
      <c r="K602" s="216"/>
      <c r="L602" s="217">
        <v>6500.0</v>
      </c>
      <c r="M602" s="217" t="s">
        <v>359</v>
      </c>
      <c r="N602" s="217" t="s">
        <v>354</v>
      </c>
      <c r="O602" s="217">
        <v>278.0</v>
      </c>
      <c r="P602" s="217" t="s">
        <v>437</v>
      </c>
      <c r="Q602" s="216"/>
      <c r="R602" s="216"/>
      <c r="S602" s="216"/>
      <c r="T602" s="216"/>
      <c r="U602" s="216"/>
      <c r="V602" s="216"/>
      <c r="W602" s="216"/>
      <c r="X602" s="216"/>
    </row>
    <row r="603" ht="15.75" hidden="1" customHeight="1">
      <c r="A603" s="217" t="s">
        <v>437</v>
      </c>
      <c r="B603" s="217" t="s">
        <v>446</v>
      </c>
      <c r="C603" s="217" t="s">
        <v>20</v>
      </c>
      <c r="D603" s="219" t="s">
        <v>21</v>
      </c>
      <c r="E603" s="216"/>
      <c r="F603" s="216"/>
      <c r="G603" s="217">
        <v>18000.0</v>
      </c>
      <c r="H603" s="216"/>
      <c r="I603" s="216"/>
      <c r="J603" s="216"/>
      <c r="K603" s="216"/>
      <c r="L603" s="217">
        <v>18000.0</v>
      </c>
      <c r="M603" s="217" t="s">
        <v>359</v>
      </c>
      <c r="N603" s="217" t="s">
        <v>354</v>
      </c>
      <c r="O603" s="217">
        <v>278.0</v>
      </c>
      <c r="P603" s="217" t="s">
        <v>437</v>
      </c>
      <c r="Q603" s="216"/>
      <c r="R603" s="216"/>
      <c r="S603" s="216"/>
      <c r="T603" s="216"/>
      <c r="U603" s="216"/>
      <c r="V603" s="216"/>
      <c r="W603" s="216"/>
      <c r="X603" s="216"/>
    </row>
    <row r="604" ht="15.75" hidden="1" customHeight="1">
      <c r="A604" s="217" t="s">
        <v>437</v>
      </c>
      <c r="B604" s="217" t="s">
        <v>447</v>
      </c>
      <c r="C604" s="217" t="s">
        <v>20</v>
      </c>
      <c r="D604" s="219" t="s">
        <v>21</v>
      </c>
      <c r="E604" s="216"/>
      <c r="F604" s="216"/>
      <c r="G604" s="217">
        <v>13200.0</v>
      </c>
      <c r="H604" s="216"/>
      <c r="I604" s="216"/>
      <c r="J604" s="216"/>
      <c r="K604" s="216"/>
      <c r="L604" s="217">
        <v>13200.0</v>
      </c>
      <c r="M604" s="217" t="s">
        <v>359</v>
      </c>
      <c r="N604" s="217" t="s">
        <v>354</v>
      </c>
      <c r="O604" s="217">
        <v>278.0</v>
      </c>
      <c r="P604" s="217" t="s">
        <v>437</v>
      </c>
      <c r="Q604" s="216"/>
      <c r="R604" s="216"/>
      <c r="S604" s="216"/>
      <c r="T604" s="216"/>
      <c r="U604" s="216"/>
      <c r="V604" s="216"/>
      <c r="W604" s="216"/>
      <c r="X604" s="216"/>
    </row>
    <row r="605" ht="15.75" hidden="1" customHeight="1">
      <c r="A605" s="217" t="s">
        <v>437</v>
      </c>
      <c r="B605" s="217" t="s">
        <v>447</v>
      </c>
      <c r="C605" s="217" t="s">
        <v>20</v>
      </c>
      <c r="D605" s="219" t="s">
        <v>21</v>
      </c>
      <c r="E605" s="216"/>
      <c r="F605" s="216"/>
      <c r="G605" s="217">
        <v>3500.0</v>
      </c>
      <c r="H605" s="216"/>
      <c r="I605" s="216"/>
      <c r="J605" s="216"/>
      <c r="K605" s="216"/>
      <c r="L605" s="217">
        <v>3500.0</v>
      </c>
      <c r="M605" s="217" t="s">
        <v>359</v>
      </c>
      <c r="N605" s="217" t="s">
        <v>354</v>
      </c>
      <c r="O605" s="217">
        <v>278.0</v>
      </c>
      <c r="P605" s="217" t="s">
        <v>437</v>
      </c>
      <c r="Q605" s="216"/>
      <c r="R605" s="216"/>
      <c r="S605" s="216"/>
      <c r="T605" s="216"/>
      <c r="U605" s="216"/>
      <c r="V605" s="216"/>
      <c r="W605" s="216"/>
      <c r="X605" s="216"/>
    </row>
    <row r="606" ht="15.75" hidden="1" customHeight="1">
      <c r="A606" s="217" t="s">
        <v>437</v>
      </c>
      <c r="B606" s="217" t="s">
        <v>447</v>
      </c>
      <c r="C606" s="217" t="s">
        <v>20</v>
      </c>
      <c r="D606" s="219" t="s">
        <v>21</v>
      </c>
      <c r="E606" s="216"/>
      <c r="F606" s="216"/>
      <c r="G606" s="217">
        <v>7000.0</v>
      </c>
      <c r="H606" s="216"/>
      <c r="I606" s="216"/>
      <c r="J606" s="216"/>
      <c r="K606" s="216"/>
      <c r="L606" s="217">
        <v>7000.0</v>
      </c>
      <c r="M606" s="217" t="s">
        <v>359</v>
      </c>
      <c r="N606" s="217" t="s">
        <v>354</v>
      </c>
      <c r="O606" s="217">
        <v>278.0</v>
      </c>
      <c r="P606" s="217" t="s">
        <v>437</v>
      </c>
      <c r="Q606" s="216"/>
      <c r="R606" s="216"/>
      <c r="S606" s="216"/>
      <c r="T606" s="216"/>
      <c r="U606" s="216"/>
      <c r="V606" s="216"/>
      <c r="W606" s="216"/>
      <c r="X606" s="216"/>
    </row>
    <row r="607" ht="15.75" hidden="1" customHeight="1">
      <c r="A607" s="217" t="s">
        <v>437</v>
      </c>
      <c r="B607" s="217" t="s">
        <v>506</v>
      </c>
      <c r="C607" s="217" t="s">
        <v>20</v>
      </c>
      <c r="D607" s="219" t="s">
        <v>21</v>
      </c>
      <c r="E607" s="216"/>
      <c r="F607" s="216"/>
      <c r="G607" s="217">
        <v>25250.0</v>
      </c>
      <c r="H607" s="216"/>
      <c r="I607" s="216"/>
      <c r="J607" s="216"/>
      <c r="K607" s="216"/>
      <c r="L607" s="217">
        <v>25250.0</v>
      </c>
      <c r="M607" s="217" t="s">
        <v>359</v>
      </c>
      <c r="N607" s="217" t="s">
        <v>354</v>
      </c>
      <c r="O607" s="217">
        <v>278.0</v>
      </c>
      <c r="P607" s="217" t="s">
        <v>437</v>
      </c>
      <c r="Q607" s="216"/>
      <c r="R607" s="216"/>
      <c r="S607" s="216"/>
      <c r="T607" s="216"/>
      <c r="U607" s="216"/>
      <c r="V607" s="216"/>
      <c r="W607" s="216"/>
      <c r="X607" s="216"/>
    </row>
    <row r="608" ht="15.75" hidden="1" customHeight="1">
      <c r="A608" s="217" t="s">
        <v>505</v>
      </c>
      <c r="B608" s="217" t="s">
        <v>506</v>
      </c>
      <c r="C608" s="219" t="s">
        <v>20</v>
      </c>
      <c r="D608" s="219" t="s">
        <v>21</v>
      </c>
      <c r="E608" s="216"/>
      <c r="F608" s="216"/>
      <c r="G608" s="217">
        <v>446.09</v>
      </c>
      <c r="H608" s="216"/>
      <c r="I608" s="216"/>
      <c r="J608" s="216"/>
      <c r="K608" s="216"/>
      <c r="L608" s="217">
        <v>446.09</v>
      </c>
      <c r="M608" s="217" t="s">
        <v>359</v>
      </c>
      <c r="N608" s="217" t="s">
        <v>354</v>
      </c>
      <c r="O608" s="217">
        <v>278.0</v>
      </c>
      <c r="P608" s="217" t="s">
        <v>437</v>
      </c>
      <c r="Q608" s="216"/>
      <c r="R608" s="216"/>
      <c r="S608" s="216"/>
      <c r="T608" s="216"/>
      <c r="U608" s="216"/>
      <c r="V608" s="216"/>
      <c r="W608" s="216"/>
      <c r="X608" s="216"/>
    </row>
    <row r="609" ht="15.75" hidden="1" customHeight="1">
      <c r="A609" s="217" t="s">
        <v>505</v>
      </c>
      <c r="B609" s="217" t="s">
        <v>448</v>
      </c>
      <c r="C609" s="219" t="s">
        <v>20</v>
      </c>
      <c r="D609" s="219" t="s">
        <v>21</v>
      </c>
      <c r="E609" s="216"/>
      <c r="F609" s="216"/>
      <c r="G609" s="217">
        <v>446.09</v>
      </c>
      <c r="H609" s="216"/>
      <c r="I609" s="216"/>
      <c r="J609" s="216"/>
      <c r="K609" s="216"/>
      <c r="L609" s="217">
        <v>446.09</v>
      </c>
      <c r="M609" s="217" t="s">
        <v>359</v>
      </c>
      <c r="N609" s="217" t="s">
        <v>354</v>
      </c>
      <c r="O609" s="217">
        <v>278.0</v>
      </c>
      <c r="P609" s="217" t="s">
        <v>437</v>
      </c>
      <c r="Q609" s="216"/>
      <c r="R609" s="216"/>
      <c r="S609" s="216"/>
      <c r="T609" s="216"/>
      <c r="U609" s="216"/>
      <c r="V609" s="216"/>
      <c r="W609" s="216"/>
      <c r="X609" s="216"/>
    </row>
    <row r="610" ht="15.75" hidden="1" customHeight="1">
      <c r="A610" s="217" t="s">
        <v>437</v>
      </c>
      <c r="B610" s="217" t="s">
        <v>449</v>
      </c>
      <c r="C610" s="217" t="s">
        <v>20</v>
      </c>
      <c r="D610" s="219" t="s">
        <v>21</v>
      </c>
      <c r="E610" s="216"/>
      <c r="F610" s="216"/>
      <c r="G610" s="217">
        <v>1011.71</v>
      </c>
      <c r="H610" s="216"/>
      <c r="I610" s="216"/>
      <c r="J610" s="216"/>
      <c r="K610" s="216"/>
      <c r="L610" s="217">
        <v>1011.71</v>
      </c>
      <c r="M610" s="217" t="s">
        <v>359</v>
      </c>
      <c r="N610" s="217" t="s">
        <v>354</v>
      </c>
      <c r="O610" s="217">
        <v>278.0</v>
      </c>
      <c r="P610" s="217" t="s">
        <v>437</v>
      </c>
      <c r="Q610" s="216"/>
      <c r="R610" s="216"/>
      <c r="S610" s="216"/>
      <c r="T610" s="216"/>
      <c r="U610" s="216"/>
      <c r="V610" s="216"/>
      <c r="W610" s="216"/>
      <c r="X610" s="216"/>
    </row>
    <row r="611" ht="15.75" hidden="1" customHeight="1">
      <c r="A611" s="217" t="s">
        <v>437</v>
      </c>
      <c r="B611" s="217" t="s">
        <v>449</v>
      </c>
      <c r="C611" s="217" t="s">
        <v>20</v>
      </c>
      <c r="D611" s="219" t="s">
        <v>21</v>
      </c>
      <c r="E611" s="216"/>
      <c r="F611" s="216"/>
      <c r="G611" s="217">
        <v>6500.0</v>
      </c>
      <c r="H611" s="216"/>
      <c r="I611" s="216"/>
      <c r="J611" s="216"/>
      <c r="K611" s="216"/>
      <c r="L611" s="217">
        <v>6500.0</v>
      </c>
      <c r="M611" s="217" t="s">
        <v>359</v>
      </c>
      <c r="N611" s="217" t="s">
        <v>354</v>
      </c>
      <c r="O611" s="217">
        <v>278.0</v>
      </c>
      <c r="P611" s="217" t="s">
        <v>437</v>
      </c>
      <c r="Q611" s="216"/>
      <c r="R611" s="216"/>
      <c r="S611" s="216"/>
      <c r="T611" s="216"/>
      <c r="U611" s="216"/>
      <c r="V611" s="216"/>
      <c r="W611" s="216"/>
      <c r="X611" s="216"/>
    </row>
    <row r="612" ht="15.75" hidden="1" customHeight="1">
      <c r="A612" s="217" t="s">
        <v>437</v>
      </c>
      <c r="B612" s="217" t="s">
        <v>450</v>
      </c>
      <c r="C612" s="217" t="s">
        <v>20</v>
      </c>
      <c r="D612" s="219" t="s">
        <v>21</v>
      </c>
      <c r="E612" s="216"/>
      <c r="F612" s="216"/>
      <c r="G612" s="217">
        <v>40000.0</v>
      </c>
      <c r="H612" s="216"/>
      <c r="I612" s="216"/>
      <c r="J612" s="216"/>
      <c r="K612" s="216"/>
      <c r="L612" s="217">
        <v>40000.0</v>
      </c>
      <c r="M612" s="217" t="s">
        <v>359</v>
      </c>
      <c r="N612" s="217" t="s">
        <v>354</v>
      </c>
      <c r="O612" s="217">
        <v>278.0</v>
      </c>
      <c r="P612" s="217" t="s">
        <v>437</v>
      </c>
      <c r="Q612" s="216"/>
      <c r="R612" s="216"/>
      <c r="S612" s="216"/>
      <c r="T612" s="216"/>
      <c r="U612" s="216"/>
      <c r="V612" s="216"/>
      <c r="W612" s="216"/>
      <c r="X612" s="216"/>
    </row>
    <row r="613" ht="15.75" hidden="1" customHeight="1">
      <c r="A613" s="217" t="s">
        <v>437</v>
      </c>
      <c r="B613" s="217" t="s">
        <v>452</v>
      </c>
      <c r="C613" s="217" t="s">
        <v>20</v>
      </c>
      <c r="D613" s="219" t="s">
        <v>21</v>
      </c>
      <c r="E613" s="216"/>
      <c r="F613" s="216"/>
      <c r="G613" s="217">
        <v>23500.0</v>
      </c>
      <c r="H613" s="216"/>
      <c r="I613" s="216"/>
      <c r="J613" s="216"/>
      <c r="K613" s="216"/>
      <c r="L613" s="217">
        <v>23500.0</v>
      </c>
      <c r="M613" s="217" t="s">
        <v>359</v>
      </c>
      <c r="N613" s="217" t="s">
        <v>354</v>
      </c>
      <c r="O613" s="217">
        <v>278.0</v>
      </c>
      <c r="P613" s="217" t="s">
        <v>437</v>
      </c>
      <c r="Q613" s="216"/>
      <c r="R613" s="216"/>
      <c r="S613" s="216"/>
      <c r="T613" s="216"/>
      <c r="U613" s="216"/>
      <c r="V613" s="216"/>
      <c r="W613" s="216"/>
      <c r="X613" s="216"/>
    </row>
    <row r="614" ht="15.75" hidden="1" customHeight="1">
      <c r="A614" s="217" t="s">
        <v>451</v>
      </c>
      <c r="B614" s="217" t="s">
        <v>452</v>
      </c>
      <c r="C614" s="217" t="s">
        <v>31</v>
      </c>
      <c r="D614" s="216"/>
      <c r="E614" s="216"/>
      <c r="F614" s="216"/>
      <c r="G614" s="217">
        <v>600.0</v>
      </c>
      <c r="H614" s="216"/>
      <c r="I614" s="216"/>
      <c r="J614" s="216"/>
      <c r="K614" s="216"/>
      <c r="L614" s="217">
        <v>600.0</v>
      </c>
      <c r="M614" s="217" t="s">
        <v>359</v>
      </c>
      <c r="N614" s="217" t="s">
        <v>354</v>
      </c>
      <c r="O614" s="217">
        <v>278.0</v>
      </c>
      <c r="P614" s="217" t="s">
        <v>437</v>
      </c>
      <c r="Q614" s="216"/>
      <c r="R614" s="216"/>
      <c r="S614" s="216"/>
      <c r="T614" s="216"/>
      <c r="U614" s="216"/>
      <c r="V614" s="216"/>
      <c r="W614" s="216"/>
      <c r="X614" s="216"/>
    </row>
    <row r="615" ht="15.75" hidden="1" customHeight="1">
      <c r="A615" s="217" t="s">
        <v>451</v>
      </c>
      <c r="B615" s="217" t="s">
        <v>462</v>
      </c>
      <c r="C615" s="217" t="s">
        <v>31</v>
      </c>
      <c r="D615" s="216"/>
      <c r="E615" s="216"/>
      <c r="F615" s="216"/>
      <c r="G615" s="217">
        <v>980.0</v>
      </c>
      <c r="H615" s="216"/>
      <c r="I615" s="216"/>
      <c r="J615" s="216"/>
      <c r="K615" s="216"/>
      <c r="L615" s="217">
        <v>980.0</v>
      </c>
      <c r="M615" s="217" t="s">
        <v>359</v>
      </c>
      <c r="N615" s="217" t="s">
        <v>354</v>
      </c>
      <c r="O615" s="217">
        <v>278.0</v>
      </c>
      <c r="P615" s="217" t="s">
        <v>437</v>
      </c>
      <c r="Q615" s="216"/>
      <c r="R615" s="216"/>
      <c r="S615" s="216"/>
      <c r="T615" s="216"/>
      <c r="U615" s="216"/>
      <c r="V615" s="216"/>
      <c r="W615" s="216"/>
      <c r="X615" s="216"/>
    </row>
    <row r="616" ht="15.75" hidden="1" customHeight="1">
      <c r="A616" s="217" t="s">
        <v>437</v>
      </c>
      <c r="B616" s="217" t="s">
        <v>454</v>
      </c>
      <c r="C616" s="217" t="s">
        <v>20</v>
      </c>
      <c r="D616" s="219" t="s">
        <v>21</v>
      </c>
      <c r="E616" s="216"/>
      <c r="F616" s="216"/>
      <c r="G616" s="217">
        <v>23093.68</v>
      </c>
      <c r="H616" s="216"/>
      <c r="I616" s="216"/>
      <c r="J616" s="216"/>
      <c r="K616" s="216"/>
      <c r="L616" s="217">
        <v>23093.68</v>
      </c>
      <c r="M616" s="217" t="s">
        <v>359</v>
      </c>
      <c r="N616" s="217" t="s">
        <v>354</v>
      </c>
      <c r="O616" s="217">
        <v>278.0</v>
      </c>
      <c r="P616" s="217" t="s">
        <v>437</v>
      </c>
      <c r="Q616" s="216"/>
      <c r="R616" s="216"/>
      <c r="S616" s="216"/>
      <c r="T616" s="216"/>
      <c r="U616" s="216"/>
      <c r="V616" s="216"/>
      <c r="W616" s="216"/>
      <c r="X616" s="216"/>
    </row>
    <row r="617" ht="15.75" hidden="1" customHeight="1">
      <c r="A617" s="217" t="s">
        <v>453</v>
      </c>
      <c r="B617" s="217" t="s">
        <v>1771</v>
      </c>
      <c r="C617" s="219" t="s">
        <v>20</v>
      </c>
      <c r="D617" s="219" t="s">
        <v>21</v>
      </c>
      <c r="E617" s="216"/>
      <c r="F617" s="216"/>
      <c r="G617" s="217">
        <v>690.52</v>
      </c>
      <c r="H617" s="216"/>
      <c r="I617" s="216"/>
      <c r="J617" s="216"/>
      <c r="K617" s="216"/>
      <c r="L617" s="217">
        <v>690.52</v>
      </c>
      <c r="M617" s="217" t="s">
        <v>359</v>
      </c>
      <c r="N617" s="217" t="s">
        <v>354</v>
      </c>
      <c r="O617" s="217">
        <v>265.0</v>
      </c>
      <c r="P617" s="217" t="s">
        <v>453</v>
      </c>
      <c r="Q617" s="216"/>
      <c r="R617" s="216"/>
      <c r="S617" s="216"/>
      <c r="T617" s="216"/>
      <c r="U617" s="216"/>
      <c r="V617" s="216"/>
      <c r="W617" s="216"/>
      <c r="X617" s="216"/>
    </row>
    <row r="618" ht="15.75" hidden="1" customHeight="1">
      <c r="A618" s="217" t="s">
        <v>426</v>
      </c>
      <c r="B618" s="217" t="s">
        <v>398</v>
      </c>
      <c r="C618" s="219" t="s">
        <v>31</v>
      </c>
      <c r="D618" s="219" t="s">
        <v>98</v>
      </c>
      <c r="E618" s="216"/>
      <c r="F618" s="216"/>
      <c r="G618" s="217">
        <v>314.69</v>
      </c>
      <c r="H618" s="216"/>
      <c r="I618" s="216"/>
      <c r="J618" s="216"/>
      <c r="K618" s="216"/>
      <c r="L618" s="217">
        <v>314.69</v>
      </c>
      <c r="M618" s="217" t="s">
        <v>359</v>
      </c>
      <c r="N618" s="217" t="s">
        <v>354</v>
      </c>
      <c r="O618" s="217">
        <v>289.0</v>
      </c>
      <c r="P618" s="217" t="s">
        <v>453</v>
      </c>
      <c r="Q618" s="216"/>
      <c r="R618" s="216"/>
      <c r="S618" s="216"/>
      <c r="T618" s="216"/>
      <c r="U618" s="216"/>
      <c r="V618" s="216"/>
      <c r="W618" s="216"/>
      <c r="X618" s="216"/>
    </row>
    <row r="619" ht="15.75" hidden="1" customHeight="1">
      <c r="A619" s="217" t="s">
        <v>395</v>
      </c>
      <c r="B619" s="217" t="s">
        <v>399</v>
      </c>
      <c r="C619" s="219" t="s">
        <v>31</v>
      </c>
      <c r="D619" s="219" t="s">
        <v>47</v>
      </c>
      <c r="E619" s="216"/>
      <c r="F619" s="216"/>
      <c r="G619" s="217">
        <v>5500.0</v>
      </c>
      <c r="H619" s="216"/>
      <c r="I619" s="216"/>
      <c r="J619" s="216"/>
      <c r="K619" s="216"/>
      <c r="L619" s="217">
        <v>5500.0</v>
      </c>
      <c r="M619" s="217" t="s">
        <v>359</v>
      </c>
      <c r="N619" s="217" t="s">
        <v>354</v>
      </c>
      <c r="O619" s="217">
        <v>274.0</v>
      </c>
      <c r="P619" s="217" t="s">
        <v>395</v>
      </c>
      <c r="Q619" s="216"/>
      <c r="R619" s="216"/>
      <c r="S619" s="216"/>
      <c r="T619" s="216"/>
      <c r="U619" s="216"/>
      <c r="V619" s="216"/>
      <c r="W619" s="216"/>
      <c r="X619" s="216"/>
    </row>
    <row r="620" ht="15.75" hidden="1" customHeight="1">
      <c r="A620" s="217" t="s">
        <v>395</v>
      </c>
      <c r="B620" s="217" t="s">
        <v>400</v>
      </c>
      <c r="C620" s="260" t="s">
        <v>31</v>
      </c>
      <c r="D620" s="261" t="s">
        <v>47</v>
      </c>
      <c r="E620" s="216"/>
      <c r="F620" s="216"/>
      <c r="G620" s="217">
        <v>2689.66</v>
      </c>
      <c r="H620" s="216"/>
      <c r="I620" s="216"/>
      <c r="J620" s="216"/>
      <c r="K620" s="216"/>
      <c r="L620" s="217">
        <v>2689.66</v>
      </c>
      <c r="M620" s="217" t="s">
        <v>359</v>
      </c>
      <c r="N620" s="217" t="s">
        <v>354</v>
      </c>
      <c r="O620" s="217">
        <v>274.0</v>
      </c>
      <c r="P620" s="217" t="s">
        <v>395</v>
      </c>
      <c r="Q620" s="216"/>
      <c r="R620" s="216"/>
      <c r="S620" s="216"/>
      <c r="T620" s="216"/>
      <c r="U620" s="216"/>
      <c r="V620" s="216"/>
      <c r="W620" s="216"/>
      <c r="X620" s="216"/>
    </row>
    <row r="621" ht="15.75" hidden="1" customHeight="1">
      <c r="A621" s="217" t="s">
        <v>391</v>
      </c>
      <c r="B621" s="217" t="s">
        <v>394</v>
      </c>
      <c r="C621" s="217" t="s">
        <v>31</v>
      </c>
      <c r="D621" s="216"/>
      <c r="E621" s="216"/>
      <c r="F621" s="216"/>
      <c r="G621" s="217">
        <v>344.82</v>
      </c>
      <c r="H621" s="216"/>
      <c r="I621" s="216"/>
      <c r="J621" s="216"/>
      <c r="K621" s="216"/>
      <c r="L621" s="217">
        <v>344.82</v>
      </c>
      <c r="M621" s="217" t="s">
        <v>359</v>
      </c>
      <c r="N621" s="217" t="s">
        <v>354</v>
      </c>
      <c r="O621" s="217">
        <v>273.0</v>
      </c>
      <c r="P621" s="217" t="s">
        <v>391</v>
      </c>
      <c r="Q621" s="216"/>
      <c r="R621" s="216"/>
      <c r="S621" s="216"/>
      <c r="T621" s="216"/>
      <c r="U621" s="216"/>
      <c r="V621" s="216"/>
      <c r="W621" s="216"/>
      <c r="X621" s="216"/>
    </row>
    <row r="622" ht="15.75" hidden="1" customHeight="1">
      <c r="A622" s="219" t="s">
        <v>528</v>
      </c>
      <c r="B622" s="217" t="s">
        <v>535</v>
      </c>
      <c r="C622" s="219" t="s">
        <v>31</v>
      </c>
      <c r="D622" s="216"/>
      <c r="E622" s="216"/>
      <c r="F622" s="216"/>
      <c r="G622" s="217">
        <v>45000.0</v>
      </c>
      <c r="H622" s="216"/>
      <c r="I622" s="216"/>
      <c r="J622" s="216"/>
      <c r="K622" s="216"/>
      <c r="L622" s="217">
        <v>45000.0</v>
      </c>
      <c r="M622" s="217" t="s">
        <v>359</v>
      </c>
      <c r="N622" s="217" t="s">
        <v>354</v>
      </c>
      <c r="O622" s="217">
        <v>273.0</v>
      </c>
      <c r="P622" s="217" t="s">
        <v>391</v>
      </c>
      <c r="Q622" s="216"/>
      <c r="R622" s="216"/>
      <c r="S622" s="216"/>
      <c r="T622" s="216"/>
      <c r="U622" s="216"/>
      <c r="V622" s="216"/>
      <c r="W622" s="216"/>
      <c r="X622" s="216"/>
    </row>
    <row r="623" ht="15.75" hidden="1" customHeight="1">
      <c r="A623" s="217" t="s">
        <v>351</v>
      </c>
      <c r="B623" s="217" t="s">
        <v>352</v>
      </c>
      <c r="C623" s="216"/>
      <c r="D623" s="216"/>
      <c r="E623" s="216"/>
      <c r="F623" s="216"/>
      <c r="G623" s="217">
        <v>-619202.69</v>
      </c>
      <c r="H623" s="216"/>
      <c r="I623" s="216"/>
      <c r="J623" s="216"/>
      <c r="K623" s="216"/>
      <c r="L623" s="217">
        <v>-619202.69</v>
      </c>
      <c r="M623" s="217" t="s">
        <v>353</v>
      </c>
      <c r="N623" s="217" t="s">
        <v>354</v>
      </c>
      <c r="O623" s="217">
        <v>303.0</v>
      </c>
      <c r="P623" s="217" t="s">
        <v>355</v>
      </c>
      <c r="Q623" s="216"/>
      <c r="R623" s="216"/>
      <c r="S623" s="216"/>
      <c r="T623" s="216"/>
      <c r="U623" s="216"/>
      <c r="V623" s="216"/>
      <c r="W623" s="216"/>
      <c r="X623" s="216"/>
    </row>
    <row r="624" ht="15.75" hidden="1" customHeight="1">
      <c r="A624" s="217" t="s">
        <v>351</v>
      </c>
      <c r="B624" s="217" t="s">
        <v>352</v>
      </c>
      <c r="C624" s="216"/>
      <c r="D624" s="216"/>
      <c r="E624" s="216"/>
      <c r="F624" s="216"/>
      <c r="G624" s="217">
        <v>-33600.0</v>
      </c>
      <c r="H624" s="216"/>
      <c r="I624" s="216"/>
      <c r="J624" s="216"/>
      <c r="K624" s="216"/>
      <c r="L624" s="217">
        <v>-33600.0</v>
      </c>
      <c r="M624" s="217" t="s">
        <v>353</v>
      </c>
      <c r="N624" s="217" t="s">
        <v>354</v>
      </c>
      <c r="O624" s="217">
        <v>303.0</v>
      </c>
      <c r="P624" s="217" t="s">
        <v>355</v>
      </c>
      <c r="Q624" s="216"/>
      <c r="R624" s="216"/>
      <c r="S624" s="216"/>
      <c r="T624" s="216"/>
      <c r="U624" s="216"/>
      <c r="V624" s="216"/>
      <c r="W624" s="216"/>
      <c r="X624" s="216"/>
    </row>
    <row r="625" ht="15.75" hidden="1" customHeight="1">
      <c r="A625" s="217" t="s">
        <v>440</v>
      </c>
      <c r="B625" s="217" t="s">
        <v>524</v>
      </c>
      <c r="C625" s="219" t="s">
        <v>31</v>
      </c>
      <c r="D625" s="237" t="s">
        <v>54</v>
      </c>
      <c r="E625" s="216"/>
      <c r="F625" s="216"/>
      <c r="G625" s="217">
        <v>67868.64</v>
      </c>
      <c r="H625" s="216"/>
      <c r="I625" s="216"/>
      <c r="J625" s="216"/>
      <c r="K625" s="216"/>
      <c r="L625" s="217">
        <v>67868.64</v>
      </c>
      <c r="M625" s="217" t="s">
        <v>359</v>
      </c>
      <c r="N625" s="217" t="s">
        <v>354</v>
      </c>
      <c r="O625" s="217">
        <v>267.0</v>
      </c>
      <c r="P625" s="217" t="s">
        <v>524</v>
      </c>
      <c r="Q625" s="216"/>
      <c r="R625" s="216"/>
      <c r="S625" s="216"/>
      <c r="T625" s="216"/>
      <c r="U625" s="216"/>
      <c r="V625" s="216"/>
      <c r="W625" s="216"/>
      <c r="X625" s="216"/>
    </row>
    <row r="626" hidden="1">
      <c r="A626" s="217" t="s">
        <v>440</v>
      </c>
      <c r="B626" s="217" t="s">
        <v>387</v>
      </c>
      <c r="C626" s="219" t="s">
        <v>31</v>
      </c>
      <c r="D626" s="237" t="s">
        <v>54</v>
      </c>
      <c r="E626" s="216"/>
      <c r="F626" s="216"/>
      <c r="G626" s="217">
        <v>64130.0</v>
      </c>
      <c r="H626" s="216"/>
      <c r="I626" s="216"/>
      <c r="J626" s="216"/>
      <c r="K626" s="216"/>
      <c r="L626" s="217">
        <v>64130.0</v>
      </c>
      <c r="M626" s="217" t="s">
        <v>359</v>
      </c>
      <c r="N626" s="217" t="s">
        <v>354</v>
      </c>
      <c r="O626" s="217">
        <v>291.0</v>
      </c>
      <c r="P626" s="217" t="s">
        <v>524</v>
      </c>
      <c r="Q626" s="216"/>
      <c r="R626" s="216"/>
      <c r="S626" s="216"/>
      <c r="T626" s="216"/>
      <c r="U626" s="216"/>
      <c r="V626" s="216"/>
      <c r="W626" s="216"/>
      <c r="X626" s="216"/>
    </row>
    <row r="627" hidden="1">
      <c r="A627" s="217" t="s">
        <v>1565</v>
      </c>
      <c r="B627" s="217" t="s">
        <v>429</v>
      </c>
      <c r="C627" s="216"/>
      <c r="D627" s="216"/>
      <c r="E627" s="216"/>
      <c r="F627" s="216"/>
      <c r="G627" s="217">
        <v>6213.65</v>
      </c>
      <c r="H627" s="216"/>
      <c r="I627" s="216"/>
      <c r="J627" s="216"/>
      <c r="K627" s="216"/>
      <c r="L627" s="217">
        <v>6213.65</v>
      </c>
      <c r="M627" s="217" t="s">
        <v>359</v>
      </c>
      <c r="N627" s="217" t="s">
        <v>354</v>
      </c>
      <c r="O627" s="217">
        <v>502.0</v>
      </c>
      <c r="P627" s="217" t="s">
        <v>482</v>
      </c>
      <c r="Q627" s="216"/>
      <c r="R627" s="216"/>
      <c r="S627" s="216"/>
      <c r="T627" s="216"/>
      <c r="U627" s="216"/>
      <c r="V627" s="216"/>
      <c r="W627" s="216"/>
      <c r="X627" s="216"/>
    </row>
    <row r="628" hidden="1">
      <c r="A628" s="219" t="s">
        <v>428</v>
      </c>
      <c r="B628" s="217" t="s">
        <v>429</v>
      </c>
      <c r="C628" s="219" t="s">
        <v>20</v>
      </c>
      <c r="D628" s="219" t="s">
        <v>21</v>
      </c>
      <c r="E628" s="216"/>
      <c r="F628" s="216"/>
      <c r="G628" s="217">
        <v>791.67</v>
      </c>
      <c r="H628" s="216"/>
      <c r="I628" s="216"/>
      <c r="J628" s="216"/>
      <c r="K628" s="216"/>
      <c r="L628" s="217">
        <v>791.67</v>
      </c>
      <c r="M628" s="217" t="s">
        <v>359</v>
      </c>
      <c r="N628" s="217" t="s">
        <v>354</v>
      </c>
      <c r="O628" s="217">
        <v>502.0</v>
      </c>
      <c r="P628" s="217" t="s">
        <v>428</v>
      </c>
      <c r="Q628" s="216"/>
      <c r="R628" s="216"/>
      <c r="S628" s="216"/>
      <c r="T628" s="216"/>
      <c r="U628" s="216"/>
      <c r="V628" s="216"/>
      <c r="W628" s="216"/>
      <c r="X628" s="216"/>
    </row>
    <row r="629" hidden="1">
      <c r="A629" s="219" t="s">
        <v>432</v>
      </c>
      <c r="B629" s="217" t="s">
        <v>429</v>
      </c>
      <c r="C629" s="219" t="s">
        <v>31</v>
      </c>
      <c r="D629" s="221" t="s">
        <v>54</v>
      </c>
      <c r="E629" s="216"/>
      <c r="F629" s="216"/>
      <c r="G629" s="239">
        <v>2908.587111</v>
      </c>
      <c r="H629" s="216"/>
      <c r="I629" s="216"/>
      <c r="J629" s="216"/>
      <c r="K629" s="216"/>
      <c r="L629" s="217">
        <v>9349.03</v>
      </c>
      <c r="M629" s="217" t="s">
        <v>359</v>
      </c>
      <c r="N629" s="217" t="s">
        <v>354</v>
      </c>
      <c r="O629" s="217">
        <v>502.0</v>
      </c>
      <c r="P629" s="217" t="s">
        <v>433</v>
      </c>
      <c r="Q629" s="216"/>
      <c r="R629" s="216"/>
      <c r="S629" s="216"/>
      <c r="T629" s="216"/>
      <c r="U629" s="216"/>
      <c r="V629" s="216"/>
      <c r="W629" s="216"/>
      <c r="X629" s="216"/>
    </row>
    <row r="630" hidden="1">
      <c r="A630" s="219" t="s">
        <v>432</v>
      </c>
      <c r="B630" s="217" t="s">
        <v>429</v>
      </c>
      <c r="C630" s="219" t="s">
        <v>31</v>
      </c>
      <c r="D630" s="221" t="s">
        <v>98</v>
      </c>
      <c r="E630" s="216"/>
      <c r="F630" s="216"/>
      <c r="G630" s="239">
        <v>207.7562222</v>
      </c>
      <c r="H630" s="216"/>
      <c r="I630" s="216"/>
      <c r="J630" s="216"/>
      <c r="K630" s="216"/>
      <c r="L630" s="216"/>
      <c r="M630" s="217" t="s">
        <v>359</v>
      </c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</row>
    <row r="631" hidden="1">
      <c r="A631" s="219" t="s">
        <v>432</v>
      </c>
      <c r="B631" s="217" t="s">
        <v>429</v>
      </c>
      <c r="C631" s="219" t="s">
        <v>20</v>
      </c>
      <c r="D631" s="221" t="s">
        <v>21</v>
      </c>
      <c r="E631" s="216"/>
      <c r="F631" s="216"/>
      <c r="G631" s="239">
        <v>3947.368222</v>
      </c>
      <c r="H631" s="216"/>
      <c r="I631" s="216"/>
      <c r="J631" s="216"/>
      <c r="K631" s="216"/>
      <c r="L631" s="216"/>
      <c r="M631" s="217" t="s">
        <v>359</v>
      </c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</row>
    <row r="632" ht="15.75" hidden="1" customHeight="1">
      <c r="A632" s="219" t="s">
        <v>432</v>
      </c>
      <c r="B632" s="217" t="s">
        <v>429</v>
      </c>
      <c r="C632" s="219" t="s">
        <v>31</v>
      </c>
      <c r="D632" s="221" t="s">
        <v>187</v>
      </c>
      <c r="E632" s="216"/>
      <c r="F632" s="216"/>
      <c r="G632" s="239">
        <v>554.0165926</v>
      </c>
      <c r="H632" s="216"/>
      <c r="I632" s="216"/>
      <c r="J632" s="216"/>
      <c r="K632" s="216"/>
      <c r="L632" s="216"/>
      <c r="M632" s="217" t="s">
        <v>359</v>
      </c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</row>
    <row r="633" ht="15.75" hidden="1" customHeight="1">
      <c r="A633" s="219" t="s">
        <v>432</v>
      </c>
      <c r="B633" s="217" t="s">
        <v>429</v>
      </c>
      <c r="C633" s="219" t="s">
        <v>31</v>
      </c>
      <c r="D633" s="221" t="s">
        <v>38</v>
      </c>
      <c r="E633" s="216"/>
      <c r="F633" s="216"/>
      <c r="G633" s="239">
        <v>311.6343333</v>
      </c>
      <c r="H633" s="216"/>
      <c r="I633" s="216"/>
      <c r="J633" s="216"/>
      <c r="K633" s="216"/>
      <c r="L633" s="216"/>
      <c r="M633" s="217" t="s">
        <v>359</v>
      </c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</row>
    <row r="634" ht="15.75" hidden="1" customHeight="1">
      <c r="A634" s="219" t="s">
        <v>432</v>
      </c>
      <c r="B634" s="217" t="s">
        <v>429</v>
      </c>
      <c r="C634" s="219" t="s">
        <v>31</v>
      </c>
      <c r="D634" s="221" t="s">
        <v>47</v>
      </c>
      <c r="E634" s="216"/>
      <c r="F634" s="216"/>
      <c r="G634" s="239">
        <v>1108.033185</v>
      </c>
      <c r="H634" s="216"/>
      <c r="I634" s="216"/>
      <c r="J634" s="216"/>
      <c r="K634" s="216"/>
      <c r="L634" s="216"/>
      <c r="M634" s="217" t="s">
        <v>359</v>
      </c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</row>
    <row r="635" ht="15.75" hidden="1" customHeight="1">
      <c r="A635" s="219" t="s">
        <v>432</v>
      </c>
      <c r="B635" s="217" t="s">
        <v>429</v>
      </c>
      <c r="C635" s="219" t="s">
        <v>31</v>
      </c>
      <c r="D635" s="221" t="s">
        <v>113</v>
      </c>
      <c r="E635" s="216"/>
      <c r="F635" s="216"/>
      <c r="G635" s="239">
        <v>311.6343333</v>
      </c>
      <c r="H635" s="216"/>
      <c r="I635" s="216"/>
      <c r="J635" s="216"/>
      <c r="K635" s="216"/>
      <c r="L635" s="216"/>
      <c r="M635" s="217" t="s">
        <v>359</v>
      </c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</row>
    <row r="636" ht="15.75" hidden="1" customHeight="1">
      <c r="A636" s="219" t="s">
        <v>349</v>
      </c>
      <c r="B636" s="219" t="s">
        <v>507</v>
      </c>
      <c r="C636" s="219" t="s">
        <v>66</v>
      </c>
      <c r="D636" s="219" t="s">
        <v>75</v>
      </c>
      <c r="E636" s="219"/>
      <c r="F636" s="219" t="s">
        <v>507</v>
      </c>
      <c r="G636" s="219">
        <v>1200.0</v>
      </c>
      <c r="H636" s="219"/>
      <c r="I636" s="219"/>
      <c r="J636" s="219"/>
      <c r="K636" s="219"/>
      <c r="L636" s="219"/>
      <c r="M636" s="219">
        <v>46082.0</v>
      </c>
      <c r="N636" s="219"/>
      <c r="O636" s="219"/>
      <c r="P636" s="219"/>
      <c r="Q636" s="219"/>
      <c r="R636" s="219"/>
      <c r="S636" s="219"/>
      <c r="T636" s="216"/>
      <c r="U636" s="216"/>
      <c r="V636" s="216"/>
      <c r="W636" s="216"/>
      <c r="X636" s="216"/>
    </row>
    <row r="637" ht="15.75" hidden="1" customHeight="1">
      <c r="A637" s="219" t="s">
        <v>349</v>
      </c>
      <c r="B637" s="219"/>
      <c r="C637" s="219" t="s">
        <v>31</v>
      </c>
      <c r="D637" s="219" t="s">
        <v>113</v>
      </c>
      <c r="E637" s="219"/>
      <c r="F637" s="219"/>
      <c r="G637" s="219">
        <v>15357.2</v>
      </c>
      <c r="H637" s="219"/>
      <c r="I637" s="219"/>
      <c r="J637" s="219"/>
      <c r="K637" s="219"/>
      <c r="L637" s="219"/>
      <c r="M637" s="219">
        <v>46082.0</v>
      </c>
      <c r="N637" s="219"/>
      <c r="O637" s="219"/>
      <c r="P637" s="219"/>
      <c r="Q637" s="219"/>
      <c r="R637" s="219"/>
      <c r="S637" s="219"/>
      <c r="T637" s="216"/>
      <c r="U637" s="216"/>
      <c r="V637" s="216"/>
      <c r="W637" s="216"/>
      <c r="X637" s="216"/>
    </row>
    <row r="638" ht="15.75" hidden="1" customHeight="1">
      <c r="A638" s="219" t="s">
        <v>360</v>
      </c>
      <c r="B638" s="219" t="s">
        <v>361</v>
      </c>
      <c r="C638" s="219" t="s">
        <v>20</v>
      </c>
      <c r="D638" s="219" t="s">
        <v>21</v>
      </c>
      <c r="E638" s="219"/>
      <c r="F638" s="219" t="s">
        <v>362</v>
      </c>
      <c r="G638" s="219">
        <v>101529.395</v>
      </c>
      <c r="H638" s="219"/>
      <c r="I638" s="219"/>
      <c r="J638" s="219"/>
      <c r="K638" s="219"/>
      <c r="L638" s="219"/>
      <c r="M638" s="219" t="s">
        <v>359</v>
      </c>
      <c r="N638" s="219"/>
      <c r="O638" s="219"/>
      <c r="P638" s="219"/>
      <c r="Q638" s="219"/>
      <c r="R638" s="219"/>
      <c r="S638" s="219"/>
      <c r="T638" s="216"/>
      <c r="U638" s="216"/>
      <c r="V638" s="216"/>
      <c r="W638" s="216"/>
      <c r="X638" s="216"/>
    </row>
    <row r="639" ht="15.75" hidden="1" customHeight="1">
      <c r="A639" s="219" t="s">
        <v>360</v>
      </c>
      <c r="B639" s="219" t="s">
        <v>361</v>
      </c>
      <c r="C639" s="219" t="s">
        <v>31</v>
      </c>
      <c r="D639" s="219" t="s">
        <v>187</v>
      </c>
      <c r="E639" s="219"/>
      <c r="F639" s="219" t="s">
        <v>363</v>
      </c>
      <c r="G639" s="219">
        <v>101529.395</v>
      </c>
      <c r="H639" s="219"/>
      <c r="I639" s="219"/>
      <c r="J639" s="219"/>
      <c r="K639" s="219"/>
      <c r="L639" s="219"/>
      <c r="M639" s="219" t="s">
        <v>359</v>
      </c>
      <c r="N639" s="219"/>
      <c r="O639" s="219"/>
      <c r="P639" s="219"/>
      <c r="Q639" s="219"/>
      <c r="R639" s="219"/>
      <c r="S639" s="219"/>
      <c r="T639" s="216"/>
      <c r="U639" s="216"/>
      <c r="V639" s="216"/>
      <c r="W639" s="216"/>
      <c r="X639" s="216"/>
    </row>
    <row r="640" ht="15.75" hidden="1" customHeight="1">
      <c r="A640" s="219" t="s">
        <v>357</v>
      </c>
      <c r="B640" s="219" t="s">
        <v>1770</v>
      </c>
      <c r="C640" s="219" t="s">
        <v>31</v>
      </c>
      <c r="D640" s="219" t="s">
        <v>38</v>
      </c>
      <c r="E640" s="219"/>
      <c r="F640" s="219"/>
      <c r="G640" s="219">
        <v>87.51666667</v>
      </c>
      <c r="H640" s="219"/>
      <c r="I640" s="219"/>
      <c r="J640" s="219"/>
      <c r="K640" s="219"/>
      <c r="L640" s="219"/>
      <c r="M640" s="219" t="s">
        <v>359</v>
      </c>
      <c r="N640" s="219"/>
      <c r="O640" s="219"/>
      <c r="P640" s="219"/>
      <c r="Q640" s="219"/>
      <c r="R640" s="219"/>
      <c r="S640" s="219"/>
      <c r="T640" s="216"/>
      <c r="U640" s="216"/>
      <c r="V640" s="216"/>
      <c r="W640" s="216"/>
      <c r="X640" s="216"/>
    </row>
    <row r="641" ht="15.75" hidden="1" customHeight="1">
      <c r="A641" s="219" t="s">
        <v>357</v>
      </c>
      <c r="B641" s="219" t="s">
        <v>534</v>
      </c>
      <c r="C641" s="219" t="s">
        <v>31</v>
      </c>
      <c r="D641" s="219" t="s">
        <v>47</v>
      </c>
      <c r="E641" s="219"/>
      <c r="F641" s="219"/>
      <c r="G641" s="219">
        <v>311.1703704</v>
      </c>
      <c r="H641" s="219"/>
      <c r="I641" s="219"/>
      <c r="J641" s="219"/>
      <c r="K641" s="219"/>
      <c r="L641" s="219"/>
      <c r="M641" s="219" t="s">
        <v>359</v>
      </c>
      <c r="N641" s="219"/>
      <c r="O641" s="219"/>
      <c r="P641" s="219"/>
      <c r="Q641" s="219"/>
      <c r="R641" s="219"/>
      <c r="S641" s="219"/>
      <c r="T641" s="216"/>
      <c r="U641" s="216"/>
      <c r="V641" s="216"/>
      <c r="W641" s="216"/>
      <c r="X641" s="216"/>
    </row>
    <row r="642" ht="15.75" hidden="1" customHeight="1">
      <c r="A642" s="219" t="s">
        <v>357</v>
      </c>
      <c r="B642" s="219" t="s">
        <v>534</v>
      </c>
      <c r="C642" s="219" t="s">
        <v>31</v>
      </c>
      <c r="D642" s="219" t="s">
        <v>113</v>
      </c>
      <c r="E642" s="219"/>
      <c r="F642" s="219"/>
      <c r="G642" s="219">
        <v>87.51666667</v>
      </c>
      <c r="H642" s="219"/>
      <c r="I642" s="219"/>
      <c r="J642" s="219"/>
      <c r="K642" s="219"/>
      <c r="L642" s="219"/>
      <c r="M642" s="219" t="s">
        <v>359</v>
      </c>
      <c r="N642" s="219"/>
      <c r="O642" s="219"/>
      <c r="P642" s="219"/>
      <c r="Q642" s="219"/>
      <c r="R642" s="219"/>
      <c r="S642" s="219"/>
      <c r="T642" s="216"/>
      <c r="U642" s="216"/>
      <c r="V642" s="216"/>
      <c r="W642" s="216"/>
      <c r="X642" s="216"/>
    </row>
    <row r="643" ht="15.75" customHeight="1">
      <c r="A643" s="219" t="s">
        <v>367</v>
      </c>
      <c r="B643" s="219" t="s">
        <v>373</v>
      </c>
      <c r="C643" s="219" t="s">
        <v>31</v>
      </c>
      <c r="D643" s="219" t="s">
        <v>113</v>
      </c>
      <c r="E643" s="219"/>
      <c r="F643" s="219"/>
      <c r="G643" s="219">
        <v>15600.0</v>
      </c>
      <c r="H643" s="219"/>
      <c r="I643" s="219"/>
      <c r="J643" s="219"/>
      <c r="K643" s="219"/>
      <c r="L643" s="219"/>
      <c r="M643" s="219" t="s">
        <v>359</v>
      </c>
      <c r="N643" s="219"/>
      <c r="O643" s="219"/>
      <c r="P643" s="219"/>
      <c r="Q643" s="219"/>
      <c r="R643" s="219"/>
      <c r="S643" s="219"/>
      <c r="T643" s="216"/>
      <c r="U643" s="216"/>
      <c r="V643" s="216"/>
      <c r="W643" s="216"/>
      <c r="X643" s="216"/>
    </row>
    <row r="644" ht="15.75" hidden="1" customHeight="1">
      <c r="A644" s="219" t="s">
        <v>483</v>
      </c>
      <c r="B644" s="219" t="s">
        <v>504</v>
      </c>
      <c r="C644" s="219" t="s">
        <v>31</v>
      </c>
      <c r="D644" s="219"/>
      <c r="E644" s="219"/>
      <c r="F644" s="219"/>
      <c r="G644" s="219">
        <v>126798.61</v>
      </c>
      <c r="H644" s="219"/>
      <c r="I644" s="219"/>
      <c r="J644" s="219"/>
      <c r="K644" s="219"/>
      <c r="L644" s="219">
        <v>126798.61</v>
      </c>
      <c r="M644" s="219" t="s">
        <v>486</v>
      </c>
      <c r="N644" s="219" t="s">
        <v>408</v>
      </c>
      <c r="O644" s="219">
        <v>200.0</v>
      </c>
      <c r="P644" s="219" t="s">
        <v>487</v>
      </c>
      <c r="Q644" s="219"/>
      <c r="R644" s="219"/>
      <c r="S644" s="219"/>
      <c r="T644" s="216"/>
      <c r="U644" s="216"/>
      <c r="V644" s="216"/>
      <c r="W644" s="216"/>
      <c r="X644" s="216"/>
    </row>
    <row r="645" ht="15.75" hidden="1" customHeight="1">
      <c r="A645" s="219" t="s">
        <v>513</v>
      </c>
      <c r="B645" s="219" t="s">
        <v>514</v>
      </c>
      <c r="C645" s="219" t="s">
        <v>66</v>
      </c>
      <c r="D645" s="219" t="s">
        <v>485</v>
      </c>
      <c r="E645" s="219"/>
      <c r="F645" s="219"/>
      <c r="G645" s="219">
        <v>5557.72</v>
      </c>
      <c r="H645" s="219"/>
      <c r="I645" s="219"/>
      <c r="J645" s="219"/>
      <c r="K645" s="219"/>
      <c r="L645" s="219">
        <v>5557.72</v>
      </c>
      <c r="M645" s="219" t="s">
        <v>359</v>
      </c>
      <c r="N645" s="219" t="s">
        <v>408</v>
      </c>
      <c r="O645" s="219">
        <v>300.0</v>
      </c>
      <c r="P645" s="219" t="s">
        <v>515</v>
      </c>
      <c r="Q645" s="219"/>
      <c r="R645" s="219"/>
      <c r="S645" s="219"/>
      <c r="T645" s="216"/>
      <c r="U645" s="216"/>
      <c r="V645" s="216"/>
      <c r="W645" s="216"/>
      <c r="X645" s="216"/>
    </row>
    <row r="646" ht="15.75" hidden="1" customHeight="1">
      <c r="A646" s="219" t="s">
        <v>434</v>
      </c>
      <c r="B646" s="219" t="s">
        <v>429</v>
      </c>
      <c r="C646" s="219"/>
      <c r="D646" s="219"/>
      <c r="E646" s="219"/>
      <c r="F646" s="219"/>
      <c r="G646" s="219">
        <v>5539.44</v>
      </c>
      <c r="H646" s="219"/>
      <c r="I646" s="219"/>
      <c r="J646" s="219"/>
      <c r="K646" s="219"/>
      <c r="L646" s="219">
        <v>5539.44</v>
      </c>
      <c r="M646" s="219" t="s">
        <v>359</v>
      </c>
      <c r="N646" s="219" t="s">
        <v>354</v>
      </c>
      <c r="O646" s="219">
        <v>502.0</v>
      </c>
      <c r="P646" s="219" t="s">
        <v>435</v>
      </c>
      <c r="Q646" s="219"/>
      <c r="R646" s="219"/>
      <c r="S646" s="219"/>
      <c r="T646" s="216"/>
      <c r="U646" s="216"/>
      <c r="V646" s="216"/>
      <c r="W646" s="216"/>
      <c r="X646" s="216"/>
    </row>
    <row r="647" hidden="1">
      <c r="A647" s="219" t="s">
        <v>434</v>
      </c>
      <c r="B647" s="219" t="s">
        <v>429</v>
      </c>
      <c r="C647" s="219"/>
      <c r="D647" s="219"/>
      <c r="E647" s="219"/>
      <c r="F647" s="219"/>
      <c r="G647" s="219">
        <v>5828.89</v>
      </c>
      <c r="H647" s="219"/>
      <c r="I647" s="219"/>
      <c r="J647" s="219"/>
      <c r="K647" s="219"/>
      <c r="L647" s="219">
        <v>5828.89</v>
      </c>
      <c r="M647" s="219" t="s">
        <v>359</v>
      </c>
      <c r="N647" s="219" t="s">
        <v>354</v>
      </c>
      <c r="O647" s="219">
        <v>502.0</v>
      </c>
      <c r="P647" s="219" t="s">
        <v>436</v>
      </c>
      <c r="Q647" s="219"/>
      <c r="R647" s="219"/>
      <c r="S647" s="219"/>
      <c r="T647" s="216"/>
      <c r="U647" s="216"/>
      <c r="V647" s="216"/>
      <c r="W647" s="216"/>
      <c r="X647" s="216"/>
    </row>
    <row r="648" hidden="1">
      <c r="A648" s="219" t="s">
        <v>349</v>
      </c>
      <c r="B648" s="219" t="s">
        <v>519</v>
      </c>
      <c r="C648" s="219" t="s">
        <v>31</v>
      </c>
      <c r="D648" s="219" t="s">
        <v>47</v>
      </c>
      <c r="E648" s="219"/>
      <c r="F648" s="219" t="s">
        <v>519</v>
      </c>
      <c r="G648" s="219">
        <v>213.95</v>
      </c>
      <c r="H648" s="219"/>
      <c r="I648" s="219"/>
      <c r="J648" s="219"/>
      <c r="K648" s="219"/>
      <c r="L648" s="219"/>
      <c r="M648" s="219">
        <v>46082.0</v>
      </c>
      <c r="N648" s="219"/>
      <c r="O648" s="219"/>
      <c r="P648" s="219"/>
      <c r="Q648" s="219"/>
      <c r="R648" s="219"/>
      <c r="S648" s="219"/>
      <c r="T648" s="216"/>
      <c r="U648" s="216"/>
      <c r="V648" s="216"/>
      <c r="W648" s="216"/>
      <c r="X648" s="216"/>
    </row>
    <row r="649" hidden="1">
      <c r="A649" s="217" t="s">
        <v>349</v>
      </c>
      <c r="B649" s="262" t="s">
        <v>520</v>
      </c>
      <c r="C649" s="263" t="s">
        <v>66</v>
      </c>
      <c r="D649" s="245" t="s">
        <v>160</v>
      </c>
      <c r="E649" s="234"/>
      <c r="F649" s="262" t="s">
        <v>520</v>
      </c>
      <c r="G649" s="264">
        <v>17314.97</v>
      </c>
      <c r="H649" s="216"/>
      <c r="I649" s="216"/>
      <c r="J649" s="216"/>
      <c r="K649" s="216"/>
      <c r="L649" s="217"/>
      <c r="M649" s="236">
        <v>46082.0</v>
      </c>
      <c r="N649" s="217"/>
      <c r="O649" s="217"/>
      <c r="P649" s="217"/>
      <c r="Q649" s="216"/>
      <c r="R649" s="216"/>
      <c r="S649" s="216"/>
      <c r="T649" s="216"/>
      <c r="U649" s="216"/>
      <c r="V649" s="216"/>
      <c r="W649" s="216"/>
      <c r="X649" s="216"/>
    </row>
    <row r="650" hidden="1">
      <c r="A650" s="219" t="s">
        <v>349</v>
      </c>
      <c r="B650" s="219" t="s">
        <v>70</v>
      </c>
      <c r="C650" s="219" t="s">
        <v>66</v>
      </c>
      <c r="D650" s="219" t="s">
        <v>371</v>
      </c>
      <c r="E650" s="219"/>
      <c r="F650" s="219" t="s">
        <v>70</v>
      </c>
      <c r="G650" s="219">
        <v>10000.0</v>
      </c>
      <c r="H650" s="219"/>
      <c r="I650" s="219"/>
      <c r="J650" s="219"/>
      <c r="K650" s="219"/>
      <c r="L650" s="219"/>
      <c r="M650" s="219">
        <v>46082.0</v>
      </c>
      <c r="N650" s="219"/>
      <c r="O650" s="219"/>
      <c r="P650" s="219"/>
      <c r="Q650" s="219"/>
      <c r="R650" s="219"/>
      <c r="S650" s="219"/>
      <c r="T650" s="216"/>
      <c r="U650" s="216"/>
      <c r="V650" s="216"/>
      <c r="W650" s="216"/>
      <c r="X650" s="216"/>
    </row>
    <row r="651" hidden="1">
      <c r="A651" s="219" t="s">
        <v>349</v>
      </c>
      <c r="B651" s="219" t="s">
        <v>521</v>
      </c>
      <c r="C651" s="219" t="s">
        <v>20</v>
      </c>
      <c r="D651" s="219" t="s">
        <v>54</v>
      </c>
      <c r="E651" s="219"/>
      <c r="F651" s="219" t="s">
        <v>521</v>
      </c>
      <c r="G651" s="219">
        <v>18699.28</v>
      </c>
      <c r="H651" s="219"/>
      <c r="I651" s="219"/>
      <c r="J651" s="219"/>
      <c r="K651" s="219"/>
      <c r="L651" s="219"/>
      <c r="M651" s="219">
        <v>46082.0</v>
      </c>
      <c r="N651" s="219"/>
      <c r="O651" s="219"/>
      <c r="P651" s="219"/>
      <c r="Q651" s="219"/>
      <c r="R651" s="219"/>
      <c r="S651" s="219"/>
      <c r="T651" s="216"/>
      <c r="U651" s="216"/>
      <c r="V651" s="216"/>
      <c r="W651" s="216"/>
      <c r="X651" s="216"/>
    </row>
    <row r="652" hidden="1">
      <c r="A652" s="217" t="s">
        <v>349</v>
      </c>
      <c r="B652" s="254"/>
      <c r="C652" s="233" t="s">
        <v>31</v>
      </c>
      <c r="D652" s="234" t="s">
        <v>98</v>
      </c>
      <c r="E652" s="234"/>
      <c r="F652" s="255"/>
      <c r="G652" s="257">
        <v>19902.05</v>
      </c>
      <c r="H652" s="216"/>
      <c r="I652" s="216"/>
      <c r="J652" s="216"/>
      <c r="K652" s="216"/>
      <c r="L652" s="217"/>
      <c r="M652" s="236">
        <v>46082.0</v>
      </c>
      <c r="N652" s="217"/>
      <c r="O652" s="217"/>
      <c r="P652" s="217"/>
      <c r="Q652" s="216"/>
      <c r="R652" s="216"/>
      <c r="S652" s="216"/>
      <c r="T652" s="216"/>
      <c r="U652" s="216"/>
      <c r="V652" s="216"/>
      <c r="W652" s="216"/>
      <c r="X652" s="216"/>
    </row>
    <row r="653" hidden="1">
      <c r="A653" s="219" t="s">
        <v>349</v>
      </c>
      <c r="B653" s="219" t="s">
        <v>522</v>
      </c>
      <c r="C653" s="219" t="s">
        <v>20</v>
      </c>
      <c r="D653" s="219" t="s">
        <v>54</v>
      </c>
      <c r="E653" s="219"/>
      <c r="F653" s="219" t="s">
        <v>522</v>
      </c>
      <c r="G653" s="219">
        <v>3192.01</v>
      </c>
      <c r="H653" s="219"/>
      <c r="I653" s="219"/>
      <c r="J653" s="219"/>
      <c r="K653" s="219"/>
      <c r="L653" s="219"/>
      <c r="M653" s="219">
        <v>46082.0</v>
      </c>
      <c r="N653" s="219"/>
      <c r="O653" s="219"/>
      <c r="P653" s="219"/>
      <c r="Q653" s="219"/>
      <c r="R653" s="219"/>
      <c r="S653" s="219"/>
      <c r="T653" s="216"/>
      <c r="U653" s="216"/>
      <c r="V653" s="216"/>
      <c r="W653" s="216"/>
      <c r="X653" s="216"/>
    </row>
    <row r="654" hidden="1">
      <c r="A654" s="217" t="s">
        <v>349</v>
      </c>
      <c r="B654" s="244" t="s">
        <v>523</v>
      </c>
      <c r="C654" s="244" t="s">
        <v>20</v>
      </c>
      <c r="D654" s="245" t="s">
        <v>54</v>
      </c>
      <c r="E654" s="234"/>
      <c r="F654" s="245" t="s">
        <v>523</v>
      </c>
      <c r="G654" s="253">
        <v>197713.73</v>
      </c>
      <c r="H654" s="216"/>
      <c r="I654" s="216"/>
      <c r="J654" s="216"/>
      <c r="K654" s="216"/>
      <c r="L654" s="217"/>
      <c r="M654" s="236">
        <v>46082.0</v>
      </c>
      <c r="N654" s="217"/>
      <c r="O654" s="217"/>
      <c r="P654" s="217"/>
      <c r="Q654" s="216"/>
      <c r="R654" s="216"/>
      <c r="S654" s="216"/>
      <c r="T654" s="216"/>
      <c r="U654" s="216"/>
      <c r="V654" s="216"/>
      <c r="W654" s="216"/>
      <c r="X654" s="216"/>
    </row>
    <row r="655" ht="15.75" customHeight="1">
      <c r="A655" s="265" t="s">
        <v>430</v>
      </c>
      <c r="B655" s="217" t="s">
        <v>429</v>
      </c>
      <c r="C655" s="219" t="s">
        <v>31</v>
      </c>
      <c r="D655" s="221" t="s">
        <v>98</v>
      </c>
      <c r="E655" s="216"/>
      <c r="F655" s="216"/>
      <c r="G655" s="219">
        <v>726.4037778</v>
      </c>
      <c r="H655" s="216"/>
      <c r="I655" s="216"/>
      <c r="J655" s="216"/>
      <c r="K655" s="216"/>
      <c r="L655" s="216"/>
      <c r="M655" s="217" t="s">
        <v>359</v>
      </c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</row>
    <row r="656" ht="15.75" customHeight="1">
      <c r="A656" s="265" t="s">
        <v>430</v>
      </c>
      <c r="B656" s="217" t="s">
        <v>429</v>
      </c>
      <c r="C656" s="219" t="s">
        <v>31</v>
      </c>
      <c r="D656" s="221" t="s">
        <v>21</v>
      </c>
      <c r="E656" s="216"/>
      <c r="F656" s="216"/>
      <c r="G656" s="219">
        <v>13801.67178</v>
      </c>
      <c r="H656" s="216"/>
      <c r="I656" s="216"/>
      <c r="J656" s="216"/>
      <c r="K656" s="216"/>
      <c r="L656" s="216"/>
      <c r="M656" s="217" t="s">
        <v>359</v>
      </c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</row>
    <row r="657" ht="15.75" customHeight="1">
      <c r="A657" s="265" t="s">
        <v>430</v>
      </c>
      <c r="B657" s="217" t="s">
        <v>429</v>
      </c>
      <c r="C657" s="219" t="s">
        <v>31</v>
      </c>
      <c r="D657" s="221" t="s">
        <v>187</v>
      </c>
      <c r="E657" s="216"/>
      <c r="F657" s="216"/>
      <c r="G657" s="219">
        <v>1937.076741</v>
      </c>
      <c r="H657" s="216"/>
      <c r="I657" s="216"/>
      <c r="J657" s="216"/>
      <c r="K657" s="216"/>
      <c r="L657" s="216"/>
      <c r="M657" s="217" t="s">
        <v>359</v>
      </c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</row>
    <row r="658" ht="15.75" customHeight="1">
      <c r="A658" s="265" t="s">
        <v>430</v>
      </c>
      <c r="B658" s="217" t="s">
        <v>429</v>
      </c>
      <c r="C658" s="219" t="s">
        <v>31</v>
      </c>
      <c r="D658" s="221" t="s">
        <v>38</v>
      </c>
      <c r="E658" s="216"/>
      <c r="F658" s="216"/>
      <c r="G658" s="219">
        <v>1089.605667</v>
      </c>
      <c r="H658" s="216"/>
      <c r="I658" s="216"/>
      <c r="J658" s="216"/>
      <c r="K658" s="216"/>
      <c r="L658" s="216"/>
      <c r="M658" s="217" t="s">
        <v>359</v>
      </c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</row>
    <row r="659" ht="15.75" customHeight="1">
      <c r="A659" s="265" t="s">
        <v>430</v>
      </c>
      <c r="B659" s="217" t="s">
        <v>429</v>
      </c>
      <c r="C659" s="219" t="s">
        <v>31</v>
      </c>
      <c r="D659" s="221" t="s">
        <v>47</v>
      </c>
      <c r="E659" s="216"/>
      <c r="F659" s="216"/>
      <c r="G659" s="219">
        <v>3874.153481</v>
      </c>
      <c r="H659" s="216"/>
      <c r="I659" s="216"/>
      <c r="J659" s="216"/>
      <c r="K659" s="216"/>
      <c r="L659" s="216"/>
      <c r="M659" s="217" t="s">
        <v>359</v>
      </c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</row>
    <row r="660" ht="15.75" customHeight="1">
      <c r="A660" s="265" t="s">
        <v>430</v>
      </c>
      <c r="B660" s="217" t="s">
        <v>429</v>
      </c>
      <c r="C660" s="219" t="s">
        <v>31</v>
      </c>
      <c r="D660" s="221" t="s">
        <v>113</v>
      </c>
      <c r="E660" s="216"/>
      <c r="F660" s="216"/>
      <c r="G660" s="219">
        <v>1089.605667</v>
      </c>
      <c r="H660" s="216"/>
      <c r="I660" s="216"/>
      <c r="J660" s="216"/>
      <c r="K660" s="216"/>
      <c r="L660" s="216"/>
      <c r="M660" s="217" t="s">
        <v>359</v>
      </c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</row>
    <row r="661" ht="15.75" customHeight="1">
      <c r="A661" s="217" t="s">
        <v>403</v>
      </c>
      <c r="B661" s="217" t="s">
        <v>406</v>
      </c>
      <c r="C661" s="217" t="s">
        <v>457</v>
      </c>
      <c r="D661" s="219" t="s">
        <v>371</v>
      </c>
      <c r="E661" s="216"/>
      <c r="F661" s="216"/>
      <c r="G661" s="217">
        <v>3700.28</v>
      </c>
      <c r="H661" s="216"/>
      <c r="I661" s="216"/>
      <c r="J661" s="216"/>
      <c r="K661" s="216"/>
      <c r="L661" s="217">
        <v>3700.28</v>
      </c>
      <c r="M661" s="217" t="s">
        <v>407</v>
      </c>
      <c r="N661" s="217" t="s">
        <v>408</v>
      </c>
      <c r="O661" s="217">
        <v>202.0</v>
      </c>
      <c r="P661" s="217" t="s">
        <v>409</v>
      </c>
      <c r="Q661" s="216"/>
      <c r="R661" s="216"/>
      <c r="S661" s="216"/>
      <c r="T661" s="216"/>
      <c r="U661" s="216"/>
      <c r="V661" s="216"/>
      <c r="W661" s="216"/>
      <c r="X661" s="216"/>
    </row>
    <row r="662" ht="15.75" customHeight="1">
      <c r="A662" s="217" t="s">
        <v>403</v>
      </c>
      <c r="B662" s="217" t="s">
        <v>410</v>
      </c>
      <c r="C662" s="217" t="s">
        <v>457</v>
      </c>
      <c r="D662" s="216"/>
      <c r="E662" s="216"/>
      <c r="F662" s="216"/>
      <c r="G662" s="217">
        <v>524.48</v>
      </c>
      <c r="H662" s="216"/>
      <c r="I662" s="216"/>
      <c r="J662" s="216"/>
      <c r="K662" s="216"/>
      <c r="L662" s="217">
        <v>524.48</v>
      </c>
      <c r="M662" s="217" t="s">
        <v>411</v>
      </c>
      <c r="N662" s="217" t="s">
        <v>408</v>
      </c>
      <c r="O662" s="217">
        <v>240.0</v>
      </c>
      <c r="P662" s="217" t="s">
        <v>409</v>
      </c>
      <c r="Q662" s="216"/>
      <c r="R662" s="216"/>
      <c r="S662" s="216"/>
      <c r="T662" s="216"/>
      <c r="U662" s="216"/>
      <c r="V662" s="216"/>
      <c r="W662" s="216"/>
      <c r="X662" s="216"/>
    </row>
    <row r="663" ht="15.75" customHeight="1">
      <c r="A663" s="217" t="s">
        <v>403</v>
      </c>
      <c r="B663" s="217" t="s">
        <v>412</v>
      </c>
      <c r="C663" s="217" t="s">
        <v>457</v>
      </c>
      <c r="D663" s="216"/>
      <c r="E663" s="216"/>
      <c r="F663" s="216"/>
      <c r="G663" s="217">
        <v>9948.99</v>
      </c>
      <c r="H663" s="216"/>
      <c r="I663" s="216"/>
      <c r="J663" s="216"/>
      <c r="K663" s="216"/>
      <c r="L663" s="217">
        <v>9948.99</v>
      </c>
      <c r="M663" s="217" t="s">
        <v>411</v>
      </c>
      <c r="N663" s="217" t="s">
        <v>354</v>
      </c>
      <c r="O663" s="217">
        <v>400.0</v>
      </c>
      <c r="P663" s="217" t="s">
        <v>409</v>
      </c>
      <c r="Q663" s="216"/>
      <c r="R663" s="216"/>
      <c r="S663" s="216"/>
      <c r="T663" s="216"/>
      <c r="U663" s="216"/>
      <c r="V663" s="216"/>
      <c r="W663" s="216"/>
      <c r="X663" s="216"/>
    </row>
    <row r="664" ht="15.75" customHeight="1">
      <c r="A664" s="217" t="s">
        <v>403</v>
      </c>
      <c r="B664" s="217" t="s">
        <v>413</v>
      </c>
      <c r="C664" s="217" t="s">
        <v>457</v>
      </c>
      <c r="D664" s="216"/>
      <c r="E664" s="216"/>
      <c r="F664" s="216"/>
      <c r="G664" s="217">
        <v>400.0</v>
      </c>
      <c r="H664" s="216"/>
      <c r="I664" s="216"/>
      <c r="J664" s="216"/>
      <c r="K664" s="216"/>
      <c r="L664" s="217">
        <v>400.0</v>
      </c>
      <c r="M664" s="217" t="s">
        <v>414</v>
      </c>
      <c r="N664" s="217" t="s">
        <v>408</v>
      </c>
      <c r="O664" s="217">
        <v>243.0</v>
      </c>
      <c r="P664" s="217" t="s">
        <v>409</v>
      </c>
      <c r="Q664" s="216"/>
      <c r="R664" s="216"/>
      <c r="S664" s="216"/>
      <c r="T664" s="216"/>
      <c r="U664" s="216"/>
      <c r="V664" s="216"/>
      <c r="W664" s="216"/>
      <c r="X664" s="216"/>
    </row>
    <row r="665" ht="15.75" customHeight="1">
      <c r="A665" s="217" t="s">
        <v>403</v>
      </c>
      <c r="B665" s="217" t="s">
        <v>415</v>
      </c>
      <c r="C665" s="217" t="s">
        <v>457</v>
      </c>
      <c r="D665" s="216"/>
      <c r="E665" s="216"/>
      <c r="F665" s="216"/>
      <c r="G665" s="217">
        <v>256.55</v>
      </c>
      <c r="H665" s="216"/>
      <c r="I665" s="216"/>
      <c r="J665" s="216"/>
      <c r="K665" s="216"/>
      <c r="L665" s="217">
        <v>256.55</v>
      </c>
      <c r="M665" s="217" t="s">
        <v>353</v>
      </c>
      <c r="N665" s="217" t="s">
        <v>408</v>
      </c>
      <c r="O665" s="217">
        <v>246.0</v>
      </c>
      <c r="P665" s="217" t="s">
        <v>409</v>
      </c>
      <c r="Q665" s="216"/>
      <c r="R665" s="216"/>
      <c r="S665" s="216"/>
      <c r="T665" s="216"/>
      <c r="U665" s="216"/>
      <c r="V665" s="216"/>
      <c r="W665" s="216"/>
      <c r="X665" s="216"/>
    </row>
    <row r="666" ht="15.75" customHeight="1">
      <c r="A666" s="217" t="s">
        <v>403</v>
      </c>
      <c r="B666" s="217" t="s">
        <v>416</v>
      </c>
      <c r="C666" s="217" t="s">
        <v>457</v>
      </c>
      <c r="D666" s="216"/>
      <c r="E666" s="216"/>
      <c r="F666" s="216"/>
      <c r="G666" s="217">
        <v>620.0</v>
      </c>
      <c r="H666" s="216"/>
      <c r="I666" s="216"/>
      <c r="J666" s="216"/>
      <c r="K666" s="216"/>
      <c r="L666" s="217">
        <v>620.0</v>
      </c>
      <c r="M666" s="217" t="s">
        <v>353</v>
      </c>
      <c r="N666" s="217" t="s">
        <v>408</v>
      </c>
      <c r="O666" s="217">
        <v>247.0</v>
      </c>
      <c r="P666" s="217" t="s">
        <v>409</v>
      </c>
      <c r="Q666" s="216"/>
      <c r="R666" s="216"/>
      <c r="S666" s="216"/>
      <c r="T666" s="216"/>
      <c r="U666" s="216"/>
      <c r="V666" s="216"/>
      <c r="W666" s="216"/>
      <c r="X666" s="216"/>
    </row>
    <row r="667" ht="15.75" customHeight="1">
      <c r="A667" s="217" t="s">
        <v>401</v>
      </c>
      <c r="B667" s="217" t="s">
        <v>404</v>
      </c>
      <c r="C667" s="217" t="s">
        <v>20</v>
      </c>
      <c r="D667" s="216"/>
      <c r="E667" s="216"/>
      <c r="F667" s="216"/>
      <c r="G667" s="217">
        <v>858.75</v>
      </c>
      <c r="H667" s="216"/>
      <c r="I667" s="216"/>
      <c r="J667" s="216"/>
      <c r="K667" s="216"/>
      <c r="L667" s="217">
        <v>858.75</v>
      </c>
      <c r="M667" s="217" t="s">
        <v>359</v>
      </c>
      <c r="N667" s="217" t="s">
        <v>354</v>
      </c>
      <c r="O667" s="217">
        <v>295.0</v>
      </c>
      <c r="P667" s="217" t="s">
        <v>405</v>
      </c>
      <c r="Q667" s="216"/>
      <c r="R667" s="216"/>
      <c r="S667" s="216"/>
      <c r="T667" s="216"/>
      <c r="U667" s="216"/>
      <c r="V667" s="216"/>
      <c r="W667" s="216"/>
      <c r="X667" s="216"/>
    </row>
    <row r="668" ht="15.75" customHeight="1">
      <c r="A668" s="217" t="s">
        <v>401</v>
      </c>
      <c r="B668" s="217" t="s">
        <v>404</v>
      </c>
      <c r="C668" s="217" t="s">
        <v>20</v>
      </c>
      <c r="D668" s="216"/>
      <c r="E668" s="216"/>
      <c r="F668" s="216"/>
      <c r="G668" s="217">
        <v>858.75</v>
      </c>
      <c r="H668" s="216"/>
      <c r="I668" s="216"/>
      <c r="J668" s="216"/>
      <c r="K668" s="216"/>
      <c r="L668" s="217">
        <v>858.75</v>
      </c>
      <c r="M668" s="217" t="s">
        <v>359</v>
      </c>
      <c r="N668" s="217" t="s">
        <v>354</v>
      </c>
      <c r="O668" s="217">
        <v>295.0</v>
      </c>
      <c r="P668" s="217" t="s">
        <v>405</v>
      </c>
      <c r="Q668" s="216"/>
      <c r="R668" s="216"/>
      <c r="S668" s="216"/>
      <c r="T668" s="216"/>
      <c r="U668" s="216"/>
      <c r="V668" s="216"/>
      <c r="W668" s="216"/>
      <c r="X668" s="216"/>
    </row>
    <row r="669" ht="15.75" customHeight="1">
      <c r="A669" s="217" t="s">
        <v>401</v>
      </c>
      <c r="B669" s="217" t="s">
        <v>404</v>
      </c>
      <c r="C669" s="217" t="s">
        <v>20</v>
      </c>
      <c r="D669" s="216"/>
      <c r="E669" s="216"/>
      <c r="F669" s="216"/>
      <c r="G669" s="217">
        <v>1202.25</v>
      </c>
      <c r="H669" s="216"/>
      <c r="I669" s="216"/>
      <c r="J669" s="216"/>
      <c r="K669" s="216"/>
      <c r="L669" s="217">
        <v>1202.25</v>
      </c>
      <c r="M669" s="217" t="s">
        <v>359</v>
      </c>
      <c r="N669" s="217" t="s">
        <v>354</v>
      </c>
      <c r="O669" s="217">
        <v>295.0</v>
      </c>
      <c r="P669" s="217" t="s">
        <v>405</v>
      </c>
      <c r="Q669" s="216"/>
      <c r="R669" s="216"/>
      <c r="S669" s="216"/>
      <c r="T669" s="216"/>
      <c r="U669" s="216"/>
      <c r="V669" s="216"/>
      <c r="W669" s="216"/>
      <c r="X669" s="216"/>
    </row>
    <row r="670" ht="15.75" customHeight="1">
      <c r="A670" s="217" t="s">
        <v>401</v>
      </c>
      <c r="B670" s="217" t="s">
        <v>404</v>
      </c>
      <c r="C670" s="217" t="s">
        <v>20</v>
      </c>
      <c r="D670" s="216"/>
      <c r="E670" s="216"/>
      <c r="F670" s="216"/>
      <c r="G670" s="217">
        <v>1374.0</v>
      </c>
      <c r="H670" s="216"/>
      <c r="I670" s="216"/>
      <c r="J670" s="216"/>
      <c r="K670" s="216"/>
      <c r="L670" s="217">
        <v>1374.0</v>
      </c>
      <c r="M670" s="217" t="s">
        <v>359</v>
      </c>
      <c r="N670" s="217" t="s">
        <v>354</v>
      </c>
      <c r="O670" s="217">
        <v>295.0</v>
      </c>
      <c r="P670" s="217" t="s">
        <v>405</v>
      </c>
      <c r="Q670" s="216"/>
      <c r="R670" s="216"/>
      <c r="S670" s="216"/>
      <c r="T670" s="216"/>
      <c r="U670" s="216"/>
      <c r="V670" s="216"/>
      <c r="W670" s="216"/>
      <c r="X670" s="216"/>
    </row>
    <row r="671" ht="15.75" customHeight="1">
      <c r="A671" s="217" t="s">
        <v>349</v>
      </c>
      <c r="B671" s="233" t="s">
        <v>539</v>
      </c>
      <c r="C671" s="233" t="s">
        <v>31</v>
      </c>
      <c r="D671" s="234" t="s">
        <v>47</v>
      </c>
      <c r="E671" s="234"/>
      <c r="F671" s="234" t="s">
        <v>539</v>
      </c>
      <c r="G671" s="257">
        <v>1000.0</v>
      </c>
      <c r="H671" s="216"/>
      <c r="I671" s="216"/>
      <c r="J671" s="216"/>
      <c r="K671" s="216"/>
      <c r="L671" s="217"/>
      <c r="M671" s="217" t="s">
        <v>359</v>
      </c>
      <c r="N671" s="217"/>
      <c r="O671" s="217"/>
      <c r="P671" s="217"/>
      <c r="Q671" s="216"/>
      <c r="R671" s="216"/>
      <c r="S671" s="216"/>
      <c r="T671" s="216"/>
      <c r="U671" s="216"/>
      <c r="V671" s="216"/>
      <c r="W671" s="216"/>
      <c r="X671" s="216"/>
    </row>
    <row r="672" ht="15.75" customHeight="1">
      <c r="A672" s="217" t="s">
        <v>349</v>
      </c>
      <c r="B672" s="244" t="s">
        <v>523</v>
      </c>
      <c r="C672" s="244" t="s">
        <v>20</v>
      </c>
      <c r="D672" s="245" t="s">
        <v>54</v>
      </c>
      <c r="E672" s="245"/>
      <c r="F672" s="245" t="s">
        <v>523</v>
      </c>
      <c r="G672" s="253">
        <v>1613.0</v>
      </c>
      <c r="H672" s="216"/>
      <c r="I672" s="216"/>
      <c r="J672" s="216"/>
      <c r="K672" s="216"/>
      <c r="L672" s="217"/>
      <c r="M672" s="217" t="s">
        <v>359</v>
      </c>
      <c r="N672" s="217"/>
      <c r="O672" s="217"/>
      <c r="P672" s="217"/>
      <c r="Q672" s="216"/>
      <c r="R672" s="216"/>
      <c r="S672" s="216"/>
      <c r="T672" s="216"/>
      <c r="U672" s="216"/>
      <c r="V672" s="216"/>
      <c r="W672" s="216"/>
      <c r="X672" s="216"/>
    </row>
    <row r="673" ht="15.75" customHeight="1">
      <c r="A673" s="217" t="s">
        <v>349</v>
      </c>
      <c r="B673" s="254"/>
      <c r="C673" s="233" t="s">
        <v>31</v>
      </c>
      <c r="D673" s="234" t="s">
        <v>98</v>
      </c>
      <c r="E673" s="234"/>
      <c r="F673" s="255"/>
      <c r="G673" s="257">
        <v>27142.31</v>
      </c>
      <c r="H673" s="216"/>
      <c r="I673" s="216"/>
      <c r="J673" s="216"/>
      <c r="K673" s="216"/>
      <c r="L673" s="217"/>
      <c r="M673" s="217" t="s">
        <v>359</v>
      </c>
      <c r="N673" s="217"/>
      <c r="O673" s="217"/>
      <c r="P673" s="217"/>
      <c r="Q673" s="216"/>
      <c r="R673" s="216"/>
      <c r="S673" s="216"/>
      <c r="T673" s="216"/>
      <c r="U673" s="216"/>
      <c r="V673" s="216"/>
      <c r="W673" s="216"/>
      <c r="X673" s="216"/>
    </row>
    <row r="674" ht="15.75" customHeight="1">
      <c r="A674" s="217" t="s">
        <v>349</v>
      </c>
      <c r="B674" s="262" t="s">
        <v>520</v>
      </c>
      <c r="C674" s="266" t="s">
        <v>66</v>
      </c>
      <c r="D674" s="245" t="s">
        <v>160</v>
      </c>
      <c r="E674" s="245"/>
      <c r="F674" s="262" t="s">
        <v>520</v>
      </c>
      <c r="G674" s="253">
        <v>21424.02</v>
      </c>
      <c r="H674" s="216"/>
      <c r="I674" s="216"/>
      <c r="J674" s="216"/>
      <c r="K674" s="216"/>
      <c r="L674" s="217"/>
      <c r="M674" s="217" t="s">
        <v>359</v>
      </c>
      <c r="N674" s="217"/>
      <c r="O674" s="217"/>
      <c r="P674" s="217"/>
      <c r="Q674" s="216"/>
      <c r="R674" s="216"/>
      <c r="S674" s="216"/>
      <c r="T674" s="216"/>
      <c r="U674" s="216"/>
      <c r="V674" s="216"/>
      <c r="W674" s="216"/>
      <c r="X674" s="216"/>
    </row>
    <row r="675" ht="15.75" customHeight="1">
      <c r="A675" s="217" t="s">
        <v>349</v>
      </c>
      <c r="B675" s="233" t="s">
        <v>350</v>
      </c>
      <c r="C675" s="233" t="s">
        <v>31</v>
      </c>
      <c r="D675" s="234" t="s">
        <v>54</v>
      </c>
      <c r="E675" s="234"/>
      <c r="F675" s="234" t="s">
        <v>350</v>
      </c>
      <c r="G675" s="257">
        <v>21387.44</v>
      </c>
      <c r="H675" s="267"/>
      <c r="I675" s="267"/>
      <c r="J675" s="267"/>
      <c r="K675" s="267"/>
      <c r="L675" s="268"/>
      <c r="M675" s="217" t="s">
        <v>359</v>
      </c>
      <c r="N675" s="268"/>
      <c r="O675" s="268"/>
      <c r="P675" s="268"/>
      <c r="Q675" s="267"/>
      <c r="R675" s="267"/>
      <c r="S675" s="267"/>
      <c r="T675" s="216"/>
      <c r="U675" s="216"/>
      <c r="V675" s="216"/>
      <c r="W675" s="216"/>
      <c r="X675" s="216"/>
    </row>
    <row r="676" ht="15.75" customHeight="1">
      <c r="A676" s="217" t="s">
        <v>349</v>
      </c>
      <c r="B676" s="262" t="s">
        <v>507</v>
      </c>
      <c r="C676" s="266" t="s">
        <v>66</v>
      </c>
      <c r="D676" s="245" t="s">
        <v>75</v>
      </c>
      <c r="E676" s="245"/>
      <c r="F676" s="262" t="s">
        <v>507</v>
      </c>
      <c r="G676" s="253">
        <v>1500.0</v>
      </c>
      <c r="H676" s="267"/>
      <c r="I676" s="267"/>
      <c r="J676" s="267"/>
      <c r="K676" s="267"/>
      <c r="L676" s="268"/>
      <c r="M676" s="217" t="s">
        <v>359</v>
      </c>
      <c r="N676" s="268"/>
      <c r="O676" s="268"/>
      <c r="P676" s="268"/>
      <c r="Q676" s="267"/>
      <c r="R676" s="267"/>
      <c r="S676" s="267"/>
      <c r="T676" s="216"/>
      <c r="U676" s="216"/>
      <c r="V676" s="216"/>
      <c r="W676" s="216"/>
      <c r="X676" s="216"/>
    </row>
    <row r="677" ht="15.75" customHeight="1">
      <c r="A677" s="217" t="s">
        <v>349</v>
      </c>
      <c r="B677" s="254"/>
      <c r="C677" s="233" t="s">
        <v>31</v>
      </c>
      <c r="D677" s="234" t="s">
        <v>113</v>
      </c>
      <c r="E677" s="234"/>
      <c r="F677" s="255"/>
      <c r="G677" s="257">
        <v>35471.6</v>
      </c>
      <c r="H677" s="267"/>
      <c r="I677" s="267"/>
      <c r="J677" s="267"/>
      <c r="K677" s="267"/>
      <c r="L677" s="268"/>
      <c r="M677" s="217" t="s">
        <v>359</v>
      </c>
      <c r="N677" s="268"/>
      <c r="O677" s="268"/>
      <c r="P677" s="268"/>
      <c r="Q677" s="267"/>
      <c r="R677" s="267"/>
      <c r="S677" s="267"/>
      <c r="T677" s="216"/>
      <c r="U677" s="216"/>
      <c r="V677" s="216"/>
      <c r="W677" s="216"/>
      <c r="X677" s="216"/>
    </row>
    <row r="678" ht="15.75" customHeight="1">
      <c r="A678" s="217" t="s">
        <v>349</v>
      </c>
      <c r="B678" s="252"/>
      <c r="C678" s="244" t="s">
        <v>31</v>
      </c>
      <c r="D678" s="245" t="s">
        <v>38</v>
      </c>
      <c r="E678" s="269"/>
      <c r="F678" s="246"/>
      <c r="G678" s="264">
        <v>0.0</v>
      </c>
      <c r="H678" s="267"/>
      <c r="I678" s="267"/>
      <c r="J678" s="267"/>
      <c r="K678" s="267"/>
      <c r="L678" s="268"/>
      <c r="M678" s="217" t="s">
        <v>359</v>
      </c>
      <c r="N678" s="268"/>
      <c r="O678" s="268"/>
      <c r="P678" s="268"/>
      <c r="Q678" s="267"/>
      <c r="R678" s="267"/>
      <c r="S678" s="267"/>
      <c r="T678" s="216"/>
      <c r="U678" s="216"/>
      <c r="V678" s="216"/>
      <c r="W678" s="216"/>
      <c r="X678" s="216"/>
    </row>
    <row r="679" ht="15.75" customHeight="1">
      <c r="A679" s="217" t="s">
        <v>349</v>
      </c>
      <c r="B679" s="233" t="s">
        <v>519</v>
      </c>
      <c r="C679" s="233" t="s">
        <v>31</v>
      </c>
      <c r="D679" s="234" t="s">
        <v>47</v>
      </c>
      <c r="E679" s="269"/>
      <c r="F679" s="234" t="s">
        <v>519</v>
      </c>
      <c r="G679" s="257">
        <v>6818.35</v>
      </c>
      <c r="H679" s="267"/>
      <c r="I679" s="267"/>
      <c r="J679" s="267"/>
      <c r="K679" s="267"/>
      <c r="L679" s="268"/>
      <c r="M679" s="217" t="s">
        <v>359</v>
      </c>
      <c r="N679" s="268"/>
      <c r="O679" s="268"/>
      <c r="P679" s="268"/>
      <c r="Q679" s="267"/>
      <c r="R679" s="267"/>
      <c r="S679" s="267"/>
      <c r="T679" s="216"/>
      <c r="U679" s="216"/>
      <c r="V679" s="216"/>
      <c r="W679" s="216"/>
      <c r="X679" s="216"/>
    </row>
    <row r="680" ht="15.75" customHeight="1">
      <c r="A680" s="217" t="s">
        <v>349</v>
      </c>
      <c r="B680" s="244" t="s">
        <v>70</v>
      </c>
      <c r="C680" s="266" t="s">
        <v>66</v>
      </c>
      <c r="D680" s="245" t="s">
        <v>371</v>
      </c>
      <c r="E680" s="269"/>
      <c r="F680" s="245" t="s">
        <v>70</v>
      </c>
      <c r="G680" s="253">
        <v>16040.27</v>
      </c>
      <c r="H680" s="267"/>
      <c r="I680" s="267"/>
      <c r="J680" s="267"/>
      <c r="K680" s="267"/>
      <c r="L680" s="268"/>
      <c r="M680" s="217" t="s">
        <v>359</v>
      </c>
      <c r="N680" s="268"/>
      <c r="O680" s="268"/>
      <c r="P680" s="268"/>
      <c r="Q680" s="267"/>
      <c r="R680" s="267"/>
      <c r="S680" s="267"/>
      <c r="T680" s="216"/>
      <c r="U680" s="216"/>
      <c r="V680" s="216"/>
      <c r="W680" s="216"/>
      <c r="X680" s="216"/>
    </row>
    <row r="681" ht="15.75" customHeight="1">
      <c r="A681" s="217" t="s">
        <v>349</v>
      </c>
      <c r="B681" s="270"/>
      <c r="C681" s="271" t="s">
        <v>20</v>
      </c>
      <c r="D681" s="272" t="s">
        <v>21</v>
      </c>
      <c r="E681" s="272" t="s">
        <v>22</v>
      </c>
      <c r="F681" s="273"/>
      <c r="G681" s="274">
        <v>202390.83</v>
      </c>
      <c r="H681" s="267"/>
      <c r="I681" s="267"/>
      <c r="J681" s="267"/>
      <c r="K681" s="267"/>
      <c r="L681" s="268"/>
      <c r="M681" s="236">
        <v>46054.0</v>
      </c>
      <c r="N681" s="268"/>
      <c r="O681" s="268"/>
      <c r="P681" s="268"/>
      <c r="Q681" s="267"/>
      <c r="R681" s="267"/>
      <c r="S681" s="267"/>
      <c r="T681" s="216"/>
      <c r="U681" s="216"/>
      <c r="V681" s="216"/>
      <c r="W681" s="216"/>
      <c r="X681" s="216"/>
    </row>
    <row r="682" ht="15.75" customHeight="1">
      <c r="A682" s="217" t="s">
        <v>349</v>
      </c>
      <c r="B682" s="275"/>
      <c r="C682" s="276" t="s">
        <v>20</v>
      </c>
      <c r="D682" s="269" t="s">
        <v>21</v>
      </c>
      <c r="E682" s="269" t="s">
        <v>61</v>
      </c>
      <c r="F682" s="277"/>
      <c r="G682" s="278">
        <v>316716.01</v>
      </c>
      <c r="H682" s="267"/>
      <c r="I682" s="267"/>
      <c r="J682" s="267"/>
      <c r="K682" s="267"/>
      <c r="L682" s="268"/>
      <c r="M682" s="236">
        <v>46054.0</v>
      </c>
      <c r="N682" s="268"/>
      <c r="O682" s="268"/>
      <c r="P682" s="268"/>
      <c r="Q682" s="267"/>
      <c r="R682" s="267"/>
      <c r="S682" s="267"/>
      <c r="T682" s="216"/>
      <c r="U682" s="216"/>
      <c r="V682" s="216"/>
      <c r="W682" s="216"/>
      <c r="X682" s="216"/>
    </row>
    <row r="683" ht="15.75" customHeight="1">
      <c r="A683" s="217" t="s">
        <v>349</v>
      </c>
      <c r="B683" s="270"/>
      <c r="C683" s="271" t="s">
        <v>20</v>
      </c>
      <c r="D683" s="272" t="s">
        <v>21</v>
      </c>
      <c r="E683" s="272" t="s">
        <v>44</v>
      </c>
      <c r="F683" s="273"/>
      <c r="G683" s="274">
        <v>127369.76</v>
      </c>
      <c r="H683" s="267"/>
      <c r="I683" s="267"/>
      <c r="J683" s="267"/>
      <c r="K683" s="267"/>
      <c r="L683" s="268"/>
      <c r="M683" s="236">
        <v>46054.0</v>
      </c>
      <c r="N683" s="268"/>
      <c r="O683" s="268"/>
      <c r="P683" s="268"/>
      <c r="Q683" s="267"/>
      <c r="R683" s="267"/>
      <c r="S683" s="267"/>
      <c r="T683" s="216"/>
      <c r="U683" s="216"/>
      <c r="V683" s="216"/>
      <c r="W683" s="216"/>
      <c r="X683" s="216"/>
    </row>
    <row r="684" ht="15.75" customHeight="1">
      <c r="A684" s="217" t="s">
        <v>349</v>
      </c>
      <c r="B684" s="275"/>
      <c r="C684" s="276" t="s">
        <v>20</v>
      </c>
      <c r="D684" s="269" t="s">
        <v>21</v>
      </c>
      <c r="E684" s="269" t="s">
        <v>386</v>
      </c>
      <c r="F684" s="277"/>
      <c r="G684" s="278">
        <v>40556.6</v>
      </c>
      <c r="H684" s="267"/>
      <c r="I684" s="267"/>
      <c r="J684" s="267"/>
      <c r="K684" s="267"/>
      <c r="L684" s="268"/>
      <c r="M684" s="236">
        <v>46054.0</v>
      </c>
      <c r="N684" s="268"/>
      <c r="O684" s="268"/>
      <c r="P684" s="268"/>
      <c r="Q684" s="267"/>
      <c r="R684" s="267"/>
      <c r="S684" s="267"/>
      <c r="T684" s="216"/>
      <c r="U684" s="216"/>
      <c r="V684" s="216"/>
      <c r="W684" s="216"/>
      <c r="X684" s="216"/>
    </row>
    <row r="685" ht="15.75" customHeight="1">
      <c r="A685" s="217" t="s">
        <v>349</v>
      </c>
      <c r="B685" s="271" t="s">
        <v>387</v>
      </c>
      <c r="C685" s="271" t="s">
        <v>31</v>
      </c>
      <c r="D685" s="272" t="s">
        <v>54</v>
      </c>
      <c r="E685" s="269"/>
      <c r="F685" s="272" t="s">
        <v>387</v>
      </c>
      <c r="G685" s="279">
        <v>96311.02</v>
      </c>
      <c r="H685" s="267"/>
      <c r="I685" s="267"/>
      <c r="J685" s="267"/>
      <c r="K685" s="267"/>
      <c r="L685" s="268"/>
      <c r="M685" s="236">
        <v>46054.0</v>
      </c>
      <c r="N685" s="268"/>
      <c r="O685" s="268"/>
      <c r="P685" s="268"/>
      <c r="Q685" s="267"/>
      <c r="R685" s="267"/>
      <c r="S685" s="267"/>
      <c r="T685" s="216"/>
      <c r="U685" s="216"/>
      <c r="V685" s="216"/>
      <c r="W685" s="216"/>
      <c r="X685" s="216"/>
    </row>
    <row r="686" ht="15.75" customHeight="1">
      <c r="A686" s="217" t="s">
        <v>349</v>
      </c>
      <c r="B686" s="276" t="s">
        <v>388</v>
      </c>
      <c r="C686" s="276" t="s">
        <v>20</v>
      </c>
      <c r="D686" s="269" t="s">
        <v>54</v>
      </c>
      <c r="E686" s="269"/>
      <c r="F686" s="269" t="s">
        <v>388</v>
      </c>
      <c r="G686" s="278">
        <v>17355.63</v>
      </c>
      <c r="H686" s="267"/>
      <c r="I686" s="267"/>
      <c r="J686" s="267"/>
      <c r="K686" s="267"/>
      <c r="L686" s="268"/>
      <c r="M686" s="236">
        <v>46054.0</v>
      </c>
      <c r="N686" s="268"/>
      <c r="O686" s="268"/>
      <c r="P686" s="268"/>
      <c r="Q686" s="267"/>
      <c r="R686" s="267"/>
      <c r="S686" s="267"/>
      <c r="T686" s="216"/>
      <c r="U686" s="216"/>
      <c r="V686" s="216"/>
      <c r="W686" s="216"/>
      <c r="X686" s="216"/>
    </row>
    <row r="687" ht="15.75" customHeight="1">
      <c r="A687" s="217" t="s">
        <v>349</v>
      </c>
      <c r="B687" s="271" t="s">
        <v>539</v>
      </c>
      <c r="C687" s="271" t="s">
        <v>31</v>
      </c>
      <c r="D687" s="272" t="s">
        <v>47</v>
      </c>
      <c r="E687" s="269"/>
      <c r="F687" s="272" t="s">
        <v>539</v>
      </c>
      <c r="G687" s="280">
        <v>678.0</v>
      </c>
      <c r="H687" s="267"/>
      <c r="I687" s="267"/>
      <c r="J687" s="267"/>
      <c r="K687" s="267"/>
      <c r="L687" s="268"/>
      <c r="M687" s="236">
        <v>46054.0</v>
      </c>
      <c r="N687" s="268"/>
      <c r="O687" s="268"/>
      <c r="P687" s="268"/>
      <c r="Q687" s="267"/>
      <c r="R687" s="267"/>
      <c r="S687" s="267"/>
      <c r="T687" s="216"/>
      <c r="U687" s="216"/>
      <c r="V687" s="216"/>
      <c r="W687" s="216"/>
      <c r="X687" s="216"/>
    </row>
    <row r="688" ht="15.75" customHeight="1">
      <c r="A688" s="217" t="s">
        <v>349</v>
      </c>
      <c r="B688" s="276" t="s">
        <v>523</v>
      </c>
      <c r="C688" s="276" t="s">
        <v>20</v>
      </c>
      <c r="D688" s="269" t="s">
        <v>54</v>
      </c>
      <c r="E688" s="269"/>
      <c r="F688" s="269" t="s">
        <v>523</v>
      </c>
      <c r="G688" s="278">
        <v>38775.95</v>
      </c>
      <c r="H688" s="267"/>
      <c r="I688" s="267"/>
      <c r="J688" s="267"/>
      <c r="K688" s="267"/>
      <c r="L688" s="268"/>
      <c r="M688" s="236">
        <v>46054.0</v>
      </c>
      <c r="N688" s="268"/>
      <c r="O688" s="268"/>
      <c r="P688" s="268"/>
      <c r="Q688" s="267"/>
      <c r="R688" s="267"/>
      <c r="S688" s="267"/>
      <c r="T688" s="216"/>
      <c r="U688" s="216"/>
      <c r="V688" s="216"/>
      <c r="W688" s="216"/>
      <c r="X688" s="216"/>
    </row>
    <row r="689" ht="15.75" customHeight="1">
      <c r="A689" s="217" t="s">
        <v>349</v>
      </c>
      <c r="B689" s="270"/>
      <c r="C689" s="271" t="s">
        <v>31</v>
      </c>
      <c r="D689" s="272" t="s">
        <v>98</v>
      </c>
      <c r="E689" s="269"/>
      <c r="F689" s="273"/>
      <c r="G689" s="279">
        <v>17609.87</v>
      </c>
      <c r="H689" s="267"/>
      <c r="I689" s="267"/>
      <c r="J689" s="267"/>
      <c r="K689" s="267"/>
      <c r="L689" s="268"/>
      <c r="M689" s="236">
        <v>46054.0</v>
      </c>
      <c r="N689" s="268"/>
      <c r="O689" s="268"/>
      <c r="P689" s="268"/>
      <c r="Q689" s="267"/>
      <c r="R689" s="267"/>
      <c r="S689" s="267"/>
      <c r="T689" s="216"/>
      <c r="U689" s="216"/>
      <c r="V689" s="216"/>
      <c r="W689" s="216"/>
      <c r="X689" s="216"/>
    </row>
    <row r="690" ht="15.75" customHeight="1">
      <c r="A690" s="217" t="s">
        <v>349</v>
      </c>
      <c r="B690" s="281" t="s">
        <v>520</v>
      </c>
      <c r="C690" s="282" t="s">
        <v>66</v>
      </c>
      <c r="D690" s="269" t="s">
        <v>160</v>
      </c>
      <c r="E690" s="269"/>
      <c r="F690" s="281" t="s">
        <v>520</v>
      </c>
      <c r="G690" s="278">
        <v>16778.89</v>
      </c>
      <c r="H690" s="267"/>
      <c r="I690" s="267"/>
      <c r="J690" s="267"/>
      <c r="K690" s="267"/>
      <c r="L690" s="268"/>
      <c r="M690" s="236">
        <v>46054.0</v>
      </c>
      <c r="N690" s="268"/>
      <c r="O690" s="268"/>
      <c r="P690" s="268"/>
      <c r="Q690" s="267"/>
      <c r="R690" s="267"/>
      <c r="S690" s="267"/>
      <c r="T690" s="216"/>
      <c r="U690" s="216"/>
      <c r="V690" s="216"/>
      <c r="W690" s="216"/>
      <c r="X690" s="216"/>
    </row>
    <row r="691" ht="15.75" customHeight="1">
      <c r="A691" s="217" t="s">
        <v>349</v>
      </c>
      <c r="B691" s="271" t="s">
        <v>350</v>
      </c>
      <c r="C691" s="271" t="s">
        <v>31</v>
      </c>
      <c r="D691" s="272" t="s">
        <v>54</v>
      </c>
      <c r="E691" s="269"/>
      <c r="F691" s="272" t="s">
        <v>350</v>
      </c>
      <c r="G691" s="280">
        <v>22187.73</v>
      </c>
      <c r="H691" s="267"/>
      <c r="I691" s="267"/>
      <c r="J691" s="267"/>
      <c r="K691" s="267"/>
      <c r="L691" s="268"/>
      <c r="M691" s="236">
        <v>46054.0</v>
      </c>
      <c r="N691" s="268"/>
      <c r="O691" s="268"/>
      <c r="P691" s="268"/>
      <c r="Q691" s="267"/>
      <c r="R691" s="267"/>
      <c r="S691" s="267"/>
      <c r="T691" s="216"/>
      <c r="U691" s="216"/>
      <c r="V691" s="216"/>
      <c r="W691" s="216"/>
      <c r="X691" s="216"/>
    </row>
    <row r="692" ht="15.75" customHeight="1">
      <c r="A692" s="217" t="s">
        <v>349</v>
      </c>
      <c r="B692" s="281" t="s">
        <v>507</v>
      </c>
      <c r="C692" s="282" t="s">
        <v>66</v>
      </c>
      <c r="D692" s="269" t="s">
        <v>75</v>
      </c>
      <c r="E692" s="269"/>
      <c r="F692" s="281" t="s">
        <v>507</v>
      </c>
      <c r="G692" s="283">
        <v>1300.0</v>
      </c>
      <c r="H692" s="267"/>
      <c r="I692" s="267"/>
      <c r="J692" s="267"/>
      <c r="K692" s="267"/>
      <c r="L692" s="268"/>
      <c r="M692" s="236">
        <v>46054.0</v>
      </c>
      <c r="N692" s="268"/>
      <c r="O692" s="268"/>
      <c r="P692" s="268"/>
      <c r="Q692" s="267"/>
      <c r="R692" s="267"/>
      <c r="S692" s="267"/>
      <c r="T692" s="216"/>
      <c r="U692" s="216"/>
      <c r="V692" s="216"/>
      <c r="W692" s="216"/>
      <c r="X692" s="216"/>
    </row>
    <row r="693" ht="15.75" customHeight="1">
      <c r="A693" s="217" t="s">
        <v>349</v>
      </c>
      <c r="B693" s="270"/>
      <c r="C693" s="271" t="s">
        <v>31</v>
      </c>
      <c r="D693" s="272" t="s">
        <v>113</v>
      </c>
      <c r="E693" s="269"/>
      <c r="F693" s="273"/>
      <c r="G693" s="279">
        <v>9132.0</v>
      </c>
      <c r="H693" s="267"/>
      <c r="I693" s="267"/>
      <c r="J693" s="267"/>
      <c r="K693" s="267"/>
      <c r="L693" s="268"/>
      <c r="M693" s="236">
        <v>46054.0</v>
      </c>
      <c r="N693" s="268"/>
      <c r="O693" s="268"/>
      <c r="P693" s="268"/>
      <c r="Q693" s="267"/>
      <c r="R693" s="267"/>
      <c r="S693" s="267"/>
      <c r="T693" s="216"/>
      <c r="U693" s="216"/>
      <c r="V693" s="216"/>
      <c r="W693" s="216"/>
      <c r="X693" s="216"/>
    </row>
    <row r="694" ht="15.75" customHeight="1">
      <c r="A694" s="217" t="s">
        <v>349</v>
      </c>
      <c r="B694" s="275"/>
      <c r="C694" s="276" t="s">
        <v>31</v>
      </c>
      <c r="D694" s="269" t="s">
        <v>38</v>
      </c>
      <c r="E694" s="269"/>
      <c r="F694" s="277"/>
      <c r="G694" s="283">
        <v>950.0</v>
      </c>
      <c r="H694" s="267"/>
      <c r="I694" s="267"/>
      <c r="J694" s="267"/>
      <c r="K694" s="267"/>
      <c r="L694" s="268"/>
      <c r="M694" s="236">
        <v>46054.0</v>
      </c>
      <c r="N694" s="268"/>
      <c r="O694" s="268"/>
      <c r="P694" s="268"/>
      <c r="Q694" s="267"/>
      <c r="R694" s="267"/>
      <c r="S694" s="267"/>
      <c r="T694" s="216"/>
      <c r="U694" s="216"/>
      <c r="V694" s="216"/>
      <c r="W694" s="216"/>
      <c r="X694" s="216"/>
    </row>
    <row r="695" ht="15.75" customHeight="1">
      <c r="A695" s="217" t="s">
        <v>349</v>
      </c>
      <c r="B695" s="271" t="s">
        <v>519</v>
      </c>
      <c r="C695" s="271" t="s">
        <v>31</v>
      </c>
      <c r="D695" s="272" t="s">
        <v>47</v>
      </c>
      <c r="E695" s="269"/>
      <c r="F695" s="272" t="s">
        <v>519</v>
      </c>
      <c r="G695" s="279">
        <v>10200.83</v>
      </c>
      <c r="H695" s="267"/>
      <c r="I695" s="267"/>
      <c r="J695" s="267"/>
      <c r="K695" s="267"/>
      <c r="L695" s="268"/>
      <c r="M695" s="236">
        <v>46054.0</v>
      </c>
      <c r="N695" s="268"/>
      <c r="O695" s="268"/>
      <c r="P695" s="268"/>
      <c r="Q695" s="267"/>
      <c r="R695" s="267"/>
      <c r="S695" s="267"/>
      <c r="T695" s="216"/>
      <c r="U695" s="216"/>
      <c r="V695" s="216"/>
      <c r="W695" s="216"/>
      <c r="X695" s="216"/>
    </row>
    <row r="696" ht="15.75" customHeight="1">
      <c r="A696" s="217" t="s">
        <v>349</v>
      </c>
      <c r="B696" s="276" t="s">
        <v>70</v>
      </c>
      <c r="C696" s="282" t="s">
        <v>66</v>
      </c>
      <c r="D696" s="269" t="s">
        <v>371</v>
      </c>
      <c r="E696" s="269"/>
      <c r="F696" s="269" t="s">
        <v>70</v>
      </c>
      <c r="G696" s="278">
        <v>10697.49</v>
      </c>
      <c r="H696" s="267"/>
      <c r="I696" s="267"/>
      <c r="J696" s="267"/>
      <c r="K696" s="267"/>
      <c r="L696" s="268"/>
      <c r="M696" s="236">
        <v>46054.0</v>
      </c>
      <c r="N696" s="268"/>
      <c r="O696" s="268"/>
      <c r="P696" s="268"/>
      <c r="Q696" s="267"/>
      <c r="R696" s="267"/>
      <c r="S696" s="267"/>
      <c r="T696" s="216"/>
      <c r="U696" s="216"/>
      <c r="V696" s="216"/>
      <c r="W696" s="216"/>
      <c r="X696" s="216"/>
    </row>
    <row r="697" ht="15.75" customHeight="1">
      <c r="A697" s="217" t="s">
        <v>349</v>
      </c>
      <c r="B697" s="284" t="s">
        <v>540</v>
      </c>
      <c r="C697" s="271" t="s">
        <v>20</v>
      </c>
      <c r="D697" s="272" t="s">
        <v>54</v>
      </c>
      <c r="E697" s="269"/>
      <c r="F697" s="285" t="s">
        <v>540</v>
      </c>
      <c r="G697" s="279">
        <v>8691.08</v>
      </c>
      <c r="H697" s="267"/>
      <c r="I697" s="267"/>
      <c r="J697" s="267"/>
      <c r="K697" s="267"/>
      <c r="L697" s="268"/>
      <c r="M697" s="236">
        <v>46054.0</v>
      </c>
      <c r="N697" s="268"/>
      <c r="O697" s="268"/>
      <c r="P697" s="268"/>
      <c r="Q697" s="267"/>
      <c r="R697" s="267"/>
      <c r="S697" s="267"/>
      <c r="T697" s="216"/>
      <c r="U697" s="216"/>
      <c r="V697" s="216"/>
      <c r="W697" s="216"/>
      <c r="X697" s="216"/>
    </row>
    <row r="698" ht="15.75" customHeight="1">
      <c r="A698" s="217" t="s">
        <v>349</v>
      </c>
      <c r="B698" s="276" t="s">
        <v>521</v>
      </c>
      <c r="C698" s="276" t="s">
        <v>20</v>
      </c>
      <c r="D698" s="269" t="s">
        <v>54</v>
      </c>
      <c r="E698" s="269"/>
      <c r="F698" s="269" t="s">
        <v>521</v>
      </c>
      <c r="G698" s="278">
        <v>3280.0</v>
      </c>
      <c r="H698" s="267"/>
      <c r="I698" s="267"/>
      <c r="J698" s="267"/>
      <c r="K698" s="267"/>
      <c r="L698" s="268"/>
      <c r="M698" s="236">
        <v>46054.0</v>
      </c>
      <c r="N698" s="268"/>
      <c r="O698" s="268"/>
      <c r="P698" s="268"/>
      <c r="Q698" s="267"/>
      <c r="R698" s="267"/>
      <c r="S698" s="267"/>
      <c r="T698" s="216"/>
      <c r="U698" s="216"/>
      <c r="V698" s="216"/>
      <c r="W698" s="216"/>
      <c r="X698" s="216"/>
    </row>
    <row r="699" ht="15.75" customHeight="1">
      <c r="A699" s="217" t="s">
        <v>349</v>
      </c>
      <c r="B699" s="284" t="s">
        <v>541</v>
      </c>
      <c r="C699" s="282" t="s">
        <v>66</v>
      </c>
      <c r="D699" s="272" t="s">
        <v>371</v>
      </c>
      <c r="E699" s="269"/>
      <c r="F699" s="285" t="s">
        <v>541</v>
      </c>
      <c r="G699" s="279">
        <v>4999.6</v>
      </c>
      <c r="H699" s="267"/>
      <c r="I699" s="267"/>
      <c r="J699" s="267"/>
      <c r="K699" s="267"/>
      <c r="L699" s="268"/>
      <c r="M699" s="236">
        <v>46054.0</v>
      </c>
      <c r="N699" s="268"/>
      <c r="O699" s="268"/>
      <c r="P699" s="268"/>
      <c r="Q699" s="267"/>
      <c r="R699" s="267"/>
      <c r="S699" s="267"/>
      <c r="T699" s="216"/>
      <c r="U699" s="216"/>
      <c r="V699" s="216"/>
      <c r="W699" s="216"/>
      <c r="X699" s="216"/>
    </row>
    <row r="700" ht="15.75" customHeight="1">
      <c r="A700" s="217" t="s">
        <v>349</v>
      </c>
      <c r="B700" s="270"/>
      <c r="C700" s="271" t="s">
        <v>20</v>
      </c>
      <c r="D700" s="272" t="s">
        <v>21</v>
      </c>
      <c r="E700" s="272" t="s">
        <v>22</v>
      </c>
      <c r="F700" s="273"/>
      <c r="G700" s="274">
        <v>283775.9</v>
      </c>
      <c r="H700" s="267"/>
      <c r="I700" s="267"/>
      <c r="J700" s="267"/>
      <c r="K700" s="267"/>
      <c r="L700" s="268"/>
      <c r="M700" s="236">
        <v>46082.0</v>
      </c>
      <c r="N700" s="268"/>
      <c r="O700" s="268"/>
      <c r="P700" s="268"/>
      <c r="Q700" s="267"/>
      <c r="R700" s="267"/>
      <c r="S700" s="267"/>
      <c r="T700" s="216"/>
      <c r="U700" s="216"/>
      <c r="V700" s="216"/>
      <c r="W700" s="216"/>
      <c r="X700" s="216"/>
    </row>
    <row r="701">
      <c r="A701" s="217" t="s">
        <v>349</v>
      </c>
      <c r="B701" s="286" t="s">
        <v>542</v>
      </c>
      <c r="C701" s="276" t="s">
        <v>20</v>
      </c>
      <c r="D701" s="269" t="s">
        <v>21</v>
      </c>
      <c r="E701" s="269" t="s">
        <v>22</v>
      </c>
      <c r="F701" s="287" t="s">
        <v>542</v>
      </c>
      <c r="G701" s="288">
        <v>4455.9</v>
      </c>
      <c r="H701" s="267"/>
      <c r="I701" s="267"/>
      <c r="J701" s="267"/>
      <c r="K701" s="267"/>
      <c r="L701" s="268"/>
      <c r="M701" s="236">
        <v>46082.0</v>
      </c>
      <c r="N701" s="268"/>
      <c r="O701" s="268"/>
      <c r="P701" s="268"/>
      <c r="Q701" s="267"/>
      <c r="R701" s="267"/>
      <c r="S701" s="267"/>
      <c r="T701" s="216"/>
      <c r="U701" s="216"/>
      <c r="V701" s="216"/>
      <c r="W701" s="216"/>
      <c r="X701" s="216"/>
    </row>
    <row r="702" ht="15.75" customHeight="1">
      <c r="A702" s="217" t="s">
        <v>349</v>
      </c>
      <c r="B702" s="270"/>
      <c r="C702" s="271" t="s">
        <v>20</v>
      </c>
      <c r="D702" s="272" t="s">
        <v>21</v>
      </c>
      <c r="E702" s="272" t="s">
        <v>61</v>
      </c>
      <c r="F702" s="273"/>
      <c r="G702" s="279">
        <v>378872.83</v>
      </c>
      <c r="H702" s="267"/>
      <c r="I702" s="267"/>
      <c r="J702" s="267"/>
      <c r="K702" s="267"/>
      <c r="L702" s="268"/>
      <c r="M702" s="236">
        <v>46082.0</v>
      </c>
      <c r="N702" s="268"/>
      <c r="O702" s="268"/>
      <c r="P702" s="268"/>
      <c r="Q702" s="267"/>
      <c r="R702" s="267"/>
      <c r="S702" s="267"/>
      <c r="T702" s="216"/>
      <c r="U702" s="216"/>
      <c r="V702" s="216"/>
      <c r="W702" s="216"/>
      <c r="X702" s="216"/>
    </row>
    <row r="703">
      <c r="A703" s="217" t="s">
        <v>349</v>
      </c>
      <c r="B703" s="275"/>
      <c r="C703" s="276" t="s">
        <v>20</v>
      </c>
      <c r="D703" s="269" t="s">
        <v>21</v>
      </c>
      <c r="E703" s="269" t="s">
        <v>44</v>
      </c>
      <c r="F703" s="277"/>
      <c r="G703" s="289">
        <v>210345.66</v>
      </c>
      <c r="H703" s="267"/>
      <c r="I703" s="267"/>
      <c r="J703" s="267"/>
      <c r="K703" s="267"/>
      <c r="L703" s="268"/>
      <c r="M703" s="236">
        <v>46082.0</v>
      </c>
      <c r="N703" s="268"/>
      <c r="O703" s="268"/>
      <c r="P703" s="268"/>
      <c r="Q703" s="267"/>
      <c r="R703" s="267"/>
      <c r="S703" s="267"/>
      <c r="T703" s="216"/>
      <c r="U703" s="216"/>
      <c r="V703" s="216"/>
      <c r="W703" s="216"/>
      <c r="X703" s="216"/>
    </row>
    <row r="704" ht="15.75" customHeight="1">
      <c r="A704" s="217" t="s">
        <v>349</v>
      </c>
      <c r="B704" s="270"/>
      <c r="C704" s="271" t="s">
        <v>20</v>
      </c>
      <c r="D704" s="272" t="s">
        <v>21</v>
      </c>
      <c r="E704" s="272" t="s">
        <v>386</v>
      </c>
      <c r="F704" s="273"/>
      <c r="G704" s="279">
        <v>120956.97</v>
      </c>
      <c r="H704" s="267"/>
      <c r="I704" s="267"/>
      <c r="J704" s="267"/>
      <c r="K704" s="267"/>
      <c r="L704" s="268"/>
      <c r="M704" s="236">
        <v>46082.0</v>
      </c>
      <c r="N704" s="268"/>
      <c r="O704" s="268"/>
      <c r="P704" s="268"/>
      <c r="Q704" s="267"/>
      <c r="R704" s="267"/>
      <c r="S704" s="267"/>
      <c r="T704" s="216"/>
      <c r="U704" s="216"/>
      <c r="V704" s="216"/>
      <c r="W704" s="216"/>
      <c r="X704" s="216"/>
    </row>
    <row r="705" ht="15.75" customHeight="1">
      <c r="A705" s="217" t="s">
        <v>349</v>
      </c>
      <c r="B705" s="276" t="s">
        <v>387</v>
      </c>
      <c r="C705" s="276" t="s">
        <v>31</v>
      </c>
      <c r="D705" s="269" t="s">
        <v>54</v>
      </c>
      <c r="E705" s="269"/>
      <c r="F705" s="269" t="s">
        <v>387</v>
      </c>
      <c r="G705" s="278">
        <v>71283.97</v>
      </c>
      <c r="H705" s="267"/>
      <c r="I705" s="267"/>
      <c r="J705" s="267"/>
      <c r="K705" s="267"/>
      <c r="L705" s="268"/>
      <c r="M705" s="236">
        <v>46082.0</v>
      </c>
      <c r="N705" s="268"/>
      <c r="O705" s="268"/>
      <c r="P705" s="268"/>
      <c r="Q705" s="267"/>
      <c r="R705" s="267"/>
      <c r="S705" s="267"/>
      <c r="T705" s="216"/>
      <c r="U705" s="216"/>
      <c r="V705" s="216"/>
      <c r="W705" s="216"/>
      <c r="X705" s="216"/>
    </row>
    <row r="706">
      <c r="A706" s="217" t="s">
        <v>349</v>
      </c>
      <c r="B706" s="271" t="s">
        <v>388</v>
      </c>
      <c r="C706" s="271" t="s">
        <v>20</v>
      </c>
      <c r="D706" s="272" t="s">
        <v>54</v>
      </c>
      <c r="E706" s="269"/>
      <c r="F706" s="272" t="s">
        <v>388</v>
      </c>
      <c r="G706" s="279">
        <v>122883.41</v>
      </c>
      <c r="H706" s="267"/>
      <c r="I706" s="267"/>
      <c r="J706" s="267"/>
      <c r="K706" s="267"/>
      <c r="L706" s="268"/>
      <c r="M706" s="236">
        <v>46082.0</v>
      </c>
      <c r="N706" s="268"/>
      <c r="O706" s="268"/>
      <c r="P706" s="268"/>
      <c r="Q706" s="267"/>
      <c r="R706" s="267"/>
      <c r="S706" s="267"/>
      <c r="T706" s="216"/>
      <c r="U706" s="216"/>
      <c r="V706" s="216"/>
      <c r="W706" s="216"/>
      <c r="X706" s="216"/>
    </row>
    <row r="707" ht="15.75" customHeight="1">
      <c r="A707" s="217" t="s">
        <v>349</v>
      </c>
      <c r="B707" s="276" t="s">
        <v>539</v>
      </c>
      <c r="C707" s="276" t="s">
        <v>31</v>
      </c>
      <c r="D707" s="269" t="s">
        <v>47</v>
      </c>
      <c r="E707" s="269"/>
      <c r="F707" s="269" t="s">
        <v>539</v>
      </c>
      <c r="G707" s="278">
        <v>15305.85</v>
      </c>
      <c r="H707" s="267"/>
      <c r="I707" s="267"/>
      <c r="J707" s="267"/>
      <c r="K707" s="267"/>
      <c r="L707" s="268"/>
      <c r="M707" s="236">
        <v>46082.0</v>
      </c>
      <c r="N707" s="268"/>
      <c r="O707" s="268"/>
      <c r="P707" s="268"/>
      <c r="Q707" s="267"/>
      <c r="R707" s="267"/>
      <c r="S707" s="267"/>
      <c r="T707" s="216"/>
      <c r="U707" s="216"/>
      <c r="V707" s="216"/>
      <c r="W707" s="216"/>
      <c r="X707" s="216"/>
    </row>
    <row r="708">
      <c r="A708" s="265" t="s">
        <v>1565</v>
      </c>
      <c r="B708" s="265" t="s">
        <v>484</v>
      </c>
      <c r="C708" s="265"/>
      <c r="D708" s="265"/>
      <c r="E708" s="265"/>
      <c r="F708" s="265"/>
      <c r="G708" s="265">
        <v>31802.26</v>
      </c>
      <c r="H708" s="265"/>
      <c r="I708" s="265"/>
      <c r="J708" s="265"/>
      <c r="K708" s="265"/>
      <c r="L708" s="265">
        <v>31802.26</v>
      </c>
      <c r="M708" s="265" t="s">
        <v>486</v>
      </c>
      <c r="N708" s="265" t="s">
        <v>408</v>
      </c>
      <c r="O708" s="265">
        <v>7.0</v>
      </c>
      <c r="P708" s="265" t="s">
        <v>487</v>
      </c>
      <c r="Q708" s="265"/>
      <c r="R708" s="265"/>
      <c r="S708" s="265"/>
      <c r="T708" s="216"/>
      <c r="U708" s="216"/>
      <c r="V708" s="216"/>
      <c r="W708" s="216"/>
      <c r="X708" s="216"/>
    </row>
    <row r="709" ht="15.75" customHeight="1">
      <c r="A709" s="265" t="s">
        <v>483</v>
      </c>
      <c r="B709" s="265" t="s">
        <v>494</v>
      </c>
      <c r="C709" s="265" t="s">
        <v>31</v>
      </c>
      <c r="D709" s="265"/>
      <c r="E709" s="265"/>
      <c r="F709" s="265"/>
      <c r="G709" s="265">
        <v>44066.6</v>
      </c>
      <c r="H709" s="265"/>
      <c r="I709" s="265"/>
      <c r="J709" s="265"/>
      <c r="K709" s="265"/>
      <c r="L709" s="265">
        <v>44066.6</v>
      </c>
      <c r="M709" s="265" t="s">
        <v>497</v>
      </c>
      <c r="N709" s="265" t="s">
        <v>408</v>
      </c>
      <c r="O709" s="265">
        <v>106.0</v>
      </c>
      <c r="P709" s="265" t="s">
        <v>487</v>
      </c>
      <c r="Q709" s="265"/>
      <c r="R709" s="265"/>
      <c r="S709" s="265"/>
      <c r="T709" s="216"/>
      <c r="U709" s="216"/>
      <c r="V709" s="216"/>
      <c r="W709" s="216"/>
      <c r="X709" s="216"/>
    </row>
    <row r="710" ht="15.75" customHeight="1">
      <c r="A710" s="265" t="s">
        <v>1565</v>
      </c>
      <c r="B710" s="265" t="s">
        <v>484</v>
      </c>
      <c r="C710" s="265"/>
      <c r="D710" s="265"/>
      <c r="E710" s="265"/>
      <c r="F710" s="265"/>
      <c r="G710" s="265">
        <v>78740.0</v>
      </c>
      <c r="H710" s="265"/>
      <c r="I710" s="265"/>
      <c r="J710" s="265"/>
      <c r="K710" s="265"/>
      <c r="L710" s="265">
        <v>78740.0</v>
      </c>
      <c r="M710" s="265" t="s">
        <v>486</v>
      </c>
      <c r="N710" s="265" t="s">
        <v>408</v>
      </c>
      <c r="O710" s="265">
        <v>7.0</v>
      </c>
      <c r="P710" s="265" t="s">
        <v>409</v>
      </c>
      <c r="Q710" s="265"/>
      <c r="R710" s="265"/>
      <c r="S710" s="265"/>
      <c r="T710" s="216"/>
      <c r="U710" s="216"/>
      <c r="V710" s="216"/>
      <c r="W710" s="216"/>
      <c r="X710" s="216"/>
    </row>
    <row r="711" ht="15.7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16"/>
      <c r="U711" s="216"/>
      <c r="V711" s="216"/>
      <c r="W711" s="216"/>
      <c r="X711" s="216"/>
    </row>
    <row r="712" ht="15.7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16"/>
      <c r="U712" s="216"/>
      <c r="V712" s="216"/>
      <c r="W712" s="216"/>
      <c r="X712" s="216"/>
    </row>
    <row r="713" ht="15.7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16"/>
      <c r="U713" s="216"/>
      <c r="V713" s="216"/>
      <c r="W713" s="216"/>
      <c r="X713" s="216"/>
    </row>
    <row r="714" ht="15.75" customHeight="1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</row>
    <row r="715" ht="15.7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16"/>
      <c r="U715" s="216"/>
      <c r="V715" s="216"/>
      <c r="W715" s="216"/>
      <c r="X715" s="216"/>
    </row>
    <row r="716" ht="15.75" customHeight="1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</row>
    <row r="717" ht="15.75" customHeight="1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</row>
    <row r="718" ht="15.75" customHeight="1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</row>
    <row r="719" ht="15.7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16"/>
      <c r="U719" s="216"/>
      <c r="V719" s="216"/>
      <c r="W719" s="216"/>
      <c r="X719" s="216"/>
    </row>
    <row r="720" ht="15.7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16"/>
      <c r="U720" s="216"/>
      <c r="V720" s="216"/>
      <c r="W720" s="216"/>
      <c r="X720" s="216"/>
    </row>
    <row r="721" ht="15.7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16"/>
      <c r="U721" s="216"/>
      <c r="V721" s="216"/>
      <c r="W721" s="216"/>
      <c r="X721" s="216"/>
    </row>
    <row r="722" ht="15.75" customHeight="1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</row>
    <row r="723" ht="15.75" customHeight="1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</row>
    <row r="724" ht="15.75" customHeight="1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</row>
    <row r="725" ht="15.75" customHeight="1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</row>
    <row r="726" ht="15.75" customHeight="1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</row>
    <row r="727" ht="15.75" customHeight="1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</row>
    <row r="728" ht="15.75" customHeight="1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</row>
    <row r="729" ht="15.75" customHeight="1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</row>
    <row r="730" ht="15.75" customHeight="1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</row>
    <row r="731" ht="15.75" customHeight="1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</row>
    <row r="732" ht="15.75" customHeight="1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</row>
    <row r="733" ht="15.75" customHeight="1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</row>
    <row r="734" ht="15.75" customHeight="1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</row>
    <row r="735" ht="15.75" customHeight="1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</row>
    <row r="736" ht="15.75" customHeight="1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</row>
    <row r="737" ht="15.75" customHeight="1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</row>
    <row r="738" ht="15.75" customHeight="1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</row>
    <row r="739" ht="15.75" customHeight="1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</row>
    <row r="740" ht="15.75" customHeight="1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</row>
    <row r="741" ht="15.75" customHeight="1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</row>
    <row r="742" ht="15.75" customHeight="1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</row>
    <row r="743" ht="15.75" customHeight="1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</row>
    <row r="744" ht="15.75" customHeight="1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</row>
    <row r="745" ht="15.75" customHeight="1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</row>
    <row r="746" ht="15.75" customHeight="1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</row>
    <row r="747" ht="15.75" customHeight="1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</row>
    <row r="748" ht="15.75" customHeight="1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</row>
    <row r="749" ht="15.75" customHeight="1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</row>
    <row r="750" ht="15.75" customHeight="1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</row>
    <row r="751" ht="15.75" customHeight="1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</row>
    <row r="752" ht="15.75" customHeight="1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</row>
    <row r="753" ht="15.75" customHeight="1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</row>
    <row r="754" ht="15.75" customHeight="1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</row>
    <row r="755" ht="15.75" customHeight="1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</row>
    <row r="756" ht="15.75" customHeight="1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</row>
    <row r="757" ht="15.75" customHeight="1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</row>
    <row r="758" ht="15.75" customHeight="1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</row>
    <row r="759" ht="15.75" customHeight="1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</row>
    <row r="760" ht="15.75" customHeight="1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</row>
    <row r="761" ht="15.75" customHeight="1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</row>
    <row r="762" ht="15.75" customHeight="1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</row>
    <row r="763" ht="15.75" customHeight="1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</row>
    <row r="764" ht="15.75" customHeight="1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</row>
    <row r="765" ht="15.75" customHeight="1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</row>
    <row r="766" ht="15.75" customHeight="1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</row>
    <row r="767" ht="15.75" customHeight="1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</row>
    <row r="768" ht="15.75" customHeight="1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</row>
    <row r="769" ht="15.75" customHeight="1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</row>
    <row r="770" ht="15.75" customHeight="1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</row>
    <row r="771" ht="15.75" customHeight="1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</row>
    <row r="772" ht="15.75" customHeight="1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</row>
    <row r="773" ht="15.75" customHeight="1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</row>
    <row r="774" ht="15.75" customHeight="1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</row>
    <row r="775" ht="15.75" customHeight="1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</row>
    <row r="776" ht="15.75" customHeight="1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</row>
    <row r="777" ht="15.75" customHeight="1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</row>
    <row r="778" ht="15.75" customHeight="1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</row>
    <row r="779" ht="15.75" customHeight="1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</row>
    <row r="780" ht="15.75" customHeight="1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</row>
    <row r="781" ht="15.75" customHeight="1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</row>
    <row r="782" ht="15.75" customHeight="1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</row>
    <row r="783" ht="15.75" customHeight="1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</row>
    <row r="784" ht="15.75" customHeight="1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</row>
    <row r="785" ht="15.75" customHeight="1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</row>
    <row r="786" ht="15.75" customHeight="1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</row>
    <row r="787" ht="15.75" customHeight="1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</row>
    <row r="788" ht="15.75" customHeight="1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</row>
    <row r="789" ht="15.75" customHeight="1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</row>
    <row r="790" ht="15.75" customHeight="1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</row>
    <row r="791" ht="15.75" customHeight="1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</row>
    <row r="792" ht="15.75" customHeight="1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</row>
    <row r="793" ht="15.75" customHeight="1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</row>
    <row r="794" ht="15.75" customHeight="1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</row>
    <row r="795" ht="15.75" customHeight="1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</row>
    <row r="796" ht="15.75" customHeight="1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</row>
    <row r="797" ht="15.75" customHeight="1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</row>
    <row r="798" ht="15.75" customHeight="1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</row>
    <row r="799" ht="15.75" customHeight="1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</row>
    <row r="800" ht="15.75" customHeight="1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</row>
    <row r="801" ht="15.75" customHeight="1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</row>
    <row r="802" ht="15.75" customHeight="1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</row>
    <row r="803" ht="15.75" customHeight="1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</row>
    <row r="804" ht="15.75" customHeight="1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</row>
    <row r="805" ht="15.75" customHeight="1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</row>
    <row r="806" ht="15.75" customHeight="1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</row>
    <row r="807" ht="15.75" customHeight="1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</row>
    <row r="808" ht="15.75" customHeight="1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</row>
    <row r="809" ht="15.75" customHeight="1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</row>
    <row r="810" ht="15.75" customHeight="1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</row>
    <row r="811" ht="15.75" customHeight="1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</row>
    <row r="812" ht="15.75" customHeight="1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</row>
    <row r="813" ht="15.75" customHeight="1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</row>
    <row r="814" ht="15.75" customHeight="1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</row>
    <row r="815" ht="15.75" customHeight="1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</row>
    <row r="816" ht="15.75" customHeight="1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</row>
    <row r="817" ht="15.75" customHeight="1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</row>
    <row r="818" ht="15.75" customHeight="1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</row>
    <row r="819" ht="15.75" customHeight="1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</row>
    <row r="820" ht="15.75" customHeight="1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</row>
    <row r="821" ht="15.75" customHeight="1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</row>
    <row r="822" ht="15.75" customHeight="1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</row>
    <row r="823" ht="15.75" customHeight="1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</row>
    <row r="824" ht="15.75" customHeight="1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</row>
    <row r="825" ht="15.75" customHeight="1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</row>
    <row r="826" ht="15.75" customHeight="1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</row>
    <row r="827" ht="15.75" customHeight="1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</row>
    <row r="828" ht="15.75" customHeight="1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</row>
    <row r="829" ht="15.75" customHeight="1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</row>
    <row r="830" ht="15.75" customHeight="1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</row>
    <row r="831" ht="15.75" customHeight="1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</row>
    <row r="832" ht="15.75" customHeight="1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</row>
    <row r="833" ht="15.75" customHeight="1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</row>
    <row r="834" ht="15.75" customHeight="1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</row>
    <row r="835" ht="15.75" customHeight="1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</row>
    <row r="836" ht="15.75" customHeight="1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</row>
    <row r="837" ht="15.75" customHeight="1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</row>
    <row r="838" ht="15.75" customHeight="1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</row>
    <row r="839" ht="15.75" customHeight="1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</row>
    <row r="840" ht="15.75" customHeight="1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</row>
    <row r="841" ht="15.75" customHeight="1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</row>
    <row r="842" ht="15.75" customHeight="1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</row>
    <row r="843" ht="15.75" customHeight="1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</row>
    <row r="844" ht="15.75" customHeight="1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</row>
    <row r="845" ht="15.75" customHeight="1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</row>
    <row r="846" ht="15.75" customHeight="1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</row>
    <row r="847" ht="15.75" customHeight="1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</row>
    <row r="848" ht="15.75" customHeight="1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</row>
    <row r="849" ht="15.75" customHeight="1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</row>
    <row r="850" ht="15.75" customHeight="1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</row>
    <row r="851" ht="15.75" customHeight="1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</row>
    <row r="852" ht="15.75" customHeight="1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</row>
    <row r="853" ht="15.75" customHeight="1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</row>
    <row r="854" ht="15.75" customHeight="1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</row>
    <row r="855" ht="15.75" customHeight="1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</row>
    <row r="856" ht="15.75" customHeight="1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</row>
    <row r="857" ht="15.75" customHeight="1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</row>
    <row r="858" ht="15.75" customHeight="1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</row>
    <row r="859" ht="15.75" customHeight="1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</row>
    <row r="860" ht="15.75" customHeight="1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</row>
    <row r="861" ht="15.75" customHeight="1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</row>
    <row r="862" ht="15.75" customHeight="1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</row>
    <row r="863" ht="15.75" customHeight="1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</row>
    <row r="864" ht="15.75" customHeight="1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</row>
    <row r="865" ht="15.75" customHeight="1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</row>
    <row r="866" ht="15.75" customHeight="1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</row>
    <row r="867" ht="15.75" customHeight="1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</row>
    <row r="868" ht="15.75" customHeight="1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</row>
    <row r="869" ht="15.75" customHeight="1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</row>
    <row r="870" ht="15.75" customHeight="1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</row>
    <row r="871" ht="15.75" customHeight="1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</row>
    <row r="872" ht="15.75" customHeight="1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</row>
    <row r="873" ht="15.75" customHeight="1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</row>
    <row r="874" ht="15.75" customHeight="1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</row>
    <row r="875" ht="15.75" customHeight="1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</row>
    <row r="876" ht="15.75" customHeight="1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</row>
    <row r="877" ht="15.75" customHeight="1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</row>
    <row r="878" ht="15.75" customHeight="1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</row>
    <row r="879" ht="15.75" customHeight="1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</row>
    <row r="880" ht="15.75" customHeight="1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</row>
    <row r="881" ht="15.75" customHeight="1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</row>
    <row r="882" ht="15.75" customHeight="1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</row>
    <row r="883" ht="15.75" customHeight="1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</row>
    <row r="884" ht="15.75" customHeight="1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</row>
    <row r="885" ht="15.75" customHeight="1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</row>
    <row r="886" ht="15.75" customHeight="1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</row>
    <row r="887" ht="15.75" customHeight="1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</row>
    <row r="888" ht="15.75" customHeight="1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</row>
    <row r="889" ht="15.75" customHeight="1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</row>
    <row r="890" ht="15.75" customHeight="1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</row>
    <row r="891" ht="15.75" customHeight="1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</row>
    <row r="892" ht="15.75" customHeight="1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</row>
    <row r="893" ht="15.75" customHeight="1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</row>
    <row r="894" ht="15.75" customHeight="1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</row>
    <row r="895" ht="15.75" customHeight="1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</row>
    <row r="896" ht="15.75" customHeight="1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</row>
    <row r="897" ht="15.75" customHeight="1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</row>
    <row r="898" ht="15.75" customHeight="1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</row>
    <row r="899" ht="15.75" customHeight="1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</row>
    <row r="900" ht="15.75" customHeight="1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</row>
    <row r="901" ht="15.75" customHeight="1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</row>
    <row r="902" ht="15.75" customHeight="1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</row>
    <row r="903" ht="15.75" customHeight="1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</row>
    <row r="904" ht="15.75" customHeight="1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</row>
    <row r="905" ht="15.75" customHeight="1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</row>
    <row r="906" ht="15.75" customHeight="1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</row>
    <row r="907" ht="15.75" customHeight="1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</row>
    <row r="908" ht="15.75" customHeight="1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</row>
    <row r="909" ht="15.75" customHeight="1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</row>
    <row r="910" ht="15.75" customHeight="1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</row>
    <row r="911" ht="15.75" customHeight="1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</row>
    <row r="912" ht="15.75" customHeight="1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</row>
    <row r="913" ht="15.75" customHeight="1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</row>
    <row r="914" ht="15.75" customHeight="1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</row>
    <row r="915" ht="15.75" customHeight="1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</row>
    <row r="916" ht="15.75" customHeight="1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</row>
    <row r="917" ht="15.75" customHeight="1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</row>
    <row r="918" ht="15.75" customHeight="1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</row>
    <row r="919" ht="15.75" customHeight="1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</row>
    <row r="920" ht="15.75" customHeight="1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</row>
    <row r="921" ht="15.75" customHeight="1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</row>
    <row r="922" ht="15.75" customHeight="1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</row>
    <row r="923" ht="15.75" customHeight="1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</row>
    <row r="924" ht="15.75" customHeight="1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</row>
    <row r="925" ht="15.75" customHeight="1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</row>
    <row r="926" ht="15.75" customHeight="1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</row>
    <row r="927" ht="15.75" customHeight="1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</row>
    <row r="928" ht="15.75" customHeight="1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</row>
    <row r="929" ht="15.75" customHeight="1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</row>
    <row r="930" ht="15.75" customHeight="1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</row>
    <row r="931" ht="15.75" customHeight="1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</row>
    <row r="932" ht="15.75" customHeight="1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</row>
    <row r="933" ht="15.75" customHeight="1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</row>
    <row r="934" ht="15.75" customHeight="1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</row>
    <row r="935" ht="15.75" customHeight="1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</row>
    <row r="936" ht="15.75" customHeight="1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</row>
    <row r="937" ht="15.75" customHeight="1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</row>
    <row r="938" ht="15.75" customHeight="1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</row>
    <row r="939" ht="15.75" customHeight="1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</row>
    <row r="940" ht="15.75" customHeight="1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</row>
    <row r="941" ht="15.75" customHeight="1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</row>
    <row r="942" ht="15.75" customHeight="1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</row>
    <row r="943" ht="15.75" customHeight="1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</row>
    <row r="944" ht="15.75" customHeight="1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</row>
    <row r="945" ht="15.75" customHeight="1">
      <c r="A945" s="216"/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</row>
    <row r="946" ht="15.75" customHeight="1">
      <c r="A946" s="216"/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</row>
    <row r="947" ht="15.75" customHeight="1">
      <c r="A947" s="216"/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</row>
    <row r="948" ht="15.75" customHeight="1">
      <c r="A948" s="216"/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</row>
    <row r="949" ht="15.75" customHeight="1">
      <c r="A949" s="216"/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</row>
    <row r="950" ht="15.75" customHeight="1">
      <c r="A950" s="216"/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</row>
    <row r="951" ht="15.75" customHeight="1">
      <c r="A951" s="216"/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</row>
    <row r="952" ht="15.75" customHeight="1">
      <c r="A952" s="216"/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</row>
    <row r="953" ht="15.75" customHeight="1">
      <c r="A953" s="216"/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</row>
    <row r="954" ht="15.75" customHeight="1">
      <c r="A954" s="216"/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</row>
    <row r="955" ht="15.75" customHeight="1">
      <c r="A955" s="216"/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</row>
    <row r="956" ht="15.75" customHeight="1">
      <c r="A956" s="216"/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</row>
    <row r="957" ht="15.75" customHeight="1">
      <c r="A957" s="216"/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</row>
    <row r="958" ht="15.75" customHeight="1">
      <c r="A958" s="216"/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</row>
    <row r="959" ht="15.75" customHeight="1">
      <c r="A959" s="216"/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</row>
    <row r="960" ht="15.75" customHeight="1">
      <c r="A960" s="216"/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</row>
    <row r="961" ht="15.75" customHeight="1">
      <c r="A961" s="216"/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</row>
    <row r="962" ht="15.75" customHeight="1">
      <c r="A962" s="216"/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</row>
    <row r="963" ht="15.75" customHeight="1">
      <c r="A963" s="216"/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</row>
    <row r="964" ht="15.75" customHeight="1">
      <c r="A964" s="216"/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</row>
    <row r="965" ht="15.75" customHeight="1">
      <c r="A965" s="216"/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</row>
    <row r="966" ht="15.75" customHeight="1">
      <c r="A966" s="216"/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</row>
    <row r="967" ht="15.75" customHeight="1">
      <c r="A967" s="216"/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</row>
    <row r="968" ht="15.75" customHeight="1">
      <c r="A968" s="216"/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</row>
    <row r="969" ht="15.75" customHeight="1">
      <c r="A969" s="216"/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</row>
    <row r="970" ht="15.75" customHeight="1">
      <c r="A970" s="216"/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</row>
    <row r="971" ht="15.75" customHeight="1">
      <c r="A971" s="216"/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</row>
    <row r="972" ht="15.75" customHeight="1">
      <c r="A972" s="216"/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</row>
    <row r="973" ht="15.75" customHeight="1">
      <c r="A973" s="216"/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</row>
    <row r="974" ht="15.75" customHeight="1">
      <c r="A974" s="216"/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</row>
    <row r="975" ht="15.75" customHeight="1">
      <c r="A975" s="216"/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</row>
    <row r="976" ht="15.75" customHeight="1">
      <c r="A976" s="216"/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</row>
    <row r="977" ht="15.75" customHeight="1">
      <c r="A977" s="216"/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</row>
    <row r="978" ht="15.75" customHeight="1">
      <c r="A978" s="216"/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</row>
    <row r="979" ht="15.75" customHeight="1">
      <c r="A979" s="216"/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</row>
    <row r="980" ht="15.75" customHeight="1">
      <c r="A980" s="216"/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</row>
    <row r="981" ht="15.75" customHeight="1">
      <c r="A981" s="216"/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</row>
    <row r="982" ht="15.75" customHeight="1">
      <c r="A982" s="216"/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</row>
    <row r="983" ht="15.75" customHeight="1">
      <c r="A983" s="216"/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</row>
    <row r="984" ht="15.75" customHeight="1">
      <c r="A984" s="216"/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</row>
    <row r="985" ht="15.75" customHeight="1">
      <c r="A985" s="216"/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</row>
    <row r="986" ht="15.75" customHeight="1">
      <c r="A986" s="216"/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</row>
    <row r="987" ht="15.75" customHeight="1">
      <c r="A987" s="216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</row>
    <row r="988" ht="15.75" customHeight="1">
      <c r="A988" s="216"/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</row>
    <row r="989" ht="15.75" customHeight="1">
      <c r="A989" s="216"/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</row>
    <row r="990" ht="15.75" customHeight="1">
      <c r="A990" s="216"/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</row>
    <row r="991" ht="15.75" customHeight="1">
      <c r="A991" s="216"/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</row>
    <row r="992" ht="15.75" customHeight="1">
      <c r="A992" s="216"/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</row>
    <row r="993" ht="15.75" customHeight="1">
      <c r="A993" s="216"/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</row>
    <row r="994" ht="15.75" customHeight="1">
      <c r="A994" s="216"/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</row>
    <row r="995" ht="15.75" customHeight="1">
      <c r="A995" s="216"/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</row>
    <row r="996" ht="15.75" customHeight="1">
      <c r="A996" s="216"/>
      <c r="B996" s="216"/>
      <c r="C996" s="216"/>
      <c r="D996" s="216"/>
      <c r="E996" s="216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</row>
    <row r="997" ht="15.75" customHeight="1">
      <c r="A997" s="216"/>
      <c r="B997" s="216"/>
      <c r="C997" s="216"/>
      <c r="D997" s="216"/>
      <c r="E997" s="216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</row>
    <row r="998" ht="15.75" customHeight="1">
      <c r="A998" s="216"/>
      <c r="B998" s="216"/>
      <c r="C998" s="216"/>
      <c r="D998" s="216"/>
      <c r="E998" s="216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</row>
    <row r="999" ht="15.75" customHeight="1">
      <c r="A999" s="216"/>
      <c r="B999" s="216"/>
      <c r="C999" s="216"/>
      <c r="D999" s="216"/>
      <c r="E999" s="216"/>
      <c r="F999" s="216"/>
      <c r="G999" s="216"/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</row>
    <row r="1000" ht="15.75" customHeight="1">
      <c r="A1000" s="216"/>
      <c r="B1000" s="216"/>
      <c r="C1000" s="216"/>
      <c r="D1000" s="216"/>
      <c r="E1000" s="216"/>
      <c r="F1000" s="216"/>
      <c r="G1000" s="216"/>
      <c r="H1000" s="216"/>
      <c r="I1000" s="216"/>
      <c r="J1000" s="216"/>
      <c r="K1000" s="216"/>
      <c r="L1000" s="216"/>
      <c r="M1000" s="216"/>
      <c r="N1000" s="216"/>
      <c r="O1000" s="216"/>
      <c r="P1000" s="216"/>
      <c r="Q1000" s="216"/>
      <c r="R1000" s="216"/>
      <c r="S1000" s="216"/>
      <c r="T1000" s="216"/>
      <c r="U1000" s="216"/>
      <c r="V1000" s="216"/>
      <c r="W1000" s="216"/>
      <c r="X1000" s="216"/>
    </row>
    <row r="1001" ht="15.75" customHeight="1">
      <c r="A1001" s="216"/>
      <c r="B1001" s="216"/>
      <c r="C1001" s="216"/>
      <c r="D1001" s="216"/>
      <c r="E1001" s="216"/>
      <c r="F1001" s="216"/>
      <c r="G1001" s="216"/>
      <c r="H1001" s="216"/>
      <c r="I1001" s="216"/>
      <c r="J1001" s="216"/>
      <c r="K1001" s="216"/>
      <c r="L1001" s="216"/>
      <c r="M1001" s="216"/>
      <c r="N1001" s="216"/>
      <c r="O1001" s="216"/>
      <c r="P1001" s="216"/>
      <c r="Q1001" s="216"/>
      <c r="R1001" s="216"/>
      <c r="S1001" s="216"/>
      <c r="T1001" s="216"/>
      <c r="U1001" s="216"/>
      <c r="V1001" s="216"/>
      <c r="W1001" s="216"/>
      <c r="X1001" s="216"/>
    </row>
    <row r="1002" ht="15.75" customHeight="1">
      <c r="A1002" s="216"/>
      <c r="B1002" s="216"/>
      <c r="C1002" s="216"/>
      <c r="D1002" s="216"/>
      <c r="E1002" s="216"/>
      <c r="F1002" s="216"/>
      <c r="G1002" s="216"/>
      <c r="H1002" s="216"/>
      <c r="I1002" s="216"/>
      <c r="J1002" s="216"/>
      <c r="K1002" s="216"/>
      <c r="L1002" s="216"/>
      <c r="M1002" s="216"/>
      <c r="N1002" s="216"/>
      <c r="O1002" s="216"/>
      <c r="P1002" s="216"/>
      <c r="Q1002" s="216"/>
      <c r="R1002" s="216"/>
      <c r="S1002" s="216"/>
      <c r="T1002" s="216"/>
      <c r="U1002" s="216"/>
      <c r="V1002" s="216"/>
      <c r="W1002" s="216"/>
      <c r="X1002" s="216"/>
    </row>
    <row r="1003" ht="15.75" customHeight="1">
      <c r="A1003" s="216"/>
      <c r="B1003" s="216"/>
      <c r="C1003" s="216"/>
      <c r="D1003" s="216"/>
      <c r="E1003" s="216"/>
      <c r="F1003" s="216"/>
      <c r="G1003" s="216"/>
      <c r="H1003" s="216"/>
      <c r="I1003" s="216"/>
      <c r="J1003" s="216"/>
      <c r="K1003" s="216"/>
      <c r="L1003" s="216"/>
      <c r="M1003" s="216"/>
      <c r="N1003" s="216"/>
      <c r="O1003" s="216"/>
      <c r="P1003" s="216"/>
      <c r="Q1003" s="216"/>
      <c r="R1003" s="216"/>
      <c r="S1003" s="216"/>
      <c r="T1003" s="216"/>
      <c r="U1003" s="216"/>
      <c r="V1003" s="216"/>
      <c r="W1003" s="216"/>
      <c r="X1003" s="216"/>
    </row>
    <row r="1004" ht="15.75" customHeight="1">
      <c r="A1004" s="216"/>
      <c r="B1004" s="216"/>
      <c r="C1004" s="216"/>
      <c r="D1004" s="216"/>
      <c r="E1004" s="216"/>
      <c r="F1004" s="216"/>
      <c r="G1004" s="216"/>
      <c r="H1004" s="216"/>
      <c r="I1004" s="216"/>
      <c r="J1004" s="216"/>
      <c r="K1004" s="216"/>
      <c r="L1004" s="216"/>
      <c r="M1004" s="216"/>
      <c r="N1004" s="216"/>
      <c r="O1004" s="216"/>
      <c r="P1004" s="216"/>
      <c r="Q1004" s="216"/>
      <c r="R1004" s="216"/>
      <c r="S1004" s="216"/>
      <c r="T1004" s="216"/>
      <c r="U1004" s="216"/>
      <c r="V1004" s="216"/>
      <c r="W1004" s="216"/>
      <c r="X1004" s="216"/>
    </row>
    <row r="1005" ht="15.75" customHeight="1">
      <c r="A1005" s="216"/>
      <c r="B1005" s="216"/>
      <c r="C1005" s="216"/>
      <c r="D1005" s="216"/>
      <c r="E1005" s="216"/>
      <c r="F1005" s="216"/>
      <c r="G1005" s="216"/>
      <c r="H1005" s="216"/>
      <c r="I1005" s="216"/>
      <c r="J1005" s="216"/>
      <c r="K1005" s="216"/>
      <c r="L1005" s="216"/>
      <c r="M1005" s="216"/>
      <c r="N1005" s="216"/>
      <c r="O1005" s="216"/>
      <c r="P1005" s="216"/>
      <c r="Q1005" s="216"/>
      <c r="R1005" s="216"/>
      <c r="S1005" s="216"/>
      <c r="T1005" s="216"/>
      <c r="U1005" s="216"/>
      <c r="V1005" s="216"/>
      <c r="W1005" s="216"/>
      <c r="X1005" s="216"/>
    </row>
    <row r="1006" ht="15.75" customHeight="1">
      <c r="A1006" s="216"/>
      <c r="B1006" s="216"/>
      <c r="C1006" s="216"/>
      <c r="D1006" s="216"/>
      <c r="E1006" s="216"/>
      <c r="F1006" s="216"/>
      <c r="G1006" s="216"/>
      <c r="H1006" s="216"/>
      <c r="I1006" s="216"/>
      <c r="J1006" s="216"/>
      <c r="K1006" s="216"/>
      <c r="L1006" s="216"/>
      <c r="M1006" s="216"/>
      <c r="N1006" s="216"/>
      <c r="O1006" s="216"/>
      <c r="P1006" s="216"/>
      <c r="Q1006" s="216"/>
      <c r="R1006" s="216"/>
      <c r="S1006" s="216"/>
      <c r="T1006" s="216"/>
      <c r="U1006" s="216"/>
      <c r="V1006" s="216"/>
      <c r="W1006" s="216"/>
      <c r="X1006" s="216"/>
    </row>
    <row r="1007" ht="15.75" customHeight="1">
      <c r="A1007" s="216"/>
      <c r="B1007" s="216"/>
      <c r="C1007" s="216"/>
      <c r="D1007" s="216"/>
      <c r="E1007" s="216"/>
      <c r="F1007" s="216"/>
      <c r="G1007" s="216"/>
      <c r="H1007" s="216"/>
      <c r="I1007" s="216"/>
      <c r="J1007" s="216"/>
      <c r="K1007" s="216"/>
      <c r="L1007" s="216"/>
      <c r="M1007" s="216"/>
      <c r="N1007" s="216"/>
      <c r="O1007" s="216"/>
      <c r="P1007" s="216"/>
      <c r="Q1007" s="216"/>
      <c r="R1007" s="216"/>
      <c r="S1007" s="216"/>
      <c r="T1007" s="216"/>
      <c r="U1007" s="216"/>
      <c r="V1007" s="216"/>
      <c r="W1007" s="216"/>
      <c r="X1007" s="216"/>
    </row>
    <row r="1008" ht="15.75" customHeight="1">
      <c r="A1008" s="216"/>
      <c r="B1008" s="216"/>
      <c r="C1008" s="216"/>
      <c r="D1008" s="216"/>
      <c r="E1008" s="216"/>
      <c r="F1008" s="216"/>
      <c r="G1008" s="216"/>
      <c r="H1008" s="216"/>
      <c r="I1008" s="216"/>
      <c r="J1008" s="216"/>
      <c r="K1008" s="216"/>
      <c r="L1008" s="216"/>
      <c r="M1008" s="216"/>
      <c r="N1008" s="216"/>
      <c r="O1008" s="216"/>
      <c r="P1008" s="216"/>
      <c r="Q1008" s="216"/>
      <c r="R1008" s="216"/>
      <c r="S1008" s="216"/>
      <c r="T1008" s="216"/>
      <c r="U1008" s="216"/>
      <c r="V1008" s="216"/>
      <c r="W1008" s="216"/>
      <c r="X1008" s="216"/>
    </row>
    <row r="1009" ht="15.75" customHeight="1">
      <c r="A1009" s="216"/>
      <c r="B1009" s="216"/>
      <c r="C1009" s="216"/>
      <c r="D1009" s="216"/>
      <c r="E1009" s="216"/>
      <c r="F1009" s="216"/>
      <c r="G1009" s="216"/>
      <c r="H1009" s="216"/>
      <c r="I1009" s="216"/>
      <c r="J1009" s="216"/>
      <c r="K1009" s="216"/>
      <c r="L1009" s="216"/>
      <c r="M1009" s="216"/>
      <c r="N1009" s="216"/>
      <c r="O1009" s="216"/>
      <c r="P1009" s="216"/>
      <c r="Q1009" s="216"/>
      <c r="R1009" s="216"/>
      <c r="S1009" s="216"/>
      <c r="T1009" s="216"/>
      <c r="U1009" s="216"/>
      <c r="V1009" s="216"/>
      <c r="W1009" s="216"/>
      <c r="X1009" s="216"/>
    </row>
    <row r="1010" ht="15.75" customHeight="1">
      <c r="A1010" s="216"/>
      <c r="B1010" s="216"/>
      <c r="C1010" s="216"/>
      <c r="D1010" s="216"/>
      <c r="E1010" s="216"/>
      <c r="F1010" s="216"/>
      <c r="G1010" s="216"/>
      <c r="H1010" s="216"/>
      <c r="I1010" s="216"/>
      <c r="J1010" s="216"/>
      <c r="K1010" s="216"/>
      <c r="L1010" s="216"/>
      <c r="M1010" s="216"/>
      <c r="N1010" s="216"/>
      <c r="O1010" s="216"/>
      <c r="P1010" s="216"/>
      <c r="Q1010" s="216"/>
      <c r="R1010" s="216"/>
      <c r="S1010" s="216"/>
      <c r="T1010" s="216"/>
      <c r="U1010" s="216"/>
      <c r="V1010" s="216"/>
      <c r="W1010" s="216"/>
      <c r="X1010" s="216"/>
    </row>
    <row r="1011" ht="15.75" customHeight="1">
      <c r="A1011" s="216"/>
      <c r="B1011" s="216"/>
      <c r="C1011" s="216"/>
      <c r="D1011" s="216"/>
      <c r="E1011" s="216"/>
      <c r="F1011" s="216"/>
      <c r="G1011" s="216"/>
      <c r="H1011" s="216"/>
      <c r="I1011" s="216"/>
      <c r="J1011" s="216"/>
      <c r="K1011" s="216"/>
      <c r="L1011" s="216"/>
      <c r="M1011" s="216"/>
      <c r="N1011" s="216"/>
      <c r="O1011" s="216"/>
      <c r="P1011" s="216"/>
      <c r="Q1011" s="216"/>
      <c r="R1011" s="216"/>
      <c r="S1011" s="216"/>
      <c r="T1011" s="216"/>
      <c r="U1011" s="216"/>
      <c r="V1011" s="216"/>
      <c r="W1011" s="216"/>
      <c r="X1011" s="216"/>
    </row>
    <row r="1012" ht="15.75" customHeight="1">
      <c r="A1012" s="216"/>
      <c r="B1012" s="216"/>
      <c r="C1012" s="216"/>
      <c r="D1012" s="216"/>
      <c r="E1012" s="216"/>
      <c r="F1012" s="216"/>
      <c r="G1012" s="216"/>
      <c r="H1012" s="216"/>
      <c r="I1012" s="216"/>
      <c r="J1012" s="216"/>
      <c r="K1012" s="216"/>
      <c r="L1012" s="216"/>
      <c r="M1012" s="216"/>
      <c r="N1012" s="216"/>
      <c r="O1012" s="216"/>
      <c r="P1012" s="216"/>
      <c r="Q1012" s="216"/>
      <c r="R1012" s="216"/>
      <c r="S1012" s="216"/>
      <c r="T1012" s="216"/>
      <c r="U1012" s="216"/>
      <c r="V1012" s="216"/>
      <c r="W1012" s="216"/>
      <c r="X1012" s="216"/>
    </row>
    <row r="1013" ht="15.75" customHeight="1">
      <c r="A1013" s="216"/>
      <c r="B1013" s="216"/>
      <c r="C1013" s="216"/>
      <c r="D1013" s="216"/>
      <c r="E1013" s="216"/>
      <c r="F1013" s="216"/>
      <c r="G1013" s="216"/>
      <c r="H1013" s="216"/>
      <c r="I1013" s="216"/>
      <c r="J1013" s="216"/>
      <c r="K1013" s="216"/>
      <c r="L1013" s="216"/>
      <c r="M1013" s="216"/>
      <c r="N1013" s="216"/>
      <c r="O1013" s="216"/>
      <c r="P1013" s="216"/>
      <c r="Q1013" s="216"/>
      <c r="R1013" s="216"/>
      <c r="S1013" s="216"/>
      <c r="T1013" s="216"/>
      <c r="U1013" s="216"/>
      <c r="V1013" s="216"/>
      <c r="W1013" s="216"/>
      <c r="X1013" s="216"/>
    </row>
    <row r="1014" ht="15.75" customHeight="1">
      <c r="A1014" s="216"/>
      <c r="B1014" s="216"/>
      <c r="C1014" s="216"/>
      <c r="D1014" s="216"/>
      <c r="E1014" s="216"/>
      <c r="F1014" s="216"/>
      <c r="G1014" s="216"/>
      <c r="H1014" s="216"/>
      <c r="I1014" s="216"/>
      <c r="J1014" s="216"/>
      <c r="K1014" s="216"/>
      <c r="L1014" s="216"/>
      <c r="M1014" s="216"/>
      <c r="N1014" s="216"/>
      <c r="O1014" s="216"/>
      <c r="P1014" s="216"/>
      <c r="Q1014" s="216"/>
      <c r="R1014" s="216"/>
      <c r="S1014" s="216"/>
      <c r="T1014" s="216"/>
      <c r="U1014" s="216"/>
      <c r="V1014" s="216"/>
      <c r="W1014" s="216"/>
      <c r="X1014" s="216"/>
    </row>
    <row r="1015" ht="15.75" customHeight="1">
      <c r="A1015" s="216"/>
      <c r="B1015" s="216"/>
      <c r="C1015" s="216"/>
      <c r="D1015" s="216"/>
      <c r="E1015" s="216"/>
      <c r="F1015" s="216"/>
      <c r="G1015" s="216"/>
      <c r="H1015" s="216"/>
      <c r="I1015" s="216"/>
      <c r="J1015" s="216"/>
      <c r="K1015" s="216"/>
      <c r="L1015" s="216"/>
      <c r="M1015" s="216"/>
      <c r="N1015" s="216"/>
      <c r="O1015" s="216"/>
      <c r="P1015" s="216"/>
      <c r="Q1015" s="216"/>
      <c r="R1015" s="216"/>
      <c r="S1015" s="216"/>
      <c r="T1015" s="216"/>
      <c r="U1015" s="216"/>
      <c r="V1015" s="216"/>
      <c r="W1015" s="216"/>
      <c r="X1015" s="216"/>
    </row>
    <row r="1016" ht="15.75" customHeight="1">
      <c r="A1016" s="216"/>
      <c r="B1016" s="216"/>
      <c r="C1016" s="216"/>
      <c r="D1016" s="216"/>
      <c r="E1016" s="216"/>
      <c r="F1016" s="216"/>
      <c r="G1016" s="216"/>
      <c r="H1016" s="216"/>
      <c r="I1016" s="216"/>
      <c r="J1016" s="216"/>
      <c r="K1016" s="216"/>
      <c r="L1016" s="216"/>
      <c r="M1016" s="216"/>
      <c r="N1016" s="216"/>
      <c r="O1016" s="216"/>
      <c r="P1016" s="216"/>
      <c r="Q1016" s="216"/>
      <c r="R1016" s="216"/>
      <c r="S1016" s="216"/>
      <c r="T1016" s="216"/>
      <c r="U1016" s="216"/>
      <c r="V1016" s="216"/>
      <c r="W1016" s="216"/>
      <c r="X1016" s="216"/>
    </row>
    <row r="1017" ht="15.75" customHeight="1">
      <c r="A1017" s="216"/>
      <c r="B1017" s="216"/>
      <c r="C1017" s="216"/>
      <c r="D1017" s="216"/>
      <c r="E1017" s="216"/>
      <c r="F1017" s="216"/>
      <c r="G1017" s="216"/>
      <c r="H1017" s="216"/>
      <c r="I1017" s="216"/>
      <c r="J1017" s="216"/>
      <c r="K1017" s="216"/>
      <c r="L1017" s="216"/>
      <c r="M1017" s="216"/>
      <c r="N1017" s="216"/>
      <c r="O1017" s="216"/>
      <c r="P1017" s="216"/>
      <c r="Q1017" s="216"/>
      <c r="R1017" s="216"/>
      <c r="S1017" s="216"/>
      <c r="T1017" s="216"/>
      <c r="U1017" s="216"/>
      <c r="V1017" s="216"/>
      <c r="W1017" s="216"/>
      <c r="X1017" s="216"/>
    </row>
    <row r="1018" ht="15.75" customHeight="1">
      <c r="A1018" s="216"/>
      <c r="B1018" s="216"/>
      <c r="C1018" s="216"/>
      <c r="D1018" s="216"/>
      <c r="E1018" s="216"/>
      <c r="F1018" s="216"/>
      <c r="G1018" s="216"/>
      <c r="H1018" s="216"/>
      <c r="I1018" s="216"/>
      <c r="J1018" s="216"/>
      <c r="K1018" s="216"/>
      <c r="L1018" s="216"/>
      <c r="M1018" s="216"/>
      <c r="N1018" s="216"/>
      <c r="O1018" s="216"/>
      <c r="P1018" s="216"/>
      <c r="Q1018" s="216"/>
      <c r="R1018" s="216"/>
      <c r="S1018" s="216"/>
      <c r="T1018" s="216"/>
      <c r="U1018" s="216"/>
      <c r="V1018" s="216"/>
      <c r="W1018" s="216"/>
      <c r="X1018" s="216"/>
    </row>
    <row r="1019" ht="15.75" customHeight="1">
      <c r="A1019" s="216"/>
      <c r="B1019" s="216"/>
      <c r="C1019" s="216"/>
      <c r="D1019" s="216"/>
      <c r="E1019" s="216"/>
      <c r="F1019" s="216"/>
      <c r="G1019" s="216"/>
      <c r="H1019" s="216"/>
      <c r="I1019" s="216"/>
      <c r="J1019" s="216"/>
      <c r="K1019" s="216"/>
      <c r="L1019" s="216"/>
      <c r="M1019" s="216"/>
      <c r="N1019" s="216"/>
      <c r="O1019" s="216"/>
      <c r="P1019" s="216"/>
      <c r="Q1019" s="216"/>
      <c r="R1019" s="216"/>
      <c r="S1019" s="216"/>
      <c r="T1019" s="216"/>
      <c r="U1019" s="216"/>
      <c r="V1019" s="216"/>
      <c r="W1019" s="216"/>
      <c r="X1019" s="216"/>
    </row>
    <row r="1020" ht="15.75" customHeight="1">
      <c r="A1020" s="216"/>
      <c r="B1020" s="216"/>
      <c r="C1020" s="216"/>
      <c r="D1020" s="216"/>
      <c r="E1020" s="216"/>
      <c r="F1020" s="216"/>
      <c r="G1020" s="216"/>
      <c r="H1020" s="216"/>
      <c r="I1020" s="216"/>
      <c r="J1020" s="216"/>
      <c r="K1020" s="216"/>
      <c r="L1020" s="216"/>
      <c r="M1020" s="216"/>
      <c r="N1020" s="216"/>
      <c r="O1020" s="216"/>
      <c r="P1020" s="216"/>
      <c r="Q1020" s="216"/>
      <c r="R1020" s="216"/>
      <c r="S1020" s="216"/>
      <c r="T1020" s="216"/>
      <c r="U1020" s="216"/>
      <c r="V1020" s="216"/>
      <c r="W1020" s="216"/>
      <c r="X1020" s="216"/>
    </row>
    <row r="1021" ht="15.75" customHeight="1">
      <c r="A1021" s="216"/>
      <c r="B1021" s="216"/>
      <c r="C1021" s="216"/>
      <c r="D1021" s="216"/>
      <c r="E1021" s="216"/>
      <c r="F1021" s="216"/>
      <c r="G1021" s="216"/>
      <c r="H1021" s="216"/>
      <c r="I1021" s="216"/>
      <c r="J1021" s="216"/>
      <c r="K1021" s="216"/>
      <c r="L1021" s="216"/>
      <c r="M1021" s="216"/>
      <c r="N1021" s="216"/>
      <c r="O1021" s="216"/>
      <c r="P1021" s="216"/>
      <c r="Q1021" s="216"/>
      <c r="R1021" s="216"/>
      <c r="S1021" s="216"/>
      <c r="T1021" s="216"/>
      <c r="U1021" s="216"/>
      <c r="V1021" s="216"/>
      <c r="W1021" s="216"/>
      <c r="X1021" s="216"/>
    </row>
    <row r="1022" ht="15.75" customHeight="1">
      <c r="A1022" s="216"/>
      <c r="B1022" s="216"/>
      <c r="C1022" s="216"/>
      <c r="D1022" s="216"/>
      <c r="E1022" s="216"/>
      <c r="F1022" s="216"/>
      <c r="G1022" s="216"/>
      <c r="H1022" s="216"/>
      <c r="I1022" s="216"/>
      <c r="J1022" s="216"/>
      <c r="K1022" s="216"/>
      <c r="L1022" s="216"/>
      <c r="M1022" s="216"/>
      <c r="N1022" s="216"/>
      <c r="O1022" s="216"/>
      <c r="P1022" s="216"/>
      <c r="Q1022" s="216"/>
      <c r="R1022" s="216"/>
      <c r="S1022" s="216"/>
      <c r="T1022" s="216"/>
      <c r="U1022" s="216"/>
      <c r="V1022" s="216"/>
      <c r="W1022" s="216"/>
      <c r="X1022" s="216"/>
    </row>
    <row r="1023" ht="15.75" customHeight="1">
      <c r="A1023" s="216"/>
      <c r="B1023" s="216"/>
      <c r="C1023" s="216"/>
      <c r="D1023" s="216"/>
      <c r="E1023" s="216"/>
      <c r="F1023" s="216"/>
      <c r="G1023" s="216"/>
      <c r="H1023" s="216"/>
      <c r="I1023" s="216"/>
      <c r="J1023" s="216"/>
      <c r="K1023" s="216"/>
      <c r="L1023" s="216"/>
      <c r="M1023" s="216"/>
      <c r="N1023" s="216"/>
      <c r="O1023" s="216"/>
      <c r="P1023" s="216"/>
      <c r="Q1023" s="216"/>
      <c r="R1023" s="216"/>
      <c r="S1023" s="216"/>
      <c r="T1023" s="216"/>
      <c r="U1023" s="216"/>
      <c r="V1023" s="216"/>
      <c r="W1023" s="216"/>
      <c r="X1023" s="216"/>
    </row>
    <row r="1024" ht="15.75" customHeight="1">
      <c r="A1024" s="216"/>
      <c r="B1024" s="216"/>
      <c r="C1024" s="216"/>
      <c r="D1024" s="216"/>
      <c r="E1024" s="216"/>
      <c r="F1024" s="216"/>
      <c r="G1024" s="216"/>
      <c r="H1024" s="216"/>
      <c r="I1024" s="216"/>
      <c r="J1024" s="216"/>
      <c r="K1024" s="216"/>
      <c r="L1024" s="216"/>
      <c r="M1024" s="216"/>
      <c r="N1024" s="216"/>
      <c r="O1024" s="216"/>
      <c r="P1024" s="216"/>
      <c r="Q1024" s="216"/>
      <c r="R1024" s="216"/>
      <c r="S1024" s="216"/>
      <c r="T1024" s="216"/>
      <c r="U1024" s="216"/>
      <c r="V1024" s="216"/>
      <c r="W1024" s="216"/>
      <c r="X1024" s="216"/>
    </row>
    <row r="1025" ht="15.75" customHeight="1">
      <c r="A1025" s="216"/>
      <c r="B1025" s="216"/>
      <c r="C1025" s="216"/>
      <c r="D1025" s="216"/>
      <c r="E1025" s="216"/>
      <c r="F1025" s="216"/>
      <c r="G1025" s="216"/>
      <c r="H1025" s="216"/>
      <c r="I1025" s="216"/>
      <c r="J1025" s="216"/>
      <c r="K1025" s="216"/>
      <c r="L1025" s="216"/>
      <c r="M1025" s="216"/>
      <c r="N1025" s="216"/>
      <c r="O1025" s="216"/>
      <c r="P1025" s="216"/>
      <c r="Q1025" s="216"/>
      <c r="R1025" s="216"/>
      <c r="S1025" s="216"/>
      <c r="T1025" s="216"/>
      <c r="U1025" s="216"/>
      <c r="V1025" s="216"/>
      <c r="W1025" s="216"/>
      <c r="X1025" s="216"/>
    </row>
    <row r="1026" ht="15.75" customHeight="1">
      <c r="A1026" s="216"/>
      <c r="B1026" s="216"/>
      <c r="C1026" s="216"/>
      <c r="D1026" s="216"/>
      <c r="E1026" s="216"/>
      <c r="F1026" s="216"/>
      <c r="G1026" s="216"/>
      <c r="H1026" s="216"/>
      <c r="I1026" s="216"/>
      <c r="J1026" s="216"/>
      <c r="K1026" s="216"/>
      <c r="L1026" s="216"/>
      <c r="M1026" s="216"/>
      <c r="N1026" s="216"/>
      <c r="O1026" s="216"/>
      <c r="P1026" s="216"/>
      <c r="Q1026" s="216"/>
      <c r="R1026" s="216"/>
      <c r="S1026" s="216"/>
      <c r="T1026" s="216"/>
      <c r="U1026" s="216"/>
      <c r="V1026" s="216"/>
      <c r="W1026" s="216"/>
      <c r="X1026" s="216"/>
    </row>
    <row r="1027" ht="15.75" customHeight="1">
      <c r="A1027" s="216"/>
      <c r="B1027" s="216"/>
      <c r="C1027" s="216"/>
      <c r="D1027" s="216"/>
      <c r="E1027" s="216"/>
      <c r="F1027" s="216"/>
      <c r="G1027" s="216"/>
      <c r="H1027" s="216"/>
      <c r="I1027" s="216"/>
      <c r="J1027" s="216"/>
      <c r="K1027" s="216"/>
      <c r="L1027" s="216"/>
      <c r="M1027" s="216"/>
      <c r="N1027" s="216"/>
      <c r="O1027" s="216"/>
      <c r="P1027" s="216"/>
      <c r="Q1027" s="216"/>
      <c r="R1027" s="216"/>
      <c r="S1027" s="216"/>
      <c r="T1027" s="216"/>
      <c r="U1027" s="216"/>
      <c r="V1027" s="216"/>
      <c r="W1027" s="216"/>
      <c r="X1027" s="216"/>
    </row>
    <row r="1028" ht="15.75" customHeight="1">
      <c r="A1028" s="216"/>
      <c r="B1028" s="216"/>
      <c r="C1028" s="216"/>
      <c r="D1028" s="216"/>
      <c r="E1028" s="216"/>
      <c r="F1028" s="216"/>
      <c r="G1028" s="216"/>
      <c r="H1028" s="216"/>
      <c r="I1028" s="216"/>
      <c r="J1028" s="216"/>
      <c r="K1028" s="216"/>
      <c r="L1028" s="216"/>
      <c r="M1028" s="216"/>
      <c r="N1028" s="216"/>
      <c r="O1028" s="216"/>
      <c r="P1028" s="216"/>
      <c r="Q1028" s="216"/>
      <c r="R1028" s="216"/>
      <c r="S1028" s="216"/>
      <c r="T1028" s="216"/>
      <c r="U1028" s="216"/>
      <c r="V1028" s="216"/>
      <c r="W1028" s="216"/>
      <c r="X1028" s="216"/>
    </row>
    <row r="1029" ht="15.75" customHeight="1">
      <c r="A1029" s="216"/>
      <c r="B1029" s="216"/>
      <c r="C1029" s="216"/>
      <c r="D1029" s="216"/>
      <c r="E1029" s="216"/>
      <c r="F1029" s="216"/>
      <c r="G1029" s="216"/>
      <c r="H1029" s="216"/>
      <c r="I1029" s="216"/>
      <c r="J1029" s="216"/>
      <c r="K1029" s="216"/>
      <c r="L1029" s="216"/>
      <c r="M1029" s="216"/>
      <c r="N1029" s="216"/>
      <c r="O1029" s="216"/>
      <c r="P1029" s="216"/>
      <c r="Q1029" s="216"/>
      <c r="R1029" s="216"/>
      <c r="S1029" s="216"/>
      <c r="T1029" s="216"/>
      <c r="U1029" s="216"/>
      <c r="V1029" s="216"/>
      <c r="W1029" s="216"/>
      <c r="X1029" s="216"/>
    </row>
    <row r="1030" ht="15.75" customHeight="1">
      <c r="A1030" s="216"/>
      <c r="B1030" s="216"/>
      <c r="C1030" s="216"/>
      <c r="D1030" s="216"/>
      <c r="E1030" s="216"/>
      <c r="F1030" s="216"/>
      <c r="G1030" s="216"/>
      <c r="H1030" s="216"/>
      <c r="I1030" s="216"/>
      <c r="J1030" s="216"/>
      <c r="K1030" s="216"/>
      <c r="L1030" s="216"/>
      <c r="M1030" s="216"/>
      <c r="N1030" s="216"/>
      <c r="O1030" s="216"/>
      <c r="P1030" s="216"/>
      <c r="Q1030" s="216"/>
      <c r="R1030" s="216"/>
      <c r="S1030" s="216"/>
      <c r="T1030" s="216"/>
      <c r="U1030" s="216"/>
      <c r="V1030" s="216"/>
      <c r="W1030" s="216"/>
      <c r="X1030" s="216"/>
    </row>
    <row r="1031" ht="15.75" customHeight="1">
      <c r="A1031" s="216"/>
      <c r="B1031" s="216"/>
      <c r="C1031" s="216"/>
      <c r="D1031" s="216"/>
      <c r="E1031" s="216"/>
      <c r="F1031" s="216"/>
      <c r="G1031" s="216"/>
      <c r="H1031" s="216"/>
      <c r="I1031" s="216"/>
      <c r="J1031" s="216"/>
      <c r="K1031" s="216"/>
      <c r="L1031" s="216"/>
      <c r="M1031" s="216"/>
      <c r="N1031" s="216"/>
      <c r="O1031" s="216"/>
      <c r="P1031" s="216"/>
      <c r="Q1031" s="216"/>
      <c r="R1031" s="216"/>
      <c r="S1031" s="216"/>
      <c r="T1031" s="216"/>
      <c r="U1031" s="216"/>
      <c r="V1031" s="216"/>
      <c r="W1031" s="216"/>
      <c r="X1031" s="216"/>
    </row>
    <row r="1032" ht="15.75" customHeight="1">
      <c r="A1032" s="216"/>
      <c r="B1032" s="216"/>
      <c r="C1032" s="216"/>
      <c r="D1032" s="216"/>
      <c r="E1032" s="216"/>
      <c r="F1032" s="216"/>
      <c r="G1032" s="216"/>
      <c r="H1032" s="216"/>
      <c r="I1032" s="216"/>
      <c r="J1032" s="216"/>
      <c r="K1032" s="216"/>
      <c r="L1032" s="216"/>
      <c r="M1032" s="216"/>
      <c r="N1032" s="216"/>
      <c r="O1032" s="216"/>
      <c r="P1032" s="216"/>
      <c r="Q1032" s="216"/>
      <c r="R1032" s="216"/>
      <c r="S1032" s="216"/>
      <c r="T1032" s="216"/>
      <c r="U1032" s="216"/>
      <c r="V1032" s="216"/>
      <c r="W1032" s="216"/>
      <c r="X1032" s="216"/>
    </row>
    <row r="1033" ht="15.75" customHeight="1">
      <c r="A1033" s="216"/>
      <c r="B1033" s="216"/>
      <c r="C1033" s="216"/>
      <c r="D1033" s="216"/>
      <c r="E1033" s="216"/>
      <c r="F1033" s="216"/>
      <c r="G1033" s="216"/>
      <c r="H1033" s="216"/>
      <c r="I1033" s="216"/>
      <c r="J1033" s="216"/>
      <c r="K1033" s="216"/>
      <c r="L1033" s="216"/>
      <c r="M1033" s="216"/>
      <c r="N1033" s="216"/>
      <c r="O1033" s="216"/>
      <c r="P1033" s="216"/>
      <c r="Q1033" s="216"/>
      <c r="R1033" s="216"/>
      <c r="S1033" s="216"/>
      <c r="T1033" s="216"/>
      <c r="U1033" s="216"/>
      <c r="V1033" s="216"/>
      <c r="W1033" s="216"/>
      <c r="X1033" s="216"/>
    </row>
    <row r="1034" ht="15.75" customHeight="1">
      <c r="A1034" s="216"/>
      <c r="B1034" s="216"/>
      <c r="C1034" s="216"/>
      <c r="D1034" s="216"/>
      <c r="E1034" s="216"/>
      <c r="F1034" s="216"/>
      <c r="G1034" s="216"/>
      <c r="H1034" s="216"/>
      <c r="I1034" s="216"/>
      <c r="J1034" s="216"/>
      <c r="K1034" s="216"/>
      <c r="L1034" s="216"/>
      <c r="M1034" s="216"/>
      <c r="N1034" s="216"/>
      <c r="O1034" s="216"/>
      <c r="P1034" s="216"/>
      <c r="Q1034" s="216"/>
      <c r="R1034" s="216"/>
      <c r="S1034" s="216"/>
      <c r="T1034" s="216"/>
      <c r="U1034" s="216"/>
      <c r="V1034" s="216"/>
      <c r="W1034" s="216"/>
      <c r="X1034" s="216"/>
    </row>
    <row r="1035" ht="15.75" customHeight="1">
      <c r="A1035" s="216"/>
      <c r="B1035" s="216"/>
      <c r="C1035" s="216"/>
      <c r="D1035" s="216"/>
      <c r="E1035" s="216"/>
      <c r="F1035" s="216"/>
      <c r="G1035" s="216"/>
      <c r="H1035" s="216"/>
      <c r="I1035" s="216"/>
      <c r="J1035" s="216"/>
      <c r="K1035" s="216"/>
      <c r="L1035" s="216"/>
      <c r="M1035" s="216"/>
      <c r="N1035" s="216"/>
      <c r="O1035" s="216"/>
      <c r="P1035" s="216"/>
      <c r="Q1035" s="216"/>
      <c r="R1035" s="216"/>
      <c r="S1035" s="216"/>
      <c r="T1035" s="216"/>
      <c r="U1035" s="216"/>
      <c r="V1035" s="216"/>
      <c r="W1035" s="216"/>
      <c r="X1035" s="216"/>
    </row>
    <row r="1036" ht="15.75" customHeight="1">
      <c r="A1036" s="216"/>
      <c r="B1036" s="216"/>
      <c r="C1036" s="216"/>
      <c r="D1036" s="216"/>
      <c r="E1036" s="216"/>
      <c r="F1036" s="216"/>
      <c r="G1036" s="216"/>
      <c r="H1036" s="216"/>
      <c r="I1036" s="216"/>
      <c r="J1036" s="216"/>
      <c r="K1036" s="216"/>
      <c r="L1036" s="216"/>
      <c r="M1036" s="216"/>
      <c r="N1036" s="216"/>
      <c r="O1036" s="216"/>
      <c r="P1036" s="216"/>
      <c r="Q1036" s="216"/>
      <c r="R1036" s="216"/>
      <c r="S1036" s="216"/>
      <c r="T1036" s="216"/>
      <c r="U1036" s="216"/>
      <c r="V1036" s="216"/>
      <c r="W1036" s="216"/>
      <c r="X1036" s="216"/>
    </row>
    <row r="1037" ht="15.75" customHeight="1">
      <c r="A1037" s="216"/>
      <c r="B1037" s="216"/>
      <c r="C1037" s="216"/>
      <c r="D1037" s="216"/>
      <c r="E1037" s="216"/>
      <c r="F1037" s="216"/>
      <c r="G1037" s="216"/>
      <c r="H1037" s="216"/>
      <c r="I1037" s="216"/>
      <c r="J1037" s="216"/>
      <c r="K1037" s="216"/>
      <c r="L1037" s="216"/>
      <c r="M1037" s="216"/>
      <c r="N1037" s="216"/>
      <c r="O1037" s="216"/>
      <c r="P1037" s="216"/>
      <c r="Q1037" s="216"/>
      <c r="R1037" s="216"/>
      <c r="S1037" s="216"/>
      <c r="T1037" s="216"/>
      <c r="U1037" s="216"/>
      <c r="V1037" s="216"/>
      <c r="W1037" s="216"/>
      <c r="X1037" s="216"/>
    </row>
    <row r="1038" ht="15.75" customHeight="1">
      <c r="A1038" s="216"/>
      <c r="B1038" s="216"/>
      <c r="C1038" s="216"/>
      <c r="D1038" s="216"/>
      <c r="E1038" s="216"/>
      <c r="F1038" s="216"/>
      <c r="G1038" s="216"/>
      <c r="H1038" s="216"/>
      <c r="I1038" s="216"/>
      <c r="J1038" s="216"/>
      <c r="K1038" s="216"/>
      <c r="L1038" s="216"/>
      <c r="M1038" s="216"/>
      <c r="N1038" s="216"/>
      <c r="O1038" s="216"/>
      <c r="P1038" s="216"/>
      <c r="Q1038" s="216"/>
      <c r="R1038" s="216"/>
      <c r="S1038" s="216"/>
      <c r="T1038" s="216"/>
      <c r="U1038" s="216"/>
      <c r="V1038" s="216"/>
      <c r="W1038" s="216"/>
      <c r="X1038" s="216"/>
    </row>
    <row r="1039" ht="15.75" customHeight="1">
      <c r="A1039" s="216"/>
      <c r="B1039" s="216"/>
      <c r="C1039" s="216"/>
      <c r="D1039" s="216"/>
      <c r="E1039" s="216"/>
      <c r="F1039" s="216"/>
      <c r="G1039" s="216"/>
      <c r="H1039" s="216"/>
      <c r="I1039" s="216"/>
      <c r="J1039" s="216"/>
      <c r="K1039" s="216"/>
      <c r="L1039" s="216"/>
      <c r="M1039" s="216"/>
      <c r="N1039" s="216"/>
      <c r="O1039" s="216"/>
      <c r="P1039" s="216"/>
      <c r="Q1039" s="216"/>
      <c r="R1039" s="216"/>
      <c r="S1039" s="216"/>
      <c r="T1039" s="216"/>
      <c r="U1039" s="216"/>
      <c r="V1039" s="216"/>
      <c r="W1039" s="216"/>
      <c r="X1039" s="216"/>
    </row>
    <row r="1040" ht="15.75" customHeight="1">
      <c r="A1040" s="216"/>
      <c r="B1040" s="216"/>
      <c r="C1040" s="216"/>
      <c r="D1040" s="216"/>
      <c r="E1040" s="216"/>
      <c r="F1040" s="216"/>
      <c r="G1040" s="216"/>
      <c r="H1040" s="216"/>
      <c r="I1040" s="216"/>
      <c r="J1040" s="216"/>
      <c r="K1040" s="216"/>
      <c r="L1040" s="216"/>
      <c r="M1040" s="216"/>
      <c r="N1040" s="216"/>
      <c r="O1040" s="216"/>
      <c r="P1040" s="216"/>
      <c r="Q1040" s="216"/>
      <c r="R1040" s="216"/>
      <c r="S1040" s="216"/>
      <c r="T1040" s="216"/>
      <c r="U1040" s="216"/>
      <c r="V1040" s="216"/>
      <c r="W1040" s="216"/>
      <c r="X1040" s="216"/>
    </row>
    <row r="1041" ht="15.75" customHeight="1">
      <c r="A1041" s="216"/>
      <c r="B1041" s="216"/>
      <c r="C1041" s="216"/>
      <c r="D1041" s="216"/>
      <c r="E1041" s="216"/>
      <c r="F1041" s="216"/>
      <c r="G1041" s="216"/>
      <c r="H1041" s="216"/>
      <c r="I1041" s="216"/>
      <c r="J1041" s="216"/>
      <c r="K1041" s="216"/>
      <c r="L1041" s="216"/>
      <c r="M1041" s="216"/>
      <c r="N1041" s="216"/>
      <c r="O1041" s="216"/>
      <c r="P1041" s="216"/>
      <c r="Q1041" s="216"/>
      <c r="R1041" s="216"/>
      <c r="S1041" s="216"/>
      <c r="T1041" s="216"/>
      <c r="U1041" s="216"/>
      <c r="V1041" s="216"/>
      <c r="W1041" s="216"/>
      <c r="X1041" s="216"/>
    </row>
    <row r="1042" ht="15.75" customHeight="1">
      <c r="A1042" s="216"/>
      <c r="B1042" s="216"/>
      <c r="C1042" s="216"/>
      <c r="D1042" s="216"/>
      <c r="E1042" s="216"/>
      <c r="F1042" s="216"/>
      <c r="G1042" s="216"/>
      <c r="H1042" s="216"/>
      <c r="I1042" s="216"/>
      <c r="J1042" s="216"/>
      <c r="K1042" s="216"/>
      <c r="L1042" s="216"/>
      <c r="M1042" s="216"/>
      <c r="N1042" s="216"/>
      <c r="O1042" s="216"/>
      <c r="P1042" s="216"/>
      <c r="Q1042" s="216"/>
      <c r="R1042" s="216"/>
      <c r="S1042" s="216"/>
      <c r="T1042" s="216"/>
      <c r="U1042" s="216"/>
      <c r="V1042" s="216"/>
      <c r="W1042" s="216"/>
      <c r="X1042" s="216"/>
    </row>
    <row r="1043" ht="15.75" customHeight="1">
      <c r="A1043" s="216"/>
      <c r="B1043" s="216"/>
      <c r="C1043" s="216"/>
      <c r="D1043" s="216"/>
      <c r="E1043" s="216"/>
      <c r="F1043" s="216"/>
      <c r="G1043" s="216"/>
      <c r="H1043" s="216"/>
      <c r="I1043" s="216"/>
      <c r="J1043" s="216"/>
      <c r="K1043" s="216"/>
      <c r="L1043" s="216"/>
      <c r="M1043" s="216"/>
      <c r="N1043" s="216"/>
      <c r="O1043" s="216"/>
      <c r="P1043" s="216"/>
      <c r="Q1043" s="216"/>
      <c r="R1043" s="216"/>
      <c r="S1043" s="216"/>
      <c r="T1043" s="216"/>
      <c r="U1043" s="216"/>
      <c r="V1043" s="216"/>
      <c r="W1043" s="216"/>
      <c r="X1043" s="216"/>
    </row>
    <row r="1044" ht="15.75" customHeight="1">
      <c r="A1044" s="216"/>
      <c r="B1044" s="216"/>
      <c r="C1044" s="216"/>
      <c r="D1044" s="216"/>
      <c r="E1044" s="216"/>
      <c r="F1044" s="216"/>
      <c r="G1044" s="216"/>
      <c r="H1044" s="216"/>
      <c r="I1044" s="216"/>
      <c r="J1044" s="216"/>
      <c r="K1044" s="216"/>
      <c r="L1044" s="216"/>
      <c r="M1044" s="216"/>
      <c r="N1044" s="216"/>
      <c r="O1044" s="216"/>
      <c r="P1044" s="216"/>
      <c r="Q1044" s="216"/>
      <c r="R1044" s="216"/>
      <c r="S1044" s="216"/>
      <c r="T1044" s="216"/>
      <c r="U1044" s="216"/>
      <c r="V1044" s="216"/>
      <c r="W1044" s="216"/>
      <c r="X1044" s="216"/>
    </row>
    <row r="1045" ht="15.75" customHeight="1">
      <c r="A1045" s="216"/>
      <c r="B1045" s="216"/>
      <c r="C1045" s="216"/>
      <c r="D1045" s="216"/>
      <c r="E1045" s="216"/>
      <c r="F1045" s="216"/>
      <c r="G1045" s="216"/>
      <c r="H1045" s="216"/>
      <c r="I1045" s="216"/>
      <c r="J1045" s="216"/>
      <c r="K1045" s="216"/>
      <c r="L1045" s="216"/>
      <c r="M1045" s="216"/>
      <c r="N1045" s="216"/>
      <c r="O1045" s="216"/>
      <c r="P1045" s="216"/>
      <c r="Q1045" s="216"/>
      <c r="R1045" s="216"/>
      <c r="S1045" s="216"/>
      <c r="T1045" s="216"/>
      <c r="U1045" s="216"/>
      <c r="V1045" s="216"/>
      <c r="W1045" s="216"/>
      <c r="X1045" s="216"/>
    </row>
    <row r="1046" ht="15.75" customHeight="1">
      <c r="A1046" s="216"/>
      <c r="B1046" s="216"/>
      <c r="C1046" s="216"/>
      <c r="D1046" s="216"/>
      <c r="E1046" s="216"/>
      <c r="F1046" s="216"/>
      <c r="G1046" s="216"/>
      <c r="H1046" s="216"/>
      <c r="I1046" s="216"/>
      <c r="J1046" s="216"/>
      <c r="K1046" s="216"/>
      <c r="L1046" s="216"/>
      <c r="M1046" s="216"/>
      <c r="N1046" s="216"/>
      <c r="O1046" s="216"/>
      <c r="P1046" s="216"/>
      <c r="Q1046" s="216"/>
      <c r="R1046" s="216"/>
      <c r="S1046" s="216"/>
      <c r="T1046" s="216"/>
      <c r="U1046" s="216"/>
      <c r="V1046" s="216"/>
      <c r="W1046" s="216"/>
      <c r="X1046" s="216"/>
    </row>
    <row r="1047" ht="15.75" customHeight="1">
      <c r="A1047" s="216"/>
      <c r="B1047" s="216"/>
      <c r="C1047" s="216"/>
      <c r="D1047" s="216"/>
      <c r="E1047" s="216"/>
      <c r="F1047" s="216"/>
      <c r="G1047" s="216"/>
      <c r="H1047" s="216"/>
      <c r="I1047" s="216"/>
      <c r="J1047" s="216"/>
      <c r="K1047" s="216"/>
      <c r="L1047" s="216"/>
      <c r="M1047" s="216"/>
      <c r="N1047" s="216"/>
      <c r="O1047" s="216"/>
      <c r="P1047" s="216"/>
      <c r="Q1047" s="216"/>
      <c r="R1047" s="216"/>
      <c r="S1047" s="216"/>
      <c r="T1047" s="216"/>
      <c r="U1047" s="216"/>
      <c r="V1047" s="216"/>
      <c r="W1047" s="216"/>
      <c r="X1047" s="216"/>
    </row>
    <row r="1048" ht="15.75" customHeight="1">
      <c r="A1048" s="216"/>
      <c r="B1048" s="216"/>
      <c r="C1048" s="216"/>
      <c r="D1048" s="216"/>
      <c r="E1048" s="216"/>
      <c r="F1048" s="216"/>
      <c r="G1048" s="216"/>
      <c r="H1048" s="216"/>
      <c r="I1048" s="216"/>
      <c r="J1048" s="216"/>
      <c r="K1048" s="216"/>
      <c r="L1048" s="216"/>
      <c r="M1048" s="216"/>
      <c r="N1048" s="216"/>
      <c r="O1048" s="216"/>
      <c r="P1048" s="216"/>
      <c r="Q1048" s="216"/>
      <c r="R1048" s="216"/>
      <c r="S1048" s="216"/>
      <c r="T1048" s="216"/>
      <c r="U1048" s="216"/>
      <c r="V1048" s="216"/>
      <c r="W1048" s="216"/>
      <c r="X1048" s="216"/>
    </row>
    <row r="1049" ht="15.75" customHeight="1">
      <c r="A1049" s="216"/>
      <c r="B1049" s="216"/>
      <c r="C1049" s="216"/>
      <c r="D1049" s="216"/>
      <c r="E1049" s="216"/>
      <c r="F1049" s="216"/>
      <c r="G1049" s="216"/>
      <c r="H1049" s="216"/>
      <c r="I1049" s="216"/>
      <c r="J1049" s="216"/>
      <c r="K1049" s="216"/>
      <c r="L1049" s="216"/>
      <c r="M1049" s="216"/>
      <c r="N1049" s="216"/>
      <c r="O1049" s="216"/>
      <c r="P1049" s="216"/>
      <c r="Q1049" s="216"/>
      <c r="R1049" s="216"/>
      <c r="S1049" s="216"/>
      <c r="T1049" s="216"/>
      <c r="U1049" s="216"/>
      <c r="V1049" s="216"/>
      <c r="W1049" s="216"/>
      <c r="X1049" s="216"/>
    </row>
    <row r="1050" ht="15.75" customHeight="1">
      <c r="A1050" s="216"/>
      <c r="B1050" s="216"/>
      <c r="C1050" s="216"/>
      <c r="D1050" s="216"/>
      <c r="E1050" s="216"/>
      <c r="F1050" s="216"/>
      <c r="G1050" s="216"/>
      <c r="H1050" s="216"/>
      <c r="I1050" s="216"/>
      <c r="J1050" s="216"/>
      <c r="K1050" s="216"/>
      <c r="L1050" s="216"/>
      <c r="M1050" s="216"/>
      <c r="N1050" s="216"/>
      <c r="O1050" s="216"/>
      <c r="P1050" s="216"/>
      <c r="Q1050" s="216"/>
      <c r="R1050" s="216"/>
      <c r="S1050" s="216"/>
      <c r="T1050" s="216"/>
      <c r="U1050" s="216"/>
      <c r="V1050" s="216"/>
      <c r="W1050" s="216"/>
      <c r="X1050" s="216"/>
    </row>
    <row r="1051" ht="15.75" customHeight="1">
      <c r="A1051" s="216"/>
      <c r="B1051" s="216"/>
      <c r="C1051" s="216"/>
      <c r="D1051" s="216"/>
      <c r="E1051" s="216"/>
      <c r="F1051" s="216"/>
      <c r="G1051" s="216"/>
      <c r="H1051" s="216"/>
      <c r="I1051" s="216"/>
      <c r="J1051" s="216"/>
      <c r="K1051" s="216"/>
      <c r="L1051" s="216"/>
      <c r="M1051" s="216"/>
      <c r="N1051" s="216"/>
      <c r="O1051" s="216"/>
      <c r="P1051" s="216"/>
      <c r="Q1051" s="216"/>
      <c r="R1051" s="216"/>
      <c r="S1051" s="216"/>
      <c r="T1051" s="216"/>
      <c r="U1051" s="216"/>
      <c r="V1051" s="216"/>
      <c r="W1051" s="216"/>
      <c r="X1051" s="216"/>
    </row>
    <row r="1052" ht="15.75" customHeight="1">
      <c r="A1052" s="216"/>
      <c r="B1052" s="216"/>
      <c r="C1052" s="216"/>
      <c r="D1052" s="216"/>
      <c r="E1052" s="216"/>
      <c r="F1052" s="216"/>
      <c r="G1052" s="216"/>
      <c r="H1052" s="216"/>
      <c r="I1052" s="216"/>
      <c r="J1052" s="216"/>
      <c r="K1052" s="216"/>
      <c r="L1052" s="216"/>
      <c r="M1052" s="216"/>
      <c r="N1052" s="216"/>
      <c r="O1052" s="216"/>
      <c r="P1052" s="216"/>
      <c r="Q1052" s="216"/>
      <c r="R1052" s="216"/>
      <c r="S1052" s="216"/>
      <c r="T1052" s="216"/>
      <c r="U1052" s="216"/>
      <c r="V1052" s="216"/>
      <c r="W1052" s="216"/>
      <c r="X1052" s="216"/>
    </row>
    <row r="1053" ht="15.75" customHeight="1">
      <c r="A1053" s="216"/>
      <c r="B1053" s="216"/>
      <c r="C1053" s="216"/>
      <c r="D1053" s="216"/>
      <c r="E1053" s="216"/>
      <c r="F1053" s="216"/>
      <c r="G1053" s="216"/>
      <c r="H1053" s="216"/>
      <c r="I1053" s="216"/>
      <c r="J1053" s="216"/>
      <c r="K1053" s="216"/>
      <c r="L1053" s="216"/>
      <c r="M1053" s="216"/>
      <c r="N1053" s="216"/>
      <c r="O1053" s="216"/>
      <c r="P1053" s="216"/>
      <c r="Q1053" s="216"/>
      <c r="R1053" s="216"/>
      <c r="S1053" s="216"/>
      <c r="T1053" s="216"/>
      <c r="U1053" s="216"/>
      <c r="V1053" s="216"/>
      <c r="W1053" s="216"/>
      <c r="X1053" s="216"/>
    </row>
    <row r="1054" ht="15.75" customHeight="1">
      <c r="A1054" s="216"/>
      <c r="B1054" s="216"/>
      <c r="C1054" s="216"/>
      <c r="D1054" s="216"/>
      <c r="E1054" s="216"/>
      <c r="F1054" s="216"/>
      <c r="G1054" s="216"/>
      <c r="H1054" s="216"/>
      <c r="I1054" s="216"/>
      <c r="J1054" s="216"/>
      <c r="K1054" s="216"/>
      <c r="L1054" s="216"/>
      <c r="M1054" s="216"/>
      <c r="N1054" s="216"/>
      <c r="O1054" s="216"/>
      <c r="P1054" s="216"/>
      <c r="Q1054" s="216"/>
      <c r="R1054" s="216"/>
      <c r="S1054" s="216"/>
      <c r="T1054" s="216"/>
      <c r="U1054" s="216"/>
      <c r="V1054" s="216"/>
      <c r="W1054" s="216"/>
      <c r="X1054" s="216"/>
    </row>
    <row r="1055" ht="15.75" customHeight="1">
      <c r="A1055" s="216"/>
      <c r="B1055" s="216"/>
      <c r="C1055" s="216"/>
      <c r="D1055" s="216"/>
      <c r="E1055" s="216"/>
      <c r="F1055" s="216"/>
      <c r="G1055" s="216"/>
      <c r="H1055" s="216"/>
      <c r="I1055" s="216"/>
      <c r="J1055" s="216"/>
      <c r="K1055" s="216"/>
      <c r="L1055" s="216"/>
      <c r="M1055" s="216"/>
      <c r="N1055" s="216"/>
      <c r="O1055" s="216"/>
      <c r="P1055" s="216"/>
      <c r="Q1055" s="216"/>
      <c r="R1055" s="216"/>
      <c r="S1055" s="216"/>
      <c r="T1055" s="216"/>
      <c r="U1055" s="216"/>
      <c r="V1055" s="216"/>
      <c r="W1055" s="216"/>
      <c r="X1055" s="216"/>
    </row>
    <row r="1056" ht="15.75" customHeight="1">
      <c r="A1056" s="216"/>
      <c r="B1056" s="216"/>
      <c r="C1056" s="216"/>
      <c r="D1056" s="216"/>
      <c r="E1056" s="216"/>
      <c r="F1056" s="216"/>
      <c r="G1056" s="216"/>
      <c r="H1056" s="216"/>
      <c r="I1056" s="216"/>
      <c r="J1056" s="216"/>
      <c r="K1056" s="216"/>
      <c r="L1056" s="216"/>
      <c r="M1056" s="216"/>
      <c r="N1056" s="216"/>
      <c r="O1056" s="216"/>
      <c r="P1056" s="216"/>
      <c r="Q1056" s="216"/>
      <c r="R1056" s="216"/>
      <c r="S1056" s="216"/>
      <c r="T1056" s="216"/>
      <c r="U1056" s="216"/>
      <c r="V1056" s="216"/>
      <c r="W1056" s="216"/>
      <c r="X1056" s="216"/>
    </row>
    <row r="1057" ht="15.75" customHeight="1">
      <c r="A1057" s="216"/>
      <c r="B1057" s="216"/>
      <c r="C1057" s="216"/>
      <c r="D1057" s="216"/>
      <c r="E1057" s="216"/>
      <c r="F1057" s="216"/>
      <c r="G1057" s="216"/>
      <c r="H1057" s="216"/>
      <c r="I1057" s="216"/>
      <c r="J1057" s="216"/>
      <c r="K1057" s="216"/>
      <c r="L1057" s="216"/>
      <c r="M1057" s="216"/>
      <c r="N1057" s="216"/>
      <c r="O1057" s="216"/>
      <c r="P1057" s="216"/>
      <c r="Q1057" s="216"/>
      <c r="R1057" s="216"/>
      <c r="S1057" s="216"/>
      <c r="T1057" s="216"/>
      <c r="U1057" s="216"/>
      <c r="V1057" s="216"/>
      <c r="W1057" s="216"/>
      <c r="X1057" s="216"/>
    </row>
  </sheetData>
  <autoFilter ref="$A$1:$S$654">
    <filterColumn colId="1">
      <filters>
        <filter val="PS GRAPH"/>
        <filter val="SANCHEZ PALLARES ERNESTO 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2026-05-12T18:51:18Z</dcterms:created>
  <dc:creator>openpyxl</dc:creator>
</cp:coreProperties>
</file>