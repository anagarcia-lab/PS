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21a63613fe4b29/Documentos/Presupuesto/2026/"/>
    </mc:Choice>
  </mc:AlternateContent>
  <xr:revisionPtr revIDLastSave="0" documentId="13_ncr:1_{E57A5FA7-ED06-4DDF-BCF9-E4D9079B3A94}" xr6:coauthVersionLast="47" xr6:coauthVersionMax="47" xr10:uidLastSave="{00000000-0000-0000-0000-000000000000}"/>
  <bookViews>
    <workbookView xWindow="-110" yWindow="-110" windowWidth="19420" windowHeight="10300" tabRatio="771" xr2:uid="{7EAF3FCA-DF7B-4FEC-A701-AFDC637CD0AF}"/>
  </bookViews>
  <sheets>
    <sheet name="Budget" sheetId="2" r:id="rId1"/>
    <sheet name="Ops" sheetId="5" r:id="rId2"/>
    <sheet name="Tech" sheetId="6" r:id="rId3"/>
    <sheet name="Gral" sheetId="3" r:id="rId4"/>
    <sheet name="Gtos Gral" sheetId="9" r:id="rId5"/>
    <sheet name="Finanzas" sheetId="1" r:id="rId6"/>
    <sheet name="Comercial" sheetId="7" r:id="rId7"/>
    <sheet name="Gtos Com" sheetId="8" r:id="rId8"/>
    <sheet name="RH" sheetId="4" r:id="rId9"/>
  </sheets>
  <externalReferences>
    <externalReference r:id="rId10"/>
    <externalReference r:id="rId11"/>
    <externalReference r:id="rId12"/>
  </externalReferences>
  <definedNames>
    <definedName name="_xlnm._FilterDatabase" localSheetId="6" hidden="1">Comercial!$A$1:$T$18</definedName>
    <definedName name="_xlnm._FilterDatabase" localSheetId="7" hidden="1">'Gtos Com'!$A$1:$K$39</definedName>
    <definedName name="aa" localSheetId="5">#REF!</definedName>
    <definedName name="aa" localSheetId="1">#REF!</definedName>
    <definedName name="aa" localSheetId="8">#REF!</definedName>
    <definedName name="aa" localSheetId="2">#REF!</definedName>
    <definedName name="aa">#REF!</definedName>
    <definedName name="ABONO">#REF!</definedName>
    <definedName name="B">#REF!</definedName>
    <definedName name="Bono" localSheetId="5">'[1]Summary-Trend'!$C$149:$D$152</definedName>
    <definedName name="Bono" localSheetId="1">'[1]Summary-Trend'!$C$149:$D$152</definedName>
    <definedName name="Bono" localSheetId="8">'[1]Summary-Trend'!$C$149:$D$152</definedName>
    <definedName name="Bono" localSheetId="2">'[1]Summary-Trend'!$C$149:$D$152</definedName>
    <definedName name="Bono">#REF!</definedName>
    <definedName name="Bonus04" localSheetId="5">#REF!</definedName>
    <definedName name="Bonus04" localSheetId="1">#REF!</definedName>
    <definedName name="Bonus04" localSheetId="8">#REF!</definedName>
    <definedName name="Bonus04" localSheetId="2">#REF!</definedName>
    <definedName name="Bonus04">#REF!</definedName>
    <definedName name="carm" localSheetId="5">#REF!</definedName>
    <definedName name="carm" localSheetId="1">#REF!</definedName>
    <definedName name="carm" localSheetId="8">#REF!</definedName>
    <definedName name="carm" localSheetId="2">#REF!</definedName>
    <definedName name="carm">#REF!</definedName>
    <definedName name="Cars" localSheetId="5">#REF!</definedName>
    <definedName name="Cars" localSheetId="1">#REF!</definedName>
    <definedName name="Cars" localSheetId="8">#REF!</definedName>
    <definedName name="Cars" localSheetId="2">#REF!</definedName>
    <definedName name="Cars">#REF!</definedName>
    <definedName name="CODIGO">#REF!</definedName>
    <definedName name="CostoMetro" localSheetId="5">#REF!</definedName>
    <definedName name="CostoMetro" localSheetId="1">#REF!</definedName>
    <definedName name="CostoMetro" localSheetId="8">#REF!</definedName>
    <definedName name="CostoMetro" localSheetId="2">#REF!</definedName>
    <definedName name="CostoMetro">#REF!</definedName>
    <definedName name="cpi" localSheetId="5">'[1]Summary-Trend'!$D$142</definedName>
    <definedName name="cpi" localSheetId="1">'[1]Summary-Trend'!$D$142</definedName>
    <definedName name="cpi" localSheetId="8">'[1]Summary-Trend'!$D$142</definedName>
    <definedName name="cpi" localSheetId="2">'[1]Summary-Trend'!$D$142</definedName>
    <definedName name="cpi">#REF!</definedName>
    <definedName name="dates">#REF!</definedName>
    <definedName name="FECHA">#REF!</definedName>
    <definedName name="fiscal">#REF!</definedName>
    <definedName name="gentemetro" localSheetId="5">#REF!</definedName>
    <definedName name="gentemetro" localSheetId="1">#REF!</definedName>
    <definedName name="gentemetro" localSheetId="8">#REF!</definedName>
    <definedName name="gentemetro" localSheetId="2">#REF!</definedName>
    <definedName name="gentemetro">#REF!</definedName>
    <definedName name="Groceries_Limit" localSheetId="5">#REF!</definedName>
    <definedName name="Groceries_Limit" localSheetId="1">#REF!</definedName>
    <definedName name="Groceries_Limit" localSheetId="8">#REF!</definedName>
    <definedName name="Groceries_Limit" localSheetId="2">#REF!</definedName>
    <definedName name="Groceries_Limit">#REF!</definedName>
    <definedName name="imss">#REF!</definedName>
    <definedName name="IPC" localSheetId="5">Finanzas!$V$1</definedName>
    <definedName name="IPC" localSheetId="1">Ops!$V$1</definedName>
    <definedName name="IPC" localSheetId="8">RH!$V$1</definedName>
    <definedName name="IPC" localSheetId="2">Tech!$V$1</definedName>
    <definedName name="IPC">#REF!</definedName>
    <definedName name="minimum_wage04">#REF!</definedName>
    <definedName name="Months">#REF!</definedName>
    <definedName name="s">#REF!</definedName>
    <definedName name="Salary_Increase04" localSheetId="5">#REF!</definedName>
    <definedName name="Salary_Increase04" localSheetId="1">#REF!</definedName>
    <definedName name="Salary_Increase04" localSheetId="8">#REF!</definedName>
    <definedName name="Salary_Increase04" localSheetId="2">#REF!</definedName>
    <definedName name="Salary_Increase04">#REF!</definedName>
    <definedName name="Savings_Limit" localSheetId="5">#REF!</definedName>
    <definedName name="Savings_Limit" localSheetId="1">#REF!</definedName>
    <definedName name="Savings_Limit" localSheetId="8">#REF!</definedName>
    <definedName name="Savings_Limit" localSheetId="2">#REF!</definedName>
    <definedName name="Savings_Limit">#REF!</definedName>
    <definedName name="School" localSheetId="5">#REF!</definedName>
    <definedName name="School" localSheetId="1">#REF!</definedName>
    <definedName name="School" localSheetId="8">#REF!</definedName>
    <definedName name="School" localSheetId="2">#REF!</definedName>
    <definedName name="School">#REF!</definedName>
    <definedName name="Tarifas" localSheetId="5">#REF!</definedName>
    <definedName name="Tarifas" localSheetId="1">#REF!</definedName>
    <definedName name="Tarifas" localSheetId="8">#REF!</definedName>
    <definedName name="Tarifas" localSheetId="2">#REF!</definedName>
    <definedName name="Tarifas">#REF!</definedName>
    <definedName name="Taxes_Limit" localSheetId="5">#REF!</definedName>
    <definedName name="Taxes_Limit" localSheetId="1">#REF!</definedName>
    <definedName name="Taxes_Limit" localSheetId="8">#REF!</definedName>
    <definedName name="Taxes_Limit" localSheetId="2">#REF!</definedName>
    <definedName name="Taxes_Limit">#REF!</definedName>
    <definedName name="_xlnm.Print_Titles" localSheetId="5">Finanzas!$1:$4</definedName>
    <definedName name="_xlnm.Print_Titles" localSheetId="1">Ops!$1:$4</definedName>
    <definedName name="_xlnm.Print_Titles" localSheetId="8">RH!$1:$4</definedName>
    <definedName name="_xlnm.Print_Titles" localSheetId="2">Tech!$1:$4</definedName>
    <definedName name="XRAT" localSheetId="5">#REF!</definedName>
    <definedName name="XRAT" localSheetId="1">#REF!</definedName>
    <definedName name="XRAT" localSheetId="8">#REF!</definedName>
    <definedName name="XRAT" localSheetId="2">#REF!</definedName>
    <definedName name="XRAT">#REF!</definedName>
    <definedName name="XRAT1" localSheetId="5">#REF!</definedName>
    <definedName name="XRAT1" localSheetId="1">#REF!</definedName>
    <definedName name="XRAT1" localSheetId="8">#REF!</definedName>
    <definedName name="XRAT1" localSheetId="2">#REF!</definedName>
    <definedName name="XRAT1">#REF!</definedName>
    <definedName name="XRate" localSheetId="5">#REF!</definedName>
    <definedName name="XRate" localSheetId="1">#REF!</definedName>
    <definedName name="XRate" localSheetId="8">#REF!</definedName>
    <definedName name="XRate" localSheetId="2">#REF!</definedName>
    <definedName name="X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  <c r="G86" i="2" l="1"/>
  <c r="H86" i="2" s="1"/>
  <c r="G85" i="2"/>
  <c r="H85" i="2" s="1"/>
  <c r="G84" i="2"/>
  <c r="H84" i="2" s="1"/>
  <c r="G83" i="2"/>
  <c r="H83" i="2" s="1"/>
  <c r="G82" i="2"/>
  <c r="G81" i="2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H73" i="2"/>
  <c r="G73" i="2"/>
  <c r="G72" i="2"/>
  <c r="H72" i="2" s="1"/>
  <c r="G71" i="2"/>
  <c r="H71" i="2" s="1"/>
  <c r="G70" i="2"/>
  <c r="H70" i="2" s="1"/>
  <c r="H69" i="2"/>
  <c r="G69" i="2"/>
  <c r="G68" i="2"/>
  <c r="H68" i="2" s="1"/>
  <c r="G67" i="2"/>
  <c r="H67" i="2" s="1"/>
  <c r="H66" i="2"/>
  <c r="G66" i="2"/>
  <c r="G65" i="2"/>
  <c r="H65" i="2" s="1"/>
  <c r="G64" i="2"/>
  <c r="H64" i="2" s="1"/>
  <c r="H63" i="2"/>
  <c r="G63" i="2"/>
  <c r="G62" i="2"/>
  <c r="H62" i="2" s="1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F51" i="2" l="1"/>
  <c r="O51" i="2"/>
  <c r="O50" i="2"/>
  <c r="F34" i="2" l="1"/>
  <c r="F33" i="2" s="1"/>
  <c r="O41" i="5"/>
  <c r="N41" i="5"/>
  <c r="M41" i="5"/>
  <c r="L41" i="5"/>
  <c r="K41" i="5"/>
  <c r="J41" i="5"/>
  <c r="I41" i="5"/>
  <c r="H41" i="5"/>
  <c r="G41" i="5"/>
  <c r="F41" i="5"/>
  <c r="E41" i="5"/>
  <c r="D41" i="5"/>
  <c r="D31" i="5"/>
  <c r="F42" i="2"/>
  <c r="H12" i="3"/>
  <c r="F46" i="2"/>
  <c r="E46" i="2"/>
  <c r="D46" i="2"/>
  <c r="C46" i="2"/>
  <c r="N52" i="2"/>
  <c r="M52" i="2"/>
  <c r="F36" i="2"/>
  <c r="E36" i="2"/>
  <c r="D36" i="2"/>
  <c r="C36" i="2"/>
  <c r="E33" i="2"/>
  <c r="E32" i="2" s="1"/>
  <c r="D33" i="2"/>
  <c r="C33" i="2"/>
  <c r="D32" i="2"/>
  <c r="R198" i="4"/>
  <c r="E198" i="4"/>
  <c r="C32" i="2" l="1"/>
  <c r="F32" i="2"/>
  <c r="F45" i="2" l="1"/>
  <c r="P184" i="4" l="1"/>
  <c r="N11" i="2"/>
  <c r="N38" i="2" s="1"/>
  <c r="M11" i="2"/>
  <c r="M38" i="2" s="1"/>
  <c r="L11" i="2"/>
  <c r="L38" i="2" s="1"/>
  <c r="K11" i="2"/>
  <c r="K38" i="2" s="1"/>
  <c r="J11" i="2"/>
  <c r="J38" i="2" s="1"/>
  <c r="I11" i="2"/>
  <c r="I38" i="2" s="1"/>
  <c r="H11" i="2"/>
  <c r="H38" i="2" s="1"/>
  <c r="G11" i="2"/>
  <c r="G38" i="2" s="1"/>
  <c r="F11" i="2"/>
  <c r="E11" i="2"/>
  <c r="D11" i="2"/>
  <c r="C11" i="2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P123" i="6"/>
  <c r="R168" i="6"/>
  <c r="N10" i="2"/>
  <c r="N37" i="2" s="1"/>
  <c r="M10" i="2"/>
  <c r="M37" i="2" s="1"/>
  <c r="L10" i="2"/>
  <c r="L37" i="2" s="1"/>
  <c r="K10" i="2"/>
  <c r="K37" i="2" s="1"/>
  <c r="K36" i="2" s="1"/>
  <c r="J10" i="2"/>
  <c r="J37" i="2" s="1"/>
  <c r="J36" i="2" s="1"/>
  <c r="I10" i="2"/>
  <c r="I37" i="2" s="1"/>
  <c r="I36" i="2" s="1"/>
  <c r="H10" i="2"/>
  <c r="H37" i="2" s="1"/>
  <c r="H36" i="2" s="1"/>
  <c r="G10" i="2"/>
  <c r="G37" i="2" s="1"/>
  <c r="F10" i="2"/>
  <c r="E10" i="2"/>
  <c r="D10" i="2"/>
  <c r="C10" i="2"/>
  <c r="L36" i="2" l="1"/>
  <c r="M36" i="2"/>
  <c r="N36" i="2"/>
  <c r="O38" i="2"/>
  <c r="G36" i="2"/>
  <c r="O37" i="2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D12" i="1"/>
  <c r="N139" i="5"/>
  <c r="M139" i="5"/>
  <c r="K139" i="5"/>
  <c r="J139" i="5"/>
  <c r="H139" i="5"/>
  <c r="G139" i="5"/>
  <c r="E139" i="5"/>
  <c r="D139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N9" i="2"/>
  <c r="M9" i="2"/>
  <c r="L9" i="2"/>
  <c r="K9" i="2"/>
  <c r="J9" i="2"/>
  <c r="I9" i="2"/>
  <c r="H9" i="2"/>
  <c r="G9" i="2"/>
  <c r="F9" i="2"/>
  <c r="E9" i="2"/>
  <c r="D9" i="2"/>
  <c r="C9" i="2"/>
  <c r="O11" i="2"/>
  <c r="O10" i="2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N20" i="2"/>
  <c r="M20" i="2"/>
  <c r="L20" i="2"/>
  <c r="K20" i="2"/>
  <c r="J20" i="2"/>
  <c r="I20" i="2"/>
  <c r="H20" i="2"/>
  <c r="G20" i="2"/>
  <c r="F20" i="2"/>
  <c r="E20" i="2"/>
  <c r="D20" i="2"/>
  <c r="C20" i="2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17" i="9" s="1"/>
  <c r="E23" i="2"/>
  <c r="L23" i="2"/>
  <c r="L52" i="2" s="1"/>
  <c r="K23" i="2"/>
  <c r="K52" i="2" s="1"/>
  <c r="J23" i="2"/>
  <c r="J52" i="2" s="1"/>
  <c r="I23" i="2"/>
  <c r="I52" i="2" s="1"/>
  <c r="H23" i="2"/>
  <c r="H52" i="2" s="1"/>
  <c r="G23" i="2"/>
  <c r="G52" i="2" s="1"/>
  <c r="F23" i="2"/>
  <c r="O36" i="2" l="1"/>
  <c r="J47" i="2"/>
  <c r="K47" i="2"/>
  <c r="L47" i="2"/>
  <c r="M47" i="2"/>
  <c r="N47" i="2"/>
  <c r="O52" i="2"/>
  <c r="G47" i="2"/>
  <c r="I47" i="2"/>
  <c r="H47" i="2"/>
  <c r="D23" i="2"/>
  <c r="K40" i="8"/>
  <c r="H20" i="7"/>
  <c r="L19" i="7"/>
  <c r="K28" i="8"/>
  <c r="K25" i="8"/>
  <c r="K33" i="8"/>
  <c r="K27" i="8"/>
  <c r="K24" i="8"/>
  <c r="K19" i="8"/>
  <c r="I32" i="8"/>
  <c r="F32" i="8"/>
  <c r="K32" i="8" s="1"/>
  <c r="I39" i="8"/>
  <c r="F39" i="8"/>
  <c r="K39" i="8" s="1"/>
  <c r="K23" i="8"/>
  <c r="K18" i="8"/>
  <c r="K14" i="8"/>
  <c r="K17" i="8"/>
  <c r="K13" i="8"/>
  <c r="K12" i="8"/>
  <c r="K11" i="8"/>
  <c r="K22" i="8"/>
  <c r="K16" i="8"/>
  <c r="K10" i="8"/>
  <c r="K9" i="8"/>
  <c r="K8" i="8"/>
  <c r="K2" i="8"/>
  <c r="K15" i="8"/>
  <c r="K21" i="8"/>
  <c r="K35" i="8"/>
  <c r="K7" i="8"/>
  <c r="K34" i="8"/>
  <c r="K31" i="8"/>
  <c r="K6" i="8"/>
  <c r="F26" i="8"/>
  <c r="K26" i="8" s="1"/>
  <c r="F5" i="8"/>
  <c r="K5" i="8" s="1"/>
  <c r="K30" i="8"/>
  <c r="K4" i="8"/>
  <c r="K38" i="8"/>
  <c r="I37" i="8"/>
  <c r="K37" i="8" s="1"/>
  <c r="K36" i="8"/>
  <c r="I29" i="8"/>
  <c r="F29" i="8"/>
  <c r="I20" i="8"/>
  <c r="F20" i="8"/>
  <c r="K20" i="8" s="1"/>
  <c r="I3" i="8"/>
  <c r="F3" i="8"/>
  <c r="K3" i="8" s="1"/>
  <c r="O9" i="2"/>
  <c r="O19" i="7"/>
  <c r="I19" i="7"/>
  <c r="H19" i="7"/>
  <c r="H21" i="7" s="1"/>
  <c r="H22" i="7" s="1"/>
  <c r="C18" i="2" s="1"/>
  <c r="D18" i="2" s="1"/>
  <c r="R18" i="7"/>
  <c r="Q18" i="7"/>
  <c r="S18" i="7" s="1"/>
  <c r="T18" i="7" s="1"/>
  <c r="J18" i="7"/>
  <c r="I18" i="7"/>
  <c r="R17" i="7"/>
  <c r="J17" i="7"/>
  <c r="I17" i="7"/>
  <c r="Q17" i="7" s="1"/>
  <c r="S17" i="7" s="1"/>
  <c r="T17" i="7" s="1"/>
  <c r="R16" i="7"/>
  <c r="Q16" i="7"/>
  <c r="S16" i="7" s="1"/>
  <c r="T16" i="7" s="1"/>
  <c r="J16" i="7"/>
  <c r="I16" i="7"/>
  <c r="R15" i="7"/>
  <c r="J15" i="7"/>
  <c r="I15" i="7"/>
  <c r="Q15" i="7" s="1"/>
  <c r="S15" i="7" s="1"/>
  <c r="T15" i="7" s="1"/>
  <c r="R14" i="7"/>
  <c r="Q14" i="7"/>
  <c r="S14" i="7" s="1"/>
  <c r="T14" i="7" s="1"/>
  <c r="J14" i="7"/>
  <c r="I14" i="7"/>
  <c r="R13" i="7"/>
  <c r="J13" i="7"/>
  <c r="I13" i="7"/>
  <c r="Q13" i="7" s="1"/>
  <c r="S13" i="7" s="1"/>
  <c r="T13" i="7" s="1"/>
  <c r="R12" i="7"/>
  <c r="Q12" i="7"/>
  <c r="S12" i="7" s="1"/>
  <c r="T12" i="7" s="1"/>
  <c r="J12" i="7"/>
  <c r="I12" i="7"/>
  <c r="R11" i="7"/>
  <c r="J11" i="7"/>
  <c r="I11" i="7"/>
  <c r="Q11" i="7" s="1"/>
  <c r="S11" i="7" s="1"/>
  <c r="T11" i="7" s="1"/>
  <c r="R10" i="7"/>
  <c r="Q10" i="7"/>
  <c r="S10" i="7" s="1"/>
  <c r="T10" i="7" s="1"/>
  <c r="J10" i="7"/>
  <c r="I10" i="7"/>
  <c r="R9" i="7"/>
  <c r="J9" i="7"/>
  <c r="I9" i="7"/>
  <c r="Q9" i="7" s="1"/>
  <c r="S9" i="7" s="1"/>
  <c r="T9" i="7" s="1"/>
  <c r="R8" i="7"/>
  <c r="Q8" i="7"/>
  <c r="S8" i="7" s="1"/>
  <c r="T8" i="7" s="1"/>
  <c r="J8" i="7"/>
  <c r="I8" i="7"/>
  <c r="R7" i="7"/>
  <c r="J7" i="7"/>
  <c r="I7" i="7"/>
  <c r="Q7" i="7" s="1"/>
  <c r="S7" i="7" s="1"/>
  <c r="T7" i="7" s="1"/>
  <c r="R6" i="7"/>
  <c r="Q6" i="7"/>
  <c r="S6" i="7" s="1"/>
  <c r="T6" i="7" s="1"/>
  <c r="J6" i="7"/>
  <c r="I6" i="7"/>
  <c r="L5" i="7"/>
  <c r="R5" i="7" s="1"/>
  <c r="J5" i="7"/>
  <c r="I5" i="7"/>
  <c r="Q5" i="7" s="1"/>
  <c r="S5" i="7" s="1"/>
  <c r="T5" i="7" s="1"/>
  <c r="R4" i="7"/>
  <c r="L4" i="7"/>
  <c r="J4" i="7"/>
  <c r="I4" i="7"/>
  <c r="Q4" i="7" s="1"/>
  <c r="S4" i="7" s="1"/>
  <c r="T4" i="7" s="1"/>
  <c r="L3" i="7"/>
  <c r="R3" i="7" s="1"/>
  <c r="J3" i="7"/>
  <c r="I3" i="7"/>
  <c r="Q3" i="7" s="1"/>
  <c r="S3" i="7" s="1"/>
  <c r="T3" i="7" s="1"/>
  <c r="L2" i="7"/>
  <c r="R2" i="7" s="1"/>
  <c r="J2" i="7"/>
  <c r="J19" i="7" s="1"/>
  <c r="I2" i="7"/>
  <c r="Q2" i="7" s="1"/>
  <c r="O47" i="2" l="1"/>
  <c r="O23" i="2"/>
  <c r="K29" i="8"/>
  <c r="E18" i="2"/>
  <c r="F18" i="2" s="1"/>
  <c r="G18" i="2" s="1"/>
  <c r="S2" i="7"/>
  <c r="T2" i="7" s="1"/>
  <c r="H18" i="2" l="1"/>
  <c r="G45" i="2"/>
  <c r="I18" i="2" l="1"/>
  <c r="H45" i="2"/>
  <c r="O20" i="2"/>
  <c r="N21" i="2"/>
  <c r="M21" i="2"/>
  <c r="L21" i="2"/>
  <c r="K21" i="2"/>
  <c r="J21" i="2"/>
  <c r="I21" i="2"/>
  <c r="H21" i="2"/>
  <c r="G21" i="2"/>
  <c r="F21" i="2"/>
  <c r="E21" i="2"/>
  <c r="D21" i="2"/>
  <c r="C21" i="2"/>
  <c r="O137" i="1"/>
  <c r="N137" i="1"/>
  <c r="M137" i="1"/>
  <c r="L137" i="1"/>
  <c r="K137" i="1"/>
  <c r="J137" i="1"/>
  <c r="I137" i="1"/>
  <c r="H137" i="1"/>
  <c r="G137" i="1"/>
  <c r="F137" i="1"/>
  <c r="E137" i="1"/>
  <c r="D137" i="1"/>
  <c r="P201" i="6"/>
  <c r="T198" i="6"/>
  <c r="X194" i="6"/>
  <c r="F202" i="6"/>
  <c r="N8" i="6" s="1"/>
  <c r="A203" i="6"/>
  <c r="W202" i="6"/>
  <c r="S202" i="6"/>
  <c r="Q202" i="6"/>
  <c r="N202" i="6"/>
  <c r="L202" i="6"/>
  <c r="G14" i="6" s="1"/>
  <c r="K202" i="6"/>
  <c r="J202" i="6"/>
  <c r="J24" i="6" s="1"/>
  <c r="I202" i="6"/>
  <c r="H202" i="6"/>
  <c r="N28" i="6" s="1"/>
  <c r="E202" i="6"/>
  <c r="D202" i="6"/>
  <c r="F201" i="6"/>
  <c r="F200" i="6"/>
  <c r="R200" i="6" s="1"/>
  <c r="O199" i="6"/>
  <c r="M199" i="6"/>
  <c r="G199" i="6"/>
  <c r="O198" i="6"/>
  <c r="M198" i="6"/>
  <c r="G198" i="6"/>
  <c r="F198" i="6"/>
  <c r="O197" i="6"/>
  <c r="M197" i="6"/>
  <c r="G197" i="6"/>
  <c r="F197" i="6"/>
  <c r="M196" i="6"/>
  <c r="F196" i="6"/>
  <c r="O195" i="6"/>
  <c r="M195" i="6"/>
  <c r="G195" i="6"/>
  <c r="U194" i="6"/>
  <c r="O194" i="6"/>
  <c r="M194" i="6"/>
  <c r="O193" i="6"/>
  <c r="M193" i="6"/>
  <c r="G193" i="6"/>
  <c r="F193" i="6"/>
  <c r="O192" i="6"/>
  <c r="M192" i="6"/>
  <c r="G192" i="6"/>
  <c r="F192" i="6"/>
  <c r="F191" i="6"/>
  <c r="F190" i="6"/>
  <c r="O190" i="6" s="1"/>
  <c r="M189" i="6"/>
  <c r="F189" i="6"/>
  <c r="O189" i="6" s="1"/>
  <c r="O188" i="6"/>
  <c r="M188" i="6"/>
  <c r="F188" i="6"/>
  <c r="G188" i="6" s="1"/>
  <c r="O187" i="6"/>
  <c r="M187" i="6"/>
  <c r="F187" i="6"/>
  <c r="F186" i="6"/>
  <c r="G186" i="6" s="1"/>
  <c r="F185" i="6"/>
  <c r="F184" i="6"/>
  <c r="O184" i="6" s="1"/>
  <c r="M183" i="6"/>
  <c r="F183" i="6"/>
  <c r="O183" i="6" s="1"/>
  <c r="U182" i="6"/>
  <c r="O182" i="6"/>
  <c r="M182" i="6"/>
  <c r="F182" i="6"/>
  <c r="G182" i="6" s="1"/>
  <c r="F181" i="6"/>
  <c r="M181" i="6" s="1"/>
  <c r="F180" i="6"/>
  <c r="F179" i="6"/>
  <c r="F178" i="6"/>
  <c r="O178" i="6" s="1"/>
  <c r="M177" i="6"/>
  <c r="F177" i="6"/>
  <c r="O177" i="6" s="1"/>
  <c r="O176" i="6"/>
  <c r="M176" i="6"/>
  <c r="F176" i="6"/>
  <c r="G176" i="6" s="1"/>
  <c r="F175" i="6"/>
  <c r="M175" i="6" s="1"/>
  <c r="O174" i="6"/>
  <c r="M174" i="6"/>
  <c r="F174" i="6"/>
  <c r="F173" i="6"/>
  <c r="F172" i="6"/>
  <c r="O172" i="6" s="1"/>
  <c r="M171" i="6"/>
  <c r="F171" i="6"/>
  <c r="O171" i="6" s="1"/>
  <c r="V170" i="6"/>
  <c r="O170" i="6"/>
  <c r="U170" i="6" s="1"/>
  <c r="F170" i="6"/>
  <c r="O169" i="6"/>
  <c r="M169" i="6"/>
  <c r="F169" i="6"/>
  <c r="O168" i="6"/>
  <c r="F168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P156" i="6"/>
  <c r="O154" i="6"/>
  <c r="N154" i="6"/>
  <c r="L154" i="6"/>
  <c r="K154" i="6"/>
  <c r="J154" i="6"/>
  <c r="I154" i="6"/>
  <c r="G154" i="6"/>
  <c r="E154" i="6"/>
  <c r="O153" i="6"/>
  <c r="N153" i="6"/>
  <c r="M153" i="6"/>
  <c r="M154" i="6" s="1"/>
  <c r="L153" i="6"/>
  <c r="K153" i="6"/>
  <c r="J153" i="6"/>
  <c r="I153" i="6"/>
  <c r="H153" i="6"/>
  <c r="H154" i="6" s="1"/>
  <c r="G153" i="6"/>
  <c r="F153" i="6"/>
  <c r="F154" i="6" s="1"/>
  <c r="E153" i="6"/>
  <c r="D153" i="6"/>
  <c r="D154" i="6" s="1"/>
  <c r="O151" i="6"/>
  <c r="N151" i="6"/>
  <c r="M151" i="6"/>
  <c r="L151" i="6"/>
  <c r="K151" i="6"/>
  <c r="J151" i="6"/>
  <c r="I151" i="6"/>
  <c r="H151" i="6"/>
  <c r="G151" i="6"/>
  <c r="F151" i="6"/>
  <c r="E151" i="6"/>
  <c r="D151" i="6"/>
  <c r="P150" i="6"/>
  <c r="P149" i="6"/>
  <c r="P148" i="6"/>
  <c r="P147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P144" i="6"/>
  <c r="P143" i="6"/>
  <c r="P142" i="6"/>
  <c r="P141" i="6"/>
  <c r="P145" i="6" s="1"/>
  <c r="R145" i="6" s="1"/>
  <c r="P140" i="6"/>
  <c r="P139" i="6"/>
  <c r="O137" i="6"/>
  <c r="N137" i="6"/>
  <c r="L137" i="6"/>
  <c r="H137" i="6"/>
  <c r="F137" i="6"/>
  <c r="E137" i="6"/>
  <c r="D137" i="6"/>
  <c r="P136" i="6"/>
  <c r="P135" i="6"/>
  <c r="O134" i="6"/>
  <c r="N134" i="6"/>
  <c r="M134" i="6"/>
  <c r="M137" i="6" s="1"/>
  <c r="L134" i="6"/>
  <c r="K134" i="6"/>
  <c r="K137" i="6" s="1"/>
  <c r="J134" i="6"/>
  <c r="J137" i="6" s="1"/>
  <c r="I134" i="6"/>
  <c r="I137" i="6" s="1"/>
  <c r="H134" i="6"/>
  <c r="G134" i="6"/>
  <c r="P133" i="6"/>
  <c r="P132" i="6"/>
  <c r="P131" i="6"/>
  <c r="R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P125" i="6"/>
  <c r="P126" i="6" s="1"/>
  <c r="R126" i="6" s="1"/>
  <c r="O123" i="6"/>
  <c r="N123" i="6"/>
  <c r="L123" i="6"/>
  <c r="K123" i="6"/>
  <c r="J123" i="6"/>
  <c r="F123" i="6"/>
  <c r="E123" i="6"/>
  <c r="D123" i="6"/>
  <c r="P122" i="6"/>
  <c r="P121" i="6"/>
  <c r="P120" i="6"/>
  <c r="P119" i="6"/>
  <c r="P118" i="6"/>
  <c r="P117" i="6"/>
  <c r="P116" i="6"/>
  <c r="P115" i="6"/>
  <c r="P114" i="6"/>
  <c r="G113" i="6"/>
  <c r="P113" i="6" s="1"/>
  <c r="P112" i="6"/>
  <c r="I111" i="6"/>
  <c r="I123" i="6" s="1"/>
  <c r="H111" i="6"/>
  <c r="H123" i="6" s="1"/>
  <c r="G111" i="6"/>
  <c r="G123" i="6" s="1"/>
  <c r="P110" i="6"/>
  <c r="P109" i="6"/>
  <c r="F108" i="6"/>
  <c r="P108" i="6" s="1"/>
  <c r="P107" i="6"/>
  <c r="P106" i="6"/>
  <c r="M105" i="6"/>
  <c r="M123" i="6" s="1"/>
  <c r="P104" i="6"/>
  <c r="P103" i="6"/>
  <c r="P102" i="6"/>
  <c r="P101" i="6"/>
  <c r="P100" i="6"/>
  <c r="P99" i="6"/>
  <c r="P98" i="6"/>
  <c r="P97" i="6"/>
  <c r="P96" i="6"/>
  <c r="P95" i="6"/>
  <c r="P94" i="6"/>
  <c r="P93" i="6"/>
  <c r="O92" i="6"/>
  <c r="N92" i="6"/>
  <c r="M92" i="6"/>
  <c r="L92" i="6"/>
  <c r="K92" i="6"/>
  <c r="J92" i="6"/>
  <c r="I92" i="6"/>
  <c r="H92" i="6"/>
  <c r="G92" i="6"/>
  <c r="F92" i="6"/>
  <c r="E92" i="6"/>
  <c r="D92" i="6"/>
  <c r="P91" i="6"/>
  <c r="P90" i="6"/>
  <c r="P92" i="6" s="1"/>
  <c r="R92" i="6" s="1"/>
  <c r="P89" i="6"/>
  <c r="P88" i="6"/>
  <c r="P87" i="6"/>
  <c r="P86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P83" i="6"/>
  <c r="O81" i="6"/>
  <c r="N81" i="6"/>
  <c r="M81" i="6"/>
  <c r="L81" i="6"/>
  <c r="K81" i="6"/>
  <c r="J81" i="6"/>
  <c r="I81" i="6"/>
  <c r="H81" i="6"/>
  <c r="G81" i="6"/>
  <c r="F81" i="6"/>
  <c r="E81" i="6"/>
  <c r="D81" i="6"/>
  <c r="P80" i="6"/>
  <c r="P79" i="6"/>
  <c r="P78" i="6"/>
  <c r="P81" i="6" s="1"/>
  <c r="R81" i="6" s="1"/>
  <c r="P77" i="6"/>
  <c r="H75" i="6"/>
  <c r="G75" i="6"/>
  <c r="P74" i="6"/>
  <c r="O73" i="6"/>
  <c r="N73" i="6"/>
  <c r="M73" i="6"/>
  <c r="L73" i="6"/>
  <c r="K73" i="6"/>
  <c r="J73" i="6"/>
  <c r="J75" i="6" s="1"/>
  <c r="I73" i="6"/>
  <c r="H73" i="6"/>
  <c r="G73" i="6"/>
  <c r="F73" i="6"/>
  <c r="E73" i="6"/>
  <c r="D73" i="6"/>
  <c r="P72" i="6"/>
  <c r="O71" i="6"/>
  <c r="N71" i="6"/>
  <c r="M71" i="6"/>
  <c r="L71" i="6"/>
  <c r="P71" i="6" s="1"/>
  <c r="K71" i="6"/>
  <c r="K75" i="6" s="1"/>
  <c r="J71" i="6"/>
  <c r="I71" i="6"/>
  <c r="I75" i="6" s="1"/>
  <c r="H71" i="6"/>
  <c r="G71" i="6"/>
  <c r="F71" i="6"/>
  <c r="E71" i="6"/>
  <c r="D71" i="6"/>
  <c r="O70" i="6"/>
  <c r="O75" i="6" s="1"/>
  <c r="N70" i="6"/>
  <c r="M70" i="6"/>
  <c r="P70" i="6" s="1"/>
  <c r="L70" i="6"/>
  <c r="K70" i="6"/>
  <c r="J70" i="6"/>
  <c r="I70" i="6"/>
  <c r="H70" i="6"/>
  <c r="G70" i="6"/>
  <c r="F70" i="6"/>
  <c r="F75" i="6" s="1"/>
  <c r="E70" i="6"/>
  <c r="E75" i="6" s="1"/>
  <c r="D70" i="6"/>
  <c r="D75" i="6" s="1"/>
  <c r="P69" i="6"/>
  <c r="O67" i="6"/>
  <c r="N67" i="6"/>
  <c r="M67" i="6"/>
  <c r="L67" i="6"/>
  <c r="K67" i="6"/>
  <c r="J67" i="6"/>
  <c r="I67" i="6"/>
  <c r="H67" i="6"/>
  <c r="G67" i="6"/>
  <c r="F67" i="6"/>
  <c r="E67" i="6"/>
  <c r="D67" i="6"/>
  <c r="P66" i="6"/>
  <c r="P67" i="6" s="1"/>
  <c r="R67" i="6" s="1"/>
  <c r="P64" i="6"/>
  <c r="R64" i="6" s="1"/>
  <c r="O64" i="6"/>
  <c r="N64" i="6"/>
  <c r="M64" i="6"/>
  <c r="L64" i="6"/>
  <c r="K64" i="6"/>
  <c r="J64" i="6"/>
  <c r="I64" i="6"/>
  <c r="H64" i="6"/>
  <c r="G64" i="6"/>
  <c r="F64" i="6"/>
  <c r="E64" i="6"/>
  <c r="D64" i="6"/>
  <c r="P63" i="6"/>
  <c r="O61" i="6"/>
  <c r="N61" i="6"/>
  <c r="M61" i="6"/>
  <c r="L61" i="6"/>
  <c r="K61" i="6"/>
  <c r="J61" i="6"/>
  <c r="I61" i="6"/>
  <c r="H61" i="6"/>
  <c r="G61" i="6"/>
  <c r="F61" i="6"/>
  <c r="E61" i="6"/>
  <c r="D61" i="6"/>
  <c r="P60" i="6"/>
  <c r="P59" i="6"/>
  <c r="P58" i="6"/>
  <c r="P57" i="6"/>
  <c r="P56" i="6"/>
  <c r="P61" i="6" s="1"/>
  <c r="R61" i="6" s="1"/>
  <c r="P54" i="6"/>
  <c r="R54" i="6" s="1"/>
  <c r="O54" i="6"/>
  <c r="N54" i="6"/>
  <c r="M54" i="6"/>
  <c r="L54" i="6"/>
  <c r="K54" i="6"/>
  <c r="J54" i="6"/>
  <c r="I54" i="6"/>
  <c r="H54" i="6"/>
  <c r="G54" i="6"/>
  <c r="F54" i="6"/>
  <c r="E54" i="6"/>
  <c r="D54" i="6"/>
  <c r="P53" i="6"/>
  <c r="O51" i="6"/>
  <c r="N51" i="6"/>
  <c r="M51" i="6"/>
  <c r="L51" i="6"/>
  <c r="K51" i="6"/>
  <c r="J51" i="6"/>
  <c r="I51" i="6"/>
  <c r="H51" i="6"/>
  <c r="G51" i="6"/>
  <c r="F51" i="6"/>
  <c r="E51" i="6"/>
  <c r="D51" i="6"/>
  <c r="P50" i="6"/>
  <c r="P51" i="6" s="1"/>
  <c r="R51" i="6" s="1"/>
  <c r="O48" i="6"/>
  <c r="N48" i="6"/>
  <c r="M48" i="6"/>
  <c r="L48" i="6"/>
  <c r="K48" i="6"/>
  <c r="J48" i="6"/>
  <c r="I48" i="6"/>
  <c r="H48" i="6"/>
  <c r="G48" i="6"/>
  <c r="F48" i="6"/>
  <c r="E48" i="6"/>
  <c r="D48" i="6"/>
  <c r="P47" i="6"/>
  <c r="P48" i="6" s="1"/>
  <c r="R48" i="6" s="1"/>
  <c r="P40" i="6"/>
  <c r="R40" i="6" s="1"/>
  <c r="P39" i="6"/>
  <c r="R39" i="6" s="1"/>
  <c r="P38" i="6"/>
  <c r="R38" i="6" s="1"/>
  <c r="P37" i="6"/>
  <c r="P36" i="6"/>
  <c r="R36" i="6" s="1"/>
  <c r="P35" i="6"/>
  <c r="R35" i="6" s="1"/>
  <c r="P34" i="6"/>
  <c r="R34" i="6" s="1"/>
  <c r="P30" i="6"/>
  <c r="P29" i="6"/>
  <c r="O28" i="6"/>
  <c r="M28" i="6"/>
  <c r="K28" i="6"/>
  <c r="I28" i="6"/>
  <c r="H28" i="6"/>
  <c r="G28" i="6"/>
  <c r="F28" i="6"/>
  <c r="E28" i="6"/>
  <c r="D28" i="6"/>
  <c r="O27" i="6"/>
  <c r="N27" i="6"/>
  <c r="M27" i="6"/>
  <c r="L27" i="6"/>
  <c r="K27" i="6"/>
  <c r="J27" i="6"/>
  <c r="I27" i="6"/>
  <c r="H27" i="6"/>
  <c r="G27" i="6"/>
  <c r="F27" i="6"/>
  <c r="E27" i="6"/>
  <c r="D27" i="6"/>
  <c r="P26" i="6"/>
  <c r="R26" i="6" s="1"/>
  <c r="O24" i="6"/>
  <c r="N24" i="6"/>
  <c r="M24" i="6"/>
  <c r="L24" i="6"/>
  <c r="K24" i="6"/>
  <c r="I24" i="6"/>
  <c r="G24" i="6"/>
  <c r="E24" i="6"/>
  <c r="D24" i="6"/>
  <c r="P23" i="6"/>
  <c r="R23" i="6" s="1"/>
  <c r="P21" i="6"/>
  <c r="R21" i="6" s="1"/>
  <c r="P20" i="6"/>
  <c r="R20" i="6" s="1"/>
  <c r="P18" i="6"/>
  <c r="R18" i="6" s="1"/>
  <c r="P17" i="6"/>
  <c r="R17" i="6" s="1"/>
  <c r="P16" i="6"/>
  <c r="R16" i="6" s="1"/>
  <c r="O15" i="6"/>
  <c r="N15" i="6"/>
  <c r="M15" i="6"/>
  <c r="L15" i="6"/>
  <c r="K15" i="6"/>
  <c r="J15" i="6"/>
  <c r="I15" i="6"/>
  <c r="H15" i="6"/>
  <c r="G15" i="6"/>
  <c r="F15" i="6"/>
  <c r="E15" i="6"/>
  <c r="D15" i="6"/>
  <c r="N14" i="6"/>
  <c r="M14" i="6"/>
  <c r="L14" i="6"/>
  <c r="K14" i="6"/>
  <c r="J14" i="6"/>
  <c r="I14" i="6"/>
  <c r="H14" i="6"/>
  <c r="F14" i="6"/>
  <c r="D14" i="6"/>
  <c r="O13" i="6"/>
  <c r="N13" i="6"/>
  <c r="M13" i="6"/>
  <c r="L13" i="6"/>
  <c r="K13" i="6"/>
  <c r="J13" i="6"/>
  <c r="H13" i="6"/>
  <c r="F13" i="6"/>
  <c r="D13" i="6"/>
  <c r="P12" i="6"/>
  <c r="R12" i="6" s="1"/>
  <c r="N10" i="6"/>
  <c r="L10" i="6"/>
  <c r="J10" i="6"/>
  <c r="I10" i="6"/>
  <c r="H10" i="6"/>
  <c r="D10" i="6"/>
  <c r="O6" i="6"/>
  <c r="P6" i="6" s="1"/>
  <c r="M6" i="6"/>
  <c r="L6" i="6"/>
  <c r="K6" i="6"/>
  <c r="J6" i="6"/>
  <c r="I6" i="6"/>
  <c r="H6" i="6"/>
  <c r="G6" i="6"/>
  <c r="E6" i="6"/>
  <c r="F2" i="6"/>
  <c r="G2" i="6" s="1"/>
  <c r="H2" i="6" s="1"/>
  <c r="I2" i="6" s="1"/>
  <c r="J2" i="6" s="1"/>
  <c r="K2" i="6" s="1"/>
  <c r="L2" i="6" s="1"/>
  <c r="M2" i="6" s="1"/>
  <c r="N2" i="6" s="1"/>
  <c r="O2" i="6" s="1"/>
  <c r="P2" i="6" s="1"/>
  <c r="E2" i="6"/>
  <c r="G48" i="2" l="1"/>
  <c r="H48" i="2"/>
  <c r="I48" i="2"/>
  <c r="J48" i="2"/>
  <c r="K48" i="2"/>
  <c r="L48" i="2"/>
  <c r="M48" i="2"/>
  <c r="N48" i="2"/>
  <c r="J18" i="2"/>
  <c r="I45" i="2"/>
  <c r="P15" i="6"/>
  <c r="R15" i="6" s="1"/>
  <c r="O21" i="2"/>
  <c r="X195" i="6"/>
  <c r="U190" i="6"/>
  <c r="T190" i="6"/>
  <c r="X178" i="6"/>
  <c r="U188" i="6"/>
  <c r="T194" i="6"/>
  <c r="V194" i="6"/>
  <c r="U178" i="6"/>
  <c r="T171" i="6"/>
  <c r="X199" i="6"/>
  <c r="G8" i="6"/>
  <c r="G180" i="6"/>
  <c r="T182" i="6"/>
  <c r="M180" i="6"/>
  <c r="U185" i="6"/>
  <c r="O185" i="6"/>
  <c r="V185" i="6" s="1"/>
  <c r="M185" i="6"/>
  <c r="G185" i="6"/>
  <c r="I8" i="6"/>
  <c r="G175" i="6"/>
  <c r="O180" i="6"/>
  <c r="U180" i="6" s="1"/>
  <c r="J8" i="6"/>
  <c r="V177" i="6"/>
  <c r="U191" i="6"/>
  <c r="O191" i="6"/>
  <c r="X191" i="6" s="1"/>
  <c r="M191" i="6"/>
  <c r="K8" i="6"/>
  <c r="P73" i="6"/>
  <c r="P75" i="6" s="1"/>
  <c r="U172" i="6"/>
  <c r="V183" i="6"/>
  <c r="V189" i="6"/>
  <c r="U189" i="6"/>
  <c r="X198" i="6"/>
  <c r="U198" i="6"/>
  <c r="T170" i="6"/>
  <c r="V171" i="6"/>
  <c r="H8" i="6"/>
  <c r="M186" i="6"/>
  <c r="T188" i="6"/>
  <c r="P134" i="6"/>
  <c r="P137" i="6" s="1"/>
  <c r="T172" i="6"/>
  <c r="U181" i="6"/>
  <c r="T181" i="6"/>
  <c r="G181" i="6"/>
  <c r="O186" i="6"/>
  <c r="V186" i="6" s="1"/>
  <c r="G191" i="6"/>
  <c r="L8" i="6"/>
  <c r="G137" i="6"/>
  <c r="V172" i="6"/>
  <c r="P151" i="6"/>
  <c r="R151" i="6" s="1"/>
  <c r="X172" i="6"/>
  <c r="T178" i="6"/>
  <c r="O181" i="6"/>
  <c r="X181" i="6" s="1"/>
  <c r="G187" i="6"/>
  <c r="T189" i="6"/>
  <c r="V196" i="6"/>
  <c r="U196" i="6"/>
  <c r="T196" i="6"/>
  <c r="O196" i="6"/>
  <c r="X196" i="6" s="1"/>
  <c r="G196" i="6"/>
  <c r="M75" i="6"/>
  <c r="P111" i="6"/>
  <c r="O8" i="6"/>
  <c r="M8" i="6"/>
  <c r="D8" i="6"/>
  <c r="X175" i="6"/>
  <c r="V175" i="6"/>
  <c r="U175" i="6"/>
  <c r="O175" i="6"/>
  <c r="X168" i="6"/>
  <c r="O173" i="6"/>
  <c r="X173" i="6" s="1"/>
  <c r="M173" i="6"/>
  <c r="V173" i="6"/>
  <c r="T173" i="6"/>
  <c r="G173" i="6"/>
  <c r="R201" i="6"/>
  <c r="O201" i="6"/>
  <c r="U201" i="6" s="1"/>
  <c r="M201" i="6"/>
  <c r="X169" i="6"/>
  <c r="V169" i="6"/>
  <c r="U169" i="6"/>
  <c r="T169" i="6"/>
  <c r="U171" i="6"/>
  <c r="U176" i="6"/>
  <c r="V178" i="6"/>
  <c r="X189" i="6"/>
  <c r="G201" i="6"/>
  <c r="O10" i="6"/>
  <c r="M10" i="6"/>
  <c r="K10" i="6"/>
  <c r="G10" i="6"/>
  <c r="F10" i="6"/>
  <c r="E10" i="6"/>
  <c r="L75" i="6"/>
  <c r="G169" i="6"/>
  <c r="X174" i="6"/>
  <c r="U174" i="6"/>
  <c r="T174" i="6"/>
  <c r="G174" i="6"/>
  <c r="T187" i="6"/>
  <c r="X193" i="6"/>
  <c r="V193" i="6"/>
  <c r="U193" i="6"/>
  <c r="T193" i="6"/>
  <c r="X197" i="6"/>
  <c r="O179" i="6"/>
  <c r="X179" i="6" s="1"/>
  <c r="M179" i="6"/>
  <c r="R37" i="6"/>
  <c r="P105" i="6"/>
  <c r="G168" i="6"/>
  <c r="G170" i="6"/>
  <c r="X170" i="6"/>
  <c r="U177" i="6"/>
  <c r="G179" i="6"/>
  <c r="V198" i="6"/>
  <c r="P153" i="6"/>
  <c r="P154" i="6" s="1"/>
  <c r="M168" i="6"/>
  <c r="M170" i="6"/>
  <c r="V192" i="6"/>
  <c r="U192" i="6"/>
  <c r="F6" i="6"/>
  <c r="D6" i="6"/>
  <c r="N6" i="6"/>
  <c r="I13" i="6"/>
  <c r="G13" i="6"/>
  <c r="E13" i="6"/>
  <c r="P13" i="6" s="1"/>
  <c r="R13" i="6" s="1"/>
  <c r="P27" i="6"/>
  <c r="R27" i="6" s="1"/>
  <c r="N75" i="6"/>
  <c r="V176" i="6"/>
  <c r="V182" i="6"/>
  <c r="V188" i="6"/>
  <c r="O14" i="6"/>
  <c r="F24" i="6"/>
  <c r="J28" i="6"/>
  <c r="G172" i="6"/>
  <c r="G178" i="6"/>
  <c r="X182" i="6"/>
  <c r="G184" i="6"/>
  <c r="X188" i="6"/>
  <c r="G190" i="6"/>
  <c r="G200" i="6"/>
  <c r="M172" i="6"/>
  <c r="M178" i="6"/>
  <c r="M184" i="6"/>
  <c r="M190" i="6"/>
  <c r="M200" i="6"/>
  <c r="E14" i="6"/>
  <c r="P14" i="6" s="1"/>
  <c r="R14" i="6" s="1"/>
  <c r="H24" i="6"/>
  <c r="L28" i="6"/>
  <c r="G171" i="6"/>
  <c r="G177" i="6"/>
  <c r="G183" i="6"/>
  <c r="G189" i="6"/>
  <c r="O200" i="6"/>
  <c r="K18" i="2" l="1"/>
  <c r="J45" i="2"/>
  <c r="O48" i="2"/>
  <c r="P10" i="6"/>
  <c r="R10" i="6" s="1"/>
  <c r="P28" i="6"/>
  <c r="R28" i="6" s="1"/>
  <c r="X185" i="6"/>
  <c r="X177" i="6"/>
  <c r="V190" i="6"/>
  <c r="X190" i="6"/>
  <c r="X176" i="6"/>
  <c r="T177" i="6"/>
  <c r="T195" i="6"/>
  <c r="V195" i="6"/>
  <c r="U195" i="6"/>
  <c r="T184" i="6"/>
  <c r="X184" i="6"/>
  <c r="V184" i="6"/>
  <c r="T185" i="6"/>
  <c r="U184" i="6"/>
  <c r="X171" i="6"/>
  <c r="T183" i="6"/>
  <c r="T179" i="6"/>
  <c r="V199" i="6"/>
  <c r="T168" i="6"/>
  <c r="V201" i="6"/>
  <c r="X183" i="6"/>
  <c r="T186" i="6"/>
  <c r="U187" i="6"/>
  <c r="X200" i="6"/>
  <c r="V200" i="6"/>
  <c r="T200" i="6"/>
  <c r="U200" i="6"/>
  <c r="U168" i="6"/>
  <c r="X201" i="6"/>
  <c r="U173" i="6"/>
  <c r="U186" i="6"/>
  <c r="V187" i="6"/>
  <c r="V191" i="6"/>
  <c r="T192" i="6"/>
  <c r="P202" i="6"/>
  <c r="X187" i="6"/>
  <c r="T180" i="6"/>
  <c r="T176" i="6"/>
  <c r="P24" i="6"/>
  <c r="R24" i="6" s="1"/>
  <c r="G202" i="6"/>
  <c r="R202" i="6"/>
  <c r="X186" i="6"/>
  <c r="V180" i="6"/>
  <c r="U197" i="6"/>
  <c r="T201" i="6"/>
  <c r="V181" i="6"/>
  <c r="X180" i="6"/>
  <c r="M202" i="6"/>
  <c r="T199" i="6"/>
  <c r="U199" i="6"/>
  <c r="U179" i="6"/>
  <c r="E8" i="6"/>
  <c r="V168" i="6"/>
  <c r="T197" i="6"/>
  <c r="O202" i="6"/>
  <c r="U183" i="6"/>
  <c r="X192" i="6"/>
  <c r="V179" i="6"/>
  <c r="V197" i="6"/>
  <c r="T175" i="6"/>
  <c r="T191" i="6"/>
  <c r="V174" i="6"/>
  <c r="L18" i="2" l="1"/>
  <c r="K45" i="2"/>
  <c r="X202" i="6"/>
  <c r="H25" i="6"/>
  <c r="F25" i="6"/>
  <c r="D25" i="6"/>
  <c r="E25" i="6"/>
  <c r="O25" i="6"/>
  <c r="N25" i="6"/>
  <c r="M25" i="6"/>
  <c r="L25" i="6"/>
  <c r="K25" i="6"/>
  <c r="J25" i="6"/>
  <c r="G25" i="6"/>
  <c r="I25" i="6"/>
  <c r="M11" i="6"/>
  <c r="K11" i="6"/>
  <c r="I11" i="6"/>
  <c r="H11" i="6"/>
  <c r="G11" i="6"/>
  <c r="L11" i="6"/>
  <c r="J11" i="6"/>
  <c r="F11" i="6"/>
  <c r="E11" i="6"/>
  <c r="D11" i="6"/>
  <c r="O11" i="6"/>
  <c r="N11" i="6"/>
  <c r="V202" i="6"/>
  <c r="N22" i="6"/>
  <c r="L22" i="6"/>
  <c r="J22" i="6"/>
  <c r="D22" i="6"/>
  <c r="O22" i="6"/>
  <c r="M22" i="6"/>
  <c r="H22" i="6"/>
  <c r="G22" i="6"/>
  <c r="F22" i="6"/>
  <c r="F31" i="6" s="1"/>
  <c r="K22" i="6"/>
  <c r="E22" i="6"/>
  <c r="I22" i="6"/>
  <c r="U202" i="6"/>
  <c r="T202" i="6"/>
  <c r="F8" i="6"/>
  <c r="I19" i="6"/>
  <c r="G19" i="6"/>
  <c r="E19" i="6"/>
  <c r="J19" i="6"/>
  <c r="D19" i="6"/>
  <c r="L19" i="6"/>
  <c r="K19" i="6"/>
  <c r="H19" i="6"/>
  <c r="O19" i="6"/>
  <c r="W19" i="6" s="1"/>
  <c r="F19" i="6"/>
  <c r="N19" i="6"/>
  <c r="M19" i="6"/>
  <c r="M18" i="2" l="1"/>
  <c r="L45" i="2"/>
  <c r="P11" i="6"/>
  <c r="H31" i="6"/>
  <c r="H42" i="6" s="1"/>
  <c r="H43" i="6" s="1"/>
  <c r="H45" i="6" s="1"/>
  <c r="M31" i="6"/>
  <c r="M42" i="6" s="1"/>
  <c r="M43" i="6" s="1"/>
  <c r="M45" i="6" s="1"/>
  <c r="K31" i="6"/>
  <c r="K42" i="6" s="1"/>
  <c r="K43" i="6" s="1"/>
  <c r="K45" i="6" s="1"/>
  <c r="P19" i="6"/>
  <c r="F42" i="6"/>
  <c r="F43" i="6" s="1"/>
  <c r="F45" i="6" s="1"/>
  <c r="G31" i="6"/>
  <c r="O31" i="6"/>
  <c r="P22" i="6"/>
  <c r="D31" i="6"/>
  <c r="J31" i="6"/>
  <c r="L31" i="6"/>
  <c r="P25" i="6"/>
  <c r="R25" i="6" s="1"/>
  <c r="N31" i="6"/>
  <c r="I31" i="6"/>
  <c r="E31" i="6"/>
  <c r="P8" i="6"/>
  <c r="N18" i="2" l="1"/>
  <c r="N45" i="2" s="1"/>
  <c r="M45" i="2"/>
  <c r="E8" i="2"/>
  <c r="L8" i="2"/>
  <c r="L35" i="2" s="1"/>
  <c r="J8" i="2"/>
  <c r="J35" i="2" s="1"/>
  <c r="G8" i="2"/>
  <c r="G35" i="2" s="1"/>
  <c r="O42" i="6"/>
  <c r="O43" i="6" s="1"/>
  <c r="O45" i="6" s="1"/>
  <c r="P31" i="6"/>
  <c r="E42" i="6"/>
  <c r="E43" i="6" s="1"/>
  <c r="E45" i="6" s="1"/>
  <c r="G42" i="6"/>
  <c r="G43" i="6" s="1"/>
  <c r="G45" i="6" s="1"/>
  <c r="I42" i="6"/>
  <c r="I43" i="6" s="1"/>
  <c r="I45" i="6" s="1"/>
  <c r="N42" i="6"/>
  <c r="N43" i="6" s="1"/>
  <c r="N45" i="6" s="1"/>
  <c r="L42" i="6"/>
  <c r="L43" i="6" s="1"/>
  <c r="L45" i="6" s="1"/>
  <c r="J42" i="6"/>
  <c r="J43" i="6" s="1"/>
  <c r="J45" i="6" s="1"/>
  <c r="D42" i="6"/>
  <c r="O18" i="2" l="1"/>
  <c r="D8" i="2"/>
  <c r="K8" i="2"/>
  <c r="K35" i="2" s="1"/>
  <c r="F8" i="2"/>
  <c r="M8" i="2"/>
  <c r="M35" i="2" s="1"/>
  <c r="H8" i="2"/>
  <c r="H35" i="2" s="1"/>
  <c r="N8" i="2"/>
  <c r="N35" i="2" s="1"/>
  <c r="I8" i="2"/>
  <c r="I35" i="2" s="1"/>
  <c r="P42" i="6"/>
  <c r="O35" i="2" l="1"/>
  <c r="P41" i="6"/>
  <c r="D43" i="6"/>
  <c r="D45" i="6" s="1"/>
  <c r="C8" i="2" l="1"/>
  <c r="P43" i="6"/>
  <c r="P45" i="6" l="1"/>
  <c r="R159" i="6" l="1"/>
  <c r="R157" i="6"/>
  <c r="R84" i="6"/>
  <c r="R75" i="6"/>
  <c r="R137" i="6"/>
  <c r="R123" i="6"/>
  <c r="R154" i="6"/>
  <c r="R11" i="6"/>
  <c r="R22" i="6"/>
  <c r="R8" i="6"/>
  <c r="R19" i="6"/>
  <c r="R31" i="6"/>
  <c r="R42" i="6"/>
  <c r="R41" i="6"/>
  <c r="R43" i="6"/>
  <c r="R45" i="6"/>
  <c r="H10" i="3" l="1"/>
  <c r="N9" i="3"/>
  <c r="I8" i="3"/>
  <c r="I9" i="3" s="1"/>
  <c r="I7" i="3"/>
  <c r="I6" i="3"/>
  <c r="I5" i="3"/>
  <c r="I4" i="3"/>
  <c r="I3" i="3"/>
  <c r="I2" i="3"/>
  <c r="J8" i="3"/>
  <c r="J9" i="3" s="1"/>
  <c r="L7" i="3"/>
  <c r="L6" i="3"/>
  <c r="L5" i="3"/>
  <c r="L4" i="3"/>
  <c r="L3" i="3"/>
  <c r="L2" i="3"/>
  <c r="P236" i="5" l="1"/>
  <c r="P235" i="5"/>
  <c r="P234" i="5"/>
  <c r="P233" i="5"/>
  <c r="P237" i="5"/>
  <c r="L8" i="3"/>
  <c r="O8" i="2"/>
  <c r="O151" i="1" l="1"/>
  <c r="O237" i="5" l="1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W238" i="5"/>
  <c r="S238" i="5"/>
  <c r="K10" i="5" s="1"/>
  <c r="Q238" i="5"/>
  <c r="G13" i="5" s="1"/>
  <c r="N238" i="5"/>
  <c r="L238" i="5"/>
  <c r="E14" i="5" s="1"/>
  <c r="K238" i="5"/>
  <c r="N27" i="5" s="1"/>
  <c r="J238" i="5"/>
  <c r="I238" i="5"/>
  <c r="O15" i="5" s="1"/>
  <c r="H238" i="5"/>
  <c r="N28" i="5" s="1"/>
  <c r="E238" i="5"/>
  <c r="D238" i="5"/>
  <c r="N6" i="5" s="1"/>
  <c r="F237" i="5"/>
  <c r="F236" i="5"/>
  <c r="M236" i="5" s="1"/>
  <c r="M235" i="5"/>
  <c r="G235" i="5"/>
  <c r="F235" i="5"/>
  <c r="F234" i="5"/>
  <c r="O234" i="5" s="1"/>
  <c r="R233" i="5"/>
  <c r="F233" i="5"/>
  <c r="O233" i="5" s="1"/>
  <c r="F232" i="5"/>
  <c r="F231" i="5"/>
  <c r="G230" i="5"/>
  <c r="F230" i="5"/>
  <c r="M230" i="5" s="1"/>
  <c r="M229" i="5"/>
  <c r="G229" i="5"/>
  <c r="F229" i="5"/>
  <c r="M228" i="5"/>
  <c r="G228" i="5"/>
  <c r="F228" i="5"/>
  <c r="F227" i="5"/>
  <c r="M226" i="5"/>
  <c r="G226" i="5"/>
  <c r="F226" i="5"/>
  <c r="F225" i="5"/>
  <c r="X224" i="5"/>
  <c r="G224" i="5"/>
  <c r="F224" i="5"/>
  <c r="M224" i="5" s="1"/>
  <c r="V223" i="5"/>
  <c r="M223" i="5"/>
  <c r="G223" i="5"/>
  <c r="F223" i="5"/>
  <c r="T222" i="5"/>
  <c r="M222" i="5"/>
  <c r="G222" i="5"/>
  <c r="F222" i="5"/>
  <c r="F221" i="5"/>
  <c r="F220" i="5"/>
  <c r="G220" i="5" s="1"/>
  <c r="F219" i="5"/>
  <c r="F218" i="5"/>
  <c r="G218" i="5" s="1"/>
  <c r="F217" i="5"/>
  <c r="X216" i="5"/>
  <c r="G216" i="5"/>
  <c r="F216" i="5"/>
  <c r="M216" i="5" s="1"/>
  <c r="M215" i="5"/>
  <c r="G215" i="5"/>
  <c r="F215" i="5"/>
  <c r="M214" i="5"/>
  <c r="F214" i="5"/>
  <c r="M213" i="5"/>
  <c r="G213" i="5"/>
  <c r="F213" i="5"/>
  <c r="F212" i="5"/>
  <c r="G212" i="5" s="1"/>
  <c r="M211" i="5"/>
  <c r="F211" i="5"/>
  <c r="F210" i="5"/>
  <c r="G210" i="5" s="1"/>
  <c r="G209" i="5"/>
  <c r="F209" i="5"/>
  <c r="G208" i="5"/>
  <c r="F208" i="5"/>
  <c r="U207" i="5"/>
  <c r="M207" i="5"/>
  <c r="G207" i="5"/>
  <c r="F207" i="5"/>
  <c r="F206" i="5"/>
  <c r="F205" i="5"/>
  <c r="G204" i="5"/>
  <c r="F204" i="5"/>
  <c r="G203" i="5"/>
  <c r="F203" i="5"/>
  <c r="G202" i="5"/>
  <c r="F202" i="5"/>
  <c r="F201" i="5"/>
  <c r="G201" i="5" s="1"/>
  <c r="F200" i="5"/>
  <c r="G200" i="5" s="1"/>
  <c r="F199" i="5"/>
  <c r="G199" i="5" s="1"/>
  <c r="G198" i="5"/>
  <c r="F198" i="5"/>
  <c r="G197" i="5"/>
  <c r="F197" i="5"/>
  <c r="G196" i="5"/>
  <c r="F196" i="5"/>
  <c r="F195" i="5"/>
  <c r="G195" i="5" s="1"/>
  <c r="G194" i="5"/>
  <c r="F194" i="5"/>
  <c r="F193" i="5"/>
  <c r="G193" i="5" s="1"/>
  <c r="F192" i="5"/>
  <c r="G192" i="5" s="1"/>
  <c r="G191" i="5"/>
  <c r="F191" i="5"/>
  <c r="G190" i="5"/>
  <c r="F190" i="5"/>
  <c r="F189" i="5"/>
  <c r="G189" i="5" s="1"/>
  <c r="F188" i="5"/>
  <c r="G188" i="5" s="1"/>
  <c r="F187" i="5"/>
  <c r="G187" i="5" s="1"/>
  <c r="F186" i="5"/>
  <c r="G186" i="5" s="1"/>
  <c r="G185" i="5"/>
  <c r="F185" i="5"/>
  <c r="G184" i="5"/>
  <c r="F184" i="5"/>
  <c r="F183" i="5"/>
  <c r="G183" i="5" s="1"/>
  <c r="F182" i="5"/>
  <c r="G182" i="5" s="1"/>
  <c r="G181" i="5"/>
  <c r="F181" i="5"/>
  <c r="F180" i="5"/>
  <c r="G180" i="5" s="1"/>
  <c r="G179" i="5"/>
  <c r="F179" i="5"/>
  <c r="G178" i="5"/>
  <c r="F178" i="5"/>
  <c r="F177" i="5"/>
  <c r="G177" i="5" s="1"/>
  <c r="F176" i="5"/>
  <c r="G176" i="5" s="1"/>
  <c r="F175" i="5"/>
  <c r="G175" i="5" s="1"/>
  <c r="F174" i="5"/>
  <c r="G174" i="5" s="1"/>
  <c r="G173" i="5"/>
  <c r="F173" i="5"/>
  <c r="G172" i="5"/>
  <c r="F172" i="5"/>
  <c r="F171" i="5"/>
  <c r="G171" i="5" s="1"/>
  <c r="F170" i="5"/>
  <c r="G170" i="5" s="1"/>
  <c r="F169" i="5"/>
  <c r="G169" i="5" s="1"/>
  <c r="G168" i="5"/>
  <c r="F168" i="5"/>
  <c r="G167" i="5"/>
  <c r="F167" i="5"/>
  <c r="G166" i="5"/>
  <c r="F166" i="5"/>
  <c r="F165" i="5"/>
  <c r="G165" i="5" s="1"/>
  <c r="F164" i="5"/>
  <c r="G164" i="5" s="1"/>
  <c r="F163" i="5"/>
  <c r="G163" i="5" s="1"/>
  <c r="F162" i="5"/>
  <c r="G162" i="5" s="1"/>
  <c r="G161" i="5"/>
  <c r="F161" i="5"/>
  <c r="G160" i="5"/>
  <c r="F160" i="5"/>
  <c r="F159" i="5"/>
  <c r="G159" i="5" s="1"/>
  <c r="G158" i="5"/>
  <c r="F158" i="5"/>
  <c r="F157" i="5"/>
  <c r="G157" i="5" s="1"/>
  <c r="F156" i="5"/>
  <c r="G156" i="5" s="1"/>
  <c r="G155" i="5"/>
  <c r="F155" i="5"/>
  <c r="G154" i="5"/>
  <c r="F154" i="5"/>
  <c r="M153" i="5"/>
  <c r="G153" i="5"/>
  <c r="F153" i="5"/>
  <c r="M152" i="5"/>
  <c r="G152" i="5"/>
  <c r="F152" i="5"/>
  <c r="X151" i="5"/>
  <c r="M151" i="5"/>
  <c r="G151" i="5"/>
  <c r="F151" i="5"/>
  <c r="F150" i="5"/>
  <c r="M150" i="5" s="1"/>
  <c r="F149" i="5"/>
  <c r="V148" i="5"/>
  <c r="G148" i="5"/>
  <c r="F148" i="5"/>
  <c r="M148" i="5" s="1"/>
  <c r="P136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P133" i="5"/>
  <c r="P134" i="5" s="1"/>
  <c r="P130" i="5"/>
  <c r="P129" i="5"/>
  <c r="P128" i="5"/>
  <c r="P127" i="5"/>
  <c r="P126" i="5"/>
  <c r="P131" i="5" s="1"/>
  <c r="P124" i="5"/>
  <c r="R124" i="5" s="1"/>
  <c r="O124" i="5"/>
  <c r="N124" i="5"/>
  <c r="M124" i="5"/>
  <c r="L124" i="5"/>
  <c r="K124" i="5"/>
  <c r="J124" i="5"/>
  <c r="I124" i="5"/>
  <c r="H124" i="5"/>
  <c r="G124" i="5"/>
  <c r="F124" i="5"/>
  <c r="E124" i="5"/>
  <c r="D124" i="5"/>
  <c r="P123" i="5"/>
  <c r="P122" i="5"/>
  <c r="P121" i="5"/>
  <c r="P120" i="5"/>
  <c r="P119" i="5"/>
  <c r="P118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P115" i="5"/>
  <c r="P114" i="5"/>
  <c r="P113" i="5"/>
  <c r="P112" i="5"/>
  <c r="P111" i="5"/>
  <c r="P110" i="5"/>
  <c r="P116" i="5" s="1"/>
  <c r="R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P104" i="5"/>
  <c r="P105" i="5" s="1"/>
  <c r="O102" i="5"/>
  <c r="N102" i="5"/>
  <c r="M102" i="5"/>
  <c r="L102" i="5"/>
  <c r="K102" i="5"/>
  <c r="J102" i="5"/>
  <c r="I102" i="5"/>
  <c r="H102" i="5"/>
  <c r="G102" i="5"/>
  <c r="F102" i="5"/>
  <c r="E102" i="5"/>
  <c r="D102" i="5"/>
  <c r="P101" i="5"/>
  <c r="P100" i="5"/>
  <c r="P99" i="5"/>
  <c r="P98" i="5"/>
  <c r="P97" i="5"/>
  <c r="P96" i="5"/>
  <c r="P102" i="5" s="1"/>
  <c r="R102" i="5" s="1"/>
  <c r="P95" i="5"/>
  <c r="P92" i="5"/>
  <c r="P91" i="5"/>
  <c r="O90" i="5"/>
  <c r="I90" i="5"/>
  <c r="P89" i="5"/>
  <c r="L89" i="5"/>
  <c r="F89" i="5"/>
  <c r="P88" i="5"/>
  <c r="P87" i="5"/>
  <c r="O86" i="5"/>
  <c r="N86" i="5"/>
  <c r="M86" i="5"/>
  <c r="L86" i="5"/>
  <c r="K86" i="5"/>
  <c r="J86" i="5"/>
  <c r="I86" i="5"/>
  <c r="H86" i="5"/>
  <c r="G86" i="5"/>
  <c r="F86" i="5"/>
  <c r="E86" i="5"/>
  <c r="D86" i="5"/>
  <c r="O84" i="5"/>
  <c r="O139" i="5" s="1"/>
  <c r="N84" i="5"/>
  <c r="M84" i="5"/>
  <c r="L84" i="5"/>
  <c r="L139" i="5" s="1"/>
  <c r="K84" i="5"/>
  <c r="J84" i="5"/>
  <c r="I84" i="5"/>
  <c r="I139" i="5" s="1"/>
  <c r="H84" i="5"/>
  <c r="G84" i="5"/>
  <c r="F84" i="5"/>
  <c r="F139" i="5" s="1"/>
  <c r="E84" i="5"/>
  <c r="D84" i="5"/>
  <c r="P83" i="5"/>
  <c r="P84" i="5" s="1"/>
  <c r="O81" i="5"/>
  <c r="N81" i="5"/>
  <c r="M81" i="5"/>
  <c r="L81" i="5"/>
  <c r="K81" i="5"/>
  <c r="J81" i="5"/>
  <c r="I81" i="5"/>
  <c r="H81" i="5"/>
  <c r="G81" i="5"/>
  <c r="F81" i="5"/>
  <c r="E81" i="5"/>
  <c r="D81" i="5"/>
  <c r="P80" i="5"/>
  <c r="P79" i="5"/>
  <c r="P78" i="5"/>
  <c r="P77" i="5"/>
  <c r="P81" i="5" s="1"/>
  <c r="R81" i="5" s="1"/>
  <c r="O75" i="5"/>
  <c r="N75" i="5"/>
  <c r="M75" i="5"/>
  <c r="L75" i="5"/>
  <c r="K75" i="5"/>
  <c r="J75" i="5"/>
  <c r="I75" i="5"/>
  <c r="H75" i="5"/>
  <c r="G75" i="5"/>
  <c r="F75" i="5"/>
  <c r="E75" i="5"/>
  <c r="D75" i="5"/>
  <c r="P74" i="5"/>
  <c r="P73" i="5"/>
  <c r="P72" i="5"/>
  <c r="P71" i="5"/>
  <c r="P70" i="5"/>
  <c r="P69" i="5"/>
  <c r="O67" i="5"/>
  <c r="N67" i="5"/>
  <c r="M67" i="5"/>
  <c r="L67" i="5"/>
  <c r="K67" i="5"/>
  <c r="J67" i="5"/>
  <c r="I67" i="5"/>
  <c r="H67" i="5"/>
  <c r="G67" i="5"/>
  <c r="F67" i="5"/>
  <c r="E67" i="5"/>
  <c r="D67" i="5"/>
  <c r="P66" i="5"/>
  <c r="P67" i="5" s="1"/>
  <c r="R67" i="5" s="1"/>
  <c r="R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P63" i="5"/>
  <c r="O61" i="5"/>
  <c r="N61" i="5"/>
  <c r="M61" i="5"/>
  <c r="L61" i="5"/>
  <c r="K61" i="5"/>
  <c r="J61" i="5"/>
  <c r="I61" i="5"/>
  <c r="H61" i="5"/>
  <c r="G61" i="5"/>
  <c r="F61" i="5"/>
  <c r="E61" i="5"/>
  <c r="D61" i="5"/>
  <c r="P60" i="5"/>
  <c r="P59" i="5"/>
  <c r="P58" i="5"/>
  <c r="P57" i="5"/>
  <c r="P56" i="5"/>
  <c r="P61" i="5" s="1"/>
  <c r="R61" i="5" s="1"/>
  <c r="O54" i="5"/>
  <c r="N54" i="5"/>
  <c r="M54" i="5"/>
  <c r="L54" i="5"/>
  <c r="K54" i="5"/>
  <c r="J54" i="5"/>
  <c r="I54" i="5"/>
  <c r="H54" i="5"/>
  <c r="G54" i="5"/>
  <c r="F54" i="5"/>
  <c r="E54" i="5"/>
  <c r="D54" i="5"/>
  <c r="P53" i="5"/>
  <c r="P54" i="5" s="1"/>
  <c r="O51" i="5"/>
  <c r="N51" i="5"/>
  <c r="M51" i="5"/>
  <c r="L51" i="5"/>
  <c r="K51" i="5"/>
  <c r="J51" i="5"/>
  <c r="I51" i="5"/>
  <c r="H51" i="5"/>
  <c r="G51" i="5"/>
  <c r="F51" i="5"/>
  <c r="E51" i="5"/>
  <c r="D51" i="5"/>
  <c r="P50" i="5"/>
  <c r="P51" i="5" s="1"/>
  <c r="R51" i="5" s="1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P47" i="5"/>
  <c r="P40" i="5"/>
  <c r="R40" i="5" s="1"/>
  <c r="P39" i="5"/>
  <c r="R39" i="5" s="1"/>
  <c r="P38" i="5"/>
  <c r="R38" i="5" s="1"/>
  <c r="P37" i="5"/>
  <c r="R37" i="5" s="1"/>
  <c r="P36" i="5"/>
  <c r="R36" i="5" s="1"/>
  <c r="P35" i="5"/>
  <c r="R35" i="5" s="1"/>
  <c r="P34" i="5"/>
  <c r="R34" i="5" s="1"/>
  <c r="P30" i="5"/>
  <c r="P29" i="5"/>
  <c r="O28" i="5"/>
  <c r="M28" i="5"/>
  <c r="L28" i="5"/>
  <c r="G28" i="5"/>
  <c r="F28" i="5"/>
  <c r="O27" i="5"/>
  <c r="M27" i="5"/>
  <c r="L27" i="5"/>
  <c r="K27" i="5"/>
  <c r="J27" i="5"/>
  <c r="I27" i="5"/>
  <c r="H27" i="5"/>
  <c r="G27" i="5"/>
  <c r="F27" i="5"/>
  <c r="E27" i="5"/>
  <c r="D27" i="5"/>
  <c r="P26" i="5"/>
  <c r="R26" i="5" s="1"/>
  <c r="O24" i="5"/>
  <c r="N24" i="5"/>
  <c r="M24" i="5"/>
  <c r="L24" i="5"/>
  <c r="K24" i="5"/>
  <c r="J24" i="5"/>
  <c r="I24" i="5"/>
  <c r="H24" i="5"/>
  <c r="G24" i="5"/>
  <c r="F24" i="5"/>
  <c r="E24" i="5"/>
  <c r="D24" i="5"/>
  <c r="P23" i="5"/>
  <c r="R23" i="5" s="1"/>
  <c r="P21" i="5"/>
  <c r="R21" i="5" s="1"/>
  <c r="P20" i="5"/>
  <c r="R20" i="5" s="1"/>
  <c r="P18" i="5"/>
  <c r="R18" i="5" s="1"/>
  <c r="P17" i="5"/>
  <c r="R17" i="5" s="1"/>
  <c r="P16" i="5"/>
  <c r="R16" i="5" s="1"/>
  <c r="N15" i="5"/>
  <c r="M15" i="5"/>
  <c r="L15" i="5"/>
  <c r="K15" i="5"/>
  <c r="J15" i="5"/>
  <c r="I15" i="5"/>
  <c r="H15" i="5"/>
  <c r="G15" i="5"/>
  <c r="F15" i="5"/>
  <c r="E15" i="5"/>
  <c r="D15" i="5"/>
  <c r="O14" i="5"/>
  <c r="N14" i="5"/>
  <c r="M14" i="5"/>
  <c r="L14" i="5"/>
  <c r="K14" i="5"/>
  <c r="J14" i="5"/>
  <c r="I14" i="5"/>
  <c r="H14" i="5"/>
  <c r="G14" i="5"/>
  <c r="F14" i="5"/>
  <c r="D14" i="5"/>
  <c r="M13" i="5"/>
  <c r="L13" i="5"/>
  <c r="K13" i="5"/>
  <c r="J13" i="5"/>
  <c r="F13" i="5"/>
  <c r="E13" i="5"/>
  <c r="D13" i="5"/>
  <c r="O12" i="5"/>
  <c r="N12" i="5"/>
  <c r="M12" i="5"/>
  <c r="L12" i="5"/>
  <c r="K12" i="5"/>
  <c r="J12" i="5"/>
  <c r="I12" i="5"/>
  <c r="H12" i="5"/>
  <c r="G12" i="5"/>
  <c r="F12" i="5"/>
  <c r="O10" i="5"/>
  <c r="N10" i="5"/>
  <c r="M10" i="5"/>
  <c r="L10" i="5"/>
  <c r="J10" i="5"/>
  <c r="I10" i="5"/>
  <c r="H10" i="5"/>
  <c r="G10" i="5"/>
  <c r="F10" i="5"/>
  <c r="E10" i="5"/>
  <c r="D10" i="5"/>
  <c r="O6" i="5"/>
  <c r="P6" i="5" s="1"/>
  <c r="M6" i="5"/>
  <c r="L6" i="5"/>
  <c r="I6" i="5"/>
  <c r="H6" i="5"/>
  <c r="G6" i="5"/>
  <c r="F6" i="5"/>
  <c r="G2" i="5"/>
  <c r="H2" i="5" s="1"/>
  <c r="I2" i="5" s="1"/>
  <c r="J2" i="5" s="1"/>
  <c r="K2" i="5" s="1"/>
  <c r="L2" i="5" s="1"/>
  <c r="M2" i="5" s="1"/>
  <c r="N2" i="5" s="1"/>
  <c r="O2" i="5" s="1"/>
  <c r="P2" i="5" s="1"/>
  <c r="F2" i="5"/>
  <c r="E2" i="5"/>
  <c r="P10" i="5" l="1"/>
  <c r="R10" i="5" s="1"/>
  <c r="T223" i="5"/>
  <c r="U223" i="5"/>
  <c r="U216" i="5"/>
  <c r="X230" i="5"/>
  <c r="D28" i="5"/>
  <c r="G233" i="5"/>
  <c r="G236" i="5"/>
  <c r="E28" i="5"/>
  <c r="M233" i="5"/>
  <c r="H28" i="5"/>
  <c r="G234" i="5"/>
  <c r="I28" i="5"/>
  <c r="M234" i="5"/>
  <c r="J28" i="5"/>
  <c r="K28" i="5"/>
  <c r="O235" i="5"/>
  <c r="O236" i="5"/>
  <c r="P15" i="5"/>
  <c r="R15" i="5" s="1"/>
  <c r="P14" i="5"/>
  <c r="R14" i="5" s="1"/>
  <c r="P24" i="5"/>
  <c r="R24" i="5" s="1"/>
  <c r="T216" i="5"/>
  <c r="T230" i="5"/>
  <c r="U230" i="5"/>
  <c r="V230" i="5"/>
  <c r="V153" i="5"/>
  <c r="U153" i="5"/>
  <c r="T152" i="5"/>
  <c r="P27" i="5"/>
  <c r="R27" i="5" s="1"/>
  <c r="P12" i="5"/>
  <c r="X148" i="5"/>
  <c r="T149" i="5"/>
  <c r="M149" i="5"/>
  <c r="G149" i="5"/>
  <c r="X215" i="5"/>
  <c r="V229" i="5"/>
  <c r="P90" i="5"/>
  <c r="V216" i="5"/>
  <c r="X207" i="5"/>
  <c r="X211" i="5"/>
  <c r="V211" i="5"/>
  <c r="U211" i="5"/>
  <c r="T211" i="5"/>
  <c r="T215" i="5"/>
  <c r="R235" i="5"/>
  <c r="V225" i="5"/>
  <c r="M225" i="5"/>
  <c r="G225" i="5"/>
  <c r="G205" i="5"/>
  <c r="M205" i="5"/>
  <c r="X220" i="5"/>
  <c r="X231" i="5"/>
  <c r="M231" i="5"/>
  <c r="G231" i="5"/>
  <c r="J6" i="5"/>
  <c r="H13" i="5"/>
  <c r="K6" i="5"/>
  <c r="I13" i="5"/>
  <c r="P75" i="5"/>
  <c r="V151" i="5"/>
  <c r="U151" i="5"/>
  <c r="T151" i="5"/>
  <c r="X205" i="5"/>
  <c r="G211" i="5"/>
  <c r="G214" i="5"/>
  <c r="M217" i="5"/>
  <c r="G217" i="5"/>
  <c r="M220" i="5"/>
  <c r="R237" i="5"/>
  <c r="U237" i="5"/>
  <c r="M237" i="5"/>
  <c r="G237" i="5"/>
  <c r="T228" i="5"/>
  <c r="X232" i="5"/>
  <c r="M206" i="5"/>
  <c r="X153" i="5"/>
  <c r="X206" i="5"/>
  <c r="V207" i="5"/>
  <c r="U214" i="5"/>
  <c r="M221" i="5"/>
  <c r="T224" i="5"/>
  <c r="X227" i="5"/>
  <c r="M232" i="5"/>
  <c r="R234" i="5"/>
  <c r="U234" i="5" s="1"/>
  <c r="D6" i="5"/>
  <c r="N13" i="5"/>
  <c r="T148" i="5"/>
  <c r="G150" i="5"/>
  <c r="G238" i="5" s="1"/>
  <c r="T221" i="5"/>
  <c r="X223" i="5"/>
  <c r="U224" i="5"/>
  <c r="G227" i="5"/>
  <c r="E6" i="5"/>
  <c r="O13" i="5"/>
  <c r="U148" i="5"/>
  <c r="X152" i="5"/>
  <c r="V152" i="5"/>
  <c r="U152" i="5"/>
  <c r="X213" i="5"/>
  <c r="V213" i="5"/>
  <c r="U213" i="5"/>
  <c r="T213" i="5"/>
  <c r="M219" i="5"/>
  <c r="G219" i="5"/>
  <c r="V224" i="5"/>
  <c r="M227" i="5"/>
  <c r="X233" i="5"/>
  <c r="V233" i="5"/>
  <c r="U233" i="5"/>
  <c r="T233" i="5"/>
  <c r="F238" i="5"/>
  <c r="U206" i="5"/>
  <c r="G206" i="5"/>
  <c r="T207" i="5"/>
  <c r="P86" i="5"/>
  <c r="G221" i="5"/>
  <c r="G232" i="5"/>
  <c r="U150" i="5"/>
  <c r="T153" i="5"/>
  <c r="T206" i="5"/>
  <c r="X222" i="5"/>
  <c r="V227" i="5"/>
  <c r="U222" i="5"/>
  <c r="V222" i="5"/>
  <c r="X229" i="5" l="1"/>
  <c r="U232" i="5"/>
  <c r="V232" i="5"/>
  <c r="X228" i="5"/>
  <c r="M238" i="5"/>
  <c r="H25" i="5" s="1"/>
  <c r="V234" i="5"/>
  <c r="T234" i="5"/>
  <c r="R236" i="5"/>
  <c r="V236" i="5" s="1"/>
  <c r="P13" i="5"/>
  <c r="R13" i="5" s="1"/>
  <c r="P28" i="5"/>
  <c r="R28" i="5" s="1"/>
  <c r="F25" i="5"/>
  <c r="E25" i="5"/>
  <c r="K25" i="5"/>
  <c r="G25" i="5"/>
  <c r="D25" i="5"/>
  <c r="J25" i="5"/>
  <c r="I25" i="5"/>
  <c r="O25" i="5"/>
  <c r="L25" i="5"/>
  <c r="N25" i="5"/>
  <c r="M25" i="5"/>
  <c r="U225" i="5"/>
  <c r="X225" i="5"/>
  <c r="V235" i="5"/>
  <c r="U235" i="5"/>
  <c r="U226" i="5"/>
  <c r="V226" i="5"/>
  <c r="T225" i="5"/>
  <c r="V221" i="5"/>
  <c r="X221" i="5"/>
  <c r="T220" i="5"/>
  <c r="X234" i="5"/>
  <c r="U149" i="5"/>
  <c r="X149" i="5"/>
  <c r="V149" i="5"/>
  <c r="X237" i="5"/>
  <c r="V237" i="5"/>
  <c r="X217" i="5"/>
  <c r="U217" i="5"/>
  <c r="V217" i="5"/>
  <c r="V220" i="5"/>
  <c r="V215" i="5"/>
  <c r="U215" i="5"/>
  <c r="U221" i="5"/>
  <c r="X150" i="5"/>
  <c r="U220" i="5"/>
  <c r="P238" i="5"/>
  <c r="V214" i="5"/>
  <c r="U231" i="5"/>
  <c r="U227" i="5"/>
  <c r="X214" i="5"/>
  <c r="V150" i="5"/>
  <c r="V205" i="5"/>
  <c r="T214" i="5"/>
  <c r="T229" i="5"/>
  <c r="T226" i="5"/>
  <c r="T231" i="5"/>
  <c r="U229" i="5"/>
  <c r="V228" i="5"/>
  <c r="T150" i="5"/>
  <c r="U219" i="5"/>
  <c r="X219" i="5"/>
  <c r="V219" i="5"/>
  <c r="O238" i="5"/>
  <c r="T205" i="5"/>
  <c r="T235" i="5"/>
  <c r="V206" i="5"/>
  <c r="T227" i="5"/>
  <c r="T237" i="5"/>
  <c r="T217" i="5"/>
  <c r="X235" i="5"/>
  <c r="U205" i="5"/>
  <c r="U228" i="5"/>
  <c r="T219" i="5"/>
  <c r="V231" i="5"/>
  <c r="M8" i="5"/>
  <c r="N8" i="5"/>
  <c r="D8" i="5"/>
  <c r="O8" i="5"/>
  <c r="K8" i="5"/>
  <c r="J8" i="5"/>
  <c r="I8" i="5"/>
  <c r="H8" i="5"/>
  <c r="G8" i="5"/>
  <c r="L8" i="5"/>
  <c r="T232" i="5"/>
  <c r="X226" i="5"/>
  <c r="X236" i="5" l="1"/>
  <c r="X238" i="5" s="1"/>
  <c r="U236" i="5"/>
  <c r="T236" i="5"/>
  <c r="T238" i="5" s="1"/>
  <c r="U238" i="5"/>
  <c r="R238" i="5"/>
  <c r="L22" i="5"/>
  <c r="K22" i="5"/>
  <c r="O22" i="5"/>
  <c r="J22" i="5"/>
  <c r="I22" i="5"/>
  <c r="N22" i="5"/>
  <c r="M22" i="5"/>
  <c r="H22" i="5"/>
  <c r="F22" i="5"/>
  <c r="E22" i="5"/>
  <c r="D22" i="5"/>
  <c r="G22" i="5"/>
  <c r="V238" i="5"/>
  <c r="P25" i="5"/>
  <c r="R25" i="5" s="1"/>
  <c r="E8" i="5"/>
  <c r="I11" i="5"/>
  <c r="D11" i="5"/>
  <c r="N11" i="5"/>
  <c r="O11" i="5"/>
  <c r="M11" i="5"/>
  <c r="L11" i="5"/>
  <c r="J11" i="5"/>
  <c r="H11" i="5"/>
  <c r="G11" i="5"/>
  <c r="F11" i="5"/>
  <c r="E11" i="5"/>
  <c r="K11" i="5"/>
  <c r="O19" i="5" l="1"/>
  <c r="W19" i="5" s="1"/>
  <c r="E19" i="5"/>
  <c r="E31" i="5" s="1"/>
  <c r="E42" i="5" s="1"/>
  <c r="M19" i="5"/>
  <c r="M31" i="5" s="1"/>
  <c r="K19" i="5"/>
  <c r="K31" i="5" s="1"/>
  <c r="G19" i="5"/>
  <c r="G31" i="5" s="1"/>
  <c r="G42" i="5" s="1"/>
  <c r="F19" i="5"/>
  <c r="J19" i="5"/>
  <c r="J31" i="5" s="1"/>
  <c r="I19" i="5"/>
  <c r="I31" i="5" s="1"/>
  <c r="I42" i="5" s="1"/>
  <c r="H19" i="5"/>
  <c r="H31" i="5" s="1"/>
  <c r="L19" i="5"/>
  <c r="L31" i="5" s="1"/>
  <c r="N19" i="5"/>
  <c r="N31" i="5" s="1"/>
  <c r="N42" i="5" s="1"/>
  <c r="D19" i="5"/>
  <c r="P22" i="5"/>
  <c r="P11" i="5"/>
  <c r="F8" i="5"/>
  <c r="N43" i="5" l="1"/>
  <c r="N45" i="5" s="1"/>
  <c r="M7" i="2" s="1"/>
  <c r="M34" i="2" s="1"/>
  <c r="M33" i="2" s="1"/>
  <c r="M32" i="2" s="1"/>
  <c r="I43" i="5"/>
  <c r="I45" i="5" s="1"/>
  <c r="H7" i="2" s="1"/>
  <c r="H34" i="2" s="1"/>
  <c r="H33" i="2" s="1"/>
  <c r="H32" i="2" s="1"/>
  <c r="G43" i="5"/>
  <c r="G45" i="5" s="1"/>
  <c r="F7" i="2" s="1"/>
  <c r="E43" i="5"/>
  <c r="E45" i="5" s="1"/>
  <c r="D7" i="2" s="1"/>
  <c r="P19" i="5"/>
  <c r="P31" i="5" s="1"/>
  <c r="O31" i="5"/>
  <c r="O42" i="5" s="1"/>
  <c r="F31" i="5"/>
  <c r="F42" i="5" s="1"/>
  <c r="D42" i="5"/>
  <c r="P8" i="5"/>
  <c r="J42" i="5"/>
  <c r="H42" i="5"/>
  <c r="L42" i="5"/>
  <c r="M42" i="5"/>
  <c r="K42" i="5"/>
  <c r="K43" i="5" l="1"/>
  <c r="K45" i="5" s="1"/>
  <c r="J7" i="2" s="1"/>
  <c r="J34" i="2" s="1"/>
  <c r="J33" i="2" s="1"/>
  <c r="J32" i="2" s="1"/>
  <c r="M43" i="5"/>
  <c r="M45" i="5" s="1"/>
  <c r="L7" i="2" s="1"/>
  <c r="L34" i="2" s="1"/>
  <c r="L33" i="2" s="1"/>
  <c r="L32" i="2" s="1"/>
  <c r="L43" i="5"/>
  <c r="L45" i="5" s="1"/>
  <c r="K7" i="2" s="1"/>
  <c r="K34" i="2" s="1"/>
  <c r="K33" i="2" s="1"/>
  <c r="K32" i="2" s="1"/>
  <c r="H43" i="5"/>
  <c r="H45" i="5" s="1"/>
  <c r="G7" i="2" s="1"/>
  <c r="G34" i="2" s="1"/>
  <c r="G33" i="2" s="1"/>
  <c r="J43" i="5"/>
  <c r="J45" i="5" s="1"/>
  <c r="I7" i="2" s="1"/>
  <c r="I34" i="2" s="1"/>
  <c r="F43" i="5"/>
  <c r="F45" i="5" s="1"/>
  <c r="E7" i="2" s="1"/>
  <c r="O43" i="5"/>
  <c r="O45" i="5" s="1"/>
  <c r="N7" i="2" s="1"/>
  <c r="N34" i="2" s="1"/>
  <c r="N33" i="2" s="1"/>
  <c r="N32" i="2" s="1"/>
  <c r="P42" i="5"/>
  <c r="G32" i="2" l="1"/>
  <c r="O34" i="2"/>
  <c r="I33" i="2"/>
  <c r="I32" i="2" s="1"/>
  <c r="P41" i="5"/>
  <c r="D43" i="5"/>
  <c r="D45" i="5" s="1"/>
  <c r="O7" i="2" s="1"/>
  <c r="O33" i="2" l="1"/>
  <c r="P43" i="5"/>
  <c r="P45" i="5" l="1"/>
  <c r="P139" i="5" s="1"/>
  <c r="R139" i="5" l="1"/>
  <c r="R134" i="5"/>
  <c r="R116" i="5"/>
  <c r="R137" i="5"/>
  <c r="R105" i="5"/>
  <c r="R54" i="5"/>
  <c r="R84" i="5"/>
  <c r="R48" i="5"/>
  <c r="R131" i="5"/>
  <c r="R12" i="5"/>
  <c r="R93" i="5"/>
  <c r="R75" i="5"/>
  <c r="R19" i="5"/>
  <c r="R11" i="5"/>
  <c r="R8" i="5"/>
  <c r="R22" i="5"/>
  <c r="R31" i="5"/>
  <c r="R42" i="5"/>
  <c r="R41" i="5"/>
  <c r="R43" i="5"/>
  <c r="R45" i="5"/>
  <c r="W227" i="4" l="1"/>
  <c r="S227" i="4"/>
  <c r="Q227" i="4"/>
  <c r="N227" i="4"/>
  <c r="L227" i="4"/>
  <c r="K227" i="4"/>
  <c r="J227" i="4"/>
  <c r="I227" i="4"/>
  <c r="H227" i="4"/>
  <c r="E227" i="4"/>
  <c r="D227" i="4"/>
  <c r="P226" i="4"/>
  <c r="R226" i="4" s="1"/>
  <c r="F226" i="4"/>
  <c r="O226" i="4" s="1"/>
  <c r="F225" i="4"/>
  <c r="P225" i="4" s="1"/>
  <c r="F224" i="4"/>
  <c r="M224" i="4" s="1"/>
  <c r="P223" i="4"/>
  <c r="O223" i="4"/>
  <c r="M223" i="4"/>
  <c r="G223" i="4"/>
  <c r="F223" i="4"/>
  <c r="F222" i="4"/>
  <c r="G222" i="4" s="1"/>
  <c r="G221" i="4"/>
  <c r="F221" i="4"/>
  <c r="P220" i="4"/>
  <c r="R220" i="4" s="1"/>
  <c r="F220" i="4"/>
  <c r="O219" i="4"/>
  <c r="M219" i="4"/>
  <c r="F219" i="4"/>
  <c r="P219" i="4" s="1"/>
  <c r="F218" i="4"/>
  <c r="M218" i="4" s="1"/>
  <c r="P217" i="4"/>
  <c r="M217" i="4"/>
  <c r="G217" i="4"/>
  <c r="F217" i="4"/>
  <c r="G216" i="4"/>
  <c r="F216" i="4"/>
  <c r="G215" i="4"/>
  <c r="F215" i="4"/>
  <c r="O214" i="4"/>
  <c r="F214" i="4"/>
  <c r="O213" i="4"/>
  <c r="F213" i="4"/>
  <c r="P213" i="4" s="1"/>
  <c r="R212" i="4"/>
  <c r="P212" i="4"/>
  <c r="O212" i="4"/>
  <c r="F212" i="4"/>
  <c r="M212" i="4" s="1"/>
  <c r="O211" i="4"/>
  <c r="M211" i="4"/>
  <c r="G211" i="4"/>
  <c r="F211" i="4"/>
  <c r="F210" i="4"/>
  <c r="G210" i="4" s="1"/>
  <c r="G209" i="4"/>
  <c r="F209" i="4"/>
  <c r="P208" i="4"/>
  <c r="R208" i="4" s="1"/>
  <c r="O208" i="4"/>
  <c r="F208" i="4"/>
  <c r="F207" i="4"/>
  <c r="P207" i="4" s="1"/>
  <c r="P206" i="4"/>
  <c r="O206" i="4"/>
  <c r="F206" i="4"/>
  <c r="M206" i="4" s="1"/>
  <c r="F205" i="4"/>
  <c r="P205" i="4" s="1"/>
  <c r="F204" i="4"/>
  <c r="G204" i="4" s="1"/>
  <c r="F203" i="4"/>
  <c r="G203" i="4" s="1"/>
  <c r="P202" i="4"/>
  <c r="R202" i="4" s="1"/>
  <c r="O202" i="4"/>
  <c r="F202" i="4"/>
  <c r="O201" i="4"/>
  <c r="F201" i="4"/>
  <c r="P201" i="4" s="1"/>
  <c r="R200" i="4"/>
  <c r="P200" i="4"/>
  <c r="O200" i="4"/>
  <c r="F200" i="4"/>
  <c r="M200" i="4" s="1"/>
  <c r="P199" i="4"/>
  <c r="O199" i="4"/>
  <c r="M199" i="4"/>
  <c r="G199" i="4"/>
  <c r="F199" i="4"/>
  <c r="F198" i="4"/>
  <c r="G198" i="4" s="1"/>
  <c r="G227" i="4" s="1"/>
  <c r="G197" i="4"/>
  <c r="F197" i="4"/>
  <c r="O196" i="4"/>
  <c r="F196" i="4"/>
  <c r="U195" i="4"/>
  <c r="O195" i="4"/>
  <c r="T195" i="4" s="1"/>
  <c r="M195" i="4"/>
  <c r="G195" i="4"/>
  <c r="F195" i="4"/>
  <c r="U194" i="4"/>
  <c r="O194" i="4"/>
  <c r="F194" i="4"/>
  <c r="M194" i="4" s="1"/>
  <c r="T193" i="4"/>
  <c r="O193" i="4"/>
  <c r="X193" i="4" s="1"/>
  <c r="M193" i="4"/>
  <c r="G193" i="4"/>
  <c r="F193" i="4"/>
  <c r="V193" i="4" s="1"/>
  <c r="O182" i="4"/>
  <c r="N182" i="4"/>
  <c r="M182" i="4"/>
  <c r="L182" i="4"/>
  <c r="K182" i="4"/>
  <c r="J182" i="4"/>
  <c r="I182" i="4"/>
  <c r="H182" i="4"/>
  <c r="G182" i="4"/>
  <c r="F182" i="4"/>
  <c r="E182" i="4"/>
  <c r="D182" i="4"/>
  <c r="P181" i="4"/>
  <c r="P182" i="4" s="1"/>
  <c r="R182" i="4" s="1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P178" i="4"/>
  <c r="P176" i="4"/>
  <c r="R176" i="4" s="1"/>
  <c r="O176" i="4"/>
  <c r="N176" i="4"/>
  <c r="M176" i="4"/>
  <c r="L176" i="4"/>
  <c r="K176" i="4"/>
  <c r="J176" i="4"/>
  <c r="I176" i="4"/>
  <c r="H176" i="4"/>
  <c r="G176" i="4"/>
  <c r="F176" i="4"/>
  <c r="E176" i="4"/>
  <c r="D176" i="4"/>
  <c r="P175" i="4"/>
  <c r="P174" i="4"/>
  <c r="P173" i="4"/>
  <c r="P172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P169" i="4"/>
  <c r="P168" i="4"/>
  <c r="P167" i="4"/>
  <c r="P166" i="4"/>
  <c r="P165" i="4"/>
  <c r="P164" i="4"/>
  <c r="P170" i="4" s="1"/>
  <c r="R170" i="4" s="1"/>
  <c r="O162" i="4"/>
  <c r="N162" i="4"/>
  <c r="M162" i="4"/>
  <c r="L162" i="4"/>
  <c r="K162" i="4"/>
  <c r="J162" i="4"/>
  <c r="I162" i="4"/>
  <c r="H162" i="4"/>
  <c r="G162" i="4"/>
  <c r="F162" i="4"/>
  <c r="E162" i="4"/>
  <c r="D162" i="4"/>
  <c r="P161" i="4"/>
  <c r="P160" i="4"/>
  <c r="P159" i="4"/>
  <c r="P158" i="4"/>
  <c r="P157" i="4"/>
  <c r="P156" i="4"/>
  <c r="P162" i="4" s="1"/>
  <c r="R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P150" i="4"/>
  <c r="P151" i="4" s="1"/>
  <c r="R151" i="4" s="1"/>
  <c r="O148" i="4"/>
  <c r="N148" i="4"/>
  <c r="M148" i="4"/>
  <c r="L148" i="4"/>
  <c r="K148" i="4"/>
  <c r="J148" i="4"/>
  <c r="I148" i="4"/>
  <c r="H148" i="4"/>
  <c r="G148" i="4"/>
  <c r="F148" i="4"/>
  <c r="E148" i="4"/>
  <c r="D148" i="4"/>
  <c r="P147" i="4"/>
  <c r="P146" i="4"/>
  <c r="P145" i="4"/>
  <c r="P144" i="4"/>
  <c r="P143" i="4"/>
  <c r="P142" i="4"/>
  <c r="P141" i="4"/>
  <c r="P148" i="4" s="1"/>
  <c r="R148" i="4" s="1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9" i="4" s="1"/>
  <c r="R139" i="4" s="1"/>
  <c r="P137" i="4"/>
  <c r="P136" i="4"/>
  <c r="P135" i="4"/>
  <c r="P134" i="4"/>
  <c r="P133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P130" i="4"/>
  <c r="P131" i="4" s="1"/>
  <c r="O128" i="4"/>
  <c r="N128" i="4"/>
  <c r="M128" i="4"/>
  <c r="L128" i="4"/>
  <c r="K128" i="4"/>
  <c r="J128" i="4"/>
  <c r="I128" i="4"/>
  <c r="H128" i="4"/>
  <c r="G128" i="4"/>
  <c r="F128" i="4"/>
  <c r="E128" i="4"/>
  <c r="D128" i="4"/>
  <c r="P127" i="4"/>
  <c r="P126" i="4"/>
  <c r="P128" i="4" s="1"/>
  <c r="R128" i="4" s="1"/>
  <c r="P125" i="4"/>
  <c r="P124" i="4"/>
  <c r="O122" i="4"/>
  <c r="O184" i="4" s="1"/>
  <c r="N22" i="2" s="1"/>
  <c r="N122" i="4"/>
  <c r="N184" i="4" s="1"/>
  <c r="M22" i="2" s="1"/>
  <c r="M122" i="4"/>
  <c r="M184" i="4" s="1"/>
  <c r="L22" i="2" s="1"/>
  <c r="L122" i="4"/>
  <c r="L184" i="4" s="1"/>
  <c r="K22" i="2" s="1"/>
  <c r="K122" i="4"/>
  <c r="K184" i="4" s="1"/>
  <c r="J22" i="2" s="1"/>
  <c r="J122" i="4"/>
  <c r="J184" i="4" s="1"/>
  <c r="I22" i="2" s="1"/>
  <c r="I122" i="4"/>
  <c r="I184" i="4" s="1"/>
  <c r="H22" i="2" s="1"/>
  <c r="H122" i="4"/>
  <c r="H184" i="4" s="1"/>
  <c r="G22" i="2" s="1"/>
  <c r="G122" i="4"/>
  <c r="G184" i="4" s="1"/>
  <c r="F22" i="2" s="1"/>
  <c r="F19" i="2" s="1"/>
  <c r="F122" i="4"/>
  <c r="F184" i="4" s="1"/>
  <c r="E22" i="2" s="1"/>
  <c r="E19" i="2" s="1"/>
  <c r="E122" i="4"/>
  <c r="E184" i="4" s="1"/>
  <c r="D22" i="2" s="1"/>
  <c r="D19" i="2" s="1"/>
  <c r="D122" i="4"/>
  <c r="D184" i="4" s="1"/>
  <c r="C22" i="2" s="1"/>
  <c r="C19" i="2" s="1"/>
  <c r="P121" i="4"/>
  <c r="P120" i="4"/>
  <c r="P119" i="4"/>
  <c r="P118" i="4"/>
  <c r="P117" i="4"/>
  <c r="P116" i="4"/>
  <c r="P114" i="4"/>
  <c r="R114" i="4" s="1"/>
  <c r="O114" i="4"/>
  <c r="N114" i="4"/>
  <c r="M114" i="4"/>
  <c r="L114" i="4"/>
  <c r="K114" i="4"/>
  <c r="J114" i="4"/>
  <c r="I114" i="4"/>
  <c r="H114" i="4"/>
  <c r="G114" i="4"/>
  <c r="F114" i="4"/>
  <c r="E114" i="4"/>
  <c r="D114" i="4"/>
  <c r="P113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P110" i="4"/>
  <c r="P111" i="4" s="1"/>
  <c r="R111" i="4" s="1"/>
  <c r="O108" i="4"/>
  <c r="N108" i="4"/>
  <c r="M108" i="4"/>
  <c r="L108" i="4"/>
  <c r="K108" i="4"/>
  <c r="J108" i="4"/>
  <c r="I108" i="4"/>
  <c r="H108" i="4"/>
  <c r="G108" i="4"/>
  <c r="F108" i="4"/>
  <c r="E108" i="4"/>
  <c r="D108" i="4"/>
  <c r="P107" i="4"/>
  <c r="P106" i="4"/>
  <c r="P105" i="4"/>
  <c r="P104" i="4"/>
  <c r="P103" i="4"/>
  <c r="P108" i="4" s="1"/>
  <c r="R108" i="4" s="1"/>
  <c r="P100" i="4"/>
  <c r="P99" i="4"/>
  <c r="P98" i="4"/>
  <c r="P97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O51" i="4"/>
  <c r="N51" i="4"/>
  <c r="M51" i="4"/>
  <c r="L51" i="4"/>
  <c r="K51" i="4"/>
  <c r="J51" i="4"/>
  <c r="I51" i="4"/>
  <c r="H51" i="4"/>
  <c r="G51" i="4"/>
  <c r="F51" i="4"/>
  <c r="E51" i="4"/>
  <c r="D51" i="4"/>
  <c r="P50" i="4"/>
  <c r="P51" i="4" s="1"/>
  <c r="R51" i="4" s="1"/>
  <c r="O48" i="4"/>
  <c r="N48" i="4"/>
  <c r="M48" i="4"/>
  <c r="L48" i="4"/>
  <c r="K48" i="4"/>
  <c r="J48" i="4"/>
  <c r="I48" i="4"/>
  <c r="H48" i="4"/>
  <c r="G48" i="4"/>
  <c r="F48" i="4"/>
  <c r="E48" i="4"/>
  <c r="D48" i="4"/>
  <c r="P47" i="4"/>
  <c r="P48" i="4" s="1"/>
  <c r="R48" i="4" s="1"/>
  <c r="P40" i="4"/>
  <c r="R40" i="4" s="1"/>
  <c r="P39" i="4"/>
  <c r="R39" i="4" s="1"/>
  <c r="P38" i="4"/>
  <c r="R38" i="4" s="1"/>
  <c r="P37" i="4"/>
  <c r="R37" i="4" s="1"/>
  <c r="P36" i="4"/>
  <c r="P35" i="4"/>
  <c r="R35" i="4" s="1"/>
  <c r="P34" i="4"/>
  <c r="R34" i="4" s="1"/>
  <c r="P30" i="4"/>
  <c r="P29" i="4"/>
  <c r="O28" i="4"/>
  <c r="N28" i="4"/>
  <c r="M28" i="4"/>
  <c r="L28" i="4"/>
  <c r="K28" i="4"/>
  <c r="J28" i="4"/>
  <c r="I28" i="4"/>
  <c r="H28" i="4"/>
  <c r="G28" i="4"/>
  <c r="F28" i="4"/>
  <c r="E28" i="4"/>
  <c r="D28" i="4"/>
  <c r="O27" i="4"/>
  <c r="N27" i="4"/>
  <c r="M27" i="4"/>
  <c r="L27" i="4"/>
  <c r="K27" i="4"/>
  <c r="J27" i="4"/>
  <c r="I27" i="4"/>
  <c r="H27" i="4"/>
  <c r="G27" i="4"/>
  <c r="F27" i="4"/>
  <c r="E27" i="4"/>
  <c r="D27" i="4"/>
  <c r="P26" i="4"/>
  <c r="R26" i="4" s="1"/>
  <c r="O24" i="4"/>
  <c r="N24" i="4"/>
  <c r="M24" i="4"/>
  <c r="L24" i="4"/>
  <c r="K24" i="4"/>
  <c r="J24" i="4"/>
  <c r="I24" i="4"/>
  <c r="H24" i="4"/>
  <c r="G24" i="4"/>
  <c r="F24" i="4"/>
  <c r="E24" i="4"/>
  <c r="D24" i="4"/>
  <c r="P23" i="4"/>
  <c r="R23" i="4" s="1"/>
  <c r="P21" i="4"/>
  <c r="R21" i="4" s="1"/>
  <c r="P20" i="4"/>
  <c r="R20" i="4" s="1"/>
  <c r="P18" i="4"/>
  <c r="R18" i="4" s="1"/>
  <c r="P17" i="4"/>
  <c r="R17" i="4" s="1"/>
  <c r="P16" i="4"/>
  <c r="R16" i="4" s="1"/>
  <c r="O15" i="4"/>
  <c r="N15" i="4"/>
  <c r="M15" i="4"/>
  <c r="L15" i="4"/>
  <c r="K15" i="4"/>
  <c r="J15" i="4"/>
  <c r="I15" i="4"/>
  <c r="H15" i="4"/>
  <c r="G15" i="4"/>
  <c r="F15" i="4"/>
  <c r="E15" i="4"/>
  <c r="D15" i="4"/>
  <c r="O14" i="4"/>
  <c r="N14" i="4"/>
  <c r="M14" i="4"/>
  <c r="L14" i="4"/>
  <c r="K14" i="4"/>
  <c r="J14" i="4"/>
  <c r="I14" i="4"/>
  <c r="H14" i="4"/>
  <c r="G14" i="4"/>
  <c r="F14" i="4"/>
  <c r="E14" i="4"/>
  <c r="D14" i="4"/>
  <c r="O13" i="4"/>
  <c r="N13" i="4"/>
  <c r="M13" i="4"/>
  <c r="L13" i="4"/>
  <c r="K13" i="4"/>
  <c r="J13" i="4"/>
  <c r="I13" i="4"/>
  <c r="H13" i="4"/>
  <c r="G13" i="4"/>
  <c r="F13" i="4"/>
  <c r="E13" i="4"/>
  <c r="D13" i="4"/>
  <c r="P12" i="4"/>
  <c r="R12" i="4" s="1"/>
  <c r="O10" i="4"/>
  <c r="N10" i="4"/>
  <c r="M10" i="4"/>
  <c r="L10" i="4"/>
  <c r="K10" i="4"/>
  <c r="J10" i="4"/>
  <c r="I10" i="4"/>
  <c r="H10" i="4"/>
  <c r="G10" i="4"/>
  <c r="F10" i="4"/>
  <c r="E10" i="4"/>
  <c r="D10" i="4"/>
  <c r="O6" i="4"/>
  <c r="P6" i="4" s="1"/>
  <c r="N6" i="4"/>
  <c r="M6" i="4"/>
  <c r="L6" i="4"/>
  <c r="K6" i="4"/>
  <c r="J6" i="4"/>
  <c r="I6" i="4"/>
  <c r="H6" i="4"/>
  <c r="G6" i="4"/>
  <c r="F6" i="4"/>
  <c r="E6" i="4"/>
  <c r="D6" i="4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E2" i="4"/>
  <c r="H49" i="2" l="1"/>
  <c r="H46" i="2" s="1"/>
  <c r="H19" i="2"/>
  <c r="I49" i="2"/>
  <c r="I46" i="2" s="1"/>
  <c r="I19" i="2"/>
  <c r="J49" i="2"/>
  <c r="J19" i="2"/>
  <c r="L49" i="2"/>
  <c r="L46" i="2" s="1"/>
  <c r="L19" i="2"/>
  <c r="M49" i="2"/>
  <c r="M46" i="2" s="1"/>
  <c r="M19" i="2"/>
  <c r="N49" i="2"/>
  <c r="N46" i="2" s="1"/>
  <c r="N19" i="2"/>
  <c r="G49" i="2"/>
  <c r="G46" i="2" s="1"/>
  <c r="G19" i="2"/>
  <c r="K49" i="2"/>
  <c r="K46" i="2" s="1"/>
  <c r="K19" i="2"/>
  <c r="O22" i="2"/>
  <c r="P122" i="4"/>
  <c r="T196" i="4"/>
  <c r="V195" i="4"/>
  <c r="X195" i="4"/>
  <c r="R205" i="4"/>
  <c r="O225" i="4"/>
  <c r="U212" i="4"/>
  <c r="G219" i="4"/>
  <c r="X223" i="4"/>
  <c r="T223" i="4"/>
  <c r="R199" i="4"/>
  <c r="U199" i="4" s="1"/>
  <c r="U206" i="4"/>
  <c r="G213" i="4"/>
  <c r="R223" i="4"/>
  <c r="R206" i="4"/>
  <c r="M213" i="4"/>
  <c r="O217" i="4"/>
  <c r="X217" i="4" s="1"/>
  <c r="O220" i="4"/>
  <c r="T220" i="4" s="1"/>
  <c r="T217" i="4"/>
  <c r="O224" i="4"/>
  <c r="P10" i="4"/>
  <c r="R10" i="4" s="1"/>
  <c r="U200" i="4"/>
  <c r="G207" i="4"/>
  <c r="R217" i="4"/>
  <c r="P224" i="4"/>
  <c r="M207" i="4"/>
  <c r="G205" i="4"/>
  <c r="O207" i="4"/>
  <c r="P211" i="4"/>
  <c r="P214" i="4"/>
  <c r="R214" i="4" s="1"/>
  <c r="O218" i="4"/>
  <c r="G201" i="4"/>
  <c r="M205" i="4"/>
  <c r="T208" i="4"/>
  <c r="P218" i="4"/>
  <c r="G225" i="4"/>
  <c r="M201" i="4"/>
  <c r="O205" i="4"/>
  <c r="X205" i="4" s="1"/>
  <c r="V223" i="4"/>
  <c r="M225" i="4"/>
  <c r="P15" i="4"/>
  <c r="R15" i="4" s="1"/>
  <c r="P27" i="4"/>
  <c r="R27" i="4" s="1"/>
  <c r="P28" i="4"/>
  <c r="R28" i="4" s="1"/>
  <c r="P13" i="4"/>
  <c r="R13" i="4" s="1"/>
  <c r="P24" i="4"/>
  <c r="R24" i="4" s="1"/>
  <c r="P14" i="4"/>
  <c r="R14" i="4" s="1"/>
  <c r="R225" i="4"/>
  <c r="V225" i="4" s="1"/>
  <c r="R207" i="4"/>
  <c r="T207" i="4" s="1"/>
  <c r="X220" i="4"/>
  <c r="X202" i="4"/>
  <c r="V202" i="4"/>
  <c r="U202" i="4"/>
  <c r="R213" i="4"/>
  <c r="U213" i="4" s="1"/>
  <c r="X226" i="4"/>
  <c r="V226" i="4"/>
  <c r="U226" i="4"/>
  <c r="X196" i="4"/>
  <c r="V196" i="4"/>
  <c r="U196" i="4"/>
  <c r="R201" i="4"/>
  <c r="X201" i="4" s="1"/>
  <c r="X208" i="4"/>
  <c r="V208" i="4"/>
  <c r="U208" i="4"/>
  <c r="X216" i="4"/>
  <c r="R219" i="4"/>
  <c r="U219" i="4" s="1"/>
  <c r="T202" i="4"/>
  <c r="T226" i="4"/>
  <c r="R36" i="4"/>
  <c r="T194" i="4"/>
  <c r="M198" i="4"/>
  <c r="T200" i="4"/>
  <c r="M204" i="4"/>
  <c r="T206" i="4"/>
  <c r="M210" i="4"/>
  <c r="T212" i="4"/>
  <c r="M216" i="4"/>
  <c r="M222" i="4"/>
  <c r="O198" i="4"/>
  <c r="O204" i="4"/>
  <c r="V204" i="4" s="1"/>
  <c r="O210" i="4"/>
  <c r="O216" i="4"/>
  <c r="T216" i="4" s="1"/>
  <c r="O222" i="4"/>
  <c r="V194" i="4"/>
  <c r="M197" i="4"/>
  <c r="R227" i="4"/>
  <c r="V200" i="4"/>
  <c r="M203" i="4"/>
  <c r="P204" i="4"/>
  <c r="R204" i="4" s="1"/>
  <c r="V206" i="4"/>
  <c r="M209" i="4"/>
  <c r="P210" i="4"/>
  <c r="R210" i="4" s="1"/>
  <c r="V212" i="4"/>
  <c r="M215" i="4"/>
  <c r="P216" i="4"/>
  <c r="R216" i="4" s="1"/>
  <c r="M221" i="4"/>
  <c r="P222" i="4"/>
  <c r="R222" i="4" s="1"/>
  <c r="F227" i="4"/>
  <c r="U193" i="4"/>
  <c r="X194" i="4"/>
  <c r="G196" i="4"/>
  <c r="O197" i="4"/>
  <c r="V197" i="4" s="1"/>
  <c r="X200" i="4"/>
  <c r="G202" i="4"/>
  <c r="O203" i="4"/>
  <c r="X206" i="4"/>
  <c r="G208" i="4"/>
  <c r="O209" i="4"/>
  <c r="V209" i="4" s="1"/>
  <c r="X212" i="4"/>
  <c r="G214" i="4"/>
  <c r="O215" i="4"/>
  <c r="T215" i="4" s="1"/>
  <c r="G220" i="4"/>
  <c r="O221" i="4"/>
  <c r="U223" i="4"/>
  <c r="G226" i="4"/>
  <c r="M196" i="4"/>
  <c r="M202" i="4"/>
  <c r="P203" i="4"/>
  <c r="R203" i="4" s="1"/>
  <c r="M208" i="4"/>
  <c r="P209" i="4"/>
  <c r="R209" i="4" s="1"/>
  <c r="M214" i="4"/>
  <c r="P215" i="4"/>
  <c r="R215" i="4" s="1"/>
  <c r="M220" i="4"/>
  <c r="P221" i="4"/>
  <c r="R221" i="4" s="1"/>
  <c r="T222" i="4"/>
  <c r="M226" i="4"/>
  <c r="T209" i="4"/>
  <c r="V216" i="4"/>
  <c r="G194" i="4"/>
  <c r="G200" i="4"/>
  <c r="G206" i="4"/>
  <c r="G212" i="4"/>
  <c r="G218" i="4"/>
  <c r="U221" i="4"/>
  <c r="G224" i="4"/>
  <c r="O19" i="2" l="1"/>
  <c r="O49" i="2"/>
  <c r="J46" i="2"/>
  <c r="O46" i="2" s="1"/>
  <c r="V198" i="4"/>
  <c r="R122" i="4"/>
  <c r="U198" i="4"/>
  <c r="V207" i="4"/>
  <c r="R211" i="4"/>
  <c r="U211" i="4" s="1"/>
  <c r="M227" i="4"/>
  <c r="M25" i="4" s="1"/>
  <c r="X207" i="4"/>
  <c r="T199" i="4"/>
  <c r="V224" i="4"/>
  <c r="V213" i="4"/>
  <c r="X213" i="4"/>
  <c r="U214" i="4"/>
  <c r="T204" i="4"/>
  <c r="U204" i="4"/>
  <c r="U207" i="4"/>
  <c r="V217" i="4"/>
  <c r="U205" i="4"/>
  <c r="V214" i="4"/>
  <c r="V199" i="4"/>
  <c r="X199" i="4"/>
  <c r="V221" i="4"/>
  <c r="X214" i="4"/>
  <c r="V205" i="4"/>
  <c r="V222" i="4"/>
  <c r="R218" i="4"/>
  <c r="U218" i="4" s="1"/>
  <c r="R224" i="4"/>
  <c r="T224" i="4" s="1"/>
  <c r="U220" i="4"/>
  <c r="T221" i="4"/>
  <c r="U217" i="4"/>
  <c r="V220" i="4"/>
  <c r="T214" i="4"/>
  <c r="T205" i="4"/>
  <c r="G25" i="4"/>
  <c r="F25" i="4"/>
  <c r="E25" i="4"/>
  <c r="D25" i="4"/>
  <c r="O25" i="4"/>
  <c r="T201" i="4"/>
  <c r="V203" i="4"/>
  <c r="P227" i="4"/>
  <c r="U215" i="4"/>
  <c r="T198" i="4"/>
  <c r="V219" i="4"/>
  <c r="X219" i="4"/>
  <c r="X215" i="4"/>
  <c r="X198" i="4"/>
  <c r="V215" i="4"/>
  <c r="X203" i="4"/>
  <c r="U225" i="4"/>
  <c r="T197" i="4"/>
  <c r="U222" i="4"/>
  <c r="X225" i="4"/>
  <c r="T219" i="4"/>
  <c r="O227" i="4"/>
  <c r="D11" i="4" s="1"/>
  <c r="U201" i="4"/>
  <c r="X210" i="4"/>
  <c r="V210" i="4"/>
  <c r="V201" i="4"/>
  <c r="X204" i="4"/>
  <c r="O8" i="4"/>
  <c r="N8" i="4"/>
  <c r="M8" i="4"/>
  <c r="I8" i="4"/>
  <c r="H8" i="4"/>
  <c r="G8" i="4"/>
  <c r="L8" i="4"/>
  <c r="K8" i="4"/>
  <c r="J8" i="4"/>
  <c r="X221" i="4"/>
  <c r="U209" i="4"/>
  <c r="T203" i="4"/>
  <c r="X209" i="4"/>
  <c r="T225" i="4"/>
  <c r="U203" i="4"/>
  <c r="X197" i="4"/>
  <c r="U197" i="4"/>
  <c r="T210" i="4"/>
  <c r="U216" i="4"/>
  <c r="T213" i="4"/>
  <c r="X222" i="4"/>
  <c r="U210" i="4"/>
  <c r="U224" i="4" l="1"/>
  <c r="V211" i="4"/>
  <c r="V227" i="4" s="1"/>
  <c r="T211" i="4"/>
  <c r="T227" i="4" s="1"/>
  <c r="U227" i="4"/>
  <c r="T218" i="4"/>
  <c r="I25" i="4"/>
  <c r="J25" i="4"/>
  <c r="N25" i="4"/>
  <c r="X211" i="4"/>
  <c r="X227" i="4" s="1"/>
  <c r="H25" i="4"/>
  <c r="P25" i="4" s="1"/>
  <c r="R25" i="4" s="1"/>
  <c r="V218" i="4"/>
  <c r="X218" i="4"/>
  <c r="K25" i="4"/>
  <c r="L25" i="4"/>
  <c r="X224" i="4"/>
  <c r="P8" i="4"/>
  <c r="L11" i="4"/>
  <c r="K11" i="4"/>
  <c r="J11" i="4"/>
  <c r="I11" i="4"/>
  <c r="F11" i="4"/>
  <c r="E11" i="4"/>
  <c r="O11" i="4"/>
  <c r="H11" i="4"/>
  <c r="N11" i="4"/>
  <c r="M11" i="4"/>
  <c r="G11" i="4"/>
  <c r="M22" i="4"/>
  <c r="L22" i="4"/>
  <c r="K22" i="4"/>
  <c r="J22" i="4"/>
  <c r="I22" i="4"/>
  <c r="F22" i="4"/>
  <c r="E22" i="4"/>
  <c r="D22" i="4"/>
  <c r="G22" i="4"/>
  <c r="O22" i="4"/>
  <c r="N22" i="4"/>
  <c r="H22" i="4"/>
  <c r="L19" i="4" l="1"/>
  <c r="L31" i="4" s="1"/>
  <c r="L42" i="4" s="1"/>
  <c r="L41" i="4" s="1"/>
  <c r="L43" i="4" s="1"/>
  <c r="L45" i="4" s="1"/>
  <c r="K17" i="2" s="1"/>
  <c r="K44" i="2" s="1"/>
  <c r="K19" i="4"/>
  <c r="K31" i="4" s="1"/>
  <c r="K42" i="4" s="1"/>
  <c r="K41" i="4" s="1"/>
  <c r="K43" i="4" s="1"/>
  <c r="K45" i="4" s="1"/>
  <c r="J17" i="2" s="1"/>
  <c r="J44" i="2" s="1"/>
  <c r="D19" i="4"/>
  <c r="D31" i="4" s="1"/>
  <c r="H19" i="4"/>
  <c r="H31" i="4" s="1"/>
  <c r="G19" i="4"/>
  <c r="G31" i="4" s="1"/>
  <c r="E19" i="4"/>
  <c r="E31" i="4" s="1"/>
  <c r="E42" i="4" s="1"/>
  <c r="E41" i="4" s="1"/>
  <c r="E43" i="4" s="1"/>
  <c r="E45" i="4" s="1"/>
  <c r="D17" i="2" s="1"/>
  <c r="J19" i="4"/>
  <c r="J31" i="4" s="1"/>
  <c r="J42" i="4" s="1"/>
  <c r="J41" i="4" s="1"/>
  <c r="J43" i="4" s="1"/>
  <c r="J45" i="4" s="1"/>
  <c r="I17" i="2" s="1"/>
  <c r="I44" i="2" s="1"/>
  <c r="N19" i="4"/>
  <c r="N31" i="4" s="1"/>
  <c r="O19" i="4"/>
  <c r="W19" i="4" s="1"/>
  <c r="F19" i="4"/>
  <c r="F31" i="4" s="1"/>
  <c r="F42" i="4" s="1"/>
  <c r="F41" i="4" s="1"/>
  <c r="F43" i="4" s="1"/>
  <c r="F45" i="4" s="1"/>
  <c r="E17" i="2" s="1"/>
  <c r="I19" i="4"/>
  <c r="I31" i="4" s="1"/>
  <c r="I42" i="4" s="1"/>
  <c r="I41" i="4" s="1"/>
  <c r="I43" i="4" s="1"/>
  <c r="I45" i="4" s="1"/>
  <c r="H17" i="2" s="1"/>
  <c r="H44" i="2" s="1"/>
  <c r="M19" i="4"/>
  <c r="M31" i="4" s="1"/>
  <c r="P22" i="4"/>
  <c r="P11" i="4"/>
  <c r="O31" i="4" l="1"/>
  <c r="O42" i="4" s="1"/>
  <c r="O41" i="4" s="1"/>
  <c r="O43" i="4" s="1"/>
  <c r="P19" i="4"/>
  <c r="P31" i="4" s="1"/>
  <c r="M42" i="4"/>
  <c r="M41" i="4" s="1"/>
  <c r="M43" i="4" s="1"/>
  <c r="M45" i="4" s="1"/>
  <c r="L17" i="2" s="1"/>
  <c r="L44" i="2" s="1"/>
  <c r="G42" i="4"/>
  <c r="G41" i="4" s="1"/>
  <c r="G43" i="4" s="1"/>
  <c r="G45" i="4" s="1"/>
  <c r="F17" i="2" s="1"/>
  <c r="H42" i="4"/>
  <c r="H41" i="4" s="1"/>
  <c r="H43" i="4" s="1"/>
  <c r="H45" i="4" s="1"/>
  <c r="G17" i="2" s="1"/>
  <c r="G44" i="2" s="1"/>
  <c r="N42" i="4"/>
  <c r="N41" i="4" s="1"/>
  <c r="N43" i="4" s="1"/>
  <c r="N45" i="4" s="1"/>
  <c r="M17" i="2" s="1"/>
  <c r="M44" i="2" s="1"/>
  <c r="D42" i="4"/>
  <c r="O45" i="4" l="1"/>
  <c r="D41" i="4"/>
  <c r="P42" i="4"/>
  <c r="N17" i="2" l="1"/>
  <c r="N44" i="2" s="1"/>
  <c r="P41" i="4"/>
  <c r="D43" i="4"/>
  <c r="D45" i="4" s="1"/>
  <c r="C17" i="2" s="1"/>
  <c r="O17" i="2" l="1"/>
  <c r="P43" i="4"/>
  <c r="P45" i="4" l="1"/>
  <c r="R45" i="4" l="1"/>
  <c r="R101" i="4"/>
  <c r="R184" i="4"/>
  <c r="R131" i="4"/>
  <c r="R162" i="4"/>
  <c r="R179" i="4"/>
  <c r="R19" i="4"/>
  <c r="R8" i="4"/>
  <c r="R11" i="4"/>
  <c r="R22" i="4"/>
  <c r="R31" i="4"/>
  <c r="R42" i="4"/>
  <c r="R41" i="4"/>
  <c r="R43" i="4"/>
  <c r="H8" i="3" l="1"/>
  <c r="H11" i="3" s="1"/>
  <c r="C15" i="2" s="1"/>
  <c r="K7" i="3"/>
  <c r="S7" i="3" s="1"/>
  <c r="R7" i="3"/>
  <c r="K6" i="3"/>
  <c r="S6" i="3" s="1"/>
  <c r="R6" i="3"/>
  <c r="K5" i="3"/>
  <c r="S5" i="3" s="1"/>
  <c r="R5" i="3"/>
  <c r="N4" i="3"/>
  <c r="N8" i="3" s="1"/>
  <c r="K4" i="3"/>
  <c r="S4" i="3" s="1"/>
  <c r="R4" i="3"/>
  <c r="T4" i="3" s="1"/>
  <c r="U4" i="3" s="1"/>
  <c r="K3" i="3"/>
  <c r="S3" i="3" s="1"/>
  <c r="R3" i="3"/>
  <c r="K2" i="3"/>
  <c r="S2" i="3" s="1"/>
  <c r="R2" i="3"/>
  <c r="T2" i="3" l="1"/>
  <c r="U2" i="3" s="1"/>
  <c r="D15" i="2"/>
  <c r="T7" i="3"/>
  <c r="U7" i="3" s="1"/>
  <c r="T6" i="3"/>
  <c r="U6" i="3" s="1"/>
  <c r="T3" i="3"/>
  <c r="U3" i="3" s="1"/>
  <c r="T5" i="3"/>
  <c r="U5" i="3" s="1"/>
  <c r="K8" i="3"/>
  <c r="E15" i="2" l="1"/>
  <c r="O45" i="2"/>
  <c r="O44" i="2"/>
  <c r="O4" i="2"/>
  <c r="O24" i="2"/>
  <c r="O25" i="2"/>
  <c r="O31" i="2"/>
  <c r="O32" i="2"/>
  <c r="C39" i="2"/>
  <c r="D39" i="2"/>
  <c r="E39" i="2"/>
  <c r="F39" i="2"/>
  <c r="G39" i="2"/>
  <c r="H39" i="2"/>
  <c r="I39" i="2"/>
  <c r="J39" i="2"/>
  <c r="K39" i="2"/>
  <c r="L39" i="2"/>
  <c r="M39" i="2"/>
  <c r="N39" i="2"/>
  <c r="O53" i="2"/>
  <c r="O54" i="2"/>
  <c r="F15" i="2" l="1"/>
  <c r="O39" i="2"/>
  <c r="G15" i="2" l="1"/>
  <c r="G42" i="2" s="1"/>
  <c r="H15" i="2" l="1"/>
  <c r="H42" i="2" s="1"/>
  <c r="I15" i="2" l="1"/>
  <c r="I42" i="2" s="1"/>
  <c r="J15" i="2" l="1"/>
  <c r="J42" i="2" s="1"/>
  <c r="K15" i="2" l="1"/>
  <c r="K42" i="2" s="1"/>
  <c r="L15" i="2" l="1"/>
  <c r="L42" i="2" s="1"/>
  <c r="M15" i="2" l="1"/>
  <c r="M42" i="2" s="1"/>
  <c r="N15" i="2" l="1"/>
  <c r="O15" i="2" l="1"/>
  <c r="N42" i="2"/>
  <c r="O42" i="2" s="1"/>
  <c r="W180" i="1"/>
  <c r="S180" i="1"/>
  <c r="Q180" i="1"/>
  <c r="N180" i="1"/>
  <c r="L180" i="1"/>
  <c r="K180" i="1"/>
  <c r="J180" i="1"/>
  <c r="K24" i="1" s="1"/>
  <c r="I180" i="1"/>
  <c r="L15" i="1" s="1"/>
  <c r="H180" i="1"/>
  <c r="O28" i="1" s="1"/>
  <c r="E180" i="1"/>
  <c r="D180" i="1"/>
  <c r="F179" i="1"/>
  <c r="F178" i="1"/>
  <c r="P178" i="1" s="1"/>
  <c r="F177" i="1"/>
  <c r="M177" i="1" s="1"/>
  <c r="O176" i="1"/>
  <c r="M176" i="1"/>
  <c r="G176" i="1"/>
  <c r="F176" i="1"/>
  <c r="P176" i="1" s="1"/>
  <c r="P175" i="1"/>
  <c r="M175" i="1"/>
  <c r="F175" i="1"/>
  <c r="F174" i="1"/>
  <c r="M174" i="1" s="1"/>
  <c r="F173" i="1"/>
  <c r="F172" i="1"/>
  <c r="P172" i="1" s="1"/>
  <c r="P171" i="1"/>
  <c r="O171" i="1"/>
  <c r="F171" i="1"/>
  <c r="M171" i="1" s="1"/>
  <c r="P170" i="1"/>
  <c r="O170" i="1"/>
  <c r="M170" i="1"/>
  <c r="F170" i="1"/>
  <c r="G170" i="1" s="1"/>
  <c r="F169" i="1"/>
  <c r="P169" i="1" s="1"/>
  <c r="F168" i="1"/>
  <c r="M168" i="1" s="1"/>
  <c r="F167" i="1"/>
  <c r="G166" i="1"/>
  <c r="F166" i="1"/>
  <c r="P166" i="1" s="1"/>
  <c r="P165" i="1"/>
  <c r="O165" i="1"/>
  <c r="X165" i="1" s="1"/>
  <c r="F165" i="1"/>
  <c r="M165" i="1" s="1"/>
  <c r="F164" i="1"/>
  <c r="P164" i="1" s="1"/>
  <c r="P163" i="1"/>
  <c r="M163" i="1"/>
  <c r="F163" i="1"/>
  <c r="F162" i="1"/>
  <c r="M162" i="1" s="1"/>
  <c r="F161" i="1"/>
  <c r="F160" i="1"/>
  <c r="P160" i="1" s="1"/>
  <c r="F159" i="1"/>
  <c r="M159" i="1" s="1"/>
  <c r="O158" i="1"/>
  <c r="M158" i="1"/>
  <c r="G158" i="1"/>
  <c r="F158" i="1"/>
  <c r="P158" i="1" s="1"/>
  <c r="P157" i="1"/>
  <c r="M157" i="1"/>
  <c r="F157" i="1"/>
  <c r="F156" i="1"/>
  <c r="M156" i="1" s="1"/>
  <c r="F155" i="1"/>
  <c r="F154" i="1"/>
  <c r="P154" i="1" s="1"/>
  <c r="F153" i="1"/>
  <c r="M153" i="1" s="1"/>
  <c r="P152" i="1"/>
  <c r="O152" i="1"/>
  <c r="M152" i="1"/>
  <c r="F152" i="1"/>
  <c r="G152" i="1" s="1"/>
  <c r="M151" i="1"/>
  <c r="G151" i="1"/>
  <c r="G150" i="1"/>
  <c r="F150" i="1"/>
  <c r="F149" i="1"/>
  <c r="O149" i="1" s="1"/>
  <c r="F148" i="1"/>
  <c r="O148" i="1" s="1"/>
  <c r="U147" i="1"/>
  <c r="T147" i="1"/>
  <c r="O147" i="1"/>
  <c r="M147" i="1"/>
  <c r="F147" i="1"/>
  <c r="G147" i="1" s="1"/>
  <c r="F146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P134" i="1"/>
  <c r="P135" i="1" s="1"/>
  <c r="R135" i="1" s="1"/>
  <c r="D131" i="1"/>
  <c r="D132" i="1" s="1"/>
  <c r="O129" i="1"/>
  <c r="N129" i="1"/>
  <c r="M129" i="1"/>
  <c r="L129" i="1"/>
  <c r="K129" i="1"/>
  <c r="J129" i="1"/>
  <c r="I129" i="1"/>
  <c r="H129" i="1"/>
  <c r="G129" i="1"/>
  <c r="F129" i="1"/>
  <c r="E129" i="1"/>
  <c r="D129" i="1"/>
  <c r="P128" i="1"/>
  <c r="P129" i="1" s="1"/>
  <c r="R129" i="1" s="1"/>
  <c r="P127" i="1"/>
  <c r="P126" i="1"/>
  <c r="P125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P122" i="1"/>
  <c r="P121" i="1"/>
  <c r="P120" i="1"/>
  <c r="P119" i="1"/>
  <c r="P118" i="1"/>
  <c r="P117" i="1"/>
  <c r="P123" i="1" s="1"/>
  <c r="R123" i="1" s="1"/>
  <c r="J115" i="1"/>
  <c r="I115" i="1"/>
  <c r="G115" i="1"/>
  <c r="F115" i="1"/>
  <c r="E115" i="1"/>
  <c r="P114" i="1"/>
  <c r="P113" i="1"/>
  <c r="O112" i="1"/>
  <c r="O115" i="1" s="1"/>
  <c r="N112" i="1"/>
  <c r="N115" i="1" s="1"/>
  <c r="M112" i="1"/>
  <c r="M115" i="1" s="1"/>
  <c r="L112" i="1"/>
  <c r="L115" i="1" s="1"/>
  <c r="K112" i="1"/>
  <c r="K115" i="1" s="1"/>
  <c r="J112" i="1"/>
  <c r="I112" i="1"/>
  <c r="H112" i="1"/>
  <c r="H115" i="1" s="1"/>
  <c r="G112" i="1"/>
  <c r="F112" i="1"/>
  <c r="E112" i="1"/>
  <c r="D112" i="1"/>
  <c r="D115" i="1" s="1"/>
  <c r="P111" i="1"/>
  <c r="P110" i="1"/>
  <c r="P109" i="1"/>
  <c r="P107" i="1"/>
  <c r="R107" i="1" s="1"/>
  <c r="O107" i="1"/>
  <c r="N107" i="1"/>
  <c r="M107" i="1"/>
  <c r="L107" i="1"/>
  <c r="K107" i="1"/>
  <c r="J107" i="1"/>
  <c r="I107" i="1"/>
  <c r="H107" i="1"/>
  <c r="G107" i="1"/>
  <c r="F107" i="1"/>
  <c r="E107" i="1"/>
  <c r="D107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P103" i="1"/>
  <c r="P104" i="1" s="1"/>
  <c r="R104" i="1" s="1"/>
  <c r="O101" i="1"/>
  <c r="N101" i="1"/>
  <c r="M101" i="1"/>
  <c r="L101" i="1"/>
  <c r="K101" i="1"/>
  <c r="J101" i="1"/>
  <c r="I101" i="1"/>
  <c r="H101" i="1"/>
  <c r="G101" i="1"/>
  <c r="F101" i="1"/>
  <c r="E101" i="1"/>
  <c r="D101" i="1"/>
  <c r="P100" i="1"/>
  <c r="P99" i="1"/>
  <c r="P98" i="1"/>
  <c r="P97" i="1"/>
  <c r="P96" i="1"/>
  <c r="P95" i="1"/>
  <c r="P94" i="1"/>
  <c r="P101" i="1" s="1"/>
  <c r="R101" i="1" s="1"/>
  <c r="O92" i="1"/>
  <c r="N92" i="1"/>
  <c r="M92" i="1"/>
  <c r="L92" i="1"/>
  <c r="K92" i="1"/>
  <c r="J92" i="1"/>
  <c r="I92" i="1"/>
  <c r="H92" i="1"/>
  <c r="G92" i="1"/>
  <c r="F92" i="1"/>
  <c r="E92" i="1"/>
  <c r="D92" i="1"/>
  <c r="P91" i="1"/>
  <c r="P92" i="1" s="1"/>
  <c r="R92" i="1" s="1"/>
  <c r="P90" i="1"/>
  <c r="P89" i="1"/>
  <c r="P88" i="1"/>
  <c r="P87" i="1"/>
  <c r="P86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P83" i="1"/>
  <c r="O81" i="1"/>
  <c r="N81" i="1"/>
  <c r="M81" i="1"/>
  <c r="L81" i="1"/>
  <c r="K81" i="1"/>
  <c r="J81" i="1"/>
  <c r="I81" i="1"/>
  <c r="H81" i="1"/>
  <c r="G81" i="1"/>
  <c r="F81" i="1"/>
  <c r="E81" i="1"/>
  <c r="D81" i="1"/>
  <c r="P80" i="1"/>
  <c r="P79" i="1"/>
  <c r="P81" i="1" s="1"/>
  <c r="R81" i="1" s="1"/>
  <c r="P78" i="1"/>
  <c r="P77" i="1"/>
  <c r="O75" i="1"/>
  <c r="N75" i="1"/>
  <c r="M75" i="1"/>
  <c r="L75" i="1"/>
  <c r="K75" i="1"/>
  <c r="J75" i="1"/>
  <c r="I75" i="1"/>
  <c r="H75" i="1"/>
  <c r="G75" i="1"/>
  <c r="F75" i="1"/>
  <c r="E75" i="1"/>
  <c r="D75" i="1"/>
  <c r="P74" i="1"/>
  <c r="P73" i="1"/>
  <c r="P72" i="1"/>
  <c r="P71" i="1"/>
  <c r="P70" i="1"/>
  <c r="P75" i="1" s="1"/>
  <c r="R75" i="1" s="1"/>
  <c r="P69" i="1"/>
  <c r="P67" i="1"/>
  <c r="R67" i="1" s="1"/>
  <c r="O67" i="1"/>
  <c r="N67" i="1"/>
  <c r="M67" i="1"/>
  <c r="L67" i="1"/>
  <c r="K67" i="1"/>
  <c r="J67" i="1"/>
  <c r="I67" i="1"/>
  <c r="H67" i="1"/>
  <c r="G67" i="1"/>
  <c r="F67" i="1"/>
  <c r="E67" i="1"/>
  <c r="D67" i="1"/>
  <c r="P66" i="1"/>
  <c r="O64" i="1"/>
  <c r="N64" i="1"/>
  <c r="M64" i="1"/>
  <c r="L64" i="1"/>
  <c r="K64" i="1"/>
  <c r="J64" i="1"/>
  <c r="I64" i="1"/>
  <c r="H64" i="1"/>
  <c r="G64" i="1"/>
  <c r="F64" i="1"/>
  <c r="E64" i="1"/>
  <c r="D64" i="1"/>
  <c r="P63" i="1"/>
  <c r="P64" i="1" s="1"/>
  <c r="R64" i="1" s="1"/>
  <c r="O61" i="1"/>
  <c r="N61" i="1"/>
  <c r="M61" i="1"/>
  <c r="L61" i="1"/>
  <c r="K61" i="1"/>
  <c r="J61" i="1"/>
  <c r="I61" i="1"/>
  <c r="H61" i="1"/>
  <c r="G61" i="1"/>
  <c r="F61" i="1"/>
  <c r="E61" i="1"/>
  <c r="D61" i="1"/>
  <c r="P60" i="1"/>
  <c r="P59" i="1"/>
  <c r="P58" i="1"/>
  <c r="P57" i="1"/>
  <c r="P56" i="1"/>
  <c r="P61" i="1" s="1"/>
  <c r="R61" i="1" s="1"/>
  <c r="O54" i="1"/>
  <c r="N54" i="1"/>
  <c r="M54" i="1"/>
  <c r="L54" i="1"/>
  <c r="K54" i="1"/>
  <c r="J54" i="1"/>
  <c r="I54" i="1"/>
  <c r="H54" i="1"/>
  <c r="G54" i="1"/>
  <c r="F54" i="1"/>
  <c r="E54" i="1"/>
  <c r="D54" i="1"/>
  <c r="P53" i="1"/>
  <c r="P54" i="1" s="1"/>
  <c r="P51" i="1"/>
  <c r="R51" i="1" s="1"/>
  <c r="O51" i="1"/>
  <c r="N51" i="1"/>
  <c r="M51" i="1"/>
  <c r="L51" i="1"/>
  <c r="K51" i="1"/>
  <c r="J51" i="1"/>
  <c r="I51" i="1"/>
  <c r="H51" i="1"/>
  <c r="G51" i="1"/>
  <c r="F51" i="1"/>
  <c r="E51" i="1"/>
  <c r="D51" i="1"/>
  <c r="P50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P47" i="1"/>
  <c r="P40" i="1"/>
  <c r="R40" i="1" s="1"/>
  <c r="P39" i="1"/>
  <c r="R39" i="1" s="1"/>
  <c r="P38" i="1"/>
  <c r="R38" i="1" s="1"/>
  <c r="P37" i="1"/>
  <c r="R37" i="1" s="1"/>
  <c r="P36" i="1"/>
  <c r="R36" i="1" s="1"/>
  <c r="P35" i="1"/>
  <c r="R35" i="1" s="1"/>
  <c r="P34" i="1"/>
  <c r="R34" i="1" s="1"/>
  <c r="P30" i="1"/>
  <c r="P29" i="1"/>
  <c r="M28" i="1"/>
  <c r="L28" i="1"/>
  <c r="E28" i="1"/>
  <c r="D28" i="1"/>
  <c r="O27" i="1"/>
  <c r="N27" i="1"/>
  <c r="M27" i="1"/>
  <c r="L27" i="1"/>
  <c r="K27" i="1"/>
  <c r="J27" i="1"/>
  <c r="I27" i="1"/>
  <c r="H27" i="1"/>
  <c r="G27" i="1"/>
  <c r="F27" i="1"/>
  <c r="E27" i="1"/>
  <c r="D27" i="1"/>
  <c r="P26" i="1"/>
  <c r="R26" i="1" s="1"/>
  <c r="O24" i="1"/>
  <c r="N24" i="1"/>
  <c r="M24" i="1"/>
  <c r="L24" i="1"/>
  <c r="I24" i="1"/>
  <c r="H24" i="1"/>
  <c r="G24" i="1"/>
  <c r="E24" i="1"/>
  <c r="D24" i="1"/>
  <c r="P23" i="1"/>
  <c r="R23" i="1" s="1"/>
  <c r="P21" i="1"/>
  <c r="R21" i="1" s="1"/>
  <c r="P20" i="1"/>
  <c r="R20" i="1" s="1"/>
  <c r="P18" i="1"/>
  <c r="R18" i="1" s="1"/>
  <c r="P17" i="1"/>
  <c r="R17" i="1" s="1"/>
  <c r="P16" i="1"/>
  <c r="R16" i="1" s="1"/>
  <c r="O15" i="1"/>
  <c r="M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G14" i="1"/>
  <c r="F14" i="1"/>
  <c r="E14" i="1"/>
  <c r="D14" i="1"/>
  <c r="O13" i="1"/>
  <c r="N13" i="1"/>
  <c r="M13" i="1"/>
  <c r="L13" i="1"/>
  <c r="K13" i="1"/>
  <c r="J13" i="1"/>
  <c r="I13" i="1"/>
  <c r="H13" i="1"/>
  <c r="G13" i="1"/>
  <c r="F13" i="1"/>
  <c r="E13" i="1"/>
  <c r="D13" i="1"/>
  <c r="P12" i="1"/>
  <c r="O10" i="1"/>
  <c r="N10" i="1"/>
  <c r="M10" i="1"/>
  <c r="L10" i="1"/>
  <c r="K10" i="1"/>
  <c r="J10" i="1"/>
  <c r="I10" i="1"/>
  <c r="H10" i="1"/>
  <c r="G10" i="1"/>
  <c r="F10" i="1"/>
  <c r="E10" i="1"/>
  <c r="D10" i="1"/>
  <c r="F8" i="1"/>
  <c r="E8" i="1"/>
  <c r="O6" i="1"/>
  <c r="P6" i="1" s="1"/>
  <c r="N6" i="1"/>
  <c r="M6" i="1"/>
  <c r="L6" i="1"/>
  <c r="K6" i="1"/>
  <c r="J6" i="1"/>
  <c r="I6" i="1"/>
  <c r="H6" i="1"/>
  <c r="G6" i="1"/>
  <c r="F6" i="1"/>
  <c r="E6" i="1"/>
  <c r="D6" i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X147" i="1" l="1"/>
  <c r="O153" i="1"/>
  <c r="P153" i="1"/>
  <c r="N15" i="1"/>
  <c r="F24" i="1"/>
  <c r="F28" i="1"/>
  <c r="G28" i="1"/>
  <c r="G154" i="1"/>
  <c r="G164" i="1"/>
  <c r="G172" i="1"/>
  <c r="H28" i="1"/>
  <c r="O159" i="1"/>
  <c r="X159" i="1" s="1"/>
  <c r="M164" i="1"/>
  <c r="M169" i="1"/>
  <c r="O177" i="1"/>
  <c r="I28" i="1"/>
  <c r="P159" i="1"/>
  <c r="O164" i="1"/>
  <c r="P177" i="1"/>
  <c r="J28" i="1"/>
  <c r="K28" i="1"/>
  <c r="G160" i="1"/>
  <c r="G178" i="1"/>
  <c r="P13" i="1"/>
  <c r="R13" i="1" s="1"/>
  <c r="X149" i="1"/>
  <c r="U149" i="1"/>
  <c r="T149" i="1"/>
  <c r="P14" i="1"/>
  <c r="R14" i="1" s="1"/>
  <c r="X153" i="1"/>
  <c r="X171" i="1"/>
  <c r="U150" i="1"/>
  <c r="P27" i="1"/>
  <c r="R27" i="1" s="1"/>
  <c r="U154" i="1"/>
  <c r="P10" i="1"/>
  <c r="R10" i="1" s="1"/>
  <c r="T160" i="1"/>
  <c r="X148" i="1"/>
  <c r="V148" i="1"/>
  <c r="U148" i="1"/>
  <c r="G146" i="1"/>
  <c r="M146" i="1"/>
  <c r="T148" i="1"/>
  <c r="V149" i="1"/>
  <c r="G157" i="1"/>
  <c r="U160" i="1"/>
  <c r="G163" i="1"/>
  <c r="U166" i="1"/>
  <c r="G169" i="1"/>
  <c r="G175" i="1"/>
  <c r="O146" i="1"/>
  <c r="X146" i="1" s="1"/>
  <c r="T153" i="1"/>
  <c r="T165" i="1"/>
  <c r="T171" i="1"/>
  <c r="T177" i="1"/>
  <c r="E131" i="1"/>
  <c r="T152" i="1"/>
  <c r="U153" i="1"/>
  <c r="G156" i="1"/>
  <c r="O157" i="1"/>
  <c r="V157" i="1" s="1"/>
  <c r="T158" i="1"/>
  <c r="G162" i="1"/>
  <c r="O163" i="1"/>
  <c r="T163" i="1" s="1"/>
  <c r="T164" i="1"/>
  <c r="U165" i="1"/>
  <c r="G168" i="1"/>
  <c r="O169" i="1"/>
  <c r="V169" i="1" s="1"/>
  <c r="T170" i="1"/>
  <c r="U171" i="1"/>
  <c r="G174" i="1"/>
  <c r="O175" i="1"/>
  <c r="X175" i="1" s="1"/>
  <c r="T176" i="1"/>
  <c r="V153" i="1"/>
  <c r="V165" i="1"/>
  <c r="V171" i="1"/>
  <c r="V177" i="1"/>
  <c r="F180" i="1"/>
  <c r="V147" i="1"/>
  <c r="M150" i="1"/>
  <c r="V151" i="1"/>
  <c r="G155" i="1"/>
  <c r="O156" i="1"/>
  <c r="G161" i="1"/>
  <c r="O162" i="1"/>
  <c r="G167" i="1"/>
  <c r="O168" i="1"/>
  <c r="X168" i="1" s="1"/>
  <c r="U170" i="1"/>
  <c r="G173" i="1"/>
  <c r="O174" i="1"/>
  <c r="X174" i="1" s="1"/>
  <c r="G179" i="1"/>
  <c r="G149" i="1"/>
  <c r="O150" i="1"/>
  <c r="V150" i="1" s="1"/>
  <c r="M155" i="1"/>
  <c r="P156" i="1"/>
  <c r="T157" i="1"/>
  <c r="V158" i="1"/>
  <c r="M161" i="1"/>
  <c r="P162" i="1"/>
  <c r="V164" i="1"/>
  <c r="M167" i="1"/>
  <c r="P168" i="1"/>
  <c r="M173" i="1"/>
  <c r="P174" i="1"/>
  <c r="T175" i="1"/>
  <c r="V176" i="1"/>
  <c r="M179" i="1"/>
  <c r="P112" i="1"/>
  <c r="P115" i="1" s="1"/>
  <c r="M149" i="1"/>
  <c r="O155" i="1"/>
  <c r="U155" i="1" s="1"/>
  <c r="O161" i="1"/>
  <c r="O167" i="1"/>
  <c r="O173" i="1"/>
  <c r="U173" i="1" s="1"/>
  <c r="U175" i="1"/>
  <c r="O179" i="1"/>
  <c r="U179" i="1" s="1"/>
  <c r="G148" i="1"/>
  <c r="G180" i="1" s="1"/>
  <c r="M154" i="1"/>
  <c r="P155" i="1"/>
  <c r="M160" i="1"/>
  <c r="P161" i="1"/>
  <c r="X161" i="1" s="1"/>
  <c r="M166" i="1"/>
  <c r="P167" i="1"/>
  <c r="M172" i="1"/>
  <c r="P173" i="1"/>
  <c r="M178" i="1"/>
  <c r="P179" i="1"/>
  <c r="K15" i="1"/>
  <c r="P15" i="1" s="1"/>
  <c r="R15" i="1" s="1"/>
  <c r="J24" i="1"/>
  <c r="P24" i="1" s="1"/>
  <c r="R24" i="1" s="1"/>
  <c r="N28" i="1"/>
  <c r="M148" i="1"/>
  <c r="G153" i="1"/>
  <c r="O154" i="1"/>
  <c r="T154" i="1" s="1"/>
  <c r="G159" i="1"/>
  <c r="O160" i="1"/>
  <c r="G165" i="1"/>
  <c r="O166" i="1"/>
  <c r="G171" i="1"/>
  <c r="O172" i="1"/>
  <c r="T172" i="1" s="1"/>
  <c r="G177" i="1"/>
  <c r="O178" i="1"/>
  <c r="V178" i="1" s="1"/>
  <c r="X155" i="1" l="1"/>
  <c r="T178" i="1"/>
  <c r="P28" i="1"/>
  <c r="R28" i="1" s="1"/>
  <c r="X164" i="1"/>
  <c r="T159" i="1"/>
  <c r="T161" i="1"/>
  <c r="X178" i="1"/>
  <c r="T166" i="1"/>
  <c r="T169" i="1"/>
  <c r="U159" i="1"/>
  <c r="V161" i="1"/>
  <c r="X177" i="1"/>
  <c r="V170" i="1"/>
  <c r="U169" i="1"/>
  <c r="U177" i="1"/>
  <c r="V155" i="1"/>
  <c r="R180" i="1"/>
  <c r="G19" i="1" s="1"/>
  <c r="U164" i="1"/>
  <c r="V159" i="1"/>
  <c r="V152" i="1"/>
  <c r="U168" i="1"/>
  <c r="U152" i="1"/>
  <c r="U178" i="1"/>
  <c r="U176" i="1"/>
  <c r="X150" i="1"/>
  <c r="X158" i="1"/>
  <c r="V167" i="1"/>
  <c r="X151" i="1"/>
  <c r="V174" i="1"/>
  <c r="U163" i="1"/>
  <c r="V156" i="1"/>
  <c r="V168" i="1"/>
  <c r="X163" i="1"/>
  <c r="X172" i="1"/>
  <c r="V172" i="1"/>
  <c r="T162" i="1"/>
  <c r="T146" i="1"/>
  <c r="U157" i="1"/>
  <c r="E132" i="1"/>
  <c r="F131" i="1"/>
  <c r="X173" i="1"/>
  <c r="T155" i="1"/>
  <c r="X166" i="1"/>
  <c r="V166" i="1"/>
  <c r="U167" i="1"/>
  <c r="U162" i="1"/>
  <c r="X179" i="1"/>
  <c r="V175" i="1"/>
  <c r="U161" i="1"/>
  <c r="T151" i="1"/>
  <c r="P180" i="1"/>
  <c r="T156" i="1"/>
  <c r="X162" i="1"/>
  <c r="X157" i="1"/>
  <c r="X152" i="1"/>
  <c r="X154" i="1"/>
  <c r="V154" i="1"/>
  <c r="X156" i="1"/>
  <c r="V179" i="1"/>
  <c r="X169" i="1"/>
  <c r="V162" i="1"/>
  <c r="T167" i="1"/>
  <c r="V163" i="1"/>
  <c r="O180" i="1"/>
  <c r="X176" i="1"/>
  <c r="X160" i="1"/>
  <c r="V160" i="1"/>
  <c r="O8" i="1"/>
  <c r="N8" i="1"/>
  <c r="M8" i="1"/>
  <c r="L8" i="1"/>
  <c r="J8" i="1"/>
  <c r="K8" i="1"/>
  <c r="I8" i="1"/>
  <c r="H8" i="1"/>
  <c r="G8" i="1"/>
  <c r="T174" i="1"/>
  <c r="T173" i="1"/>
  <c r="X170" i="1"/>
  <c r="U156" i="1"/>
  <c r="U151" i="1"/>
  <c r="U146" i="1"/>
  <c r="U158" i="1"/>
  <c r="U172" i="1"/>
  <c r="M180" i="1"/>
  <c r="U174" i="1"/>
  <c r="T150" i="1"/>
  <c r="T168" i="1"/>
  <c r="V146" i="1"/>
  <c r="X167" i="1"/>
  <c r="V173" i="1"/>
  <c r="T179" i="1"/>
  <c r="H19" i="1" l="1"/>
  <c r="I19" i="1"/>
  <c r="K19" i="1"/>
  <c r="M19" i="1"/>
  <c r="J19" i="1"/>
  <c r="U180" i="1"/>
  <c r="X180" i="1"/>
  <c r="L19" i="1"/>
  <c r="N19" i="1"/>
  <c r="O19" i="1"/>
  <c r="W19" i="1" s="1"/>
  <c r="O22" i="1"/>
  <c r="N22" i="1"/>
  <c r="L22" i="1"/>
  <c r="K22" i="1"/>
  <c r="J22" i="1"/>
  <c r="I22" i="1"/>
  <c r="H22" i="1"/>
  <c r="M22" i="1"/>
  <c r="I25" i="1"/>
  <c r="H25" i="1"/>
  <c r="F25" i="1"/>
  <c r="F31" i="1" s="1"/>
  <c r="E25" i="1"/>
  <c r="E31" i="1" s="1"/>
  <c r="D25" i="1"/>
  <c r="O25" i="1"/>
  <c r="N25" i="1"/>
  <c r="M25" i="1"/>
  <c r="L25" i="1"/>
  <c r="K25" i="1"/>
  <c r="J25" i="1"/>
  <c r="G25" i="1"/>
  <c r="T180" i="1"/>
  <c r="V180" i="1"/>
  <c r="P8" i="1"/>
  <c r="P19" i="1"/>
  <c r="O11" i="1"/>
  <c r="N11" i="1"/>
  <c r="M11" i="1"/>
  <c r="L11" i="1"/>
  <c r="K11" i="1"/>
  <c r="J11" i="1"/>
  <c r="I11" i="1"/>
  <c r="H11" i="1"/>
  <c r="G11" i="1"/>
  <c r="F132" i="1"/>
  <c r="G131" i="1"/>
  <c r="M31" i="1" l="1"/>
  <c r="M42" i="1" s="1"/>
  <c r="M41" i="1" s="1"/>
  <c r="M43" i="1" s="1"/>
  <c r="M45" i="1" s="1"/>
  <c r="F42" i="1"/>
  <c r="F41" i="1" s="1"/>
  <c r="F43" i="1" s="1"/>
  <c r="F45" i="1" s="1"/>
  <c r="E16" i="2" s="1"/>
  <c r="E14" i="2" s="1"/>
  <c r="G132" i="1"/>
  <c r="H131" i="1"/>
  <c r="G31" i="1"/>
  <c r="P22" i="1"/>
  <c r="P11" i="1"/>
  <c r="H31" i="1"/>
  <c r="I31" i="1"/>
  <c r="J31" i="1"/>
  <c r="K31" i="1"/>
  <c r="L31" i="1"/>
  <c r="P25" i="1"/>
  <c r="R25" i="1" s="1"/>
  <c r="D31" i="1"/>
  <c r="N31" i="1"/>
  <c r="E42" i="1"/>
  <c r="E41" i="1" s="1"/>
  <c r="E43" i="1" s="1"/>
  <c r="E45" i="1" s="1"/>
  <c r="D16" i="2" s="1"/>
  <c r="D14" i="2" s="1"/>
  <c r="O31" i="1"/>
  <c r="E6" i="2" l="1"/>
  <c r="E5" i="2" s="1"/>
  <c r="E12" i="2" s="1"/>
  <c r="E13" i="2"/>
  <c r="D6" i="2"/>
  <c r="D5" i="2" s="1"/>
  <c r="D12" i="2" s="1"/>
  <c r="D13" i="2"/>
  <c r="L16" i="2"/>
  <c r="D41" i="2"/>
  <c r="D40" i="2" s="1"/>
  <c r="D55" i="2" s="1"/>
  <c r="E41" i="2"/>
  <c r="E40" i="2" s="1"/>
  <c r="E55" i="2" s="1"/>
  <c r="G42" i="1"/>
  <c r="G41" i="1" s="1"/>
  <c r="G43" i="1" s="1"/>
  <c r="G45" i="1" s="1"/>
  <c r="F16" i="2" s="1"/>
  <c r="O42" i="1"/>
  <c r="O41" i="1" s="1"/>
  <c r="O43" i="1" s="1"/>
  <c r="O45" i="1" s="1"/>
  <c r="H42" i="1"/>
  <c r="H41" i="1" s="1"/>
  <c r="H43" i="1" s="1"/>
  <c r="H45" i="1" s="1"/>
  <c r="G16" i="2" s="1"/>
  <c r="N42" i="1"/>
  <c r="N41" i="1" s="1"/>
  <c r="N43" i="1" s="1"/>
  <c r="N45" i="1" s="1"/>
  <c r="L42" i="1"/>
  <c r="L41" i="1" s="1"/>
  <c r="L43" i="1" s="1"/>
  <c r="L45" i="1" s="1"/>
  <c r="H132" i="1"/>
  <c r="I131" i="1"/>
  <c r="P31" i="1"/>
  <c r="K42" i="1"/>
  <c r="K41" i="1" s="1"/>
  <c r="K43" i="1" s="1"/>
  <c r="K45" i="1" s="1"/>
  <c r="I42" i="1"/>
  <c r="I41" i="1" s="1"/>
  <c r="I43" i="1" s="1"/>
  <c r="I45" i="1" s="1"/>
  <c r="D42" i="1"/>
  <c r="J42" i="1"/>
  <c r="J41" i="1" s="1"/>
  <c r="J43" i="1" s="1"/>
  <c r="J45" i="1" s="1"/>
  <c r="G14" i="2" l="1"/>
  <c r="G43" i="2"/>
  <c r="G41" i="2" s="1"/>
  <c r="G40" i="2" s="1"/>
  <c r="L14" i="2"/>
  <c r="L43" i="2"/>
  <c r="L41" i="2" s="1"/>
  <c r="L40" i="2" s="1"/>
  <c r="L55" i="2" s="1"/>
  <c r="D26" i="2"/>
  <c r="E26" i="2"/>
  <c r="F14" i="2"/>
  <c r="F13" i="2" s="1"/>
  <c r="L6" i="2"/>
  <c r="L5" i="2" s="1"/>
  <c r="L12" i="2" s="1"/>
  <c r="L13" i="2"/>
  <c r="G6" i="2"/>
  <c r="G5" i="2" s="1"/>
  <c r="G12" i="2" s="1"/>
  <c r="G13" i="2"/>
  <c r="K16" i="2"/>
  <c r="N16" i="2"/>
  <c r="M16" i="2"/>
  <c r="F6" i="2"/>
  <c r="F5" i="2" s="1"/>
  <c r="F12" i="2" s="1"/>
  <c r="I16" i="2"/>
  <c r="H16" i="2"/>
  <c r="J16" i="2"/>
  <c r="P42" i="1"/>
  <c r="D41" i="1"/>
  <c r="I132" i="1"/>
  <c r="J131" i="1"/>
  <c r="I14" i="2" l="1"/>
  <c r="I43" i="2"/>
  <c r="I41" i="2" s="1"/>
  <c r="I40" i="2" s="1"/>
  <c r="I55" i="2" s="1"/>
  <c r="M14" i="2"/>
  <c r="M13" i="2" s="1"/>
  <c r="M43" i="2"/>
  <c r="M41" i="2" s="1"/>
  <c r="M40" i="2" s="1"/>
  <c r="M55" i="2" s="1"/>
  <c r="J14" i="2"/>
  <c r="J43" i="2"/>
  <c r="J41" i="2" s="1"/>
  <c r="J40" i="2" s="1"/>
  <c r="J55" i="2" s="1"/>
  <c r="H14" i="2"/>
  <c r="H13" i="2" s="1"/>
  <c r="H43" i="2"/>
  <c r="H41" i="2" s="1"/>
  <c r="H40" i="2" s="1"/>
  <c r="H55" i="2" s="1"/>
  <c r="N14" i="2"/>
  <c r="N13" i="2" s="1"/>
  <c r="N43" i="2"/>
  <c r="N41" i="2" s="1"/>
  <c r="N40" i="2" s="1"/>
  <c r="N55" i="2" s="1"/>
  <c r="K14" i="2"/>
  <c r="K13" i="2" s="1"/>
  <c r="K43" i="2"/>
  <c r="K41" i="2" s="1"/>
  <c r="K40" i="2" s="1"/>
  <c r="K55" i="2" s="1"/>
  <c r="G55" i="2"/>
  <c r="G26" i="2"/>
  <c r="F26" i="2"/>
  <c r="L26" i="2"/>
  <c r="M6" i="2"/>
  <c r="M5" i="2" s="1"/>
  <c r="M12" i="2" s="1"/>
  <c r="N6" i="2"/>
  <c r="N5" i="2" s="1"/>
  <c r="N12" i="2" s="1"/>
  <c r="K6" i="2"/>
  <c r="K5" i="2" s="1"/>
  <c r="K12" i="2" s="1"/>
  <c r="J6" i="2"/>
  <c r="J5" i="2" s="1"/>
  <c r="J12" i="2" s="1"/>
  <c r="J13" i="2"/>
  <c r="H6" i="2"/>
  <c r="H5" i="2" s="1"/>
  <c r="H12" i="2" s="1"/>
  <c r="I6" i="2"/>
  <c r="I5" i="2" s="1"/>
  <c r="I12" i="2" s="1"/>
  <c r="I13" i="2"/>
  <c r="F41" i="2"/>
  <c r="F40" i="2" s="1"/>
  <c r="F55" i="2" s="1"/>
  <c r="P41" i="1"/>
  <c r="D43" i="1"/>
  <c r="D45" i="1" s="1"/>
  <c r="C16" i="2" s="1"/>
  <c r="J132" i="1"/>
  <c r="K131" i="1"/>
  <c r="M26" i="2" l="1"/>
  <c r="H26" i="2"/>
  <c r="J26" i="2"/>
  <c r="K26" i="2"/>
  <c r="N26" i="2"/>
  <c r="I26" i="2"/>
  <c r="O16" i="2"/>
  <c r="C14" i="2"/>
  <c r="C6" i="2"/>
  <c r="C5" i="2" s="1"/>
  <c r="C12" i="2" s="1"/>
  <c r="C41" i="2"/>
  <c r="C40" i="2" s="1"/>
  <c r="C55" i="2" s="1"/>
  <c r="O55" i="2" s="1"/>
  <c r="K132" i="1"/>
  <c r="L131" i="1"/>
  <c r="P43" i="1"/>
  <c r="O40" i="2" l="1"/>
  <c r="O6" i="2"/>
  <c r="O5" i="2"/>
  <c r="O41" i="2"/>
  <c r="O43" i="2"/>
  <c r="L132" i="1"/>
  <c r="M131" i="1"/>
  <c r="P45" i="1"/>
  <c r="O12" i="2" l="1"/>
  <c r="M132" i="1"/>
  <c r="N131" i="1"/>
  <c r="N132" i="1" l="1"/>
  <c r="O131" i="1"/>
  <c r="O132" i="1" l="1"/>
  <c r="P131" i="1"/>
  <c r="P132" i="1" s="1"/>
  <c r="P137" i="1" l="1"/>
  <c r="R12" i="1" s="1"/>
  <c r="P139" i="1" l="1"/>
  <c r="R137" i="1"/>
  <c r="R48" i="1"/>
  <c r="R84" i="1"/>
  <c r="R54" i="1"/>
  <c r="R115" i="1"/>
  <c r="R8" i="1"/>
  <c r="R19" i="1"/>
  <c r="R11" i="1"/>
  <c r="R22" i="1"/>
  <c r="R31" i="1"/>
  <c r="R42" i="1"/>
  <c r="R41" i="1"/>
  <c r="R43" i="1"/>
  <c r="R45" i="1"/>
  <c r="R132" i="1"/>
  <c r="O14" i="2"/>
  <c r="C13" i="2"/>
  <c r="C26" i="2" s="1"/>
  <c r="O26" i="2" l="1"/>
  <c r="O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M.</author>
  </authors>
  <commentList>
    <comment ref="C128" authorId="0" shapeId="0" xr:uid="{38BC56CB-CD39-47E8-AF06-9A4B8A05A4DE}">
      <text>
        <r>
          <rPr>
            <b/>
            <sz val="9"/>
            <color indexed="81"/>
            <rFont val="Tahoma"/>
            <charset val="1"/>
          </rPr>
          <t>Campo Entrenamiento VS Incendios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PSQROLP217</author>
  </authors>
  <commentList>
    <comment ref="D70" authorId="0" shapeId="0" xr:uid="{21FBC5B9-202C-4DD4-881B-29F3EDA6358E}">
      <text>
        <r>
          <rPr>
            <b/>
            <sz val="9"/>
            <color indexed="81"/>
            <rFont val="Tahoma"/>
            <family val="2"/>
          </rPr>
          <t>PSQROLP217:</t>
        </r>
        <r>
          <rPr>
            <sz val="9"/>
            <color indexed="81"/>
            <rFont val="Tahoma"/>
            <family val="2"/>
          </rPr>
          <t xml:space="preserve">
60 comidas posibles (DCC) correspondientes a los 20 días laborables, por $200 de c/u, por la cantidad de personas que se mueven según la temporalidad
</t>
        </r>
      </text>
    </comment>
    <comment ref="D71" authorId="0" shapeId="0" xr:uid="{8E4FBD46-F7A3-484F-B0E6-55329F65DDAB}">
      <text>
        <r>
          <rPr>
            <b/>
            <sz val="9"/>
            <color indexed="81"/>
            <rFont val="Tahoma"/>
            <family val="2"/>
          </rPr>
          <t>PSQROLP217:</t>
        </r>
        <r>
          <rPr>
            <sz val="9"/>
            <color indexed="81"/>
            <rFont val="Tahoma"/>
            <family val="2"/>
          </rPr>
          <t xml:space="preserve">
tickert pomedio (1350) por la cantidad de noches posibles, según los equipos de trabajo y la carga</t>
        </r>
      </text>
    </comment>
    <comment ref="C100" authorId="0" shapeId="0" xr:uid="{38D76F43-9A4E-42D8-9A01-555AF5DFC2C3}">
      <text>
        <r>
          <rPr>
            <b/>
            <sz val="9"/>
            <color indexed="81"/>
            <rFont val="Tahoma"/>
            <family val="2"/>
          </rPr>
          <t>PSQROLP217:</t>
        </r>
        <r>
          <rPr>
            <sz val="9"/>
            <color indexed="81"/>
            <rFont val="Tahoma"/>
            <family val="2"/>
          </rPr>
          <t xml:space="preserve">
Peritaje local: $300 x emisión
UIE: base $400, aumento por kW, topado a $1000
Capacitación apoyo $300</t>
        </r>
      </text>
    </comment>
    <comment ref="C120" authorId="0" shapeId="0" xr:uid="{AD8D26EB-4A02-4F80-915B-A935E29F7B39}">
      <text>
        <r>
          <rPr>
            <b/>
            <sz val="9"/>
            <color indexed="81"/>
            <rFont val="Tahoma"/>
            <family val="2"/>
          </rPr>
          <t>PSQROLP217:</t>
        </r>
        <r>
          <rPr>
            <sz val="9"/>
            <color indexed="81"/>
            <rFont val="Tahoma"/>
            <family val="2"/>
          </rPr>
          <t xml:space="preserve">
Jano
Nuevo $6k
Ren:$3k
Eduardo
Nuevo:$5k
Ren:$2.5k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valentin.mejia</author>
  </authors>
  <commentList>
    <comment ref="H3" authorId="0" shapeId="0" xr:uid="{51CA13C3-8EBD-4D07-AD02-3AECF8E39F57}">
      <text>
        <r>
          <rPr>
            <b/>
            <sz val="9"/>
            <color indexed="81"/>
            <rFont val="Tahoma"/>
            <family val="2"/>
          </rPr>
          <t>valentin.mejia:</t>
        </r>
        <r>
          <rPr>
            <sz val="9"/>
            <color indexed="81"/>
            <rFont val="Tahoma"/>
            <family val="2"/>
          </rPr>
          <t xml:space="preserve">
AJUSTE DE SALARIO DE 50K A 70K A PARTIR DEL 16.01.2026</t>
        </r>
      </text>
    </comment>
  </commentList>
</comments>
</file>

<file path=xl/sharedStrings.xml><?xml version="1.0" encoding="utf-8"?>
<sst xmlns="http://schemas.openxmlformats.org/spreadsheetml/2006/main" count="1731" uniqueCount="630">
  <si>
    <t>PS PROCESO SEGURO, SC</t>
  </si>
  <si>
    <t xml:space="preserve">Centro de Costos:  </t>
  </si>
  <si>
    <t>CC</t>
  </si>
  <si>
    <t>UNIDAD</t>
  </si>
  <si>
    <t xml:space="preserve">% DE INCREMENTO A PARTIR DE ENERO </t>
  </si>
  <si>
    <t>Budget 2026 Expenses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</si>
  <si>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</si>
  <si>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</si>
  <si>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</si>
  <si>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</si>
  <si>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</si>
  <si>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</si>
  <si>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</si>
  <si>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</si>
  <si>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</si>
  <si>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</si>
  <si>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</si>
  <si>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</si>
  <si>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</si>
  <si>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%</t>
  </si>
  <si>
    <t xml:space="preserve">Mx ps. </t>
  </si>
  <si>
    <t>Budget 26</t>
  </si>
  <si>
    <t>of Total</t>
  </si>
  <si>
    <t>CUENTA</t>
  </si>
  <si>
    <t>SUBCUENTA</t>
  </si>
  <si>
    <t>HEAD COUNT</t>
  </si>
  <si>
    <t>SUELDOS Y SALARIOS</t>
  </si>
  <si>
    <t>Beneficios</t>
  </si>
  <si>
    <t>VALES DE DESPENSA</t>
  </si>
  <si>
    <t>AGUINALDO</t>
  </si>
  <si>
    <t>BONOS</t>
  </si>
  <si>
    <t>COMPENSACIONES</t>
  </si>
  <si>
    <t>DIAS FESTIVOS</t>
  </si>
  <si>
    <t>HORAS EXTRAS</t>
  </si>
  <si>
    <t>INDEMNIZACIONES (DESPIDO)</t>
  </si>
  <si>
    <t>PRIMA DE ANTIGUEDAD</t>
  </si>
  <si>
    <t>PRIMA DOMINICAL</t>
  </si>
  <si>
    <t>PRIMA VACACIONAL</t>
  </si>
  <si>
    <t>PREMIO DE ASISTENCIA</t>
  </si>
  <si>
    <t>PREMIO DE PUNTUALIDAD</t>
  </si>
  <si>
    <t>VACACIONES</t>
  </si>
  <si>
    <t>GRATIFICACIONES</t>
  </si>
  <si>
    <t>HORAS EXTRAS TRIPLES</t>
  </si>
  <si>
    <t>FONDO DE AHORRO</t>
  </si>
  <si>
    <t>COMISIONES SOBRE VENTAS</t>
  </si>
  <si>
    <t>DESCANSO LABORADO</t>
  </si>
  <si>
    <t>VALES RESTAURANTE</t>
  </si>
  <si>
    <t>INDEMNIZACIONES (RETIRO)</t>
  </si>
  <si>
    <t xml:space="preserve">BONO DE AUTO </t>
  </si>
  <si>
    <t>TOTAL BENEFICIOS</t>
  </si>
  <si>
    <t>Impuestos + Comisiones</t>
  </si>
  <si>
    <t>IMSS PATRONAL</t>
  </si>
  <si>
    <t>APORTACIONES AL INFONAVIT</t>
  </si>
  <si>
    <t>SAR</t>
  </si>
  <si>
    <t>5% INFONAVIT</t>
  </si>
  <si>
    <t>RETIRO CESANTIA Y VEJEZ</t>
  </si>
  <si>
    <t>DIFERENCIAS INFONAVIT</t>
  </si>
  <si>
    <t>DIFERENCIAS I.M.S.S.</t>
  </si>
  <si>
    <t>IVA</t>
  </si>
  <si>
    <t>Comisión</t>
  </si>
  <si>
    <t>TOTAL IMPUESTOS</t>
  </si>
  <si>
    <t>TOTAL SUELDOS Y SALARIOS</t>
  </si>
  <si>
    <t>CAPACITACION</t>
  </si>
  <si>
    <t>Total Capacitación</t>
  </si>
  <si>
    <t>GASOLINAS Y COMBUSTIBLES</t>
  </si>
  <si>
    <t>Total Gasolinas y Combustibles</t>
  </si>
  <si>
    <t>NetSuite</t>
  </si>
  <si>
    <t>Total Gastos de cuotas y suscirpciones</t>
  </si>
  <si>
    <t>DEPN. EQPO. DE COMPUTO</t>
  </si>
  <si>
    <t>DEPN  EQPO. DE TRANSP.</t>
  </si>
  <si>
    <t>DEPN.  MOB.Y EQPO.OFIC.</t>
  </si>
  <si>
    <t>AMORT. A ADAPTACIONES A INST.</t>
  </si>
  <si>
    <t>AMORT. SOFTWARE DIVERSO</t>
  </si>
  <si>
    <t>CONTABILIDAD</t>
  </si>
  <si>
    <t>Total Gastos de deprec y amort</t>
  </si>
  <si>
    <t>RECONOCIMIENTO A EMPLEADOS</t>
  </si>
  <si>
    <t>Total Gastos de reconomiento a empleados</t>
  </si>
  <si>
    <t>SERVICIO DE MENSAJERIA</t>
  </si>
  <si>
    <t>Total Gastos Fletes y mensajería</t>
  </si>
  <si>
    <t>BOLETOS DE AVION</t>
  </si>
  <si>
    <t>COMIDAS DE VIAJE</t>
  </si>
  <si>
    <t>HOSPEDAJE</t>
  </si>
  <si>
    <t>BOLETOS DE TRANS. TERRESTRE</t>
  </si>
  <si>
    <t>CASETAS</t>
  </si>
  <si>
    <t>RENTA DE AUTOMOVIL</t>
  </si>
  <si>
    <t>Total Gastos de Viaje</t>
  </si>
  <si>
    <t>SUM. DE CAFETERIA Y DESPENSA</t>
  </si>
  <si>
    <t>SUM. DE LIMPIEZA</t>
  </si>
  <si>
    <t>SUM. DE ART. DESECHABLES</t>
  </si>
  <si>
    <t>SUM.DE ART.DE COMPUTO</t>
  </si>
  <si>
    <t xml:space="preserve">Total Gastos de Suministros </t>
  </si>
  <si>
    <t>COMIDAS DE NEGOCIOS</t>
  </si>
  <si>
    <t>Total Gastos de Comidas de negocios</t>
  </si>
  <si>
    <t>MATTO. Y REP. DE VEHICULOS</t>
  </si>
  <si>
    <t>MATTO. Y REP. DE EQUIPO</t>
  </si>
  <si>
    <t>MATTO Y REP. EQUIP. DE COMPUTO</t>
  </si>
  <si>
    <t>MATTO. Y REP. A INSTALACIONES</t>
  </si>
  <si>
    <t>REFACCIONES Y HERRAMIENTAS</t>
  </si>
  <si>
    <t>MTTO. A SISTEMAS DE COMPUTO</t>
  </si>
  <si>
    <t>Total Gastos de Mantenimiento</t>
  </si>
  <si>
    <t>MULTAS</t>
  </si>
  <si>
    <t>NO DEDUCIBLES</t>
  </si>
  <si>
    <t>TAXIS Y PASAJES</t>
  </si>
  <si>
    <t>ESTACIONAMIENTO</t>
  </si>
  <si>
    <t>OTROS GASTOS</t>
  </si>
  <si>
    <t>REGISTROS</t>
  </si>
  <si>
    <t>DONATIVOS</t>
  </si>
  <si>
    <t>Total Gastos de Otros gastos directos</t>
  </si>
  <si>
    <t>SUM. DE PAP. Y ART. DE OFIC.</t>
  </si>
  <si>
    <t>Total Gastos de  sum de oficina</t>
  </si>
  <si>
    <t>RECLUTAMIENTO Y SELECCIÓN</t>
  </si>
  <si>
    <t>Total Gastos de  reclutamiento y selección</t>
  </si>
  <si>
    <t>RENTA DE OFICINAS PERSONAS FISCAS</t>
  </si>
  <si>
    <t>RENTA OFICINA PERS MORALES</t>
  </si>
  <si>
    <t>ARTURO</t>
  </si>
  <si>
    <t>ARRENDAMIENTO DE EQ. DE COMPUTO</t>
  </si>
  <si>
    <t>ARRENDAMIENTO DE VEHICULOS</t>
  </si>
  <si>
    <t>OTROS GASTOS DE RENTA</t>
  </si>
  <si>
    <t>Total Gastos de  renta</t>
  </si>
  <si>
    <t>FIANZAS</t>
  </si>
  <si>
    <t>SEGUROS DE GASTOS MEDICOS</t>
  </si>
  <si>
    <t>SEGUROS DE VIDA</t>
  </si>
  <si>
    <t>SEGUROS DE VEHICULOS</t>
  </si>
  <si>
    <t>SEGURO RESPONSABILIDAD CIVIL</t>
  </si>
  <si>
    <t>SEGURO INCENDIOS</t>
  </si>
  <si>
    <t>Total Gastos de seguros y fianzas</t>
  </si>
  <si>
    <t>HONORARIOS PROF. PER. FISICAS</t>
  </si>
  <si>
    <t>HONORARIOS PROF. PER. MORALES</t>
  </si>
  <si>
    <t>PRESTACION DE SERVICIOS</t>
  </si>
  <si>
    <t>ASISTENCIA TECNICA</t>
  </si>
  <si>
    <t>Total Gastos de servicios profesionales</t>
  </si>
  <si>
    <t>TELEFONO Y CELULARES</t>
  </si>
  <si>
    <t>Total Gastos de Telefonía</t>
  </si>
  <si>
    <t>COMPRAS</t>
  </si>
  <si>
    <t>UNIFORMES</t>
  </si>
  <si>
    <t>Total Gastos de Uniformes</t>
  </si>
  <si>
    <t>TOTAL EXPENSES</t>
  </si>
  <si>
    <t>SALARY CALCULATOR</t>
  </si>
  <si>
    <t>PUESTO</t>
  </si>
  <si>
    <t>DESCRIPCION DEL PUESTO</t>
  </si>
  <si>
    <t>CANTIDAD</t>
  </si>
  <si>
    <t>Sueldo Diario</t>
  </si>
  <si>
    <t>Sueldo Mensual</t>
  </si>
  <si>
    <t>Sueldo (local)</t>
  </si>
  <si>
    <t>Vales</t>
  </si>
  <si>
    <t>Tiempo Extra Doble</t>
  </si>
  <si>
    <t>Tiempo Extra Triple</t>
  </si>
  <si>
    <t xml:space="preserve">Descanso Laborado </t>
  </si>
  <si>
    <t>Festivo Trabajado</t>
  </si>
  <si>
    <t>Vacaciones</t>
  </si>
  <si>
    <t>Compensacion</t>
  </si>
  <si>
    <t>Prima</t>
  </si>
  <si>
    <t xml:space="preserve">Vales de </t>
  </si>
  <si>
    <t xml:space="preserve"> C y V</t>
  </si>
  <si>
    <t>IMSS</t>
  </si>
  <si>
    <t>Infonavit</t>
  </si>
  <si>
    <t>anual</t>
  </si>
  <si>
    <t>Restaurante</t>
  </si>
  <si>
    <t>Mensual</t>
  </si>
  <si>
    <t>Fondo de Ahorro</t>
  </si>
  <si>
    <t>Bono</t>
  </si>
  <si>
    <t>Aguinaldo</t>
  </si>
  <si>
    <t>Vacacional</t>
  </si>
  <si>
    <t>Despensa</t>
  </si>
  <si>
    <t>Imp / Nóm</t>
  </si>
  <si>
    <t>Patronal</t>
  </si>
  <si>
    <t>TESORERÍA</t>
  </si>
  <si>
    <t>FLOR YASMIN PEREZ NOLASCO</t>
  </si>
  <si>
    <t>VIÁTICOS</t>
  </si>
  <si>
    <t>DANNA FABIOLA REYES GALEANA</t>
  </si>
  <si>
    <t>MARIA DEL CARMEN SANCHEZ ALEJANDRO</t>
  </si>
  <si>
    <t>CUENTAS POR PAGAR</t>
  </si>
  <si>
    <t>JUAN PABLO MALAGON MORALES</t>
  </si>
  <si>
    <t>ROSA YOLANDA RODRIGUEZ DURAN</t>
  </si>
  <si>
    <t>VACANTE</t>
  </si>
  <si>
    <t xml:space="preserve">Local Employee </t>
  </si>
  <si>
    <t>Net Income</t>
  </si>
  <si>
    <t>Taxes</t>
  </si>
  <si>
    <t>Dividends</t>
  </si>
  <si>
    <t>SG&amp;A</t>
  </si>
  <si>
    <t>Gross Margin</t>
  </si>
  <si>
    <t>COGS</t>
  </si>
  <si>
    <t>Net Sales</t>
  </si>
  <si>
    <t>TOTAL 2026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</si>
  <si>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</si>
  <si>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</si>
  <si>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</si>
  <si>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</si>
  <si>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</si>
  <si>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</si>
  <si>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</si>
  <si>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</si>
  <si>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</si>
  <si>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</si>
  <si>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</si>
  <si>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</si>
  <si>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Fcst</t>
  </si>
  <si>
    <t>Act</t>
  </si>
  <si>
    <t>ROLLING FORECAST:</t>
  </si>
  <si>
    <t>BUDGET:</t>
  </si>
  <si>
    <t>Población</t>
  </si>
  <si>
    <t>Nombre (s)</t>
  </si>
  <si>
    <t>Primer Apellido</t>
  </si>
  <si>
    <t>Segundo Apellido</t>
  </si>
  <si>
    <t>Dirección</t>
  </si>
  <si>
    <t>Departamento</t>
  </si>
  <si>
    <t>Nombre de Puesto</t>
  </si>
  <si>
    <t>Salario Base Mensual Actual 2026</t>
  </si>
  <si>
    <t>Bono Variable Anual PMP Ejecutivos (Target 100%) Se paga 30 Mar 2027 Base Mensual</t>
  </si>
  <si>
    <t>Bono Variable Anual PMP CAA (Target) Se paga 30 Mar 2027 Base Mensual</t>
  </si>
  <si>
    <t>Incentivo Variable Trimestral Cobranza-Costo-Servicio Objetivo Budget 2026 (Base Mensual)</t>
  </si>
  <si>
    <t>Bono Variable Mensual</t>
  </si>
  <si>
    <t>Comision Ventas $Est</t>
  </si>
  <si>
    <t>Prestacion Vehiculo</t>
  </si>
  <si>
    <t>Compensación Fija</t>
  </si>
  <si>
    <t>Compensación Variable</t>
  </si>
  <si>
    <t>Compensación Total Mensual</t>
  </si>
  <si>
    <t>Total Compensacion anual</t>
  </si>
  <si>
    <t>LT</t>
  </si>
  <si>
    <t>LUIS</t>
  </si>
  <si>
    <t>MENDOZA</t>
  </si>
  <si>
    <t>GARDUÑO</t>
  </si>
  <si>
    <t>COMERCIAL</t>
  </si>
  <si>
    <t>DIRECCION</t>
  </si>
  <si>
    <t>DIRECTOR COMERCIAL</t>
  </si>
  <si>
    <t>MARIO FRANCISCO</t>
  </si>
  <si>
    <t>MORFIN</t>
  </si>
  <si>
    <t>RODRIGUEZ</t>
  </si>
  <si>
    <t>OPERACIONES</t>
  </si>
  <si>
    <t>DIRECTOR OPERATIVO</t>
  </si>
  <si>
    <t>ERNESTO</t>
  </si>
  <si>
    <t xml:space="preserve">VELAZQUEZ </t>
  </si>
  <si>
    <t>JIMENEZ</t>
  </si>
  <si>
    <t>DIRECCION GENERAL</t>
  </si>
  <si>
    <t>ERNESTO </t>
  </si>
  <si>
    <t>SANCHEZ</t>
  </si>
  <si>
    <t>PALLARES</t>
  </si>
  <si>
    <t>FINANZAS</t>
  </si>
  <si>
    <t>DIRECTOR  FINANZAS</t>
  </si>
  <si>
    <t xml:space="preserve">LAURA </t>
  </si>
  <si>
    <t>UGALDE</t>
  </si>
  <si>
    <t>PEÑALOZA</t>
  </si>
  <si>
    <t>RECURSOS HUMANOS</t>
  </si>
  <si>
    <t>DIRECTOR RECURSOS HUMANOS</t>
  </si>
  <si>
    <t>DIEGO JOSUE</t>
  </si>
  <si>
    <t>MALAGON</t>
  </si>
  <si>
    <t>MORALES</t>
  </si>
  <si>
    <t>TECNICA</t>
  </si>
  <si>
    <t xml:space="preserve">DIRECTOR TECNICO </t>
  </si>
  <si>
    <t>Coms 5%</t>
  </si>
  <si>
    <t>IVA 16%</t>
  </si>
  <si>
    <t>Budget 25</t>
  </si>
  <si>
    <t>CUOTAS Y SUSCRIPCIONES</t>
  </si>
  <si>
    <t>ODOO</t>
  </si>
  <si>
    <t>PANDAPE</t>
  </si>
  <si>
    <t xml:space="preserve">MESA </t>
  </si>
  <si>
    <t>BONDA MENSUALIDAD</t>
  </si>
  <si>
    <t>BONDA PUNTOS</t>
  </si>
  <si>
    <t>CONTA</t>
  </si>
  <si>
    <t>BONO EMBARAZADAS</t>
  </si>
  <si>
    <t>EVENTOS BABY SHOWER</t>
  </si>
  <si>
    <t>DIA DE REYES MAGOS (ROSCA)</t>
  </si>
  <si>
    <t>OCCIDENTE</t>
  </si>
  <si>
    <t>NORTE</t>
  </si>
  <si>
    <t xml:space="preserve">DIA DE LA CANDELARIA </t>
  </si>
  <si>
    <t>DIA DEL AMOR Y AMISTAD</t>
  </si>
  <si>
    <t>DIA DE LA MUJER</t>
  </si>
  <si>
    <t xml:space="preserve">DIA DEL NIÑO </t>
  </si>
  <si>
    <t>DIA DE LAS MADRES</t>
  </si>
  <si>
    <t xml:space="preserve">ANIVERSARIO PS </t>
  </si>
  <si>
    <t>15 DE SEPTIEMBRE</t>
  </si>
  <si>
    <t xml:space="preserve">NORTE </t>
  </si>
  <si>
    <t>OK</t>
  </si>
  <si>
    <t>HALLOWEEN</t>
  </si>
  <si>
    <t>GINA-FLOR</t>
  </si>
  <si>
    <t xml:space="preserve">FIN DE AÑO </t>
  </si>
  <si>
    <t>DECORACION X MES</t>
  </si>
  <si>
    <t>PUBLICACIONES FB</t>
  </si>
  <si>
    <t xml:space="preserve">APOYOS RH - 1500 POR APOYO NIVEL NACIONAL </t>
  </si>
  <si>
    <t xml:space="preserve">BIENVENIDA OCCIDENTE </t>
  </si>
  <si>
    <t>ANIVERSARIOS</t>
  </si>
  <si>
    <t>GINA</t>
  </si>
  <si>
    <t xml:space="preserve">FUNKOS </t>
  </si>
  <si>
    <t xml:space="preserve">GINA </t>
  </si>
  <si>
    <t xml:space="preserve">BONO FIN DE AÑO </t>
  </si>
  <si>
    <t>VIAJE TODO PAGADO CANCUN</t>
  </si>
  <si>
    <t xml:space="preserve">RECLUTAMIENTO Y SELECCIÓN </t>
  </si>
  <si>
    <t xml:space="preserve">CUMPLEAMOS ACCIONISTAS </t>
  </si>
  <si>
    <t xml:space="preserve">PASTELES POR MES </t>
  </si>
  <si>
    <t>CARMEN</t>
  </si>
  <si>
    <t>VISITA TRIMESTRAL RH ZONAS</t>
  </si>
  <si>
    <t>Reclutamiento y selección</t>
  </si>
  <si>
    <t>Analista de RH</t>
  </si>
  <si>
    <t>Generalista de RH</t>
  </si>
  <si>
    <t xml:space="preserve">Auxiliar - practicante </t>
  </si>
  <si>
    <t>Centro de Costos:</t>
  </si>
  <si>
    <t>FLEX</t>
  </si>
  <si>
    <t>LEASING VEHÍCULOS</t>
  </si>
  <si>
    <t>CAMBIO DE LLANTAS (Cada +75,000 km)</t>
  </si>
  <si>
    <t>CAMBIO DE BALATAS</t>
  </si>
  <si>
    <t>SERVICIO MENOR (Aceite y Filtros)</t>
  </si>
  <si>
    <t>SERVICIO MAYOR (Aceite, Filtros, Bujías)</t>
  </si>
  <si>
    <t>COMPRA DE VEHÍCULO PARA TRASLADOS LOCALES</t>
  </si>
  <si>
    <t>DICTÁMENES</t>
  </si>
  <si>
    <t>TERCEROS ACREDITADOS</t>
  </si>
  <si>
    <t>CAPACITACIÓN TERCERIZADA</t>
  </si>
  <si>
    <t>CAPACITACIÓN A COLABORADORES</t>
  </si>
  <si>
    <t>KITS FACILITADORES</t>
  </si>
  <si>
    <t>CENTRO</t>
  </si>
  <si>
    <t>ADMIN. CTAS. CENTRO</t>
  </si>
  <si>
    <t>ANA KARLA VAZQUEZ MALDONADO</t>
  </si>
  <si>
    <t xml:space="preserve">MADAY GONZALEZ </t>
  </si>
  <si>
    <t>VIOLETA GUADALUPE RESENDIZ LAGUNA</t>
  </si>
  <si>
    <t>NOROESTE</t>
  </si>
  <si>
    <t>ADMIN. CTAS. NOROESTE</t>
  </si>
  <si>
    <t>ELVIRA SARAHI FERRUSCA MARTINEZ</t>
  </si>
  <si>
    <t>MARÍA L. CRISÓSTOMO</t>
  </si>
  <si>
    <t>ADMIN. CTAS. NORTE</t>
  </si>
  <si>
    <t>FRANCIA MONTES MENDEZ</t>
  </si>
  <si>
    <t xml:space="preserve">GIOVANA VILLEDA </t>
  </si>
  <si>
    <t>ADMIN. CTAS. OCCIDENTE</t>
  </si>
  <si>
    <t>LUISA ALONDRA JIMENEZ LUCIO</t>
  </si>
  <si>
    <t xml:space="preserve">MARÍA JOSÉ CAMACHO </t>
  </si>
  <si>
    <t>PEPSICO NO</t>
  </si>
  <si>
    <t>ADMIN. CTAS. PEPSICO NO</t>
  </si>
  <si>
    <t>AWDREY NAOMY GONZALEZ FERNANDEZ</t>
  </si>
  <si>
    <t>CARMEN CECILIA LOPEZ PONCE</t>
  </si>
  <si>
    <t>PEPSICO OCC</t>
  </si>
  <si>
    <t>ADMIN. CTAS. PEPSICO OCC</t>
  </si>
  <si>
    <t>GRISELDA CATARINO TENORIO</t>
  </si>
  <si>
    <t>MARIA FERNANDA HERRERA GARCIA</t>
  </si>
  <si>
    <t>PEPSICO SE</t>
  </si>
  <si>
    <t>ADMIN. CTAS. PEPSICO SE</t>
  </si>
  <si>
    <t>DANNA PAOLA ALMADA NOZATO</t>
  </si>
  <si>
    <t>YAMILET NAOMI PEÑA RANGEL</t>
  </si>
  <si>
    <t>ADMIN. CTAS. SR. CENTRO</t>
  </si>
  <si>
    <t>LUZ ELIZABETH RIOS CHAVARO</t>
  </si>
  <si>
    <t>ADMIN. CTAS. SR. NOROESTE</t>
  </si>
  <si>
    <t>CIELO ANEL ALTAMIRANO DÍAZ</t>
  </si>
  <si>
    <t>ADMIN. CTAS. SR. NORTE</t>
  </si>
  <si>
    <t>JANILU PATLAN MENDOZA</t>
  </si>
  <si>
    <t>PEPSICO NAC.</t>
  </si>
  <si>
    <t>ADMIN. CTAS. SR. PEPSICO</t>
  </si>
  <si>
    <t>DANIKA LEDEZMA LONGORIA</t>
  </si>
  <si>
    <t>MARLEN CORNEJO JIMENEZ</t>
  </si>
  <si>
    <t>SURESTE</t>
  </si>
  <si>
    <t>ADMIN. CTAS. SURESTE</t>
  </si>
  <si>
    <t xml:space="preserve">GIOVANNI DE LOS SANTOS </t>
  </si>
  <si>
    <t>MARIA NARELI DIAZ GARCIA</t>
  </si>
  <si>
    <t>CORPORATIVO</t>
  </si>
  <si>
    <t>ANALISTA S&amp;OP</t>
  </si>
  <si>
    <t>ALEXIS ALAN RODRIGUEZ CARRASCO</t>
  </si>
  <si>
    <t>AUX. OPERACIONES</t>
  </si>
  <si>
    <t>NICKO HIAFED ZAVALA MUNGUIA</t>
  </si>
  <si>
    <t>DOCTORA</t>
  </si>
  <si>
    <t>MARIANA GUADALUPE VILLEGAS BOLAÑOS</t>
  </si>
  <si>
    <t>FACILITADOR 1</t>
  </si>
  <si>
    <t>GERMAIN ACEVEDO LOPEZ</t>
  </si>
  <si>
    <t>VACANTE EDOMEX</t>
  </si>
  <si>
    <t>ANTONIO BACA AGUIRRE</t>
  </si>
  <si>
    <t>EDGAR NICOLAS RIVAS NIETO</t>
  </si>
  <si>
    <t>SERGIO ALBERTO BALTAZAR RODRIGUEZ</t>
  </si>
  <si>
    <t>MARIA FERNANDA SERNA REYES</t>
  </si>
  <si>
    <t>FACILITADOR 2</t>
  </si>
  <si>
    <t>FIDEL GARCIA VELAZQUEZ</t>
  </si>
  <si>
    <t>VACANTE QUERÉTARO</t>
  </si>
  <si>
    <t>JUAN LUIS MATUS GARCIA REPPER</t>
  </si>
  <si>
    <t xml:space="preserve">NADIA ARAUJO </t>
  </si>
  <si>
    <t>NESTOR AXEL ESPINOSA MENDOZA</t>
  </si>
  <si>
    <t>NIUEVO INGRESO CDMX</t>
  </si>
  <si>
    <t>OMAR ANGEL RANGEL SANCHEZ</t>
  </si>
  <si>
    <t>SERGIO MENDIZABAL VAZQUEZ</t>
  </si>
  <si>
    <t>VACANTE GUANAJUATO</t>
  </si>
  <si>
    <t>VICTOR HUGO JUAREZ QUEVEDO</t>
  </si>
  <si>
    <t>XIMENA GUZMAN SILVA</t>
  </si>
  <si>
    <t>ARTURO NAVARRO ROMERO</t>
  </si>
  <si>
    <t>CINTHYA FERNANDA SALCIDO SOTO</t>
  </si>
  <si>
    <t>LUIS DIEGO LOPEZ LOPEZ</t>
  </si>
  <si>
    <t>MAGDIEL ISRAEL OCAMPO GUTIERREZ</t>
  </si>
  <si>
    <t>IVAN ANGEL CAMACHO NUÑO</t>
  </si>
  <si>
    <t>JESÚS ANTONIO VACA RODRIGUEZ</t>
  </si>
  <si>
    <t>JOSE GUADALUPE GOMEZ GUZMAN</t>
  </si>
  <si>
    <t>JUAN MIGUEL ROMERO SANCHEZ</t>
  </si>
  <si>
    <t>LUIS ENRIQUE ROMERO RIZO</t>
  </si>
  <si>
    <t>MONSERRAT RODRIGUEZ DOMINGUEZ</t>
  </si>
  <si>
    <t>ROMAN RAMON PENICHE MUÑOZ</t>
  </si>
  <si>
    <t>FACILITADOR 3</t>
  </si>
  <si>
    <t>EBER GALLARDO PADILLA</t>
  </si>
  <si>
    <t xml:space="preserve">EMANUEL AGUILAR </t>
  </si>
  <si>
    <t>GERARDO IMMANUEL GONZALEZ GONZALEZ</t>
  </si>
  <si>
    <t>IRIS SELENE HIDALGO JIMENEZ</t>
  </si>
  <si>
    <t>LUIS ENRIQUE ROJAS</t>
  </si>
  <si>
    <t>RUBÉN GARCÍA</t>
  </si>
  <si>
    <t>MIGUEL VALENZUELA</t>
  </si>
  <si>
    <t>IVAN JOEL ORTIZ PEÑA</t>
  </si>
  <si>
    <t>JUAN CARLOS TEPEC TECORRAL</t>
  </si>
  <si>
    <t>RODRIGO ALVAREZ CABRERA</t>
  </si>
  <si>
    <t>VACANTE SINALOA</t>
  </si>
  <si>
    <t>JORGE A. SOLANO</t>
  </si>
  <si>
    <t xml:space="preserve">LUIS J. VÁSQUES </t>
  </si>
  <si>
    <t>VICTOR ZAVALA</t>
  </si>
  <si>
    <t>ALBERTO ARRAZOLA</t>
  </si>
  <si>
    <t>VACANTE VERACRUZ</t>
  </si>
  <si>
    <t>FACILITADOR 4</t>
  </si>
  <si>
    <t>EDGARDO RAMIRO VIDAL CAMBERO</t>
  </si>
  <si>
    <t>FACILITADOR INPLANT</t>
  </si>
  <si>
    <t xml:space="preserve">JESÚS RAMIREZ </t>
  </si>
  <si>
    <t>GERENTE ZONA</t>
  </si>
  <si>
    <t>MARIA YAITI GONZALEZ JIMENEZ</t>
  </si>
  <si>
    <t>VICTOR URIEL MORENO CATARINO</t>
  </si>
  <si>
    <t>ANGELICA YANETH YAÑEZ HERNANDEZ</t>
  </si>
  <si>
    <t>GESTOR INTERNO CENTRO</t>
  </si>
  <si>
    <t>MARIA DEL PILAR JAZMINE BERNAL MONROY</t>
  </si>
  <si>
    <t>GESTOR INTERNO OCCIDENTE</t>
  </si>
  <si>
    <t>VACANTE GESTOR OCCIDENTE</t>
  </si>
  <si>
    <t>JEFE SR. ZONA</t>
  </si>
  <si>
    <t>VACANTE NUEVO LEÓN</t>
  </si>
  <si>
    <t>FERNANDO GUTIERREZ RIOS</t>
  </si>
  <si>
    <t>LOGÍSTICA DE CAPACITACIÓN</t>
  </si>
  <si>
    <t>VALERIA RUBIO TORRES</t>
  </si>
  <si>
    <t>PRACTICANTE OPERACIONES</t>
  </si>
  <si>
    <t>BRICIA GUADALUPE PEREZ VASQUEZ</t>
  </si>
  <si>
    <t>KHIABETT IXCEL OCHOA BARRIENTOS</t>
  </si>
  <si>
    <t>AMAIRANI LOPEZ MALDONADO</t>
  </si>
  <si>
    <t>LILIANA TRISTÁN</t>
  </si>
  <si>
    <t>Prima Vacacional</t>
  </si>
  <si>
    <t>Desglose por 15 top en las posiciones que se viajan más y la temporalidad</t>
  </si>
  <si>
    <t>COMIDAS TRIMESTRALES</t>
  </si>
  <si>
    <t>AUDITORIAS EMYCA</t>
  </si>
  <si>
    <t>VIGILANCIA EMYCA</t>
  </si>
  <si>
    <t>VIATICOS VIGILANCIA EMYCA</t>
  </si>
  <si>
    <t>CALIBRACIÓN DE EQUIPOS EMYCA</t>
  </si>
  <si>
    <t>CREDENCIALES COLEGIOS</t>
  </si>
  <si>
    <t>PÓLIZA EMYCA</t>
  </si>
  <si>
    <t>CURSOS</t>
  </si>
  <si>
    <t>COMISIONES VARIABLES EMYCA</t>
  </si>
  <si>
    <t>AUDITORIAS DIPA</t>
  </si>
  <si>
    <t>VIGILANCIA DIPA</t>
  </si>
  <si>
    <t>VIATICOS VIGILANCIA DIPA</t>
  </si>
  <si>
    <t>CALIBRACIÓN DE EQUIPOS DIPA</t>
  </si>
  <si>
    <t>CURSOS DIPA</t>
  </si>
  <si>
    <t>COMISIONES VARIABLES DIPA</t>
  </si>
  <si>
    <t>EQUIPOS DIPA</t>
  </si>
  <si>
    <t>COMISIONES PRODUCCION</t>
  </si>
  <si>
    <t>Automovil dipa emyca</t>
  </si>
  <si>
    <t>IT</t>
  </si>
  <si>
    <t>MC(con nom 35)</t>
  </si>
  <si>
    <t>PMP CAA</t>
  </si>
  <si>
    <t>MODIFICACIONES, INMOBILIARIO</t>
  </si>
  <si>
    <t>REGISTROS (PAGO DE DERECHOS)</t>
  </si>
  <si>
    <t>Comisión Variable Donativos</t>
  </si>
  <si>
    <t>Donativos REGISTROS</t>
  </si>
  <si>
    <t>DONATIVOS PC</t>
  </si>
  <si>
    <t>MEJORA CONTINUA</t>
  </si>
  <si>
    <t>ERICK ALAN DOMINGUEZ CORTES</t>
  </si>
  <si>
    <t>CALIDAD</t>
  </si>
  <si>
    <t>JOSE GARCIA  MAR</t>
  </si>
  <si>
    <t>BRENDA ALESSIA LARA MARTINEZ</t>
  </si>
  <si>
    <t>IRAIDE SUSANA LOPEZ MENDEZ</t>
  </si>
  <si>
    <t>GABRIELA MARQUEZ MENDOZA</t>
  </si>
  <si>
    <t>JEFA DE PRODUCCION</t>
  </si>
  <si>
    <t>ELSA ROJAS VIGIL</t>
  </si>
  <si>
    <t>AUXILIAR DE ALMACEN</t>
  </si>
  <si>
    <t>LUIS ANGEL RIVERA PINEDA</t>
  </si>
  <si>
    <t>JEFE DE MANTENIMIENTO Y SISTEMAS</t>
  </si>
  <si>
    <t>ARTURO RETANA OLVERA</t>
  </si>
  <si>
    <t>SERGIO IVAN LOZA CRUZ</t>
  </si>
  <si>
    <t>GERENTE TÉCNICO</t>
  </si>
  <si>
    <t>LUIS EDUARDO MARTINEZ SANCHEZ</t>
  </si>
  <si>
    <t>SOFIA BERRUETA GUTIERREZ</t>
  </si>
  <si>
    <t>GERENTE TÉCNICO SUB</t>
  </si>
  <si>
    <t>JORGE LUIS OBREGON JIMENEZ</t>
  </si>
  <si>
    <t>TALENTO DE PRODUCCION</t>
  </si>
  <si>
    <t>ERIKA SARAI GONZALEZ BOTELLO</t>
  </si>
  <si>
    <t>INSPECTOR</t>
  </si>
  <si>
    <t>ELEAZAR BOCANEGRA MARTINEZ</t>
  </si>
  <si>
    <t>SADUI SHERLYN GARCIA GARCIA</t>
  </si>
  <si>
    <t>INGENIERA AMBIENTAL</t>
  </si>
  <si>
    <t>MARIA GUADALUPE LOZANO GONZALEZ</t>
  </si>
  <si>
    <t>MARIA FERNANDA REYES OLGUIN</t>
  </si>
  <si>
    <t>ALEXANDRA ESTEPHANIA ARREOLA ALATRISTE</t>
  </si>
  <si>
    <t>AUXILIAR DE INSPECTOR ELECTRICO</t>
  </si>
  <si>
    <t>LUIS ENRIQUE SANCHEZ GOMEZ</t>
  </si>
  <si>
    <t>MELISA MENDOZA RIVERA</t>
  </si>
  <si>
    <t>TALENTO DE PRODUCCION SASS</t>
  </si>
  <si>
    <t>CARLOS MANUEL ROMERO OLMOS</t>
  </si>
  <si>
    <t>PRACTICANTE DE INGENIERIA AMBIENTAL</t>
  </si>
  <si>
    <t>JESUS MANUEL OLVERA PARDO</t>
  </si>
  <si>
    <t>AUXILIAR DE CALIDAD</t>
  </si>
  <si>
    <t>KAREN ITZEL ORTIZ  MILLA</t>
  </si>
  <si>
    <t>PRACTICANTE PRODUCCION</t>
  </si>
  <si>
    <t>BRENDA MONTSERRATH ORTIZ CAMACHO</t>
  </si>
  <si>
    <t>TECNICO DIPA</t>
  </si>
  <si>
    <t>MTTO</t>
  </si>
  <si>
    <t>Efrain Valencia</t>
  </si>
  <si>
    <t>CAA</t>
  </si>
  <si>
    <t>EMMANUEL ALEJANDRO</t>
  </si>
  <si>
    <t>LOPEZ</t>
  </si>
  <si>
    <t>VENTAS</t>
  </si>
  <si>
    <t>GERENTE SR DE VENTAS</t>
  </si>
  <si>
    <t>DANIELA</t>
  </si>
  <si>
    <t>GONZALEZ</t>
  </si>
  <si>
    <t>MARTOS</t>
  </si>
  <si>
    <t>NAYELI DEL CARMEN</t>
  </si>
  <si>
    <t>RAMIREZ</t>
  </si>
  <si>
    <t>GERENTE SR COMPRAS</t>
  </si>
  <si>
    <t>NATALIA</t>
  </si>
  <si>
    <t>BRAVO</t>
  </si>
  <si>
    <t>ZAPIAIN</t>
  </si>
  <si>
    <t>JEFATURA DE ADMINISTRACION DE VENTAS</t>
  </si>
  <si>
    <t>AMERICA GUADALUPE</t>
  </si>
  <si>
    <t>MARTINEZ</t>
  </si>
  <si>
    <t>RANGEL</t>
  </si>
  <si>
    <t>ASESOR COMERCIAL</t>
  </si>
  <si>
    <t>DAVID ALEJANDRO</t>
  </si>
  <si>
    <t>MUI</t>
  </si>
  <si>
    <t>DAZA</t>
  </si>
  <si>
    <t>MOISES</t>
  </si>
  <si>
    <t>RIVERA</t>
  </si>
  <si>
    <t>CERON</t>
  </si>
  <si>
    <t>VICTOR MANUEL</t>
  </si>
  <si>
    <t>ALVAREZ</t>
  </si>
  <si>
    <t>CHAVEZ</t>
  </si>
  <si>
    <t>CLEIVER JOSE</t>
  </si>
  <si>
    <t>FERNANDEZ</t>
  </si>
  <si>
    <t>PEREZ</t>
  </si>
  <si>
    <t>FREDDY JESUS</t>
  </si>
  <si>
    <t>ALMANZA</t>
  </si>
  <si>
    <t>GUZMAN</t>
  </si>
  <si>
    <t>DISEÑO</t>
  </si>
  <si>
    <t>DISEÑADOR SR</t>
  </si>
  <si>
    <t>CIRO ALBERTO</t>
  </si>
  <si>
    <t>HERNANDEZ</t>
  </si>
  <si>
    <t>AGUILAR</t>
  </si>
  <si>
    <t>COMPRADOR</t>
  </si>
  <si>
    <t>BIANCA FRANCISCA</t>
  </si>
  <si>
    <t>DE LA VEGA</t>
  </si>
  <si>
    <t>ALCALA</t>
  </si>
  <si>
    <t>MIGUEL ANGEL</t>
  </si>
  <si>
    <t>AREVALO</t>
  </si>
  <si>
    <t>CERVANTES</t>
  </si>
  <si>
    <t>MARIA FERNANDA</t>
  </si>
  <si>
    <t xml:space="preserve">FRANCO </t>
  </si>
  <si>
    <t>ADMINISTRADOR DE VENTAS JR</t>
  </si>
  <si>
    <t>GERARDO DANIEL</t>
  </si>
  <si>
    <t>PALETA</t>
  </si>
  <si>
    <t>CALDERON</t>
  </si>
  <si>
    <t>DISEÑADOR JR</t>
  </si>
  <si>
    <t>CABRERA</t>
  </si>
  <si>
    <t>TERAN</t>
  </si>
  <si>
    <t>ARTISTA VISUAL 3D</t>
  </si>
  <si>
    <t>NUR</t>
  </si>
  <si>
    <t>ALARCON</t>
  </si>
  <si>
    <t>PRACTICANTE DE DISEÑO JR</t>
  </si>
  <si>
    <t>Equipo</t>
  </si>
  <si>
    <t>Cliente</t>
  </si>
  <si>
    <t>Lugar</t>
  </si>
  <si>
    <t>Fecha prob</t>
  </si>
  <si>
    <t>dias</t>
  </si>
  <si>
    <t>hospedaje</t>
  </si>
  <si>
    <t>transporte</t>
  </si>
  <si>
    <t>uber</t>
  </si>
  <si>
    <t>alimentos</t>
  </si>
  <si>
    <t>otros</t>
  </si>
  <si>
    <t>Alex</t>
  </si>
  <si>
    <t>Pepsico</t>
  </si>
  <si>
    <t>Chiapas</t>
  </si>
  <si>
    <t>merida</t>
  </si>
  <si>
    <t>mayo</t>
  </si>
  <si>
    <t>mexicali</t>
  </si>
  <si>
    <t>julio</t>
  </si>
  <si>
    <t>guadalajara</t>
  </si>
  <si>
    <t>septiembre</t>
  </si>
  <si>
    <t>MTY</t>
  </si>
  <si>
    <t>octubre</t>
  </si>
  <si>
    <t>cdmx</t>
  </si>
  <si>
    <t>Moises</t>
  </si>
  <si>
    <t>Adidas</t>
  </si>
  <si>
    <t>marzo</t>
  </si>
  <si>
    <t>FRAGUA</t>
  </si>
  <si>
    <t>junio</t>
  </si>
  <si>
    <t>Charly</t>
  </si>
  <si>
    <t>Leon</t>
  </si>
  <si>
    <t>MAPFRE</t>
  </si>
  <si>
    <t>CDMX</t>
  </si>
  <si>
    <t>agosto</t>
  </si>
  <si>
    <t>Vic</t>
  </si>
  <si>
    <t>total play</t>
  </si>
  <si>
    <t>Femsa</t>
  </si>
  <si>
    <t>RIVALIA</t>
  </si>
  <si>
    <t>solistica</t>
  </si>
  <si>
    <t>abril</t>
  </si>
  <si>
    <t>Ame</t>
  </si>
  <si>
    <t>Scotiabank</t>
  </si>
  <si>
    <t>izzi</t>
  </si>
  <si>
    <t>David</t>
  </si>
  <si>
    <t>DHL</t>
  </si>
  <si>
    <t>NAT</t>
  </si>
  <si>
    <t>Marsh</t>
  </si>
  <si>
    <t>marsh</t>
  </si>
  <si>
    <t>FEDEX</t>
  </si>
  <si>
    <t>FABE</t>
  </si>
  <si>
    <t>Cleiver</t>
  </si>
  <si>
    <t>Elektra</t>
  </si>
  <si>
    <t>edo mex</t>
  </si>
  <si>
    <t>Subtotal</t>
  </si>
  <si>
    <t>Alim &amp; Beb</t>
  </si>
  <si>
    <t>Otros</t>
  </si>
  <si>
    <t>Traslados</t>
  </si>
  <si>
    <t>Gasolina</t>
  </si>
  <si>
    <t>Hospedaje</t>
  </si>
  <si>
    <t>ACCIONISTAS</t>
  </si>
  <si>
    <t>CONSEJO</t>
  </si>
  <si>
    <t>TOTAL/MES</t>
  </si>
  <si>
    <t>AUTOMOVIL</t>
  </si>
  <si>
    <t xml:space="preserve">   Dir. Ops</t>
  </si>
  <si>
    <t xml:space="preserve">   Dir. Tech</t>
  </si>
  <si>
    <t xml:space="preserve">   Dir. General</t>
  </si>
  <si>
    <t xml:space="preserve">   Dir. Finanzas</t>
  </si>
  <si>
    <t xml:space="preserve">   Dir. RH</t>
  </si>
  <si>
    <t xml:space="preserve">   Dir. Comercial</t>
  </si>
  <si>
    <t>Gerente RH</t>
  </si>
  <si>
    <t xml:space="preserve">   OH</t>
  </si>
  <si>
    <t xml:space="preserve"> Payroll</t>
  </si>
  <si>
    <t xml:space="preserve"> Direct cost</t>
  </si>
  <si>
    <t xml:space="preserve"> Indirect cost</t>
  </si>
  <si>
    <t>BGT</t>
  </si>
  <si>
    <t>M</t>
  </si>
  <si>
    <t xml:space="preserve"> Δ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</si>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</sst>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;\-#,##0.0"/>
    <numFmt numFmtId="167" formatCode="_(* #,##0_);_(* \(#,##0\);_(* &quot;-&quot;??_);_(@_)"/>
    <numFmt numFmtId="168" formatCode="_-* #,##0_-;\-* #,##0_-;_-* &quot;-&quot;??_-;_-@_-"/>
    <numFmt numFmtId="169" formatCode="&quot;$&quot;#,##0.00"/>
    <numFmt numFmtId="170" formatCode="_-&quot;$&quot;* #,##0_-;\-&quot;$&quot;* #,##0_-;_-&quot;$&quot;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10"/>
      <color theme="0"/>
      <name val="Arial"/>
      <family val="2"/>
    </font>
    <font>
      <b/>
      <u/>
      <sz val="6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10"/>
      <name val="Cambria"/>
      <family val="1"/>
      <scheme val="major"/>
    </font>
    <font>
      <sz val="8"/>
      <name val="Arial"/>
      <family val="2"/>
    </font>
    <font>
      <b/>
      <sz val="10"/>
      <color indexed="62"/>
      <name val="Arial"/>
      <family val="2"/>
    </font>
    <font>
      <i/>
      <sz val="9"/>
      <color indexed="62"/>
      <name val="Arial"/>
      <family val="2"/>
    </font>
    <font>
      <sz val="10"/>
      <color indexed="62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Helvetica"/>
    </font>
    <font>
      <sz val="14"/>
      <color rgb="FF000000"/>
      <name val="Helvetica"/>
    </font>
    <font>
      <b/>
      <sz val="16"/>
      <color rgb="FFFFFFFF"/>
      <name val="Helvetica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3" tint="-0.499984740745262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mediumGray">
        <fgColor indexed="22"/>
        <bgColor theme="4" tint="0.59999389629810485"/>
      </patternFill>
    </fill>
    <fill>
      <patternFill patternType="mediumGray">
        <fgColor indexed="22"/>
        <bgColor theme="0" tint="-4.9989318521683403E-2"/>
      </patternFill>
    </fill>
    <fill>
      <patternFill patternType="mediumGray">
        <fgColor indexed="22"/>
        <bgColor theme="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BCBCB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double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4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75">
    <xf numFmtId="0" fontId="0" fillId="0" borderId="0" xfId="0"/>
    <xf numFmtId="37" fontId="3" fillId="2" borderId="0" xfId="1" applyNumberFormat="1" applyFont="1" applyFill="1" applyProtection="1"/>
    <xf numFmtId="37" fontId="4" fillId="2" borderId="0" xfId="1" applyNumberFormat="1" applyFont="1" applyFill="1" applyProtection="1"/>
    <xf numFmtId="37" fontId="5" fillId="3" borderId="1" xfId="1" applyNumberFormat="1" applyFont="1" applyFill="1" applyBorder="1" applyAlignment="1" applyProtection="1">
      <alignment horizontal="center"/>
    </xf>
    <xf numFmtId="37" fontId="6" fillId="3" borderId="1" xfId="1" applyNumberFormat="1" applyFont="1" applyFill="1" applyBorder="1" applyAlignment="1" applyProtection="1"/>
    <xf numFmtId="37" fontId="6" fillId="4" borderId="2" xfId="1" applyNumberFormat="1" applyFont="1" applyFill="1" applyBorder="1" applyAlignment="1" applyProtection="1">
      <protection locked="0"/>
    </xf>
    <xf numFmtId="37" fontId="6" fillId="4" borderId="3" xfId="1" applyNumberFormat="1" applyFont="1" applyFill="1" applyBorder="1" applyAlignment="1" applyProtection="1">
      <protection locked="0"/>
    </xf>
    <xf numFmtId="37" fontId="6" fillId="4" borderId="4" xfId="1" applyNumberFormat="1" applyFont="1" applyFill="1" applyBorder="1" applyAlignment="1" applyProtection="1">
      <protection locked="0"/>
    </xf>
    <xf numFmtId="37" fontId="7" fillId="2" borderId="0" xfId="1" applyNumberFormat="1" applyFont="1" applyFill="1" applyProtection="1"/>
    <xf numFmtId="165" fontId="3" fillId="2" borderId="0" xfId="2" applyNumberFormat="1" applyFont="1" applyFill="1" applyProtection="1"/>
    <xf numFmtId="10" fontId="8" fillId="5" borderId="0" xfId="2" applyNumberFormat="1" applyFont="1" applyFill="1" applyProtection="1">
      <protection locked="0"/>
    </xf>
    <xf numFmtId="37" fontId="3" fillId="6" borderId="0" xfId="1" applyNumberFormat="1" applyFont="1" applyFill="1" applyProtection="1"/>
    <xf numFmtId="37" fontId="9" fillId="2" borderId="0" xfId="1" applyNumberFormat="1" applyFont="1" applyFill="1" applyProtection="1"/>
    <xf numFmtId="37" fontId="10" fillId="3" borderId="5" xfId="1" applyNumberFormat="1" applyFont="1" applyFill="1" applyBorder="1" applyAlignment="1" applyProtection="1">
      <alignment horizontal="center"/>
    </xf>
    <xf numFmtId="37" fontId="10" fillId="5" borderId="6" xfId="1" applyNumberFormat="1" applyFont="1" applyFill="1" applyBorder="1" applyAlignment="1" applyProtection="1">
      <alignment horizontal="center"/>
    </xf>
    <xf numFmtId="37" fontId="10" fillId="5" borderId="7" xfId="1" applyNumberFormat="1" applyFont="1" applyFill="1" applyBorder="1" applyAlignment="1" applyProtection="1">
      <alignment horizontal="center"/>
    </xf>
    <xf numFmtId="37" fontId="10" fillId="5" borderId="8" xfId="1" applyNumberFormat="1" applyFont="1" applyFill="1" applyBorder="1" applyAlignment="1" applyProtection="1">
      <alignment horizontal="center"/>
    </xf>
    <xf numFmtId="37" fontId="9" fillId="5" borderId="9" xfId="1" applyNumberFormat="1" applyFont="1" applyFill="1" applyBorder="1" applyProtection="1"/>
    <xf numFmtId="37" fontId="9" fillId="5" borderId="10" xfId="1" applyNumberFormat="1" applyFont="1" applyFill="1" applyBorder="1" applyProtection="1"/>
    <xf numFmtId="165" fontId="9" fillId="2" borderId="0" xfId="2" applyNumberFormat="1" applyFont="1" applyFill="1" applyProtection="1"/>
    <xf numFmtId="0" fontId="9" fillId="5" borderId="11" xfId="1" applyNumberFormat="1" applyFont="1" applyFill="1" applyBorder="1" applyAlignment="1" applyProtection="1">
      <alignment horizontal="center"/>
    </xf>
    <xf numFmtId="37" fontId="5" fillId="3" borderId="12" xfId="1" applyNumberFormat="1" applyFont="1" applyFill="1" applyBorder="1" applyAlignment="1" applyProtection="1">
      <alignment horizontal="center"/>
    </xf>
    <xf numFmtId="37" fontId="5" fillId="2" borderId="13" xfId="1" applyNumberFormat="1" applyFont="1" applyFill="1" applyBorder="1" applyAlignment="1" applyProtection="1">
      <alignment horizontal="center"/>
    </xf>
    <xf numFmtId="37" fontId="5" fillId="2" borderId="0" xfId="1" applyNumberFormat="1" applyFont="1" applyFill="1" applyBorder="1" applyAlignment="1" applyProtection="1">
      <alignment horizontal="center"/>
    </xf>
    <xf numFmtId="37" fontId="5" fillId="2" borderId="12" xfId="1" applyNumberFormat="1" applyFont="1" applyFill="1" applyBorder="1" applyAlignment="1" applyProtection="1">
      <alignment horizontal="center"/>
    </xf>
    <xf numFmtId="165" fontId="5" fillId="2" borderId="14" xfId="2" applyNumberFormat="1" applyFont="1" applyFill="1" applyBorder="1" applyAlignment="1" applyProtection="1">
      <alignment horizontal="center"/>
    </xf>
    <xf numFmtId="37" fontId="11" fillId="3" borderId="15" xfId="1" applyNumberFormat="1" applyFont="1" applyFill="1" applyBorder="1" applyAlignment="1" applyProtection="1">
      <alignment horizontal="center"/>
    </xf>
    <xf numFmtId="37" fontId="5" fillId="2" borderId="8" xfId="1" applyNumberFormat="1" applyFont="1" applyFill="1" applyBorder="1" applyAlignment="1" applyProtection="1">
      <alignment horizontal="center"/>
    </xf>
    <xf numFmtId="37" fontId="5" fillId="2" borderId="0" xfId="1" applyNumberFormat="1" applyFont="1" applyFill="1" applyProtection="1"/>
    <xf numFmtId="165" fontId="5" fillId="2" borderId="15" xfId="2" applyNumberFormat="1" applyFont="1" applyFill="1" applyBorder="1" applyAlignment="1" applyProtection="1">
      <alignment horizontal="center"/>
    </xf>
    <xf numFmtId="37" fontId="5" fillId="2" borderId="15" xfId="1" applyNumberFormat="1" applyFont="1" applyFill="1" applyBorder="1" applyAlignment="1" applyProtection="1">
      <alignment horizontal="center"/>
    </xf>
    <xf numFmtId="37" fontId="11" fillId="2" borderId="12" xfId="1" applyNumberFormat="1" applyFont="1" applyFill="1" applyBorder="1" applyAlignment="1" applyProtection="1">
      <alignment horizontal="center"/>
    </xf>
    <xf numFmtId="165" fontId="5" fillId="2" borderId="0" xfId="2" applyNumberFormat="1" applyFont="1" applyFill="1" applyBorder="1" applyAlignment="1" applyProtection="1">
      <alignment horizontal="center"/>
    </xf>
    <xf numFmtId="37" fontId="12" fillId="7" borderId="0" xfId="1" applyNumberFormat="1" applyFont="1" applyFill="1" applyProtection="1"/>
    <xf numFmtId="37" fontId="12" fillId="7" borderId="0" xfId="1" applyNumberFormat="1" applyFont="1" applyFill="1" applyAlignment="1" applyProtection="1">
      <alignment horizontal="center"/>
    </xf>
    <xf numFmtId="37" fontId="5" fillId="3" borderId="16" xfId="1" applyNumberFormat="1" applyFont="1" applyFill="1" applyBorder="1" applyProtection="1"/>
    <xf numFmtId="37" fontId="5" fillId="3" borderId="17" xfId="1" applyNumberFormat="1" applyFont="1" applyFill="1" applyBorder="1" applyProtection="1"/>
    <xf numFmtId="165" fontId="5" fillId="3" borderId="11" xfId="2" applyNumberFormat="1" applyFont="1" applyFill="1" applyBorder="1" applyProtection="1"/>
    <xf numFmtId="37" fontId="5" fillId="2" borderId="11" xfId="1" applyNumberFormat="1" applyFont="1" applyFill="1" applyBorder="1" applyProtection="1"/>
    <xf numFmtId="37" fontId="5" fillId="2" borderId="0" xfId="1" applyNumberFormat="1" applyFont="1" applyFill="1" applyBorder="1" applyProtection="1"/>
    <xf numFmtId="165" fontId="5" fillId="2" borderId="0" xfId="2" applyNumberFormat="1" applyFont="1" applyFill="1" applyBorder="1" applyProtection="1"/>
    <xf numFmtId="0" fontId="2" fillId="5" borderId="0" xfId="0" applyFont="1" applyFill="1" applyAlignment="1">
      <alignment horizontal="center"/>
    </xf>
    <xf numFmtId="37" fontId="5" fillId="3" borderId="9" xfId="1" applyNumberFormat="1" applyFont="1" applyFill="1" applyBorder="1" applyProtection="1"/>
    <xf numFmtId="37" fontId="5" fillId="3" borderId="10" xfId="1" applyNumberFormat="1" applyFont="1" applyFill="1" applyBorder="1" applyProtection="1"/>
    <xf numFmtId="37" fontId="1" fillId="2" borderId="0" xfId="1" applyNumberFormat="1" applyFont="1" applyFill="1" applyBorder="1" applyProtection="1"/>
    <xf numFmtId="37" fontId="1" fillId="2" borderId="0" xfId="1" applyNumberFormat="1" applyFont="1" applyFill="1" applyProtection="1"/>
    <xf numFmtId="37" fontId="5" fillId="3" borderId="11" xfId="1" applyNumberFormat="1" applyFont="1" applyFill="1" applyBorder="1" applyProtection="1"/>
    <xf numFmtId="37" fontId="1" fillId="5" borderId="0" xfId="1" applyNumberFormat="1" applyFont="1" applyFill="1" applyProtection="1"/>
    <xf numFmtId="37" fontId="13" fillId="5" borderId="0" xfId="1" applyNumberFormat="1" applyFont="1" applyFill="1" applyProtection="1"/>
    <xf numFmtId="37" fontId="2" fillId="2" borderId="14" xfId="1" applyNumberFormat="1" applyFont="1" applyFill="1" applyBorder="1" applyProtection="1"/>
    <xf numFmtId="37" fontId="5" fillId="3" borderId="1" xfId="1" applyNumberFormat="1" applyFont="1" applyFill="1" applyBorder="1" applyProtection="1"/>
    <xf numFmtId="37" fontId="5" fillId="3" borderId="18" xfId="1" applyNumberFormat="1" applyFont="1" applyFill="1" applyBorder="1" applyProtection="1"/>
    <xf numFmtId="37" fontId="5" fillId="3" borderId="19" xfId="1" applyNumberFormat="1" applyFont="1" applyFill="1" applyBorder="1" applyProtection="1"/>
    <xf numFmtId="165" fontId="5" fillId="2" borderId="14" xfId="2" applyNumberFormat="1" applyFont="1" applyFill="1" applyBorder="1" applyProtection="1"/>
    <xf numFmtId="37" fontId="5" fillId="3" borderId="14" xfId="1" applyNumberFormat="1" applyFont="1" applyFill="1" applyBorder="1" applyProtection="1"/>
    <xf numFmtId="37" fontId="2" fillId="3" borderId="12" xfId="1" applyNumberFormat="1" applyFont="1" applyFill="1" applyBorder="1" applyProtection="1"/>
    <xf numFmtId="37" fontId="5" fillId="3" borderId="5" xfId="1" applyNumberFormat="1" applyFont="1" applyFill="1" applyBorder="1" applyProtection="1"/>
    <xf numFmtId="37" fontId="5" fillId="3" borderId="0" xfId="1" applyNumberFormat="1" applyFont="1" applyFill="1" applyBorder="1" applyProtection="1"/>
    <xf numFmtId="37" fontId="5" fillId="3" borderId="13" xfId="1" applyNumberFormat="1" applyFont="1" applyFill="1" applyBorder="1" applyProtection="1"/>
    <xf numFmtId="37" fontId="1" fillId="0" borderId="0" xfId="1" applyNumberFormat="1" applyFont="1" applyFill="1" applyBorder="1" applyProtection="1"/>
    <xf numFmtId="165" fontId="5" fillId="2" borderId="12" xfId="2" applyNumberFormat="1" applyFont="1" applyFill="1" applyBorder="1" applyProtection="1"/>
    <xf numFmtId="37" fontId="5" fillId="3" borderId="12" xfId="1" applyNumberFormat="1" applyFont="1" applyFill="1" applyBorder="1" applyProtection="1"/>
    <xf numFmtId="37" fontId="2" fillId="5" borderId="12" xfId="1" applyNumberFormat="1" applyFont="1" applyFill="1" applyBorder="1" applyProtection="1"/>
    <xf numFmtId="37" fontId="2" fillId="2" borderId="12" xfId="1" applyNumberFormat="1" applyFont="1" applyFill="1" applyBorder="1" applyProtection="1"/>
    <xf numFmtId="37" fontId="2" fillId="2" borderId="5" xfId="1" applyNumberFormat="1" applyFont="1" applyFill="1" applyBorder="1" applyProtection="1"/>
    <xf numFmtId="165" fontId="5" fillId="2" borderId="15" xfId="2" applyNumberFormat="1" applyFont="1" applyFill="1" applyBorder="1" applyProtection="1"/>
    <xf numFmtId="37" fontId="2" fillId="2" borderId="15" xfId="1" applyNumberFormat="1" applyFont="1" applyFill="1" applyBorder="1" applyProtection="1"/>
    <xf numFmtId="37" fontId="5" fillId="3" borderId="20" xfId="1" applyNumberFormat="1" applyFont="1" applyFill="1" applyBorder="1" applyProtection="1"/>
    <xf numFmtId="37" fontId="5" fillId="3" borderId="7" xfId="1" applyNumberFormat="1" applyFont="1" applyFill="1" applyBorder="1" applyProtection="1"/>
    <xf numFmtId="37" fontId="5" fillId="3" borderId="8" xfId="1" applyNumberFormat="1" applyFont="1" applyFill="1" applyBorder="1" applyProtection="1"/>
    <xf numFmtId="37" fontId="5" fillId="5" borderId="0" xfId="1" applyNumberFormat="1" applyFont="1" applyFill="1" applyProtection="1"/>
    <xf numFmtId="37" fontId="11" fillId="5" borderId="0" xfId="1" applyNumberFormat="1" applyFont="1" applyFill="1" applyProtection="1"/>
    <xf numFmtId="37" fontId="5" fillId="3" borderId="6" xfId="1" applyNumberFormat="1" applyFont="1" applyFill="1" applyBorder="1" applyProtection="1"/>
    <xf numFmtId="37" fontId="5" fillId="2" borderId="12" xfId="1" applyNumberFormat="1" applyFont="1" applyFill="1" applyBorder="1" applyProtection="1"/>
    <xf numFmtId="39" fontId="5" fillId="2" borderId="0" xfId="1" applyNumberFormat="1" applyFont="1" applyFill="1" applyBorder="1" applyProtection="1"/>
    <xf numFmtId="37" fontId="5" fillId="2" borderId="14" xfId="1" applyNumberFormat="1" applyFont="1" applyFill="1" applyBorder="1" applyProtection="1"/>
    <xf numFmtId="165" fontId="5" fillId="2" borderId="0" xfId="2" applyNumberFormat="1" applyFont="1" applyFill="1" applyProtection="1"/>
    <xf numFmtId="37" fontId="2" fillId="3" borderId="13" xfId="1" applyNumberFormat="1" applyFont="1" applyFill="1" applyBorder="1" applyProtection="1"/>
    <xf numFmtId="37" fontId="1" fillId="2" borderId="15" xfId="1" applyNumberFormat="1" applyFont="1" applyFill="1" applyBorder="1" applyProtection="1"/>
    <xf numFmtId="37" fontId="5" fillId="2" borderId="7" xfId="1" applyNumberFormat="1" applyFont="1" applyFill="1" applyBorder="1" applyProtection="1"/>
    <xf numFmtId="37" fontId="5" fillId="2" borderId="8" xfId="1" applyNumberFormat="1" applyFont="1" applyFill="1" applyBorder="1" applyProtection="1"/>
    <xf numFmtId="37" fontId="13" fillId="5" borderId="0" xfId="1" applyNumberFormat="1" applyFont="1" applyFill="1" applyBorder="1" applyProtection="1"/>
    <xf numFmtId="37" fontId="5" fillId="2" borderId="13" xfId="1" applyNumberFormat="1" applyFont="1" applyFill="1" applyBorder="1" applyProtection="1"/>
    <xf numFmtId="166" fontId="5" fillId="6" borderId="0" xfId="1" applyNumberFormat="1" applyFont="1" applyFill="1" applyBorder="1" applyProtection="1"/>
    <xf numFmtId="166" fontId="5" fillId="2" borderId="0" xfId="1" applyNumberFormat="1" applyFont="1" applyFill="1" applyBorder="1" applyProtection="1"/>
    <xf numFmtId="166" fontId="5" fillId="5" borderId="0" xfId="1" applyNumberFormat="1" applyFont="1" applyFill="1" applyBorder="1" applyProtection="1"/>
    <xf numFmtId="0" fontId="2" fillId="5" borderId="0" xfId="0" applyFont="1" applyFill="1" applyAlignment="1">
      <alignment horizontal="right"/>
    </xf>
    <xf numFmtId="37" fontId="13" fillId="2" borderId="0" xfId="1" applyNumberFormat="1" applyFont="1" applyFill="1" applyBorder="1" applyProtection="1"/>
    <xf numFmtId="37" fontId="2" fillId="2" borderId="21" xfId="1" applyNumberFormat="1" applyFont="1" applyFill="1" applyBorder="1" applyProtection="1"/>
    <xf numFmtId="37" fontId="11" fillId="2" borderId="0" xfId="1" applyNumberFormat="1" applyFont="1" applyFill="1" applyProtection="1"/>
    <xf numFmtId="37" fontId="2" fillId="2" borderId="13" xfId="1" applyNumberFormat="1" applyFont="1" applyFill="1" applyBorder="1" applyProtection="1"/>
    <xf numFmtId="37" fontId="13" fillId="2" borderId="0" xfId="1" applyNumberFormat="1" applyFont="1" applyFill="1" applyProtection="1"/>
    <xf numFmtId="37" fontId="5" fillId="6" borderId="0" xfId="1" applyNumberFormat="1" applyFont="1" applyFill="1" applyBorder="1" applyProtection="1"/>
    <xf numFmtId="0" fontId="14" fillId="2" borderId="0" xfId="3" applyFont="1" applyFill="1"/>
    <xf numFmtId="165" fontId="14" fillId="2" borderId="0" xfId="2" applyNumberFormat="1" applyFont="1" applyFill="1" applyProtection="1"/>
    <xf numFmtId="0" fontId="15" fillId="2" borderId="0" xfId="3" applyFont="1" applyFill="1"/>
    <xf numFmtId="0" fontId="16" fillId="2" borderId="0" xfId="3" applyFont="1" applyFill="1"/>
    <xf numFmtId="37" fontId="16" fillId="2" borderId="0" xfId="3" applyNumberFormat="1" applyFont="1" applyFill="1"/>
    <xf numFmtId="165" fontId="16" fillId="2" borderId="0" xfId="2" applyNumberFormat="1" applyFont="1" applyFill="1" applyProtection="1"/>
    <xf numFmtId="0" fontId="2" fillId="2" borderId="0" xfId="3" applyFill="1"/>
    <xf numFmtId="164" fontId="2" fillId="2" borderId="0" xfId="3" applyNumberFormat="1" applyFill="1"/>
    <xf numFmtId="167" fontId="1" fillId="2" borderId="0" xfId="1" applyNumberFormat="1" applyFont="1" applyFill="1" applyProtection="1"/>
    <xf numFmtId="37" fontId="6" fillId="2" borderId="0" xfId="1" applyNumberFormat="1" applyFont="1" applyFill="1" applyBorder="1" applyAlignment="1" applyProtection="1">
      <alignment horizontal="center"/>
    </xf>
    <xf numFmtId="0" fontId="6" fillId="3" borderId="14" xfId="4" applyFont="1" applyFill="1" applyBorder="1" applyAlignment="1">
      <alignment horizontal="center" vertical="center" wrapText="1"/>
    </xf>
    <xf numFmtId="0" fontId="6" fillId="3" borderId="14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center"/>
    </xf>
    <xf numFmtId="0" fontId="6" fillId="3" borderId="14" xfId="4" applyFont="1" applyFill="1" applyBorder="1" applyAlignment="1">
      <alignment horizontal="center" wrapText="1"/>
    </xf>
    <xf numFmtId="9" fontId="6" fillId="5" borderId="14" xfId="2" applyFont="1" applyFill="1" applyBorder="1" applyAlignment="1" applyProtection="1">
      <alignment horizontal="center"/>
      <protection locked="0"/>
    </xf>
    <xf numFmtId="167" fontId="6" fillId="5" borderId="14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19" xfId="4" applyFont="1" applyFill="1" applyBorder="1" applyAlignment="1">
      <alignment horizontal="center" wrapText="1"/>
    </xf>
    <xf numFmtId="165" fontId="6" fillId="5" borderId="14" xfId="4" applyNumberFormat="1" applyFont="1" applyFill="1" applyBorder="1" applyAlignment="1">
      <alignment horizontal="center"/>
    </xf>
    <xf numFmtId="0" fontId="6" fillId="2" borderId="0" xfId="4" applyFont="1" applyFill="1"/>
    <xf numFmtId="0" fontId="17" fillId="3" borderId="15" xfId="4" applyFont="1" applyFill="1" applyBorder="1"/>
    <xf numFmtId="0" fontId="6" fillId="3" borderId="15" xfId="4" applyFont="1" applyFill="1" applyBorder="1"/>
    <xf numFmtId="0" fontId="6" fillId="3" borderId="20" xfId="4" applyFont="1" applyFill="1" applyBorder="1" applyAlignment="1">
      <alignment horizontal="center"/>
    </xf>
    <xf numFmtId="9" fontId="6" fillId="3" borderId="15" xfId="4" applyNumberFormat="1" applyFont="1" applyFill="1" applyBorder="1" applyAlignment="1">
      <alignment horizontal="center"/>
    </xf>
    <xf numFmtId="0" fontId="6" fillId="3" borderId="15" xfId="4" applyFont="1" applyFill="1" applyBorder="1" applyAlignment="1">
      <alignment horizontal="center"/>
    </xf>
    <xf numFmtId="0" fontId="6" fillId="3" borderId="20" xfId="4" applyFont="1" applyFill="1" applyBorder="1" applyAlignment="1">
      <alignment horizontal="center" wrapText="1"/>
    </xf>
    <xf numFmtId="10" fontId="6" fillId="3" borderId="15" xfId="4" applyNumberFormat="1" applyFont="1" applyFill="1" applyBorder="1" applyAlignment="1">
      <alignment horizontal="center" wrapText="1"/>
    </xf>
    <xf numFmtId="10" fontId="6" fillId="3" borderId="8" xfId="4" applyNumberFormat="1" applyFont="1" applyFill="1" applyBorder="1" applyAlignment="1">
      <alignment horizontal="center" wrapText="1"/>
    </xf>
    <xf numFmtId="0" fontId="6" fillId="3" borderId="8" xfId="4" applyFont="1" applyFill="1" applyBorder="1" applyAlignment="1">
      <alignment horizontal="center" wrapText="1"/>
    </xf>
    <xf numFmtId="10" fontId="6" fillId="3" borderId="15" xfId="4" applyNumberFormat="1" applyFont="1" applyFill="1" applyBorder="1" applyAlignment="1">
      <alignment horizontal="center"/>
    </xf>
    <xf numFmtId="40" fontId="17" fillId="8" borderId="11" xfId="4" applyNumberFormat="1" applyFont="1" applyFill="1" applyBorder="1" applyProtection="1">
      <protection locked="0"/>
    </xf>
    <xf numFmtId="0" fontId="17" fillId="8" borderId="11" xfId="4" applyFont="1" applyFill="1" applyBorder="1" applyProtection="1">
      <protection locked="0"/>
    </xf>
    <xf numFmtId="164" fontId="17" fillId="8" borderId="11" xfId="1" applyFont="1" applyFill="1" applyBorder="1" applyProtection="1">
      <protection locked="0"/>
    </xf>
    <xf numFmtId="40" fontId="17" fillId="2" borderId="10" xfId="4" applyNumberFormat="1" applyFont="1" applyFill="1" applyBorder="1"/>
    <xf numFmtId="164" fontId="17" fillId="9" borderId="0" xfId="1" applyFont="1" applyFill="1" applyBorder="1" applyProtection="1"/>
    <xf numFmtId="164" fontId="17" fillId="10" borderId="22" xfId="1" applyFont="1" applyFill="1" applyBorder="1" applyProtection="1">
      <protection locked="0"/>
    </xf>
    <xf numFmtId="164" fontId="17" fillId="0" borderId="0" xfId="1" applyFont="1" applyFill="1" applyBorder="1" applyProtection="1">
      <protection locked="0"/>
    </xf>
    <xf numFmtId="164" fontId="17" fillId="11" borderId="0" xfId="1" applyFont="1" applyFill="1" applyBorder="1" applyProtection="1">
      <protection locked="0"/>
    </xf>
    <xf numFmtId="0" fontId="17" fillId="2" borderId="0" xfId="4" applyFont="1" applyFill="1"/>
    <xf numFmtId="164" fontId="6" fillId="8" borderId="11" xfId="1" applyFont="1" applyFill="1" applyBorder="1" applyProtection="1"/>
    <xf numFmtId="164" fontId="6" fillId="2" borderId="7" xfId="1" applyFont="1" applyFill="1" applyBorder="1" applyProtection="1"/>
    <xf numFmtId="164" fontId="6" fillId="9" borderId="9" xfId="1" applyFont="1" applyFill="1" applyBorder="1" applyProtection="1"/>
    <xf numFmtId="164" fontId="6" fillId="9" borderId="23" xfId="1" applyFont="1" applyFill="1" applyBorder="1" applyProtection="1"/>
    <xf numFmtId="165" fontId="1" fillId="2" borderId="0" xfId="2" applyNumberFormat="1" applyFont="1" applyFill="1" applyProtection="1"/>
    <xf numFmtId="0" fontId="19" fillId="5" borderId="0" xfId="7" applyFill="1"/>
    <xf numFmtId="3" fontId="20" fillId="13" borderId="24" xfId="7" applyNumberFormat="1" applyFont="1" applyFill="1" applyBorder="1" applyAlignment="1">
      <alignment horizontal="right" vertical="center" wrapText="1" readingOrder="1"/>
    </xf>
    <xf numFmtId="3" fontId="20" fillId="14" borderId="24" xfId="7" applyNumberFormat="1" applyFont="1" applyFill="1" applyBorder="1" applyAlignment="1">
      <alignment horizontal="right" vertical="center" wrapText="1" readingOrder="1"/>
    </xf>
    <xf numFmtId="3" fontId="20" fillId="15" borderId="24" xfId="7" applyNumberFormat="1" applyFont="1" applyFill="1" applyBorder="1" applyAlignment="1">
      <alignment horizontal="right" vertical="center" wrapText="1" readingOrder="1"/>
    </xf>
    <xf numFmtId="0" fontId="20" fillId="0" borderId="25" xfId="7" applyFont="1" applyBorder="1" applyAlignment="1">
      <alignment horizontal="left" vertical="center" wrapText="1" readingOrder="1"/>
    </xf>
    <xf numFmtId="2" fontId="19" fillId="5" borderId="0" xfId="7" applyNumberFormat="1" applyFill="1"/>
    <xf numFmtId="3" fontId="20" fillId="16" borderId="26" xfId="7" applyNumberFormat="1" applyFont="1" applyFill="1" applyBorder="1" applyAlignment="1">
      <alignment horizontal="right" vertical="center" wrapText="1" readingOrder="1"/>
    </xf>
    <xf numFmtId="3" fontId="21" fillId="14" borderId="26" xfId="7" applyNumberFormat="1" applyFont="1" applyFill="1" applyBorder="1" applyAlignment="1">
      <alignment horizontal="right" vertical="center" wrapText="1" readingOrder="1"/>
    </xf>
    <xf numFmtId="3" fontId="21" fillId="15" borderId="26" xfId="7" applyNumberFormat="1" applyFont="1" applyFill="1" applyBorder="1" applyAlignment="1">
      <alignment horizontal="right" vertical="center" wrapText="1" readingOrder="1"/>
    </xf>
    <xf numFmtId="0" fontId="21" fillId="0" borderId="25" xfId="7" applyFont="1" applyBorder="1" applyAlignment="1">
      <alignment horizontal="left" vertical="center" wrapText="1" readingOrder="1"/>
    </xf>
    <xf numFmtId="3" fontId="20" fillId="16" borderId="25" xfId="7" applyNumberFormat="1" applyFont="1" applyFill="1" applyBorder="1" applyAlignment="1">
      <alignment horizontal="right" vertical="center" wrapText="1" readingOrder="1"/>
    </xf>
    <xf numFmtId="3" fontId="21" fillId="14" borderId="25" xfId="7" applyNumberFormat="1" applyFont="1" applyFill="1" applyBorder="1" applyAlignment="1">
      <alignment horizontal="right" vertical="center" wrapText="1" readingOrder="1"/>
    </xf>
    <xf numFmtId="3" fontId="21" fillId="15" borderId="25" xfId="7" applyNumberFormat="1" applyFont="1" applyFill="1" applyBorder="1" applyAlignment="1">
      <alignment horizontal="right" vertical="center" wrapText="1" readingOrder="1"/>
    </xf>
    <xf numFmtId="43" fontId="19" fillId="5" borderId="0" xfId="8" applyFill="1"/>
    <xf numFmtId="0" fontId="22" fillId="17" borderId="27" xfId="7" applyFont="1" applyFill="1" applyBorder="1" applyAlignment="1">
      <alignment horizontal="center" vertical="center" wrapText="1" readingOrder="1"/>
    </xf>
    <xf numFmtId="0" fontId="22" fillId="18" borderId="27" xfId="7" applyFont="1" applyFill="1" applyBorder="1" applyAlignment="1">
      <alignment horizontal="center" vertical="center" wrapText="1" readingOrder="1"/>
    </xf>
    <xf numFmtId="0" fontId="19" fillId="14" borderId="0" xfId="7" applyFill="1" applyAlignment="1">
      <alignment horizontal="center"/>
    </xf>
    <xf numFmtId="0" fontId="19" fillId="15" borderId="0" xfId="7" applyFill="1" applyAlignment="1">
      <alignment horizontal="center"/>
    </xf>
    <xf numFmtId="0" fontId="23" fillId="5" borderId="0" xfId="7" applyFont="1" applyFill="1"/>
    <xf numFmtId="3" fontId="19" fillId="5" borderId="0" xfId="7" applyNumberFormat="1" applyFill="1"/>
    <xf numFmtId="168" fontId="19" fillId="5" borderId="0" xfId="8" applyNumberFormat="1" applyFill="1"/>
    <xf numFmtId="3" fontId="21" fillId="16" borderId="26" xfId="7" applyNumberFormat="1" applyFont="1" applyFill="1" applyBorder="1" applyAlignment="1">
      <alignment horizontal="right" vertical="center" wrapText="1" readingOrder="1"/>
    </xf>
    <xf numFmtId="3" fontId="21" fillId="16" borderId="25" xfId="7" applyNumberFormat="1" applyFont="1" applyFill="1" applyBorder="1" applyAlignment="1">
      <alignment horizontal="right" vertical="center" wrapText="1" readingOrder="1"/>
    </xf>
    <xf numFmtId="0" fontId="18" fillId="4" borderId="0" xfId="0" applyFont="1" applyFill="1" applyAlignment="1">
      <alignment horizontal="center" vertical="center" textRotation="90"/>
    </xf>
    <xf numFmtId="0" fontId="18" fillId="4" borderId="0" xfId="0" applyFont="1" applyFill="1" applyAlignment="1">
      <alignment horizontal="center" vertical="center" textRotation="90" wrapText="1"/>
    </xf>
    <xf numFmtId="0" fontId="24" fillId="0" borderId="28" xfId="6" applyFont="1" applyFill="1" applyBorder="1" applyAlignment="1">
      <alignment horizontal="left" vertical="center"/>
    </xf>
    <xf numFmtId="169" fontId="25" fillId="0" borderId="28" xfId="9" applyNumberFormat="1" applyFont="1" applyFill="1" applyBorder="1" applyAlignment="1">
      <alignment horizontal="center" vertical="center"/>
    </xf>
    <xf numFmtId="170" fontId="26" fillId="0" borderId="28" xfId="5" applyNumberFormat="1" applyFont="1" applyFill="1" applyBorder="1" applyAlignment="1">
      <alignment horizontal="center" vertical="center"/>
    </xf>
    <xf numFmtId="170" fontId="0" fillId="0" borderId="0" xfId="0" applyNumberFormat="1"/>
    <xf numFmtId="0" fontId="0" fillId="0" borderId="28" xfId="0" applyBorder="1" applyAlignment="1">
      <alignment horizontal="left"/>
    </xf>
    <xf numFmtId="170" fontId="0" fillId="5" borderId="0" xfId="0" applyNumberFormat="1" applyFill="1"/>
    <xf numFmtId="169" fontId="25" fillId="0" borderId="0" xfId="9" applyNumberFormat="1" applyFont="1" applyFill="1" applyBorder="1" applyAlignment="1">
      <alignment horizontal="right" vertical="center"/>
    </xf>
    <xf numFmtId="37" fontId="13" fillId="3" borderId="15" xfId="1" applyNumberFormat="1" applyFont="1" applyFill="1" applyBorder="1" applyAlignment="1" applyProtection="1">
      <alignment horizontal="center"/>
    </xf>
    <xf numFmtId="37" fontId="5" fillId="2" borderId="20" xfId="1" applyNumberFormat="1" applyFont="1" applyFill="1" applyBorder="1" applyAlignment="1" applyProtection="1">
      <alignment horizontal="center"/>
    </xf>
    <xf numFmtId="0" fontId="18" fillId="0" borderId="0" xfId="0" applyFont="1"/>
    <xf numFmtId="37" fontId="18" fillId="2" borderId="0" xfId="1" applyNumberFormat="1" applyFont="1" applyFill="1" applyBorder="1" applyProtection="1"/>
    <xf numFmtId="0" fontId="18" fillId="6" borderId="0" xfId="0" applyFont="1" applyFill="1"/>
    <xf numFmtId="0" fontId="18" fillId="19" borderId="0" xfId="0" applyFont="1" applyFill="1"/>
    <xf numFmtId="0" fontId="29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19" borderId="0" xfId="0" applyFill="1"/>
    <xf numFmtId="0" fontId="2" fillId="20" borderId="0" xfId="0" applyFont="1" applyFill="1" applyAlignment="1">
      <alignment horizontal="center"/>
    </xf>
    <xf numFmtId="0" fontId="18" fillId="20" borderId="0" xfId="0" applyFont="1" applyFill="1"/>
    <xf numFmtId="37" fontId="1" fillId="20" borderId="0" xfId="1" applyNumberFormat="1" applyFont="1" applyFill="1" applyBorder="1" applyProtection="1"/>
    <xf numFmtId="166" fontId="5" fillId="20" borderId="0" xfId="1" applyNumberFormat="1" applyFont="1" applyFill="1" applyBorder="1" applyProtection="1"/>
    <xf numFmtId="165" fontId="5" fillId="20" borderId="0" xfId="2" applyNumberFormat="1" applyFont="1" applyFill="1" applyBorder="1" applyProtection="1"/>
    <xf numFmtId="37" fontId="1" fillId="20" borderId="0" xfId="1" applyNumberFormat="1" applyFont="1" applyFill="1" applyProtection="1"/>
    <xf numFmtId="0" fontId="18" fillId="21" borderId="0" xfId="0" applyFont="1" applyFill="1"/>
    <xf numFmtId="37" fontId="1" fillId="2" borderId="0" xfId="1" applyNumberFormat="1" applyFont="1" applyFill="1" applyBorder="1" applyAlignment="1" applyProtection="1">
      <alignment horizontal="center"/>
    </xf>
    <xf numFmtId="0" fontId="18" fillId="22" borderId="0" xfId="0" applyFont="1" applyFill="1"/>
    <xf numFmtId="0" fontId="2" fillId="19" borderId="0" xfId="0" applyFont="1" applyFill="1" applyAlignment="1">
      <alignment horizontal="center"/>
    </xf>
    <xf numFmtId="37" fontId="1" fillId="19" borderId="0" xfId="1" applyNumberFormat="1" applyFont="1" applyFill="1" applyBorder="1" applyProtection="1"/>
    <xf numFmtId="165" fontId="5" fillId="19" borderId="0" xfId="2" applyNumberFormat="1" applyFont="1" applyFill="1" applyBorder="1" applyProtection="1"/>
    <xf numFmtId="37" fontId="1" fillId="19" borderId="0" xfId="1" applyNumberFormat="1" applyFont="1" applyFill="1" applyProtection="1"/>
    <xf numFmtId="37" fontId="3" fillId="2" borderId="0" xfId="1" applyNumberFormat="1" applyFont="1" applyFill="1" applyAlignment="1" applyProtection="1">
      <alignment vertical="center"/>
    </xf>
    <xf numFmtId="37" fontId="4" fillId="2" borderId="0" xfId="1" applyNumberFormat="1" applyFont="1" applyFill="1" applyAlignment="1" applyProtection="1">
      <alignment vertical="center"/>
    </xf>
    <xf numFmtId="37" fontId="5" fillId="3" borderId="1" xfId="1" applyNumberFormat="1" applyFont="1" applyFill="1" applyBorder="1" applyAlignment="1" applyProtection="1">
      <alignment horizontal="center" vertical="center"/>
    </xf>
    <xf numFmtId="37" fontId="11" fillId="3" borderId="1" xfId="1" applyNumberFormat="1" applyFont="1" applyFill="1" applyBorder="1" applyAlignment="1" applyProtection="1">
      <alignment horizontal="right" vertical="center"/>
    </xf>
    <xf numFmtId="37" fontId="6" fillId="4" borderId="2" xfId="1" applyNumberFormat="1" applyFont="1" applyFill="1" applyBorder="1" applyAlignment="1" applyProtection="1">
      <alignment horizontal="center" vertical="center"/>
      <protection locked="0"/>
    </xf>
    <xf numFmtId="37" fontId="6" fillId="4" borderId="3" xfId="1" applyNumberFormat="1" applyFont="1" applyFill="1" applyBorder="1" applyAlignment="1" applyProtection="1">
      <alignment vertical="center"/>
      <protection locked="0"/>
    </xf>
    <xf numFmtId="37" fontId="6" fillId="4" borderId="4" xfId="1" applyNumberFormat="1" applyFont="1" applyFill="1" applyBorder="1" applyAlignment="1" applyProtection="1">
      <alignment vertical="center"/>
      <protection locked="0"/>
    </xf>
    <xf numFmtId="37" fontId="7" fillId="2" borderId="0" xfId="1" applyNumberFormat="1" applyFont="1" applyFill="1" applyAlignment="1" applyProtection="1">
      <alignment vertical="center"/>
    </xf>
    <xf numFmtId="165" fontId="3" fillId="2" borderId="0" xfId="2" applyNumberFormat="1" applyFont="1" applyFill="1" applyAlignment="1" applyProtection="1">
      <alignment vertical="center"/>
    </xf>
    <xf numFmtId="10" fontId="8" fillId="5" borderId="0" xfId="2" applyNumberFormat="1" applyFont="1" applyFill="1" applyAlignment="1" applyProtection="1">
      <alignment vertical="center"/>
      <protection locked="0"/>
    </xf>
    <xf numFmtId="37" fontId="3" fillId="6" borderId="0" xfId="1" applyNumberFormat="1" applyFont="1" applyFill="1" applyAlignment="1" applyProtection="1">
      <alignment vertical="center"/>
    </xf>
    <xf numFmtId="37" fontId="9" fillId="2" borderId="0" xfId="1" applyNumberFormat="1" applyFont="1" applyFill="1" applyAlignment="1" applyProtection="1">
      <alignment vertical="center"/>
    </xf>
    <xf numFmtId="37" fontId="10" fillId="3" borderId="5" xfId="1" applyNumberFormat="1" applyFont="1" applyFill="1" applyBorder="1" applyAlignment="1" applyProtection="1">
      <alignment horizontal="center" vertical="center"/>
    </xf>
    <xf numFmtId="37" fontId="10" fillId="5" borderId="6" xfId="1" applyNumberFormat="1" applyFont="1" applyFill="1" applyBorder="1" applyAlignment="1" applyProtection="1">
      <alignment horizontal="center" vertical="center"/>
    </xf>
    <xf numFmtId="37" fontId="10" fillId="5" borderId="7" xfId="1" applyNumberFormat="1" applyFont="1" applyFill="1" applyBorder="1" applyAlignment="1" applyProtection="1">
      <alignment horizontal="center" vertical="center"/>
    </xf>
    <xf numFmtId="37" fontId="10" fillId="5" borderId="8" xfId="1" applyNumberFormat="1" applyFont="1" applyFill="1" applyBorder="1" applyAlignment="1" applyProtection="1">
      <alignment horizontal="center" vertical="center"/>
    </xf>
    <xf numFmtId="37" fontId="9" fillId="5" borderId="9" xfId="1" applyNumberFormat="1" applyFont="1" applyFill="1" applyBorder="1" applyAlignment="1" applyProtection="1">
      <alignment vertical="center"/>
    </xf>
    <xf numFmtId="37" fontId="9" fillId="5" borderId="10" xfId="1" applyNumberFormat="1" applyFont="1" applyFill="1" applyBorder="1" applyAlignment="1" applyProtection="1">
      <alignment vertical="center"/>
    </xf>
    <xf numFmtId="165" fontId="9" fillId="2" borderId="0" xfId="2" applyNumberFormat="1" applyFont="1" applyFill="1" applyAlignment="1" applyProtection="1">
      <alignment vertical="center"/>
    </xf>
    <xf numFmtId="0" fontId="9" fillId="5" borderId="11" xfId="1" applyNumberFormat="1" applyFont="1" applyFill="1" applyBorder="1" applyAlignment="1" applyProtection="1">
      <alignment horizontal="center" vertical="center"/>
    </xf>
    <xf numFmtId="37" fontId="5" fillId="3" borderId="12" xfId="1" applyNumberFormat="1" applyFont="1" applyFill="1" applyBorder="1" applyAlignment="1" applyProtection="1">
      <alignment horizontal="center" vertical="center"/>
    </xf>
    <xf numFmtId="37" fontId="5" fillId="2" borderId="13" xfId="1" applyNumberFormat="1" applyFont="1" applyFill="1" applyBorder="1" applyAlignment="1" applyProtection="1">
      <alignment horizontal="center" vertical="center"/>
    </xf>
    <xf numFmtId="37" fontId="5" fillId="2" borderId="0" xfId="1" applyNumberFormat="1" applyFont="1" applyFill="1" applyBorder="1" applyAlignment="1" applyProtection="1">
      <alignment horizontal="center" vertical="center"/>
    </xf>
    <xf numFmtId="37" fontId="5" fillId="2" borderId="12" xfId="1" applyNumberFormat="1" applyFont="1" applyFill="1" applyBorder="1" applyAlignment="1" applyProtection="1">
      <alignment horizontal="center" vertical="center"/>
    </xf>
    <xf numFmtId="165" fontId="5" fillId="2" borderId="14" xfId="2" applyNumberFormat="1" applyFont="1" applyFill="1" applyBorder="1" applyAlignment="1" applyProtection="1">
      <alignment horizontal="center" vertical="center"/>
    </xf>
    <xf numFmtId="37" fontId="11" fillId="3" borderId="15" xfId="1" applyNumberFormat="1" applyFont="1" applyFill="1" applyBorder="1" applyAlignment="1" applyProtection="1">
      <alignment horizontal="center" vertical="center"/>
    </xf>
    <xf numFmtId="37" fontId="5" fillId="2" borderId="8" xfId="1" applyNumberFormat="1" applyFont="1" applyFill="1" applyBorder="1" applyAlignment="1" applyProtection="1">
      <alignment horizontal="center" vertical="center"/>
    </xf>
    <xf numFmtId="37" fontId="5" fillId="2" borderId="0" xfId="1" applyNumberFormat="1" applyFont="1" applyFill="1" applyAlignment="1" applyProtection="1">
      <alignment vertical="center"/>
    </xf>
    <xf numFmtId="165" fontId="5" fillId="2" borderId="15" xfId="2" applyNumberFormat="1" applyFont="1" applyFill="1" applyBorder="1" applyAlignment="1" applyProtection="1">
      <alignment horizontal="center" vertical="center"/>
    </xf>
    <xf numFmtId="37" fontId="5" fillId="2" borderId="15" xfId="1" applyNumberFormat="1" applyFont="1" applyFill="1" applyBorder="1" applyAlignment="1" applyProtection="1">
      <alignment horizontal="center" vertical="center"/>
    </xf>
    <xf numFmtId="37" fontId="11" fillId="2" borderId="12" xfId="1" applyNumberFormat="1" applyFont="1" applyFill="1" applyBorder="1" applyAlignment="1" applyProtection="1">
      <alignment horizontal="center" vertical="center"/>
    </xf>
    <xf numFmtId="165" fontId="5" fillId="2" borderId="0" xfId="2" applyNumberFormat="1" applyFont="1" applyFill="1" applyBorder="1" applyAlignment="1" applyProtection="1">
      <alignment horizontal="center" vertical="center"/>
    </xf>
    <xf numFmtId="37" fontId="12" fillId="7" borderId="0" xfId="1" applyNumberFormat="1" applyFont="1" applyFill="1" applyAlignment="1" applyProtection="1">
      <alignment vertical="center"/>
    </xf>
    <xf numFmtId="37" fontId="12" fillId="7" borderId="0" xfId="1" applyNumberFormat="1" applyFont="1" applyFill="1" applyAlignment="1" applyProtection="1">
      <alignment horizontal="center" vertical="center"/>
    </xf>
    <xf numFmtId="37" fontId="5" fillId="3" borderId="16" xfId="1" applyNumberFormat="1" applyFont="1" applyFill="1" applyBorder="1" applyAlignment="1" applyProtection="1">
      <alignment vertical="center"/>
    </xf>
    <xf numFmtId="37" fontId="5" fillId="3" borderId="17" xfId="1" applyNumberFormat="1" applyFont="1" applyFill="1" applyBorder="1" applyAlignment="1" applyProtection="1">
      <alignment vertical="center"/>
    </xf>
    <xf numFmtId="165" fontId="5" fillId="3" borderId="11" xfId="2" applyNumberFormat="1" applyFont="1" applyFill="1" applyBorder="1" applyAlignment="1" applyProtection="1">
      <alignment vertical="center"/>
    </xf>
    <xf numFmtId="37" fontId="5" fillId="2" borderId="11" xfId="1" applyNumberFormat="1" applyFont="1" applyFill="1" applyBorder="1" applyAlignment="1" applyProtection="1">
      <alignment vertical="center"/>
    </xf>
    <xf numFmtId="37" fontId="5" fillId="2" borderId="0" xfId="1" applyNumberFormat="1" applyFont="1" applyFill="1" applyBorder="1" applyAlignment="1" applyProtection="1">
      <alignment vertical="center"/>
    </xf>
    <xf numFmtId="165" fontId="5" fillId="2" borderId="0" xfId="2" applyNumberFormat="1" applyFont="1" applyFill="1" applyBorder="1" applyAlignment="1" applyProtection="1">
      <alignment vertical="center"/>
    </xf>
    <xf numFmtId="0" fontId="2" fillId="5" borderId="0" xfId="0" applyFont="1" applyFill="1" applyAlignment="1">
      <alignment horizontal="center" vertical="center"/>
    </xf>
    <xf numFmtId="37" fontId="5" fillId="3" borderId="9" xfId="1" applyNumberFormat="1" applyFont="1" applyFill="1" applyBorder="1" applyAlignment="1" applyProtection="1">
      <alignment vertical="center"/>
    </xf>
    <xf numFmtId="37" fontId="5" fillId="3" borderId="10" xfId="1" applyNumberFormat="1" applyFont="1" applyFill="1" applyBorder="1" applyAlignment="1" applyProtection="1">
      <alignment vertical="center"/>
    </xf>
    <xf numFmtId="37" fontId="1" fillId="2" borderId="0" xfId="1" applyNumberFormat="1" applyFont="1" applyFill="1" applyBorder="1" applyAlignment="1" applyProtection="1">
      <alignment vertical="center"/>
    </xf>
    <xf numFmtId="37" fontId="1" fillId="2" borderId="0" xfId="1" applyNumberFormat="1" applyFont="1" applyFill="1" applyAlignment="1" applyProtection="1">
      <alignment vertical="center"/>
    </xf>
    <xf numFmtId="37" fontId="5" fillId="3" borderId="11" xfId="1" applyNumberFormat="1" applyFont="1" applyFill="1" applyBorder="1" applyAlignment="1" applyProtection="1">
      <alignment vertical="center"/>
    </xf>
    <xf numFmtId="37" fontId="1" fillId="5" borderId="0" xfId="1" applyNumberFormat="1" applyFont="1" applyFill="1" applyAlignment="1" applyProtection="1">
      <alignment vertical="center"/>
    </xf>
    <xf numFmtId="37" fontId="13" fillId="5" borderId="0" xfId="1" applyNumberFormat="1" applyFont="1" applyFill="1" applyAlignment="1" applyProtection="1">
      <alignment vertical="center"/>
    </xf>
    <xf numFmtId="37" fontId="2" fillId="2" borderId="14" xfId="1" applyNumberFormat="1" applyFont="1" applyFill="1" applyBorder="1" applyAlignment="1" applyProtection="1">
      <alignment vertical="center"/>
    </xf>
    <xf numFmtId="37" fontId="5" fillId="3" borderId="1" xfId="1" applyNumberFormat="1" applyFont="1" applyFill="1" applyBorder="1" applyAlignment="1" applyProtection="1">
      <alignment vertical="center"/>
    </xf>
    <xf numFmtId="37" fontId="5" fillId="3" borderId="18" xfId="1" applyNumberFormat="1" applyFont="1" applyFill="1" applyBorder="1" applyAlignment="1" applyProtection="1">
      <alignment vertical="center"/>
    </xf>
    <xf numFmtId="37" fontId="5" fillId="3" borderId="19" xfId="1" applyNumberFormat="1" applyFont="1" applyFill="1" applyBorder="1" applyAlignment="1" applyProtection="1">
      <alignment vertical="center"/>
    </xf>
    <xf numFmtId="165" fontId="5" fillId="2" borderId="14" xfId="2" applyNumberFormat="1" applyFont="1" applyFill="1" applyBorder="1" applyAlignment="1" applyProtection="1">
      <alignment vertical="center"/>
    </xf>
    <xf numFmtId="37" fontId="5" fillId="3" borderId="14" xfId="1" applyNumberFormat="1" applyFont="1" applyFill="1" applyBorder="1" applyAlignment="1" applyProtection="1">
      <alignment vertical="center"/>
    </xf>
    <xf numFmtId="37" fontId="2" fillId="3" borderId="12" xfId="1" applyNumberFormat="1" applyFont="1" applyFill="1" applyBorder="1" applyAlignment="1" applyProtection="1">
      <alignment vertical="center"/>
    </xf>
    <xf numFmtId="37" fontId="5" fillId="3" borderId="5" xfId="1" applyNumberFormat="1" applyFont="1" applyFill="1" applyBorder="1" applyAlignment="1" applyProtection="1">
      <alignment vertical="center"/>
    </xf>
    <xf numFmtId="37" fontId="5" fillId="3" borderId="0" xfId="1" applyNumberFormat="1" applyFont="1" applyFill="1" applyBorder="1" applyAlignment="1" applyProtection="1">
      <alignment vertical="center"/>
    </xf>
    <xf numFmtId="37" fontId="5" fillId="3" borderId="13" xfId="1" applyNumberFormat="1" applyFont="1" applyFill="1" applyBorder="1" applyAlignment="1" applyProtection="1">
      <alignment vertical="center"/>
    </xf>
    <xf numFmtId="37" fontId="1" fillId="0" borderId="0" xfId="1" applyNumberFormat="1" applyFont="1" applyFill="1" applyBorder="1" applyAlignment="1" applyProtection="1">
      <alignment vertical="center"/>
    </xf>
    <xf numFmtId="165" fontId="5" fillId="2" borderId="12" xfId="2" applyNumberFormat="1" applyFont="1" applyFill="1" applyBorder="1" applyAlignment="1" applyProtection="1">
      <alignment vertical="center"/>
    </xf>
    <xf numFmtId="37" fontId="5" fillId="3" borderId="12" xfId="1" applyNumberFormat="1" applyFont="1" applyFill="1" applyBorder="1" applyAlignment="1" applyProtection="1">
      <alignment vertical="center"/>
    </xf>
    <xf numFmtId="37" fontId="2" fillId="5" borderId="12" xfId="1" applyNumberFormat="1" applyFont="1" applyFill="1" applyBorder="1" applyAlignment="1" applyProtection="1">
      <alignment vertical="center"/>
    </xf>
    <xf numFmtId="37" fontId="2" fillId="2" borderId="12" xfId="1" applyNumberFormat="1" applyFont="1" applyFill="1" applyBorder="1" applyAlignment="1" applyProtection="1">
      <alignment vertical="center"/>
    </xf>
    <xf numFmtId="37" fontId="2" fillId="2" borderId="5" xfId="1" applyNumberFormat="1" applyFont="1" applyFill="1" applyBorder="1" applyAlignment="1" applyProtection="1">
      <alignment vertical="center"/>
    </xf>
    <xf numFmtId="165" fontId="5" fillId="2" borderId="15" xfId="2" applyNumberFormat="1" applyFont="1" applyFill="1" applyBorder="1" applyAlignment="1" applyProtection="1">
      <alignment vertical="center"/>
    </xf>
    <xf numFmtId="37" fontId="2" fillId="2" borderId="15" xfId="1" applyNumberFormat="1" applyFont="1" applyFill="1" applyBorder="1" applyAlignment="1" applyProtection="1">
      <alignment vertical="center"/>
    </xf>
    <xf numFmtId="37" fontId="5" fillId="3" borderId="20" xfId="1" applyNumberFormat="1" applyFont="1" applyFill="1" applyBorder="1" applyAlignment="1" applyProtection="1">
      <alignment vertical="center"/>
    </xf>
    <xf numFmtId="37" fontId="5" fillId="3" borderId="7" xfId="1" applyNumberFormat="1" applyFont="1" applyFill="1" applyBorder="1" applyAlignment="1" applyProtection="1">
      <alignment vertical="center"/>
    </xf>
    <xf numFmtId="37" fontId="5" fillId="3" borderId="8" xfId="1" applyNumberFormat="1" applyFont="1" applyFill="1" applyBorder="1" applyAlignment="1" applyProtection="1">
      <alignment vertical="center"/>
    </xf>
    <xf numFmtId="37" fontId="5" fillId="5" borderId="0" xfId="1" applyNumberFormat="1" applyFont="1" applyFill="1" applyAlignment="1" applyProtection="1">
      <alignment vertical="center"/>
    </xf>
    <xf numFmtId="37" fontId="11" fillId="5" borderId="0" xfId="1" applyNumberFormat="1" applyFont="1" applyFill="1" applyAlignment="1" applyProtection="1">
      <alignment vertical="center"/>
    </xf>
    <xf numFmtId="37" fontId="5" fillId="3" borderId="6" xfId="1" applyNumberFormat="1" applyFont="1" applyFill="1" applyBorder="1" applyAlignment="1" applyProtection="1">
      <alignment vertical="center"/>
    </xf>
    <xf numFmtId="37" fontId="5" fillId="2" borderId="12" xfId="1" applyNumberFormat="1" applyFont="1" applyFill="1" applyBorder="1" applyAlignment="1" applyProtection="1">
      <alignment vertical="center"/>
    </xf>
    <xf numFmtId="39" fontId="5" fillId="2" borderId="0" xfId="1" applyNumberFormat="1" applyFont="1" applyFill="1" applyBorder="1" applyAlignment="1" applyProtection="1">
      <alignment vertical="center"/>
    </xf>
    <xf numFmtId="37" fontId="5" fillId="2" borderId="14" xfId="1" applyNumberFormat="1" applyFont="1" applyFill="1" applyBorder="1" applyAlignment="1" applyProtection="1">
      <alignment vertical="center"/>
    </xf>
    <xf numFmtId="165" fontId="5" fillId="2" borderId="0" xfId="2" applyNumberFormat="1" applyFont="1" applyFill="1" applyAlignment="1" applyProtection="1">
      <alignment vertical="center"/>
    </xf>
    <xf numFmtId="37" fontId="2" fillId="3" borderId="13" xfId="1" applyNumberFormat="1" applyFont="1" applyFill="1" applyBorder="1" applyAlignment="1" applyProtection="1">
      <alignment vertical="center"/>
    </xf>
    <xf numFmtId="37" fontId="1" fillId="2" borderId="15" xfId="1" applyNumberFormat="1" applyFont="1" applyFill="1" applyBorder="1" applyAlignment="1" applyProtection="1">
      <alignment vertical="center"/>
    </xf>
    <xf numFmtId="37" fontId="5" fillId="2" borderId="7" xfId="1" applyNumberFormat="1" applyFont="1" applyFill="1" applyBorder="1" applyAlignment="1" applyProtection="1">
      <alignment vertical="center"/>
    </xf>
    <xf numFmtId="37" fontId="5" fillId="2" borderId="8" xfId="1" applyNumberFormat="1" applyFont="1" applyFill="1" applyBorder="1" applyAlignment="1" applyProtection="1">
      <alignment vertical="center"/>
    </xf>
    <xf numFmtId="37" fontId="13" fillId="5" borderId="0" xfId="1" applyNumberFormat="1" applyFont="1" applyFill="1" applyBorder="1" applyAlignment="1" applyProtection="1">
      <alignment vertical="center"/>
    </xf>
    <xf numFmtId="37" fontId="5" fillId="2" borderId="13" xfId="1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166" fontId="5" fillId="2" borderId="0" xfId="1" applyNumberFormat="1" applyFont="1" applyFill="1" applyBorder="1" applyAlignment="1" applyProtection="1">
      <alignment vertical="center"/>
    </xf>
    <xf numFmtId="166" fontId="5" fillId="5" borderId="0" xfId="1" applyNumberFormat="1" applyFont="1" applyFill="1" applyBorder="1" applyAlignment="1" applyProtection="1">
      <alignment vertical="center"/>
    </xf>
    <xf numFmtId="0" fontId="2" fillId="5" borderId="0" xfId="0" applyFont="1" applyFill="1" applyAlignment="1">
      <alignment horizontal="right" vertical="center"/>
    </xf>
    <xf numFmtId="37" fontId="13" fillId="2" borderId="0" xfId="1" applyNumberFormat="1" applyFont="1" applyFill="1" applyAlignment="1" applyProtection="1">
      <alignment horizontal="center" vertical="center"/>
    </xf>
    <xf numFmtId="0" fontId="2" fillId="5" borderId="0" xfId="0" applyFont="1" applyFill="1" applyAlignment="1">
      <alignment horizontal="left" vertical="center"/>
    </xf>
    <xf numFmtId="37" fontId="13" fillId="2" borderId="0" xfId="1" applyNumberFormat="1" applyFont="1" applyFill="1" applyBorder="1" applyAlignment="1" applyProtection="1">
      <alignment vertical="center"/>
    </xf>
    <xf numFmtId="37" fontId="2" fillId="2" borderId="21" xfId="1" applyNumberFormat="1" applyFont="1" applyFill="1" applyBorder="1" applyAlignment="1" applyProtection="1">
      <alignment vertical="center"/>
    </xf>
    <xf numFmtId="37" fontId="11" fillId="2" borderId="0" xfId="1" applyNumberFormat="1" applyFont="1" applyFill="1" applyAlignment="1" applyProtection="1">
      <alignment vertical="center"/>
    </xf>
    <xf numFmtId="37" fontId="2" fillId="2" borderId="13" xfId="1" applyNumberFormat="1" applyFont="1" applyFill="1" applyBorder="1" applyAlignment="1" applyProtection="1">
      <alignment vertical="center"/>
    </xf>
    <xf numFmtId="37" fontId="13" fillId="2" borderId="0" xfId="1" applyNumberFormat="1" applyFont="1" applyFill="1" applyAlignment="1" applyProtection="1">
      <alignment vertical="center"/>
    </xf>
    <xf numFmtId="0" fontId="14" fillId="2" borderId="0" xfId="3" applyFont="1" applyFill="1" applyAlignment="1">
      <alignment vertical="center"/>
    </xf>
    <xf numFmtId="165" fontId="14" fillId="2" borderId="0" xfId="2" applyNumberFormat="1" applyFont="1" applyFill="1" applyAlignment="1" applyProtection="1">
      <alignment vertical="center"/>
    </xf>
    <xf numFmtId="0" fontId="15" fillId="2" borderId="0" xfId="3" applyFont="1" applyFill="1" applyAlignment="1">
      <alignment vertical="center"/>
    </xf>
    <xf numFmtId="0" fontId="16" fillId="2" borderId="0" xfId="3" applyFont="1" applyFill="1" applyAlignment="1">
      <alignment vertical="center"/>
    </xf>
    <xf numFmtId="37" fontId="16" fillId="2" borderId="0" xfId="3" applyNumberFormat="1" applyFont="1" applyFill="1" applyAlignment="1">
      <alignment vertical="center"/>
    </xf>
    <xf numFmtId="165" fontId="16" fillId="2" borderId="0" xfId="2" applyNumberFormat="1" applyFont="1" applyFill="1" applyAlignment="1" applyProtection="1">
      <alignment vertical="center"/>
    </xf>
    <xf numFmtId="0" fontId="2" fillId="2" borderId="0" xfId="3" applyFill="1" applyAlignment="1">
      <alignment vertical="center"/>
    </xf>
    <xf numFmtId="164" fontId="2" fillId="2" borderId="0" xfId="3" applyNumberFormat="1" applyFill="1" applyAlignment="1">
      <alignment vertical="center"/>
    </xf>
    <xf numFmtId="167" fontId="1" fillId="2" borderId="0" xfId="1" applyNumberFormat="1" applyFont="1" applyFill="1" applyAlignment="1" applyProtection="1">
      <alignment vertical="center"/>
    </xf>
    <xf numFmtId="37" fontId="6" fillId="2" borderId="0" xfId="1" applyNumberFormat="1" applyFont="1" applyFill="1" applyBorder="1" applyAlignment="1" applyProtection="1">
      <alignment horizontal="center" vertical="center"/>
    </xf>
    <xf numFmtId="0" fontId="6" fillId="3" borderId="14" xfId="4" applyFont="1" applyFill="1" applyBorder="1" applyAlignment="1">
      <alignment vertical="center" wrapText="1"/>
    </xf>
    <xf numFmtId="0" fontId="6" fillId="3" borderId="14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9" fontId="6" fillId="5" borderId="14" xfId="2" applyFont="1" applyFill="1" applyBorder="1" applyAlignment="1" applyProtection="1">
      <alignment horizontal="center" vertical="center"/>
      <protection locked="0"/>
    </xf>
    <xf numFmtId="0" fontId="6" fillId="3" borderId="19" xfId="4" applyFont="1" applyFill="1" applyBorder="1" applyAlignment="1">
      <alignment horizontal="center" vertical="center" wrapText="1"/>
    </xf>
    <xf numFmtId="165" fontId="6" fillId="5" borderId="14" xfId="4" applyNumberFormat="1" applyFont="1" applyFill="1" applyBorder="1" applyAlignment="1">
      <alignment horizontal="center" vertical="center"/>
    </xf>
    <xf numFmtId="0" fontId="6" fillId="2" borderId="0" xfId="4" applyFont="1" applyFill="1" applyAlignment="1">
      <alignment vertical="center"/>
    </xf>
    <xf numFmtId="0" fontId="6" fillId="3" borderId="15" xfId="4" applyFont="1" applyFill="1" applyBorder="1" applyAlignment="1">
      <alignment vertical="center" wrapText="1"/>
    </xf>
    <xf numFmtId="0" fontId="17" fillId="3" borderId="15" xfId="4" applyFont="1" applyFill="1" applyBorder="1" applyAlignment="1">
      <alignment vertical="center"/>
    </xf>
    <xf numFmtId="0" fontId="6" fillId="3" borderId="15" xfId="4" applyFont="1" applyFill="1" applyBorder="1" applyAlignment="1">
      <alignment vertical="center"/>
    </xf>
    <xf numFmtId="0" fontId="6" fillId="3" borderId="20" xfId="4" applyFont="1" applyFill="1" applyBorder="1" applyAlignment="1">
      <alignment horizontal="center" vertical="center"/>
    </xf>
    <xf numFmtId="9" fontId="6" fillId="3" borderId="15" xfId="4" applyNumberFormat="1" applyFont="1" applyFill="1" applyBorder="1" applyAlignment="1">
      <alignment horizontal="center" vertical="center"/>
    </xf>
    <xf numFmtId="0" fontId="6" fillId="3" borderId="15" xfId="4" applyFont="1" applyFill="1" applyBorder="1" applyAlignment="1">
      <alignment horizontal="center" vertical="center"/>
    </xf>
    <xf numFmtId="0" fontId="6" fillId="3" borderId="20" xfId="4" applyFont="1" applyFill="1" applyBorder="1" applyAlignment="1">
      <alignment horizontal="center" vertical="center" wrapText="1"/>
    </xf>
    <xf numFmtId="10" fontId="6" fillId="3" borderId="15" xfId="4" applyNumberFormat="1" applyFont="1" applyFill="1" applyBorder="1" applyAlignment="1">
      <alignment horizontal="center" vertical="center" wrapText="1"/>
    </xf>
    <xf numFmtId="10" fontId="6" fillId="3" borderId="8" xfId="4" applyNumberFormat="1" applyFont="1" applyFill="1" applyBorder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10" fontId="6" fillId="3" borderId="15" xfId="4" applyNumberFormat="1" applyFont="1" applyFill="1" applyBorder="1" applyAlignment="1">
      <alignment horizontal="center" vertical="center"/>
    </xf>
    <xf numFmtId="40" fontId="17" fillId="8" borderId="11" xfId="4" applyNumberFormat="1" applyFont="1" applyFill="1" applyBorder="1" applyAlignment="1" applyProtection="1">
      <alignment vertical="center"/>
      <protection locked="0"/>
    </xf>
    <xf numFmtId="0" fontId="17" fillId="8" borderId="11" xfId="4" applyFont="1" applyFill="1" applyBorder="1" applyAlignment="1" applyProtection="1">
      <alignment vertical="center"/>
      <protection locked="0"/>
    </xf>
    <xf numFmtId="164" fontId="17" fillId="8" borderId="11" xfId="1" applyFont="1" applyFill="1" applyBorder="1" applyAlignment="1" applyProtection="1">
      <alignment vertical="center"/>
      <protection locked="0"/>
    </xf>
    <xf numFmtId="40" fontId="17" fillId="2" borderId="10" xfId="4" applyNumberFormat="1" applyFont="1" applyFill="1" applyBorder="1" applyAlignment="1">
      <alignment vertical="center"/>
    </xf>
    <xf numFmtId="164" fontId="17" fillId="9" borderId="0" xfId="1" applyFont="1" applyFill="1" applyBorder="1" applyAlignment="1" applyProtection="1">
      <alignment vertical="center"/>
    </xf>
    <xf numFmtId="164" fontId="17" fillId="10" borderId="22" xfId="1" applyFont="1" applyFill="1" applyBorder="1" applyAlignment="1" applyProtection="1">
      <alignment vertical="center"/>
      <protection locked="0"/>
    </xf>
    <xf numFmtId="164" fontId="17" fillId="0" borderId="0" xfId="1" applyFont="1" applyFill="1" applyBorder="1" applyAlignment="1" applyProtection="1">
      <alignment vertical="center"/>
      <protection locked="0"/>
    </xf>
    <xf numFmtId="164" fontId="17" fillId="11" borderId="0" xfId="1" applyFont="1" applyFill="1" applyBorder="1" applyAlignment="1" applyProtection="1">
      <alignment vertical="center"/>
      <protection locked="0"/>
    </xf>
    <xf numFmtId="0" fontId="17" fillId="2" borderId="0" xfId="4" applyFont="1" applyFill="1" applyAlignment="1">
      <alignment vertical="center"/>
    </xf>
    <xf numFmtId="164" fontId="6" fillId="8" borderId="11" xfId="1" applyFont="1" applyFill="1" applyBorder="1" applyAlignment="1" applyProtection="1">
      <alignment vertical="center"/>
    </xf>
    <xf numFmtId="164" fontId="6" fillId="2" borderId="7" xfId="1" applyFont="1" applyFill="1" applyBorder="1" applyAlignment="1" applyProtection="1">
      <alignment vertical="center"/>
    </xf>
    <xf numFmtId="164" fontId="6" fillId="9" borderId="9" xfId="1" applyFont="1" applyFill="1" applyBorder="1" applyAlignment="1" applyProtection="1">
      <alignment vertical="center"/>
    </xf>
    <xf numFmtId="164" fontId="6" fillId="9" borderId="23" xfId="1" applyFont="1" applyFill="1" applyBorder="1" applyAlignment="1" applyProtection="1">
      <alignment vertical="center"/>
    </xf>
    <xf numFmtId="165" fontId="1" fillId="2" borderId="0" xfId="2" applyNumberFormat="1" applyFont="1" applyFill="1" applyAlignment="1" applyProtection="1">
      <alignment vertical="center"/>
    </xf>
    <xf numFmtId="170" fontId="18" fillId="0" borderId="0" xfId="0" applyNumberFormat="1" applyFont="1"/>
    <xf numFmtId="0" fontId="18" fillId="23" borderId="0" xfId="0" applyFont="1" applyFill="1" applyAlignment="1">
      <alignment horizontal="center" vertical="center" textRotation="90"/>
    </xf>
    <xf numFmtId="170" fontId="18" fillId="0" borderId="29" xfId="0" applyNumberFormat="1" applyFont="1" applyBorder="1"/>
    <xf numFmtId="0" fontId="0" fillId="0" borderId="0" xfId="0" applyAlignment="1">
      <alignment horizontal="center" vertical="center" textRotation="90"/>
    </xf>
    <xf numFmtId="170" fontId="0" fillId="0" borderId="0" xfId="5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17" fontId="0" fillId="0" borderId="0" xfId="0" applyNumberFormat="1"/>
    <xf numFmtId="44" fontId="0" fillId="0" borderId="0" xfId="5" applyFont="1"/>
    <xf numFmtId="16" fontId="0" fillId="0" borderId="0" xfId="0" applyNumberFormat="1"/>
    <xf numFmtId="17" fontId="1" fillId="0" borderId="0" xfId="0" applyNumberFormat="1" applyFont="1"/>
    <xf numFmtId="44" fontId="0" fillId="0" borderId="0" xfId="0" applyNumberFormat="1"/>
    <xf numFmtId="0" fontId="0" fillId="0" borderId="31" xfId="0" applyBorder="1"/>
    <xf numFmtId="44" fontId="0" fillId="0" borderId="31" xfId="5" applyFont="1" applyBorder="1"/>
    <xf numFmtId="44" fontId="0" fillId="0" borderId="32" xfId="5" applyFont="1" applyBorder="1"/>
    <xf numFmtId="44" fontId="0" fillId="0" borderId="10" xfId="5" applyFont="1" applyBorder="1"/>
    <xf numFmtId="0" fontId="0" fillId="0" borderId="11" xfId="0" applyBorder="1"/>
    <xf numFmtId="44" fontId="0" fillId="0" borderId="11" xfId="5" applyFont="1" applyBorder="1"/>
    <xf numFmtId="44" fontId="0" fillId="0" borderId="34" xfId="5" applyFont="1" applyBorder="1"/>
    <xf numFmtId="0" fontId="0" fillId="0" borderId="16" xfId="0" applyBorder="1"/>
    <xf numFmtId="44" fontId="0" fillId="0" borderId="16" xfId="5" applyFont="1" applyBorder="1"/>
    <xf numFmtId="44" fontId="0" fillId="0" borderId="36" xfId="5" applyFont="1" applyBorder="1"/>
    <xf numFmtId="44" fontId="0" fillId="0" borderId="15" xfId="5" applyFont="1" applyBorder="1"/>
    <xf numFmtId="0" fontId="19" fillId="24" borderId="0" xfId="7" applyFill="1" applyAlignment="1">
      <alignment horizontal="center"/>
    </xf>
    <xf numFmtId="0" fontId="22" fillId="18" borderId="26" xfId="7" applyFont="1" applyFill="1" applyBorder="1" applyAlignment="1">
      <alignment horizontal="center" vertical="center" wrapText="1" readingOrder="1"/>
    </xf>
    <xf numFmtId="165" fontId="21" fillId="15" borderId="25" xfId="2" applyNumberFormat="1" applyFont="1" applyFill="1" applyBorder="1" applyAlignment="1">
      <alignment horizontal="center" vertical="center" wrapText="1" readingOrder="1"/>
    </xf>
    <xf numFmtId="165" fontId="21" fillId="16" borderId="25" xfId="2" applyNumberFormat="1" applyFont="1" applyFill="1" applyBorder="1" applyAlignment="1">
      <alignment horizontal="center" vertical="center" wrapText="1" readingOrder="1"/>
    </xf>
    <xf numFmtId="165" fontId="21" fillId="16" borderId="26" xfId="2" applyNumberFormat="1" applyFont="1" applyFill="1" applyBorder="1" applyAlignment="1">
      <alignment horizontal="center" vertical="center" wrapText="1" readingOrder="1"/>
    </xf>
    <xf numFmtId="165" fontId="20" fillId="13" borderId="24" xfId="2" applyNumberFormat="1" applyFont="1" applyFill="1" applyBorder="1" applyAlignment="1">
      <alignment horizontal="center" vertical="center" wrapText="1" readingOrder="1"/>
    </xf>
    <xf numFmtId="165" fontId="21" fillId="15" borderId="26" xfId="2" applyNumberFormat="1" applyFont="1" applyFill="1" applyBorder="1" applyAlignment="1">
      <alignment horizontal="center" vertical="center" wrapText="1" readingOrder="1"/>
    </xf>
    <xf numFmtId="165" fontId="20" fillId="15" borderId="24" xfId="2" applyNumberFormat="1" applyFont="1" applyFill="1" applyBorder="1" applyAlignment="1">
      <alignment horizontal="center" vertical="center" wrapText="1" readingOrder="1"/>
    </xf>
    <xf numFmtId="3" fontId="21" fillId="7" borderId="25" xfId="7" applyNumberFormat="1" applyFont="1" applyFill="1" applyBorder="1" applyAlignment="1">
      <alignment horizontal="right" vertical="center" wrapText="1" readingOrder="1"/>
    </xf>
    <xf numFmtId="165" fontId="21" fillId="7" borderId="25" xfId="2" applyNumberFormat="1" applyFont="1" applyFill="1" applyBorder="1" applyAlignment="1">
      <alignment horizontal="center" vertical="center" wrapText="1" readingOrder="1"/>
    </xf>
    <xf numFmtId="3" fontId="21" fillId="7" borderId="26" xfId="7" applyNumberFormat="1" applyFont="1" applyFill="1" applyBorder="1" applyAlignment="1">
      <alignment horizontal="right" vertical="center" wrapText="1" readingOrder="1"/>
    </xf>
    <xf numFmtId="165" fontId="21" fillId="7" borderId="26" xfId="2" applyNumberFormat="1" applyFont="1" applyFill="1" applyBorder="1" applyAlignment="1">
      <alignment horizontal="center" vertical="center" wrapText="1" readingOrder="1"/>
    </xf>
    <xf numFmtId="3" fontId="20" fillId="7" borderId="24" xfId="7" applyNumberFormat="1" applyFont="1" applyFill="1" applyBorder="1" applyAlignment="1">
      <alignment horizontal="right" vertical="center" wrapText="1" readingOrder="1"/>
    </xf>
    <xf numFmtId="165" fontId="20" fillId="7" borderId="24" xfId="2" applyNumberFormat="1" applyFont="1" applyFill="1" applyBorder="1" applyAlignment="1">
      <alignment horizontal="center" vertical="center" wrapText="1" readingOrder="1"/>
    </xf>
    <xf numFmtId="0" fontId="22" fillId="18" borderId="39" xfId="7" applyFont="1" applyFill="1" applyBorder="1" applyAlignment="1">
      <alignment horizontal="center" vertical="center" wrapText="1" readingOrder="1"/>
    </xf>
    <xf numFmtId="0" fontId="22" fillId="18" borderId="0" xfId="7" applyFont="1" applyFill="1" applyAlignment="1">
      <alignment horizontal="center" vertical="center" wrapText="1" readingOrder="1"/>
    </xf>
    <xf numFmtId="0" fontId="22" fillId="18" borderId="40" xfId="7" applyFont="1" applyFill="1" applyBorder="1" applyAlignment="1">
      <alignment horizontal="center" vertical="center" wrapText="1" readingOrder="1"/>
    </xf>
    <xf numFmtId="0" fontId="22" fillId="18" borderId="41" xfId="7" applyFont="1" applyFill="1" applyBorder="1" applyAlignment="1">
      <alignment horizontal="center" vertical="center" wrapText="1" readingOrder="1"/>
    </xf>
    <xf numFmtId="0" fontId="2" fillId="5" borderId="0" xfId="0" applyFont="1" applyFill="1" applyAlignment="1">
      <alignment horizontal="center" wrapText="1"/>
    </xf>
    <xf numFmtId="0" fontId="6" fillId="3" borderId="14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10">
    <cellStyle name="20% - Énfasis1" xfId="6" builtinId="30"/>
    <cellStyle name="Millares" xfId="1" builtinId="3"/>
    <cellStyle name="Millares 2" xfId="8" xr:uid="{DAAB0FFF-36BC-4F84-80AF-E5D1123725B6}"/>
    <cellStyle name="Millares 2 2" xfId="9" xr:uid="{4C3C5D7A-7895-416B-963A-066A65175CD0}"/>
    <cellStyle name="Moneda" xfId="5" builtinId="4"/>
    <cellStyle name="Normal" xfId="0" builtinId="0"/>
    <cellStyle name="Normal 3" xfId="3" xr:uid="{AADF189D-C9D0-4105-91BA-FF18A670007D}"/>
    <cellStyle name="Normal 4" xfId="4" xr:uid="{6185E144-FE38-4828-B8E4-6D700BF51499}"/>
    <cellStyle name="Normal 4 2" xfId="7" xr:uid="{F1307783-589A-4933-A431-CC11FDA40254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BGT%202013/Formato%20Definitivos%20Hugo/Budget%202013%20OH.xls" TargetMode="External"/><Relationship Id="rId1" Type="http://schemas.openxmlformats.org/officeDocument/2006/relationships/externalLinkPath" Target="/BGT%202013/Formato%20Definitivos%20Hugo/Budget%202013%20OH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Fs/PS/2026/04.%20An&#225;lisis%20Financiero%20Abr26.xlsx" TargetMode="External"/><Relationship Id="rId2" Type="http://schemas.openxmlformats.org/officeDocument/2006/relationships/externalLinkPath" Target="https://d.docs.live.net/9a21a63613fe4b29/Documentos/EFs/PS/2026/04.%20An&#225;lisis%20Financiero%20Abr26.xlsx" TargetMode="External"/><Relationship Id="rId1" Type="http://schemas.openxmlformats.org/officeDocument/2006/relationships/externalLinkPath" Target="/9a21a63613fe4b29/Documentos/EFs/PS/2026/04.%20An&#225;lisis%20Financiero%20Abr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SQROLP122\Downloads\04.GASTOS%20PS.xlsx" TargetMode="External"/><Relationship Id="rId1" Type="http://schemas.openxmlformats.org/officeDocument/2006/relationships/externalLinkPath" Target="04.GASTOS%20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-Trend"/>
      <sheetName val="FOOD"/>
      <sheetName val="BSC"/>
      <sheetName val="BSB"/>
      <sheetName val="BSN"/>
      <sheetName val="FS"/>
      <sheetName val="CENTRAL"/>
      <sheetName val="RH"/>
      <sheetName val="OFG"/>
      <sheetName val="IT"/>
      <sheetName val="SAL"/>
      <sheetName val="FZ"/>
      <sheetName val="-"/>
      <sheetName val="BSC1"/>
      <sheetName val="BSC2"/>
      <sheetName val="BSC3"/>
      <sheetName val="BSC4"/>
      <sheetName val="BSC5"/>
      <sheetName val="BSC6"/>
      <sheetName val="BSC7"/>
      <sheetName val="BSB1"/>
      <sheetName val="BSB2"/>
      <sheetName val="BSN1"/>
      <sheetName val="BSN2"/>
      <sheetName val="BSN3"/>
      <sheetName val="BSN4"/>
      <sheetName val="BSN5"/>
      <sheetName val="BSN6"/>
      <sheetName val="FS1"/>
      <sheetName val="FS2"/>
      <sheetName val="FS3"/>
      <sheetName val="FS4"/>
      <sheetName val="FS5"/>
      <sheetName val="FS6"/>
      <sheetName val="FS7"/>
      <sheetName val="FS8"/>
      <sheetName val="FS9"/>
      <sheetName val="FS10"/>
      <sheetName val="DRH"/>
      <sheetName val="RHO"/>
      <sheetName val="CLD"/>
      <sheetName val="MEL"/>
      <sheetName val="OPX"/>
      <sheetName val="OGM"/>
      <sheetName val="OGY"/>
      <sheetName val="OGQ"/>
      <sheetName val="SIS"/>
      <sheetName val="SPN"/>
      <sheetName val="PNA"/>
      <sheetName val="COM"/>
      <sheetName val="DVT"/>
      <sheetName val="DVTN"/>
      <sheetName val="DFA"/>
      <sheetName val="CONT"/>
      <sheetName val="P&amp;R"/>
      <sheetName val="TCC"/>
      <sheetName val="CXP"/>
      <sheetName val="CNT"/>
      <sheetName val="AUD"/>
      <sheetName val="DG"/>
      <sheetName val="Formato"/>
      <sheetName val="TABLA"/>
    </sheetNames>
    <sheetDataSet>
      <sheetData sheetId="0" refreshError="1">
        <row r="142">
          <cell r="D142">
            <v>0.04</v>
          </cell>
        </row>
        <row r="149">
          <cell r="C149" t="str">
            <v>DG</v>
          </cell>
          <cell r="D149">
            <v>0.3</v>
          </cell>
        </row>
        <row r="150">
          <cell r="C150" t="str">
            <v>DIR</v>
          </cell>
          <cell r="D150">
            <v>0.25</v>
          </cell>
        </row>
        <row r="151">
          <cell r="C151" t="str">
            <v>GTE</v>
          </cell>
          <cell r="D151">
            <v>0.2</v>
          </cell>
        </row>
        <row r="152">
          <cell r="C152" t="str">
            <v>FLM</v>
          </cell>
          <cell r="D152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e"/>
      <sheetName val="Feb"/>
      <sheetName val="Mar"/>
      <sheetName val="IS ABR 26"/>
      <sheetName val="IS No Ops"/>
      <sheetName val="Viáticos"/>
      <sheetName val="Summary"/>
      <sheetName val="Deuda"/>
      <sheetName val="Flujo"/>
      <sheetName val="PT"/>
      <sheetName val="Depreciación"/>
      <sheetName val="Trim"/>
    </sheetNames>
    <sheetDataSet>
      <sheetData sheetId="0"/>
      <sheetData sheetId="1"/>
      <sheetData sheetId="2"/>
      <sheetData sheetId="3">
        <row r="15">
          <cell r="C15">
            <v>304399.53622168174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EXO"/>
      <sheetName val="MOV AUXILIARES"/>
      <sheetName val="MOV AUXILIARES (2)"/>
      <sheetName val="EF"/>
    </sheetNames>
    <sheetDataSet>
      <sheetData sheetId="0" refreshError="1"/>
      <sheetData sheetId="1" refreshError="1"/>
      <sheetData sheetId="2" refreshError="1"/>
      <sheetData sheetId="3">
        <row r="3">
          <cell r="C3">
            <v>304399.53622168174</v>
          </cell>
        </row>
        <row r="31">
          <cell r="C31">
            <v>204907.5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A2DB-DB59-4D43-9EBD-E0836791B585}">
  <dimension ref="B2:Q86"/>
  <sheetViews>
    <sheetView tabSelected="1" zoomScale="90" zoomScaleNormal="90" workbookViewId="0">
      <selection activeCell="C8" sqref="C8"/>
    </sheetView>
  </sheetViews>
  <sheetFormatPr baseColWidth="10" defaultColWidth="11.1796875" defaultRowHeight="13" outlineLevelRow="1" x14ac:dyDescent="0.3"/>
  <cols>
    <col min="1" max="1" width="1.54296875" style="136" customWidth="1"/>
    <col min="2" max="2" width="21.7265625" style="136" customWidth="1"/>
    <col min="3" max="3" width="11.26953125" style="136" bestFit="1" customWidth="1"/>
    <col min="4" max="4" width="14.7265625" style="136" bestFit="1" customWidth="1"/>
    <col min="5" max="5" width="10.7265625" style="136" bestFit="1" customWidth="1"/>
    <col min="6" max="6" width="13.1796875" style="136" bestFit="1" customWidth="1"/>
    <col min="7" max="10" width="11.26953125" style="136" bestFit="1" customWidth="1"/>
    <col min="11" max="11" width="10.7265625" style="136" bestFit="1" customWidth="1"/>
    <col min="12" max="14" width="11.26953125" style="136" bestFit="1" customWidth="1"/>
    <col min="15" max="15" width="13.7265625" style="136" customWidth="1"/>
    <col min="16" max="16" width="11.1796875" style="136"/>
    <col min="17" max="17" width="12.26953125" style="136" bestFit="1" customWidth="1"/>
    <col min="18" max="16384" width="11.1796875" style="136"/>
  </cols>
  <sheetData>
    <row r="2" spans="2:17" ht="13.5" thickBot="1" x14ac:dyDescent="0.35">
      <c r="B2" s="154" t="s">
        <v>199</v>
      </c>
    </row>
    <row r="3" spans="2:17" ht="40.5" thickBot="1" x14ac:dyDescent="0.35">
      <c r="C3" s="151" t="s">
        <v>195</v>
      </c>
      <c r="D3" s="151" t="s">
        <v>194</v>
      </c>
      <c r="E3" s="151" t="s">
        <v>193</v>
      </c>
      <c r="F3" s="151" t="s">
        <v>192</v>
      </c>
      <c r="G3" s="151" t="s">
        <v>191</v>
      </c>
      <c r="H3" s="151" t="s">
        <v>190</v>
      </c>
      <c r="I3" s="151" t="s">
        <v>189</v>
      </c>
      <c r="J3" s="151" t="s">
        <v>188</v>
      </c>
      <c r="K3" s="151" t="s">
        <v>187</v>
      </c>
      <c r="L3" s="151" t="s">
        <v>186</v>
      </c>
      <c r="M3" s="151" t="s">
        <v>185</v>
      </c>
      <c r="N3" s="151" t="s">
        <v>184</v>
      </c>
      <c r="O3" s="150" t="s">
        <v>183</v>
      </c>
    </row>
    <row r="4" spans="2:17" ht="19" thickTop="1" thickBot="1" x14ac:dyDescent="0.35">
      <c r="B4" s="140" t="s">
        <v>182</v>
      </c>
      <c r="C4" s="158">
        <v>12435</v>
      </c>
      <c r="D4" s="158">
        <v>10935</v>
      </c>
      <c r="E4" s="158">
        <v>10785</v>
      </c>
      <c r="F4" s="158">
        <v>10785</v>
      </c>
      <c r="G4" s="158">
        <v>14785</v>
      </c>
      <c r="H4" s="158">
        <v>14285</v>
      </c>
      <c r="I4" s="158">
        <v>14284</v>
      </c>
      <c r="J4" s="158">
        <v>12884</v>
      </c>
      <c r="K4" s="158">
        <v>13884</v>
      </c>
      <c r="L4" s="158">
        <v>10279</v>
      </c>
      <c r="M4" s="158">
        <v>10279</v>
      </c>
      <c r="N4" s="158">
        <v>9659</v>
      </c>
      <c r="O4" s="146">
        <f>SUM(C4:N4)</f>
        <v>145279</v>
      </c>
      <c r="Q4" s="149"/>
    </row>
    <row r="5" spans="2:17" ht="18.5" thickBot="1" x14ac:dyDescent="0.35">
      <c r="B5" s="140" t="s">
        <v>181</v>
      </c>
      <c r="C5" s="158">
        <f>+C6+C9</f>
        <v>4609.5207376090993</v>
      </c>
      <c r="D5" s="158">
        <f t="shared" ref="D5:N5" si="0">+D6+D9</f>
        <v>4685.6245376090992</v>
      </c>
      <c r="E5" s="158">
        <f t="shared" si="0"/>
        <v>5672.9583376090995</v>
      </c>
      <c r="F5" s="158">
        <f t="shared" si="0"/>
        <v>6568.9220945540528</v>
      </c>
      <c r="G5" s="158">
        <f t="shared" si="0"/>
        <v>6647.5646945540539</v>
      </c>
      <c r="H5" s="158">
        <f t="shared" si="0"/>
        <v>6185.2248945540541</v>
      </c>
      <c r="I5" s="158">
        <f t="shared" si="0"/>
        <v>5339.9668945540543</v>
      </c>
      <c r="J5" s="158">
        <f t="shared" si="0"/>
        <v>4804.9404345540534</v>
      </c>
      <c r="K5" s="158">
        <f t="shared" si="0"/>
        <v>5263.2686345540533</v>
      </c>
      <c r="L5" s="158">
        <f t="shared" si="0"/>
        <v>4978.9718345540532</v>
      </c>
      <c r="M5" s="158">
        <f t="shared" si="0"/>
        <v>4877.8276345540544</v>
      </c>
      <c r="N5" s="158">
        <f t="shared" si="0"/>
        <v>5507.969394554053</v>
      </c>
      <c r="O5" s="146">
        <f>SUM(C5:N5)</f>
        <v>65142.760123813772</v>
      </c>
      <c r="Q5" s="141"/>
    </row>
    <row r="6" spans="2:17" ht="18.5" thickBot="1" x14ac:dyDescent="0.35">
      <c r="B6" s="140" t="s">
        <v>623</v>
      </c>
      <c r="C6" s="158">
        <f t="shared" ref="C6:N6" si="1">SUM(C7:C8)</f>
        <v>2077.6306876090994</v>
      </c>
      <c r="D6" s="158">
        <f t="shared" si="1"/>
        <v>2077.6306876090994</v>
      </c>
      <c r="E6" s="158">
        <f t="shared" si="1"/>
        <v>2226.5920876090995</v>
      </c>
      <c r="F6" s="158">
        <f t="shared" si="1"/>
        <v>2229.6251645540538</v>
      </c>
      <c r="G6" s="158">
        <f t="shared" si="1"/>
        <v>2229.6251645540538</v>
      </c>
      <c r="H6" s="158">
        <f t="shared" si="1"/>
        <v>2229.6251645540538</v>
      </c>
      <c r="I6" s="158">
        <f t="shared" si="1"/>
        <v>2229.6251645540538</v>
      </c>
      <c r="J6" s="158">
        <f t="shared" si="1"/>
        <v>2229.6251645540538</v>
      </c>
      <c r="K6" s="158">
        <f t="shared" si="1"/>
        <v>2229.6251645540538</v>
      </c>
      <c r="L6" s="158">
        <f t="shared" si="1"/>
        <v>2229.6251645540538</v>
      </c>
      <c r="M6" s="158">
        <f t="shared" si="1"/>
        <v>2229.6251645540538</v>
      </c>
      <c r="N6" s="158">
        <f t="shared" si="1"/>
        <v>2389.8165245540536</v>
      </c>
      <c r="O6" s="146">
        <f t="shared" ref="O6:O11" si="2">SUM(C6:N6)</f>
        <v>26608.671303813786</v>
      </c>
      <c r="Q6" s="141"/>
    </row>
    <row r="7" spans="2:17" ht="18" outlineLevel="1" thickBot="1" x14ac:dyDescent="0.35">
      <c r="B7" s="145" t="s">
        <v>615</v>
      </c>
      <c r="C7" s="158">
        <f>+Ops!D45/1000</f>
        <v>1598.9448502043097</v>
      </c>
      <c r="D7" s="158">
        <f>+Ops!E45/1000</f>
        <v>1598.9448502043097</v>
      </c>
      <c r="E7" s="158">
        <f>+Ops!F45/1000</f>
        <v>1747.9062502043098</v>
      </c>
      <c r="F7" s="158">
        <f>+Ops!G45/1000</f>
        <v>1750.2412172871479</v>
      </c>
      <c r="G7" s="158">
        <f>+Ops!H45/1000</f>
        <v>1750.2412172871479</v>
      </c>
      <c r="H7" s="158">
        <f>+Ops!I45/1000</f>
        <v>1750.2412172871479</v>
      </c>
      <c r="I7" s="158">
        <f>+Ops!J45/1000</f>
        <v>1750.2412172871479</v>
      </c>
      <c r="J7" s="158">
        <f>+Ops!K45/1000</f>
        <v>1750.2412172871479</v>
      </c>
      <c r="K7" s="158">
        <f>+Ops!L45/1000</f>
        <v>1750.2412172871479</v>
      </c>
      <c r="L7" s="158">
        <f>+Ops!M45/1000</f>
        <v>1750.2412172871479</v>
      </c>
      <c r="M7" s="158">
        <f>+Ops!N45/1000</f>
        <v>1750.2412172871479</v>
      </c>
      <c r="N7" s="158">
        <f>+Ops!O45/1000</f>
        <v>1910.4325772871478</v>
      </c>
      <c r="O7" s="158">
        <f t="shared" si="2"/>
        <v>20858.158266197261</v>
      </c>
      <c r="Q7" s="141"/>
    </row>
    <row r="8" spans="2:17" ht="18" outlineLevel="1" thickBot="1" x14ac:dyDescent="0.35">
      <c r="B8" s="145" t="s">
        <v>616</v>
      </c>
      <c r="C8" s="158">
        <f>+Tech!D45/1000</f>
        <v>478.68583740478959</v>
      </c>
      <c r="D8" s="158">
        <f>+Tech!E45/1000</f>
        <v>478.68583740478959</v>
      </c>
      <c r="E8" s="158">
        <f>+Tech!F45/1000</f>
        <v>478.68583740478959</v>
      </c>
      <c r="F8" s="158">
        <f>+Tech!G45/1000</f>
        <v>479.38394726690564</v>
      </c>
      <c r="G8" s="158">
        <f>+Tech!H45/1000</f>
        <v>479.38394726690564</v>
      </c>
      <c r="H8" s="158">
        <f>+Tech!I45/1000</f>
        <v>479.38394726690564</v>
      </c>
      <c r="I8" s="158">
        <f>+Tech!J45/1000</f>
        <v>479.38394726690564</v>
      </c>
      <c r="J8" s="158">
        <f>+Tech!K45/1000</f>
        <v>479.38394726690564</v>
      </c>
      <c r="K8" s="158">
        <f>+Tech!L45/1000</f>
        <v>479.38394726690564</v>
      </c>
      <c r="L8" s="158">
        <f>+Tech!M45/1000</f>
        <v>479.38394726690564</v>
      </c>
      <c r="M8" s="158">
        <f>+Tech!N45/1000</f>
        <v>479.38394726690564</v>
      </c>
      <c r="N8" s="158">
        <f>+Tech!O45/1000</f>
        <v>479.38394726690564</v>
      </c>
      <c r="O8" s="158">
        <f t="shared" si="2"/>
        <v>5750.5130376165207</v>
      </c>
      <c r="Q8" s="141"/>
    </row>
    <row r="9" spans="2:17" ht="18.5" thickBot="1" x14ac:dyDescent="0.35">
      <c r="B9" s="140" t="s">
        <v>624</v>
      </c>
      <c r="C9" s="158">
        <f>SUM(C10:C11)</f>
        <v>2531.89005</v>
      </c>
      <c r="D9" s="158">
        <f t="shared" ref="D9:N9" si="3">SUM(D10:D11)</f>
        <v>2607.9938499999998</v>
      </c>
      <c r="E9" s="158">
        <f t="shared" si="3"/>
        <v>3446.36625</v>
      </c>
      <c r="F9" s="158">
        <f t="shared" si="3"/>
        <v>4339.2969299999995</v>
      </c>
      <c r="G9" s="158">
        <f t="shared" si="3"/>
        <v>4417.9395299999996</v>
      </c>
      <c r="H9" s="158">
        <f t="shared" si="3"/>
        <v>3955.5997299999999</v>
      </c>
      <c r="I9" s="158">
        <f t="shared" si="3"/>
        <v>3110.3417300000001</v>
      </c>
      <c r="J9" s="158">
        <f t="shared" si="3"/>
        <v>2575.3152700000001</v>
      </c>
      <c r="K9" s="158">
        <f t="shared" si="3"/>
        <v>3033.64347</v>
      </c>
      <c r="L9" s="158">
        <f t="shared" si="3"/>
        <v>2749.3466699999999</v>
      </c>
      <c r="M9" s="158">
        <f t="shared" si="3"/>
        <v>2648.2024700000002</v>
      </c>
      <c r="N9" s="158">
        <f t="shared" si="3"/>
        <v>3118.1528699999999</v>
      </c>
      <c r="O9" s="146">
        <f t="shared" si="2"/>
        <v>38534.088819999997</v>
      </c>
      <c r="Q9" s="141"/>
    </row>
    <row r="10" spans="2:17" ht="18" outlineLevel="1" thickBot="1" x14ac:dyDescent="0.35">
      <c r="B10" s="145" t="s">
        <v>615</v>
      </c>
      <c r="C10" s="158">
        <f>+Ops!D139/1000</f>
        <v>1790.8510000000001</v>
      </c>
      <c r="D10" s="158">
        <f>+Ops!E139/1000</f>
        <v>1981.5809999999999</v>
      </c>
      <c r="E10" s="158">
        <f>+Ops!F139/1000</f>
        <v>2722.9369999999999</v>
      </c>
      <c r="F10" s="158">
        <f>+Ops!G139/1000</f>
        <v>3526.4349999999999</v>
      </c>
      <c r="G10" s="158">
        <f>+Ops!H139/1000</f>
        <v>3342.0419999999999</v>
      </c>
      <c r="H10" s="158">
        <f>+Ops!I139/1000</f>
        <v>3294.7570000000001</v>
      </c>
      <c r="I10" s="158">
        <f>+Ops!J139/1000</f>
        <v>2467.607</v>
      </c>
      <c r="J10" s="158">
        <f>+Ops!K139/1000</f>
        <v>2035.18</v>
      </c>
      <c r="K10" s="158">
        <f>+Ops!L139/1000</f>
        <v>2549.5030000000002</v>
      </c>
      <c r="L10" s="158">
        <f>+Ops!M139/1000</f>
        <v>2172.4110000000001</v>
      </c>
      <c r="M10" s="158">
        <f>+Ops!N139/1000</f>
        <v>2003.5119999999999</v>
      </c>
      <c r="N10" s="158">
        <f>+Ops!O139/1000</f>
        <v>2359.1979999999999</v>
      </c>
      <c r="O10" s="158">
        <f t="shared" si="2"/>
        <v>30246.013999999999</v>
      </c>
      <c r="Q10" s="141"/>
    </row>
    <row r="11" spans="2:17" ht="18" outlineLevel="1" thickBot="1" x14ac:dyDescent="0.35">
      <c r="B11" s="145" t="s">
        <v>616</v>
      </c>
      <c r="C11" s="158">
        <f>+Tech!D159/1000</f>
        <v>741.03905000000009</v>
      </c>
      <c r="D11" s="158">
        <f>+Tech!E159/1000</f>
        <v>626.41285000000005</v>
      </c>
      <c r="E11" s="158">
        <f>+Tech!F159/1000</f>
        <v>723.42925000000002</v>
      </c>
      <c r="F11" s="158">
        <f>+Tech!G159/1000</f>
        <v>812.86192999999992</v>
      </c>
      <c r="G11" s="158">
        <f>+Tech!H159/1000</f>
        <v>1075.89753</v>
      </c>
      <c r="H11" s="158">
        <f>+Tech!I159/1000</f>
        <v>660.84272999999996</v>
      </c>
      <c r="I11" s="158">
        <f>+Tech!J159/1000</f>
        <v>642.73473000000001</v>
      </c>
      <c r="J11" s="158">
        <f>+Tech!K159/1000</f>
        <v>540.13526999999999</v>
      </c>
      <c r="K11" s="158">
        <f>+Tech!L159/1000</f>
        <v>484.14046999999999</v>
      </c>
      <c r="L11" s="158">
        <f>+Tech!M159/1000</f>
        <v>576.93566999999996</v>
      </c>
      <c r="M11" s="158">
        <f>+Tech!N159/1000</f>
        <v>644.69047</v>
      </c>
      <c r="N11" s="158">
        <f>+Tech!O159/1000</f>
        <v>758.95487000000003</v>
      </c>
      <c r="O11" s="158">
        <f t="shared" si="2"/>
        <v>8288.0748199999998</v>
      </c>
      <c r="Q11" s="141"/>
    </row>
    <row r="12" spans="2:17" ht="18.5" thickBot="1" x14ac:dyDescent="0.35">
      <c r="B12" s="140" t="s">
        <v>180</v>
      </c>
      <c r="C12" s="158">
        <f>+C4-C5</f>
        <v>7825.4792623909007</v>
      </c>
      <c r="D12" s="158">
        <f t="shared" ref="D12:N12" si="4">+D4-D5</f>
        <v>6249.3754623909008</v>
      </c>
      <c r="E12" s="158">
        <f t="shared" si="4"/>
        <v>5112.0416623909005</v>
      </c>
      <c r="F12" s="158">
        <f t="shared" si="4"/>
        <v>4216.0779054459472</v>
      </c>
      <c r="G12" s="158">
        <f t="shared" si="4"/>
        <v>8137.4353054459461</v>
      </c>
      <c r="H12" s="158">
        <f t="shared" si="4"/>
        <v>8099.7751054459459</v>
      </c>
      <c r="I12" s="158">
        <f t="shared" si="4"/>
        <v>8944.0331054459457</v>
      </c>
      <c r="J12" s="158">
        <f t="shared" si="4"/>
        <v>8079.0595654459466</v>
      </c>
      <c r="K12" s="158">
        <f t="shared" si="4"/>
        <v>8620.7313654459467</v>
      </c>
      <c r="L12" s="158">
        <f t="shared" si="4"/>
        <v>5300.0281654459468</v>
      </c>
      <c r="M12" s="158">
        <f t="shared" si="4"/>
        <v>5401.1723654459456</v>
      </c>
      <c r="N12" s="158">
        <f t="shared" si="4"/>
        <v>4151.030605445947</v>
      </c>
      <c r="O12" s="146">
        <f>SUM(C12:N12)</f>
        <v>80136.239876186242</v>
      </c>
      <c r="P12" s="155"/>
      <c r="Q12" s="141"/>
    </row>
    <row r="13" spans="2:17" ht="18.5" thickBot="1" x14ac:dyDescent="0.35">
      <c r="B13" s="140" t="s">
        <v>179</v>
      </c>
      <c r="C13" s="158">
        <f>+C14+C19</f>
        <v>1403.4091501490188</v>
      </c>
      <c r="D13" s="158">
        <f t="shared" ref="D13:N13" si="5">+D14+D19</f>
        <v>1394.945490149019</v>
      </c>
      <c r="E13" s="158">
        <f t="shared" si="5"/>
        <v>1638.0114913670188</v>
      </c>
      <c r="F13" s="158">
        <f t="shared" si="5"/>
        <v>1481.2069211215485</v>
      </c>
      <c r="G13" s="158">
        <f t="shared" si="5"/>
        <v>1393.7693811215483</v>
      </c>
      <c r="H13" s="158">
        <f t="shared" si="5"/>
        <v>1550.9553311215484</v>
      </c>
      <c r="I13" s="158">
        <f t="shared" si="5"/>
        <v>1400.5693811215483</v>
      </c>
      <c r="J13" s="158">
        <f t="shared" si="5"/>
        <v>1448.9549311215485</v>
      </c>
      <c r="K13" s="158">
        <f t="shared" si="5"/>
        <v>1475.6091011215485</v>
      </c>
      <c r="L13" s="158">
        <f t="shared" si="5"/>
        <v>1384.5693811215483</v>
      </c>
      <c r="M13" s="158">
        <f t="shared" si="5"/>
        <v>1382.1207811215484</v>
      </c>
      <c r="N13" s="158">
        <f t="shared" si="5"/>
        <v>1459.1777811215484</v>
      </c>
      <c r="O13" s="146">
        <f>SUM(C13:N13)</f>
        <v>17413.299121758992</v>
      </c>
      <c r="P13" s="155"/>
      <c r="Q13" s="141"/>
    </row>
    <row r="14" spans="2:17" ht="18.5" thickBot="1" x14ac:dyDescent="0.35">
      <c r="B14" s="140" t="s">
        <v>623</v>
      </c>
      <c r="C14" s="158">
        <f>SUM(C15:C18)</f>
        <v>1190.446300149019</v>
      </c>
      <c r="D14" s="158">
        <f t="shared" ref="D14:N14" si="6">SUM(D15:D18)</f>
        <v>1190.446300149019</v>
      </c>
      <c r="E14" s="158">
        <f t="shared" si="6"/>
        <v>1192.882301367019</v>
      </c>
      <c r="F14" s="158">
        <f t="shared" si="6"/>
        <v>1272.9127311215484</v>
      </c>
      <c r="G14" s="158">
        <f t="shared" si="6"/>
        <v>1272.9127311215484</v>
      </c>
      <c r="H14" s="158">
        <f t="shared" si="6"/>
        <v>1272.9127311215484</v>
      </c>
      <c r="I14" s="158">
        <f t="shared" si="6"/>
        <v>1272.9127311215484</v>
      </c>
      <c r="J14" s="158">
        <f t="shared" si="6"/>
        <v>1272.9127311215484</v>
      </c>
      <c r="K14" s="158">
        <f t="shared" si="6"/>
        <v>1272.9127311215484</v>
      </c>
      <c r="L14" s="158">
        <f t="shared" si="6"/>
        <v>1272.9127311215484</v>
      </c>
      <c r="M14" s="158">
        <f t="shared" si="6"/>
        <v>1272.9127311215484</v>
      </c>
      <c r="N14" s="158">
        <f t="shared" si="6"/>
        <v>1272.9127311215484</v>
      </c>
      <c r="O14" s="146">
        <f>SUM(C14:N14)</f>
        <v>15029.989481758996</v>
      </c>
      <c r="Q14" s="141"/>
    </row>
    <row r="15" spans="2:17" ht="18" outlineLevel="1" thickBot="1" x14ac:dyDescent="0.35">
      <c r="B15" s="145" t="s">
        <v>617</v>
      </c>
      <c r="C15" s="158">
        <f>+Gral!H12/1000</f>
        <v>489.53260416666677</v>
      </c>
      <c r="D15" s="158">
        <f>+C15</f>
        <v>489.53260416666677</v>
      </c>
      <c r="E15" s="158">
        <f t="shared" ref="E15:N15" si="7">+D15</f>
        <v>489.53260416666677</v>
      </c>
      <c r="F15" s="158">
        <f t="shared" si="7"/>
        <v>489.53260416666677</v>
      </c>
      <c r="G15" s="158">
        <f t="shared" si="7"/>
        <v>489.53260416666677</v>
      </c>
      <c r="H15" s="158">
        <f t="shared" si="7"/>
        <v>489.53260416666677</v>
      </c>
      <c r="I15" s="158">
        <f t="shared" si="7"/>
        <v>489.53260416666677</v>
      </c>
      <c r="J15" s="158">
        <f t="shared" si="7"/>
        <v>489.53260416666677</v>
      </c>
      <c r="K15" s="158">
        <f t="shared" si="7"/>
        <v>489.53260416666677</v>
      </c>
      <c r="L15" s="158">
        <f t="shared" si="7"/>
        <v>489.53260416666677</v>
      </c>
      <c r="M15" s="158">
        <f t="shared" si="7"/>
        <v>489.53260416666677</v>
      </c>
      <c r="N15" s="158">
        <f t="shared" si="7"/>
        <v>489.53260416666677</v>
      </c>
      <c r="O15" s="158">
        <f t="shared" ref="O15:O23" si="8">SUM(C15:N15)</f>
        <v>5874.3912500000015</v>
      </c>
      <c r="Q15" s="141"/>
    </row>
    <row r="16" spans="2:17" ht="18" outlineLevel="1" thickBot="1" x14ac:dyDescent="0.35">
      <c r="B16" s="145" t="s">
        <v>618</v>
      </c>
      <c r="C16" s="158">
        <f>+Finanzas!D45/1000</f>
        <v>83.109143437499583</v>
      </c>
      <c r="D16" s="158">
        <f>+Finanzas!E45/1000</f>
        <v>83.109143437499583</v>
      </c>
      <c r="E16" s="158">
        <f>+Finanzas!F45/1000</f>
        <v>83.109143437499583</v>
      </c>
      <c r="F16" s="158">
        <f>+Finanzas!G45/1000</f>
        <v>113.64429240277137</v>
      </c>
      <c r="G16" s="158">
        <f>+Finanzas!H45/1000</f>
        <v>113.64429240277137</v>
      </c>
      <c r="H16" s="158">
        <f>+Finanzas!I45/1000</f>
        <v>113.64429240277137</v>
      </c>
      <c r="I16" s="158">
        <f>+Finanzas!J45/1000</f>
        <v>113.64429240277137</v>
      </c>
      <c r="J16" s="158">
        <f>+Finanzas!K45/1000</f>
        <v>113.64429240277137</v>
      </c>
      <c r="K16" s="158">
        <f>+Finanzas!L45/1000</f>
        <v>113.64429240277137</v>
      </c>
      <c r="L16" s="158">
        <f>+Finanzas!M45/1000</f>
        <v>113.64429240277137</v>
      </c>
      <c r="M16" s="158">
        <f>+Finanzas!N45/1000</f>
        <v>113.64429240277137</v>
      </c>
      <c r="N16" s="158">
        <f>+Finanzas!O45/1000</f>
        <v>113.64429240277137</v>
      </c>
      <c r="O16" s="158">
        <f t="shared" si="8"/>
        <v>1272.1260619374409</v>
      </c>
      <c r="Q16" s="141"/>
    </row>
    <row r="17" spans="2:17" ht="18" outlineLevel="1" thickBot="1" x14ac:dyDescent="0.35">
      <c r="B17" s="145" t="s">
        <v>619</v>
      </c>
      <c r="C17" s="158">
        <f>+RH!D45/1000</f>
        <v>78.701838698186108</v>
      </c>
      <c r="D17" s="158">
        <f>+RH!E45/1000</f>
        <v>78.701838698186108</v>
      </c>
      <c r="E17" s="158">
        <f>+RH!F45/1000</f>
        <v>81.13783991618611</v>
      </c>
      <c r="F17" s="158">
        <f>+RH!G45/1000</f>
        <v>130.63312070544384</v>
      </c>
      <c r="G17" s="158">
        <f>+RH!H45/1000</f>
        <v>130.63312070544384</v>
      </c>
      <c r="H17" s="158">
        <f>+RH!I45/1000</f>
        <v>130.63312070544384</v>
      </c>
      <c r="I17" s="158">
        <f>+RH!J45/1000</f>
        <v>130.63312070544384</v>
      </c>
      <c r="J17" s="158">
        <f>+RH!K45/1000</f>
        <v>130.63312070544384</v>
      </c>
      <c r="K17" s="158">
        <f>+RH!L45/1000</f>
        <v>130.63312070544384</v>
      </c>
      <c r="L17" s="158">
        <f>+RH!M45/1000</f>
        <v>130.63312070544384</v>
      </c>
      <c r="M17" s="158">
        <f>+RH!N45/1000</f>
        <v>130.63312070544384</v>
      </c>
      <c r="N17" s="158">
        <f>+RH!O45/1000</f>
        <v>130.63312070544384</v>
      </c>
      <c r="O17" s="158">
        <f t="shared" si="8"/>
        <v>1414.2396036615528</v>
      </c>
      <c r="Q17" s="141"/>
    </row>
    <row r="18" spans="2:17" ht="18" outlineLevel="1" thickBot="1" x14ac:dyDescent="0.35">
      <c r="B18" s="145" t="s">
        <v>620</v>
      </c>
      <c r="C18" s="158">
        <f>+Comercial!H22/1000</f>
        <v>539.10271384666657</v>
      </c>
      <c r="D18" s="158">
        <f>+C18</f>
        <v>539.10271384666657</v>
      </c>
      <c r="E18" s="158">
        <f t="shared" ref="E18:N18" si="9">+D18</f>
        <v>539.10271384666657</v>
      </c>
      <c r="F18" s="158">
        <f t="shared" si="9"/>
        <v>539.10271384666657</v>
      </c>
      <c r="G18" s="158">
        <f t="shared" si="9"/>
        <v>539.10271384666657</v>
      </c>
      <c r="H18" s="158">
        <f t="shared" si="9"/>
        <v>539.10271384666657</v>
      </c>
      <c r="I18" s="158">
        <f t="shared" si="9"/>
        <v>539.10271384666657</v>
      </c>
      <c r="J18" s="158">
        <f t="shared" si="9"/>
        <v>539.10271384666657</v>
      </c>
      <c r="K18" s="158">
        <f t="shared" si="9"/>
        <v>539.10271384666657</v>
      </c>
      <c r="L18" s="158">
        <f t="shared" si="9"/>
        <v>539.10271384666657</v>
      </c>
      <c r="M18" s="158">
        <f t="shared" si="9"/>
        <v>539.10271384666657</v>
      </c>
      <c r="N18" s="158">
        <f t="shared" si="9"/>
        <v>539.10271384666657</v>
      </c>
      <c r="O18" s="158">
        <f t="shared" si="8"/>
        <v>6469.2325661600007</v>
      </c>
      <c r="Q18" s="141"/>
    </row>
    <row r="19" spans="2:17" ht="18.5" thickBot="1" x14ac:dyDescent="0.35">
      <c r="B19" s="140" t="s">
        <v>625</v>
      </c>
      <c r="C19" s="158">
        <f t="shared" ref="C19:F19" si="10">SUM(C20:C23)</f>
        <v>212.96285</v>
      </c>
      <c r="D19" s="158">
        <f t="shared" si="10"/>
        <v>204.49919</v>
      </c>
      <c r="E19" s="158">
        <f t="shared" si="10"/>
        <v>445.12918999999988</v>
      </c>
      <c r="F19" s="158">
        <f t="shared" si="10"/>
        <v>208.29419000000001</v>
      </c>
      <c r="G19" s="158">
        <f>SUM(G20:G23)</f>
        <v>120.85665</v>
      </c>
      <c r="H19" s="158">
        <f t="shared" ref="H19:N19" si="11">SUM(H20:H23)</f>
        <v>278.04260000000005</v>
      </c>
      <c r="I19" s="158">
        <f t="shared" si="11"/>
        <v>127.65665000000001</v>
      </c>
      <c r="J19" s="158">
        <f t="shared" si="11"/>
        <v>176.04220000000001</v>
      </c>
      <c r="K19" s="158">
        <f t="shared" si="11"/>
        <v>202.69637000000003</v>
      </c>
      <c r="L19" s="158">
        <f t="shared" si="11"/>
        <v>111.65665000000001</v>
      </c>
      <c r="M19" s="158">
        <f t="shared" si="11"/>
        <v>109.20805</v>
      </c>
      <c r="N19" s="158">
        <f t="shared" si="11"/>
        <v>186.26505</v>
      </c>
      <c r="O19" s="146">
        <f t="shared" si="8"/>
        <v>2383.3096400000004</v>
      </c>
      <c r="Q19" s="141"/>
    </row>
    <row r="20" spans="2:17" ht="18" outlineLevel="1" thickBot="1" x14ac:dyDescent="0.35">
      <c r="B20" s="145" t="s">
        <v>617</v>
      </c>
      <c r="C20" s="158">
        <f>+'Gtos Gral'!C17/1000</f>
        <v>7</v>
      </c>
      <c r="D20" s="158">
        <f>+'Gtos Gral'!D17/1000</f>
        <v>0</v>
      </c>
      <c r="E20" s="158">
        <f>+'Gtos Gral'!E17/1000</f>
        <v>0</v>
      </c>
      <c r="F20" s="158">
        <f>+'Gtos Gral'!F17/1000</f>
        <v>7</v>
      </c>
      <c r="G20" s="158">
        <f>+'Gtos Gral'!G17/1000</f>
        <v>6</v>
      </c>
      <c r="H20" s="158">
        <f>+'Gtos Gral'!H17/1000</f>
        <v>20</v>
      </c>
      <c r="I20" s="158">
        <f>+'Gtos Gral'!I17/1000</f>
        <v>7</v>
      </c>
      <c r="J20" s="158">
        <f>+'Gtos Gral'!J17/1000</f>
        <v>0</v>
      </c>
      <c r="K20" s="158">
        <f>+'Gtos Gral'!K17/1000</f>
        <v>0</v>
      </c>
      <c r="L20" s="158">
        <f>+'Gtos Gral'!L17/1000</f>
        <v>7</v>
      </c>
      <c r="M20" s="158">
        <f>+'Gtos Gral'!M17/1000</f>
        <v>0</v>
      </c>
      <c r="N20" s="158">
        <f>+'Gtos Gral'!N17/1000</f>
        <v>20</v>
      </c>
      <c r="O20" s="158">
        <f t="shared" ref="O20" si="12">SUM(C20:N20)</f>
        <v>74</v>
      </c>
      <c r="Q20" s="141"/>
    </row>
    <row r="21" spans="2:17" ht="18" outlineLevel="1" thickBot="1" x14ac:dyDescent="0.35">
      <c r="B21" s="145" t="s">
        <v>618</v>
      </c>
      <c r="C21" s="158">
        <f>+Finanzas!D137/1000</f>
        <v>70.682720000000003</v>
      </c>
      <c r="D21" s="158">
        <f>+Finanzas!E137/1000</f>
        <v>124.71185999999999</v>
      </c>
      <c r="E21" s="158">
        <f>+Finanzas!F137/1000</f>
        <v>128.21185999999997</v>
      </c>
      <c r="F21" s="158">
        <f>+Finanzas!G137/1000</f>
        <v>124.71185999999999</v>
      </c>
      <c r="G21" s="158">
        <f>+Finanzas!H137/1000</f>
        <v>11.57432</v>
      </c>
      <c r="H21" s="158">
        <f>+Finanzas!I137/1000</f>
        <v>167.26027000000002</v>
      </c>
      <c r="I21" s="158">
        <f>+Finanzas!J137/1000</f>
        <v>11.57432</v>
      </c>
      <c r="J21" s="158">
        <f>+Finanzas!K137/1000</f>
        <v>104.65187</v>
      </c>
      <c r="K21" s="158">
        <f>+Finanzas!L137/1000</f>
        <v>74.182720000000003</v>
      </c>
      <c r="L21" s="158">
        <f>+Finanzas!M137/1000</f>
        <v>11.57432</v>
      </c>
      <c r="M21" s="158">
        <f>+Finanzas!N137/1000</f>
        <v>11.57432</v>
      </c>
      <c r="N21" s="158">
        <f>+Finanzas!O137/1000</f>
        <v>74.182720000000003</v>
      </c>
      <c r="O21" s="158">
        <f t="shared" si="8"/>
        <v>914.89316000000008</v>
      </c>
      <c r="Q21" s="141"/>
    </row>
    <row r="22" spans="2:17" ht="18" outlineLevel="1" thickBot="1" x14ac:dyDescent="0.35">
      <c r="B22" s="145" t="s">
        <v>619</v>
      </c>
      <c r="C22" s="158">
        <f>+RH!D184/1000</f>
        <v>135.28013000000001</v>
      </c>
      <c r="D22" s="158">
        <f>+RH!E184/1000</f>
        <v>76.787329999999997</v>
      </c>
      <c r="E22" s="158">
        <f>+RH!F184/1000</f>
        <v>265.01732999999996</v>
      </c>
      <c r="F22" s="158">
        <f>+RH!G184/1000</f>
        <v>61.582329999999999</v>
      </c>
      <c r="G22" s="158">
        <f>+RH!H184/1000</f>
        <v>73.182330000000007</v>
      </c>
      <c r="H22" s="158">
        <f>+RH!I184/1000</f>
        <v>78.482330000000005</v>
      </c>
      <c r="I22" s="158">
        <f>+RH!J184/1000</f>
        <v>72.182330000000007</v>
      </c>
      <c r="J22" s="158">
        <f>+RH!K184/1000</f>
        <v>65.390330000000006</v>
      </c>
      <c r="K22" s="158">
        <f>+RH!L184/1000</f>
        <v>118.61365000000001</v>
      </c>
      <c r="L22" s="158">
        <f>+RH!M184/1000</f>
        <v>62.482330000000005</v>
      </c>
      <c r="M22" s="158">
        <f>+RH!N184/1000</f>
        <v>97.63373</v>
      </c>
      <c r="N22" s="158">
        <f>+RH!O184/1000</f>
        <v>92.082329999999999</v>
      </c>
      <c r="O22" s="158">
        <f t="shared" si="8"/>
        <v>1198.71648</v>
      </c>
      <c r="Q22" s="141"/>
    </row>
    <row r="23" spans="2:17" ht="18" outlineLevel="1" thickBot="1" x14ac:dyDescent="0.35">
      <c r="B23" s="145" t="s">
        <v>620</v>
      </c>
      <c r="C23" s="158">
        <v>0</v>
      </c>
      <c r="D23" s="158">
        <f>+'Gtos Com'!K2/1000</f>
        <v>3</v>
      </c>
      <c r="E23" s="158">
        <f>SUM('Gtos Com'!K3:K14)/1000</f>
        <v>51.9</v>
      </c>
      <c r="F23" s="158">
        <f>SUM('Gtos Com'!K15:K19)/1000</f>
        <v>15</v>
      </c>
      <c r="G23" s="158">
        <f>SUM('Gtos Com'!K20:K25)/1000</f>
        <v>30.1</v>
      </c>
      <c r="H23" s="158">
        <f>SUM('Gtos Com'!K26:K28)/1000</f>
        <v>12.3</v>
      </c>
      <c r="I23" s="158">
        <f>SUM('Gtos Com'!K29:K33)/1000</f>
        <v>36.9</v>
      </c>
      <c r="J23" s="158">
        <f>SUM('Gtos Com'!K34:K35)/1000</f>
        <v>6</v>
      </c>
      <c r="K23" s="158">
        <f>SUM('Gtos Com'!K36)/1000</f>
        <v>9.9</v>
      </c>
      <c r="L23" s="158">
        <f>SUM('Gtos Com'!K37:K39)/1000</f>
        <v>30.6</v>
      </c>
      <c r="M23" s="158">
        <v>0</v>
      </c>
      <c r="N23" s="158">
        <v>0</v>
      </c>
      <c r="O23" s="158">
        <f t="shared" si="8"/>
        <v>195.7</v>
      </c>
      <c r="Q23" s="141"/>
    </row>
    <row r="24" spans="2:17" ht="18.5" thickBot="1" x14ac:dyDescent="0.35">
      <c r="B24" s="140" t="s">
        <v>178</v>
      </c>
      <c r="C24" s="158">
        <v>1667</v>
      </c>
      <c r="D24" s="158">
        <v>1667</v>
      </c>
      <c r="E24" s="158">
        <v>1667</v>
      </c>
      <c r="F24" s="158">
        <v>1667</v>
      </c>
      <c r="G24" s="158">
        <v>1667</v>
      </c>
      <c r="H24" s="158">
        <v>1667</v>
      </c>
      <c r="I24" s="158">
        <v>1667</v>
      </c>
      <c r="J24" s="158">
        <v>1667</v>
      </c>
      <c r="K24" s="158">
        <v>1667</v>
      </c>
      <c r="L24" s="158">
        <v>1667</v>
      </c>
      <c r="M24" s="158">
        <v>1667</v>
      </c>
      <c r="N24" s="158">
        <v>1667</v>
      </c>
      <c r="O24" s="146">
        <f>SUM(C24:N24)</f>
        <v>20004</v>
      </c>
      <c r="Q24" s="141"/>
    </row>
    <row r="25" spans="2:17" ht="18.5" thickBot="1" x14ac:dyDescent="0.35">
      <c r="B25" s="140" t="s">
        <v>177</v>
      </c>
      <c r="C25" s="157">
        <v>126</v>
      </c>
      <c r="D25" s="157">
        <v>126</v>
      </c>
      <c r="E25" s="157">
        <v>126</v>
      </c>
      <c r="F25" s="157">
        <v>126</v>
      </c>
      <c r="G25" s="157">
        <v>253</v>
      </c>
      <c r="H25" s="157">
        <v>253</v>
      </c>
      <c r="I25" s="157">
        <v>253</v>
      </c>
      <c r="J25" s="157">
        <v>253</v>
      </c>
      <c r="K25" s="157">
        <v>253</v>
      </c>
      <c r="L25" s="157">
        <v>253</v>
      </c>
      <c r="M25" s="157">
        <v>253</v>
      </c>
      <c r="N25" s="157">
        <v>253</v>
      </c>
      <c r="O25" s="142">
        <f>SUM(C25:N25)</f>
        <v>2528</v>
      </c>
      <c r="Q25" s="141"/>
    </row>
    <row r="26" spans="2:17" ht="18.5" thickBot="1" x14ac:dyDescent="0.35">
      <c r="B26" s="140" t="s">
        <v>176</v>
      </c>
      <c r="C26" s="137">
        <f t="shared" ref="C26:M26" si="13">+C12-C13-C24-C25</f>
        <v>4629.0701122418814</v>
      </c>
      <c r="D26" s="137">
        <f t="shared" si="13"/>
        <v>3061.4299722418818</v>
      </c>
      <c r="E26" s="137">
        <f t="shared" si="13"/>
        <v>1681.0301710238818</v>
      </c>
      <c r="F26" s="137">
        <f t="shared" si="13"/>
        <v>941.87098432439871</v>
      </c>
      <c r="G26" s="137">
        <f t="shared" si="13"/>
        <v>4823.6659243243976</v>
      </c>
      <c r="H26" s="137">
        <f t="shared" si="13"/>
        <v>4628.8197743243973</v>
      </c>
      <c r="I26" s="137">
        <f t="shared" si="13"/>
        <v>5623.4637243243978</v>
      </c>
      <c r="J26" s="137">
        <f t="shared" si="13"/>
        <v>4710.1046343243979</v>
      </c>
      <c r="K26" s="137">
        <f t="shared" si="13"/>
        <v>5225.1222643243982</v>
      </c>
      <c r="L26" s="137">
        <f t="shared" si="13"/>
        <v>1995.4587843243985</v>
      </c>
      <c r="M26" s="137">
        <f t="shared" si="13"/>
        <v>2099.0515843243975</v>
      </c>
      <c r="N26" s="137">
        <f>+N4-N5-N13-N24</f>
        <v>1024.8528243243986</v>
      </c>
      <c r="O26" s="137">
        <f>SUM(C26:N26)</f>
        <v>40443.940754427233</v>
      </c>
      <c r="P26" s="155"/>
    </row>
    <row r="27" spans="2:17" x14ac:dyDescent="0.3">
      <c r="C27" s="155"/>
      <c r="F27" s="155"/>
      <c r="G27" s="156"/>
      <c r="H27" s="155"/>
      <c r="O27" s="155"/>
    </row>
    <row r="28" spans="2:17" x14ac:dyDescent="0.3">
      <c r="B28" s="154" t="s">
        <v>198</v>
      </c>
    </row>
    <row r="29" spans="2:17" ht="13.5" thickBot="1" x14ac:dyDescent="0.35">
      <c r="B29" s="154"/>
      <c r="C29" s="153" t="s">
        <v>197</v>
      </c>
      <c r="D29" s="153" t="s">
        <v>197</v>
      </c>
      <c r="E29" s="153" t="s">
        <v>197</v>
      </c>
      <c r="F29" s="153" t="s">
        <v>197</v>
      </c>
      <c r="G29" s="152" t="s">
        <v>196</v>
      </c>
      <c r="H29" s="152" t="s">
        <v>196</v>
      </c>
      <c r="I29" s="152" t="s">
        <v>196</v>
      </c>
      <c r="J29" s="152" t="s">
        <v>196</v>
      </c>
      <c r="K29" s="152" t="s">
        <v>196</v>
      </c>
      <c r="L29" s="152" t="s">
        <v>196</v>
      </c>
      <c r="M29" s="152" t="s">
        <v>196</v>
      </c>
      <c r="N29" s="152" t="s">
        <v>196</v>
      </c>
    </row>
    <row r="30" spans="2:17" ht="40.5" thickBot="1" x14ac:dyDescent="0.35">
      <c r="C30" s="151" t="s">
        <v>195</v>
      </c>
      <c r="D30" s="151" t="s">
        <v>194</v>
      </c>
      <c r="E30" s="151" t="s">
        <v>193</v>
      </c>
      <c r="F30" s="151" t="s">
        <v>192</v>
      </c>
      <c r="G30" s="151" t="s">
        <v>191</v>
      </c>
      <c r="H30" s="151" t="s">
        <v>190</v>
      </c>
      <c r="I30" s="151" t="s">
        <v>189</v>
      </c>
      <c r="J30" s="151" t="s">
        <v>188</v>
      </c>
      <c r="K30" s="151" t="s">
        <v>187</v>
      </c>
      <c r="L30" s="151" t="s">
        <v>186</v>
      </c>
      <c r="M30" s="151" t="s">
        <v>185</v>
      </c>
      <c r="N30" s="151" t="s">
        <v>184</v>
      </c>
      <c r="O30" s="150" t="s">
        <v>183</v>
      </c>
    </row>
    <row r="31" spans="2:17" ht="19" thickTop="1" thickBot="1" x14ac:dyDescent="0.35">
      <c r="B31" s="140" t="s">
        <v>182</v>
      </c>
      <c r="C31" s="148">
        <v>5872</v>
      </c>
      <c r="D31" s="148">
        <v>13957</v>
      </c>
      <c r="E31" s="148">
        <v>15189</v>
      </c>
      <c r="F31" s="148">
        <v>16171</v>
      </c>
      <c r="G31" s="147">
        <v>16635</v>
      </c>
      <c r="H31" s="147">
        <v>12368</v>
      </c>
      <c r="I31" s="147">
        <v>12508</v>
      </c>
      <c r="J31" s="147">
        <v>11018</v>
      </c>
      <c r="K31" s="147">
        <v>15040</v>
      </c>
      <c r="L31" s="147">
        <v>14425</v>
      </c>
      <c r="M31" s="147">
        <v>12950</v>
      </c>
      <c r="N31" s="147">
        <v>10862</v>
      </c>
      <c r="O31" s="146">
        <f>SUM(C31:N31)</f>
        <v>156995</v>
      </c>
      <c r="Q31" s="149"/>
    </row>
    <row r="32" spans="2:17" ht="18.5" thickBot="1" x14ac:dyDescent="0.35">
      <c r="B32" s="140" t="s">
        <v>181</v>
      </c>
      <c r="C32" s="148">
        <f t="shared" ref="C32:F32" si="14">+C33+C36</f>
        <v>0</v>
      </c>
      <c r="D32" s="148">
        <f t="shared" si="14"/>
        <v>0</v>
      </c>
      <c r="E32" s="148">
        <f t="shared" si="14"/>
        <v>0</v>
      </c>
      <c r="F32" s="148">
        <f t="shared" si="14"/>
        <v>5744</v>
      </c>
      <c r="G32" s="147">
        <f>+G33+G36</f>
        <v>6647.5646945540539</v>
      </c>
      <c r="H32" s="147">
        <f t="shared" ref="H32:N32" si="15">+H33+H36</f>
        <v>6185.2248945540541</v>
      </c>
      <c r="I32" s="147">
        <f t="shared" si="15"/>
        <v>5339.9668945540543</v>
      </c>
      <c r="J32" s="147">
        <f t="shared" si="15"/>
        <v>4804.9404345540534</v>
      </c>
      <c r="K32" s="147">
        <f t="shared" si="15"/>
        <v>5263.2686345540533</v>
      </c>
      <c r="L32" s="147">
        <f t="shared" si="15"/>
        <v>4978.9718345540532</v>
      </c>
      <c r="M32" s="147">
        <f t="shared" si="15"/>
        <v>4877.8276345540544</v>
      </c>
      <c r="N32" s="147">
        <f t="shared" si="15"/>
        <v>5507.969394554053</v>
      </c>
      <c r="O32" s="146">
        <f>SUM(C32:N32)</f>
        <v>49349.734416432431</v>
      </c>
      <c r="Q32" s="141"/>
    </row>
    <row r="33" spans="2:17" ht="18.5" thickBot="1" x14ac:dyDescent="0.35">
      <c r="B33" s="140" t="s">
        <v>623</v>
      </c>
      <c r="C33" s="148">
        <f t="shared" ref="C33:F33" si="16">SUM(C34:C35)</f>
        <v>0</v>
      </c>
      <c r="D33" s="148">
        <f t="shared" si="16"/>
        <v>0</v>
      </c>
      <c r="E33" s="148">
        <f t="shared" si="16"/>
        <v>0</v>
      </c>
      <c r="F33" s="148">
        <f t="shared" si="16"/>
        <v>1924</v>
      </c>
      <c r="G33" s="147">
        <f>SUM(G34:G35)</f>
        <v>2229.6251645540538</v>
      </c>
      <c r="H33" s="147">
        <f t="shared" ref="H33:N33" si="17">SUM(H34:H35)</f>
        <v>2229.6251645540538</v>
      </c>
      <c r="I33" s="147">
        <f t="shared" si="17"/>
        <v>2229.6251645540538</v>
      </c>
      <c r="J33" s="147">
        <f t="shared" si="17"/>
        <v>2229.6251645540538</v>
      </c>
      <c r="K33" s="147">
        <f t="shared" si="17"/>
        <v>2229.6251645540538</v>
      </c>
      <c r="L33" s="147">
        <f t="shared" si="17"/>
        <v>2229.6251645540538</v>
      </c>
      <c r="M33" s="147">
        <f t="shared" si="17"/>
        <v>2229.6251645540538</v>
      </c>
      <c r="N33" s="147">
        <f t="shared" si="17"/>
        <v>2389.8165245540536</v>
      </c>
      <c r="O33" s="146">
        <f t="shared" ref="O33:O38" si="18">SUM(C33:N33)</f>
        <v>19921.192676432434</v>
      </c>
      <c r="Q33" s="141"/>
    </row>
    <row r="34" spans="2:17" ht="18" outlineLevel="1" thickBot="1" x14ac:dyDescent="0.35">
      <c r="B34" s="145" t="s">
        <v>615</v>
      </c>
      <c r="C34" s="148"/>
      <c r="D34" s="148"/>
      <c r="E34" s="148"/>
      <c r="F34" s="148">
        <f>782+760</f>
        <v>1542</v>
      </c>
      <c r="G34" s="147">
        <f>+G7</f>
        <v>1750.2412172871479</v>
      </c>
      <c r="H34" s="147">
        <f t="shared" ref="H34:N34" si="19">+H7</f>
        <v>1750.2412172871479</v>
      </c>
      <c r="I34" s="147">
        <f t="shared" si="19"/>
        <v>1750.2412172871479</v>
      </c>
      <c r="J34" s="147">
        <f t="shared" si="19"/>
        <v>1750.2412172871479</v>
      </c>
      <c r="K34" s="147">
        <f t="shared" si="19"/>
        <v>1750.2412172871479</v>
      </c>
      <c r="L34" s="147">
        <f t="shared" si="19"/>
        <v>1750.2412172871479</v>
      </c>
      <c r="M34" s="147">
        <f t="shared" si="19"/>
        <v>1750.2412172871479</v>
      </c>
      <c r="N34" s="147">
        <f t="shared" si="19"/>
        <v>1910.4325772871478</v>
      </c>
      <c r="O34" s="158">
        <f t="shared" si="18"/>
        <v>15704.121098297184</v>
      </c>
      <c r="Q34" s="141"/>
    </row>
    <row r="35" spans="2:17" ht="18" outlineLevel="1" thickBot="1" x14ac:dyDescent="0.35">
      <c r="B35" s="145" t="s">
        <v>616</v>
      </c>
      <c r="C35" s="148"/>
      <c r="D35" s="148"/>
      <c r="E35" s="148"/>
      <c r="F35" s="148">
        <v>382</v>
      </c>
      <c r="G35" s="147">
        <f t="shared" ref="G35:N35" si="20">+G8</f>
        <v>479.38394726690564</v>
      </c>
      <c r="H35" s="147">
        <f t="shared" si="20"/>
        <v>479.38394726690564</v>
      </c>
      <c r="I35" s="147">
        <f t="shared" si="20"/>
        <v>479.38394726690564</v>
      </c>
      <c r="J35" s="147">
        <f t="shared" si="20"/>
        <v>479.38394726690564</v>
      </c>
      <c r="K35" s="147">
        <f t="shared" si="20"/>
        <v>479.38394726690564</v>
      </c>
      <c r="L35" s="147">
        <f t="shared" si="20"/>
        <v>479.38394726690564</v>
      </c>
      <c r="M35" s="147">
        <f t="shared" si="20"/>
        <v>479.38394726690564</v>
      </c>
      <c r="N35" s="147">
        <f t="shared" si="20"/>
        <v>479.38394726690564</v>
      </c>
      <c r="O35" s="158">
        <f t="shared" si="18"/>
        <v>4217.0715781352446</v>
      </c>
      <c r="Q35" s="141"/>
    </row>
    <row r="36" spans="2:17" ht="18.5" thickBot="1" x14ac:dyDescent="0.35">
      <c r="B36" s="140" t="s">
        <v>624</v>
      </c>
      <c r="C36" s="148">
        <f t="shared" ref="C36:F36" si="21">SUM(C37:C38)</f>
        <v>0</v>
      </c>
      <c r="D36" s="148">
        <f t="shared" si="21"/>
        <v>0</v>
      </c>
      <c r="E36" s="148">
        <f t="shared" si="21"/>
        <v>0</v>
      </c>
      <c r="F36" s="148">
        <f t="shared" si="21"/>
        <v>3820</v>
      </c>
      <c r="G36" s="147">
        <f>SUM(G37:G38)</f>
        <v>4417.9395299999996</v>
      </c>
      <c r="H36" s="147">
        <f t="shared" ref="H36:N36" si="22">SUM(H37:H38)</f>
        <v>3955.5997299999999</v>
      </c>
      <c r="I36" s="147">
        <f t="shared" si="22"/>
        <v>3110.3417300000001</v>
      </c>
      <c r="J36" s="147">
        <f t="shared" si="22"/>
        <v>2575.3152700000001</v>
      </c>
      <c r="K36" s="147">
        <f t="shared" si="22"/>
        <v>3033.64347</v>
      </c>
      <c r="L36" s="147">
        <f t="shared" si="22"/>
        <v>2749.3466699999999</v>
      </c>
      <c r="M36" s="147">
        <f t="shared" si="22"/>
        <v>2648.2024700000002</v>
      </c>
      <c r="N36" s="147">
        <f t="shared" si="22"/>
        <v>3118.1528699999999</v>
      </c>
      <c r="O36" s="146">
        <f t="shared" si="18"/>
        <v>29428.541740000001</v>
      </c>
      <c r="Q36" s="141"/>
    </row>
    <row r="37" spans="2:17" ht="18" outlineLevel="1" thickBot="1" x14ac:dyDescent="0.35">
      <c r="B37" s="145" t="s">
        <v>615</v>
      </c>
      <c r="C37" s="148"/>
      <c r="D37" s="148"/>
      <c r="E37" s="148"/>
      <c r="F37" s="148">
        <v>2903</v>
      </c>
      <c r="G37" s="147">
        <f>+G10</f>
        <v>3342.0419999999999</v>
      </c>
      <c r="H37" s="147">
        <f t="shared" ref="H37:N37" si="23">+H10</f>
        <v>3294.7570000000001</v>
      </c>
      <c r="I37" s="147">
        <f t="shared" si="23"/>
        <v>2467.607</v>
      </c>
      <c r="J37" s="147">
        <f t="shared" si="23"/>
        <v>2035.18</v>
      </c>
      <c r="K37" s="147">
        <f t="shared" si="23"/>
        <v>2549.5030000000002</v>
      </c>
      <c r="L37" s="147">
        <f t="shared" si="23"/>
        <v>2172.4110000000001</v>
      </c>
      <c r="M37" s="147">
        <f t="shared" si="23"/>
        <v>2003.5119999999999</v>
      </c>
      <c r="N37" s="147">
        <f t="shared" si="23"/>
        <v>2359.1979999999999</v>
      </c>
      <c r="O37" s="158">
        <f t="shared" si="18"/>
        <v>23127.21</v>
      </c>
      <c r="P37" s="155"/>
      <c r="Q37" s="141"/>
    </row>
    <row r="38" spans="2:17" ht="18" outlineLevel="1" thickBot="1" x14ac:dyDescent="0.35">
      <c r="B38" s="145" t="s">
        <v>616</v>
      </c>
      <c r="C38" s="148"/>
      <c r="D38" s="148"/>
      <c r="E38" s="148"/>
      <c r="F38" s="148">
        <v>917</v>
      </c>
      <c r="G38" s="147">
        <f>+G11</f>
        <v>1075.89753</v>
      </c>
      <c r="H38" s="147">
        <f t="shared" ref="H38:N38" si="24">+H11</f>
        <v>660.84272999999996</v>
      </c>
      <c r="I38" s="147">
        <f t="shared" si="24"/>
        <v>642.73473000000001</v>
      </c>
      <c r="J38" s="147">
        <f t="shared" si="24"/>
        <v>540.13526999999999</v>
      </c>
      <c r="K38" s="147">
        <f t="shared" si="24"/>
        <v>484.14046999999999</v>
      </c>
      <c r="L38" s="147">
        <f t="shared" si="24"/>
        <v>576.93566999999996</v>
      </c>
      <c r="M38" s="147">
        <f t="shared" si="24"/>
        <v>644.69047</v>
      </c>
      <c r="N38" s="147">
        <f t="shared" si="24"/>
        <v>758.95487000000003</v>
      </c>
      <c r="O38" s="158">
        <f t="shared" si="18"/>
        <v>6301.3317399999996</v>
      </c>
      <c r="Q38" s="141"/>
    </row>
    <row r="39" spans="2:17" ht="18.5" thickBot="1" x14ac:dyDescent="0.35">
      <c r="B39" s="140" t="s">
        <v>180</v>
      </c>
      <c r="C39" s="148">
        <f t="shared" ref="C39:N39" si="25">+C31-C32</f>
        <v>5872</v>
      </c>
      <c r="D39" s="148">
        <f t="shared" si="25"/>
        <v>13957</v>
      </c>
      <c r="E39" s="148">
        <f t="shared" si="25"/>
        <v>15189</v>
      </c>
      <c r="F39" s="148">
        <f t="shared" si="25"/>
        <v>10427</v>
      </c>
      <c r="G39" s="147">
        <f t="shared" si="25"/>
        <v>9987.4353054459461</v>
      </c>
      <c r="H39" s="147">
        <f t="shared" si="25"/>
        <v>6182.7751054459459</v>
      </c>
      <c r="I39" s="147">
        <f t="shared" si="25"/>
        <v>7168.0331054459457</v>
      </c>
      <c r="J39" s="147">
        <f t="shared" si="25"/>
        <v>6213.0595654459466</v>
      </c>
      <c r="K39" s="147">
        <f t="shared" si="25"/>
        <v>9776.7313654459467</v>
      </c>
      <c r="L39" s="147">
        <f t="shared" si="25"/>
        <v>9446.0281654459468</v>
      </c>
      <c r="M39" s="147">
        <f t="shared" si="25"/>
        <v>8072.1723654459456</v>
      </c>
      <c r="N39" s="147">
        <f t="shared" si="25"/>
        <v>5354.030605445947</v>
      </c>
      <c r="O39" s="146">
        <f>SUM(C39:N39)</f>
        <v>107645.26558356758</v>
      </c>
      <c r="Q39" s="141"/>
    </row>
    <row r="40" spans="2:17" ht="18.5" thickBot="1" x14ac:dyDescent="0.35">
      <c r="B40" s="140" t="s">
        <v>179</v>
      </c>
      <c r="C40" s="148">
        <f>+C41+C46</f>
        <v>0</v>
      </c>
      <c r="D40" s="148">
        <f t="shared" ref="D40:N40" si="26">+D41+D46</f>
        <v>0</v>
      </c>
      <c r="E40" s="148">
        <f t="shared" si="26"/>
        <v>0</v>
      </c>
      <c r="F40" s="148">
        <f t="shared" si="26"/>
        <v>2399.3054802211414</v>
      </c>
      <c r="G40" s="147">
        <f t="shared" si="26"/>
        <v>1393.7693811215483</v>
      </c>
      <c r="H40" s="147">
        <f t="shared" si="26"/>
        <v>1550.9553311215484</v>
      </c>
      <c r="I40" s="147">
        <f t="shared" si="26"/>
        <v>1400.5693811215483</v>
      </c>
      <c r="J40" s="147">
        <f t="shared" si="26"/>
        <v>1448.9549311215485</v>
      </c>
      <c r="K40" s="147">
        <f t="shared" si="26"/>
        <v>1475.6091011215485</v>
      </c>
      <c r="L40" s="147">
        <f t="shared" si="26"/>
        <v>1384.5693811215483</v>
      </c>
      <c r="M40" s="147">
        <f t="shared" si="26"/>
        <v>1382.1207811215484</v>
      </c>
      <c r="N40" s="147">
        <f t="shared" si="26"/>
        <v>1459.1777811215484</v>
      </c>
      <c r="O40" s="146">
        <f>SUM(C40:N40)</f>
        <v>13895.031549193529</v>
      </c>
      <c r="Q40" s="141"/>
    </row>
    <row r="41" spans="2:17" ht="18.5" thickBot="1" x14ac:dyDescent="0.35">
      <c r="B41" s="140" t="s">
        <v>623</v>
      </c>
      <c r="C41" s="148">
        <f t="shared" ref="C41:N41" si="27">SUM(C42:C45)</f>
        <v>0</v>
      </c>
      <c r="D41" s="148">
        <f t="shared" si="27"/>
        <v>0</v>
      </c>
      <c r="E41" s="148">
        <f t="shared" si="27"/>
        <v>0</v>
      </c>
      <c r="F41" s="148">
        <f t="shared" si="27"/>
        <v>1118.8031002211414</v>
      </c>
      <c r="G41" s="147">
        <f t="shared" si="27"/>
        <v>1272.9127311215484</v>
      </c>
      <c r="H41" s="147">
        <f t="shared" si="27"/>
        <v>1272.9127311215484</v>
      </c>
      <c r="I41" s="147">
        <f t="shared" si="27"/>
        <v>1272.9127311215484</v>
      </c>
      <c r="J41" s="147">
        <f t="shared" si="27"/>
        <v>1272.9127311215484</v>
      </c>
      <c r="K41" s="147">
        <f t="shared" si="27"/>
        <v>1272.9127311215484</v>
      </c>
      <c r="L41" s="147">
        <f t="shared" si="27"/>
        <v>1272.9127311215484</v>
      </c>
      <c r="M41" s="147">
        <f t="shared" si="27"/>
        <v>1272.9127311215484</v>
      </c>
      <c r="N41" s="147">
        <f t="shared" si="27"/>
        <v>1272.9127311215484</v>
      </c>
      <c r="O41" s="146">
        <f t="shared" ref="O41:O52" si="28">SUM(C41:N41)</f>
        <v>11302.10494919353</v>
      </c>
      <c r="Q41" s="141"/>
    </row>
    <row r="42" spans="2:17" ht="18" outlineLevel="1" thickBot="1" x14ac:dyDescent="0.35">
      <c r="B42" s="145" t="s">
        <v>617</v>
      </c>
      <c r="C42" s="148"/>
      <c r="D42" s="148"/>
      <c r="E42" s="148"/>
      <c r="F42" s="148">
        <f>(+'[2]IS ABR 26'!$C$15+Gral!I9+Gral!J9+Gral!N9)/1000</f>
        <v>359.49606399945958</v>
      </c>
      <c r="G42" s="147">
        <f>+G15</f>
        <v>489.53260416666677</v>
      </c>
      <c r="H42" s="147">
        <f t="shared" ref="H42:N42" si="29">+H15</f>
        <v>489.53260416666677</v>
      </c>
      <c r="I42" s="147">
        <f t="shared" si="29"/>
        <v>489.53260416666677</v>
      </c>
      <c r="J42" s="147">
        <f t="shared" si="29"/>
        <v>489.53260416666677</v>
      </c>
      <c r="K42" s="147">
        <f t="shared" si="29"/>
        <v>489.53260416666677</v>
      </c>
      <c r="L42" s="147">
        <f t="shared" si="29"/>
        <v>489.53260416666677</v>
      </c>
      <c r="M42" s="147">
        <f t="shared" si="29"/>
        <v>489.53260416666677</v>
      </c>
      <c r="N42" s="147">
        <f t="shared" si="29"/>
        <v>489.53260416666677</v>
      </c>
      <c r="O42" s="158">
        <f t="shared" si="28"/>
        <v>4275.7568973327934</v>
      </c>
      <c r="Q42" s="141"/>
    </row>
    <row r="43" spans="2:17" ht="18" outlineLevel="1" thickBot="1" x14ac:dyDescent="0.35">
      <c r="B43" s="145" t="s">
        <v>618</v>
      </c>
      <c r="C43" s="148"/>
      <c r="D43" s="148"/>
      <c r="E43" s="148"/>
      <c r="F43" s="148">
        <v>116</v>
      </c>
      <c r="G43" s="147">
        <f>+G16</f>
        <v>113.64429240277137</v>
      </c>
      <c r="H43" s="147">
        <f t="shared" ref="H43:N43" si="30">+H16</f>
        <v>113.64429240277137</v>
      </c>
      <c r="I43" s="147">
        <f t="shared" si="30"/>
        <v>113.64429240277137</v>
      </c>
      <c r="J43" s="147">
        <f t="shared" si="30"/>
        <v>113.64429240277137</v>
      </c>
      <c r="K43" s="147">
        <f t="shared" si="30"/>
        <v>113.64429240277137</v>
      </c>
      <c r="L43" s="147">
        <f t="shared" si="30"/>
        <v>113.64429240277137</v>
      </c>
      <c r="M43" s="147">
        <f t="shared" si="30"/>
        <v>113.64429240277137</v>
      </c>
      <c r="N43" s="147">
        <f t="shared" si="30"/>
        <v>113.64429240277137</v>
      </c>
      <c r="O43" s="158">
        <f t="shared" si="28"/>
        <v>1025.1543392221711</v>
      </c>
      <c r="Q43" s="141"/>
    </row>
    <row r="44" spans="2:17" ht="18" outlineLevel="1" thickBot="1" x14ac:dyDescent="0.35">
      <c r="B44" s="145" t="s">
        <v>619</v>
      </c>
      <c r="C44" s="148"/>
      <c r="D44" s="148"/>
      <c r="E44" s="148"/>
      <c r="F44" s="148">
        <v>134</v>
      </c>
      <c r="G44" s="147">
        <f>+G17</f>
        <v>130.63312070544384</v>
      </c>
      <c r="H44" s="147">
        <f t="shared" ref="H44:N44" si="31">+H17</f>
        <v>130.63312070544384</v>
      </c>
      <c r="I44" s="147">
        <f t="shared" si="31"/>
        <v>130.63312070544384</v>
      </c>
      <c r="J44" s="147">
        <f t="shared" si="31"/>
        <v>130.63312070544384</v>
      </c>
      <c r="K44" s="147">
        <f t="shared" si="31"/>
        <v>130.63312070544384</v>
      </c>
      <c r="L44" s="147">
        <f t="shared" si="31"/>
        <v>130.63312070544384</v>
      </c>
      <c r="M44" s="147">
        <f t="shared" si="31"/>
        <v>130.63312070544384</v>
      </c>
      <c r="N44" s="147">
        <f t="shared" si="31"/>
        <v>130.63312070544384</v>
      </c>
      <c r="O44" s="158">
        <f t="shared" si="28"/>
        <v>1179.0649656435507</v>
      </c>
      <c r="Q44" s="141"/>
    </row>
    <row r="45" spans="2:17" ht="18" outlineLevel="1" thickBot="1" x14ac:dyDescent="0.35">
      <c r="B45" s="145" t="s">
        <v>620</v>
      </c>
      <c r="C45" s="148"/>
      <c r="D45" s="148"/>
      <c r="E45" s="148"/>
      <c r="F45" s="148">
        <f>([3]EF!$C$3+[3]EF!$C$31)/1000</f>
        <v>509.30703622168176</v>
      </c>
      <c r="G45" s="147">
        <f>+G18</f>
        <v>539.10271384666657</v>
      </c>
      <c r="H45" s="147">
        <f t="shared" ref="H45:N45" si="32">+H18</f>
        <v>539.10271384666657</v>
      </c>
      <c r="I45" s="147">
        <f t="shared" si="32"/>
        <v>539.10271384666657</v>
      </c>
      <c r="J45" s="147">
        <f t="shared" si="32"/>
        <v>539.10271384666657</v>
      </c>
      <c r="K45" s="147">
        <f t="shared" si="32"/>
        <v>539.10271384666657</v>
      </c>
      <c r="L45" s="147">
        <f t="shared" si="32"/>
        <v>539.10271384666657</v>
      </c>
      <c r="M45" s="147">
        <f t="shared" si="32"/>
        <v>539.10271384666657</v>
      </c>
      <c r="N45" s="147">
        <f t="shared" si="32"/>
        <v>539.10271384666657</v>
      </c>
      <c r="O45" s="158">
        <f t="shared" si="28"/>
        <v>4822.1287469950148</v>
      </c>
      <c r="Q45" s="141"/>
    </row>
    <row r="46" spans="2:17" ht="18.5" thickBot="1" x14ac:dyDescent="0.35">
      <c r="B46" s="140" t="s">
        <v>625</v>
      </c>
      <c r="C46" s="148">
        <f t="shared" ref="C46" si="33">SUM(C47:C52)</f>
        <v>0</v>
      </c>
      <c r="D46" s="148">
        <f t="shared" ref="D46" si="34">SUM(D47:D52)</f>
        <v>0</v>
      </c>
      <c r="E46" s="148">
        <f t="shared" ref="E46" si="35">SUM(E47:E52)</f>
        <v>0</v>
      </c>
      <c r="F46" s="148">
        <f t="shared" ref="F46" si="36">SUM(F47:F52)</f>
        <v>1280.5023799999999</v>
      </c>
      <c r="G46" s="147">
        <f t="shared" ref="G46:N46" si="37">SUM(G47:G52)</f>
        <v>120.85665</v>
      </c>
      <c r="H46" s="147">
        <f t="shared" si="37"/>
        <v>278.04260000000005</v>
      </c>
      <c r="I46" s="147">
        <f t="shared" si="37"/>
        <v>127.65665000000001</v>
      </c>
      <c r="J46" s="147">
        <f t="shared" si="37"/>
        <v>176.04220000000001</v>
      </c>
      <c r="K46" s="147">
        <f t="shared" si="37"/>
        <v>202.69637000000003</v>
      </c>
      <c r="L46" s="147">
        <f t="shared" si="37"/>
        <v>111.65665000000001</v>
      </c>
      <c r="M46" s="147">
        <f t="shared" si="37"/>
        <v>109.20805</v>
      </c>
      <c r="N46" s="147">
        <f t="shared" si="37"/>
        <v>186.26505</v>
      </c>
      <c r="O46" s="146">
        <f t="shared" ref="O46:O51" si="38">SUM(C46:N46)</f>
        <v>2592.9265999999998</v>
      </c>
      <c r="Q46" s="141"/>
    </row>
    <row r="47" spans="2:17" ht="18" outlineLevel="1" thickBot="1" x14ac:dyDescent="0.35">
      <c r="B47" s="145" t="s">
        <v>617</v>
      </c>
      <c r="C47" s="148"/>
      <c r="D47" s="148"/>
      <c r="E47" s="148"/>
      <c r="F47" s="148">
        <v>11</v>
      </c>
      <c r="G47" s="147">
        <f>+G20</f>
        <v>6</v>
      </c>
      <c r="H47" s="147">
        <f t="shared" ref="H47:N47" si="39">+H20</f>
        <v>20</v>
      </c>
      <c r="I47" s="147">
        <f t="shared" si="39"/>
        <v>7</v>
      </c>
      <c r="J47" s="147">
        <f t="shared" si="39"/>
        <v>0</v>
      </c>
      <c r="K47" s="147">
        <f t="shared" si="39"/>
        <v>0</v>
      </c>
      <c r="L47" s="147">
        <f t="shared" si="39"/>
        <v>7</v>
      </c>
      <c r="M47" s="147">
        <f t="shared" si="39"/>
        <v>0</v>
      </c>
      <c r="N47" s="147">
        <f t="shared" si="39"/>
        <v>20</v>
      </c>
      <c r="O47" s="158">
        <f t="shared" si="38"/>
        <v>71</v>
      </c>
      <c r="Q47" s="141"/>
    </row>
    <row r="48" spans="2:17" ht="18" outlineLevel="1" thickBot="1" x14ac:dyDescent="0.35">
      <c r="B48" s="145" t="s">
        <v>618</v>
      </c>
      <c r="C48" s="148"/>
      <c r="D48" s="148"/>
      <c r="E48" s="148"/>
      <c r="F48" s="148">
        <v>5</v>
      </c>
      <c r="G48" s="147">
        <f>+G21</f>
        <v>11.57432</v>
      </c>
      <c r="H48" s="147">
        <f t="shared" ref="H48:N48" si="40">+H21</f>
        <v>167.26027000000002</v>
      </c>
      <c r="I48" s="147">
        <f t="shared" si="40"/>
        <v>11.57432</v>
      </c>
      <c r="J48" s="147">
        <f t="shared" si="40"/>
        <v>104.65187</v>
      </c>
      <c r="K48" s="147">
        <f t="shared" si="40"/>
        <v>74.182720000000003</v>
      </c>
      <c r="L48" s="147">
        <f t="shared" si="40"/>
        <v>11.57432</v>
      </c>
      <c r="M48" s="147">
        <f t="shared" si="40"/>
        <v>11.57432</v>
      </c>
      <c r="N48" s="147">
        <f t="shared" si="40"/>
        <v>74.182720000000003</v>
      </c>
      <c r="O48" s="158">
        <f t="shared" si="38"/>
        <v>471.57486000000006</v>
      </c>
      <c r="Q48" s="141"/>
    </row>
    <row r="49" spans="2:17" ht="18" outlineLevel="1" thickBot="1" x14ac:dyDescent="0.35">
      <c r="B49" s="145" t="s">
        <v>619</v>
      </c>
      <c r="C49" s="148"/>
      <c r="D49" s="148"/>
      <c r="E49" s="148"/>
      <c r="F49" s="148">
        <v>10</v>
      </c>
      <c r="G49" s="147">
        <f>+G22</f>
        <v>73.182330000000007</v>
      </c>
      <c r="H49" s="147">
        <f t="shared" ref="H49:N49" si="41">+H22</f>
        <v>78.482330000000005</v>
      </c>
      <c r="I49" s="147">
        <f t="shared" si="41"/>
        <v>72.182330000000007</v>
      </c>
      <c r="J49" s="147">
        <f t="shared" si="41"/>
        <v>65.390330000000006</v>
      </c>
      <c r="K49" s="147">
        <f t="shared" si="41"/>
        <v>118.61365000000001</v>
      </c>
      <c r="L49" s="147">
        <f t="shared" si="41"/>
        <v>62.482330000000005</v>
      </c>
      <c r="M49" s="147">
        <f t="shared" si="41"/>
        <v>97.63373</v>
      </c>
      <c r="N49" s="147">
        <f t="shared" si="41"/>
        <v>92.082329999999999</v>
      </c>
      <c r="O49" s="158">
        <f t="shared" si="38"/>
        <v>670.04935999999998</v>
      </c>
      <c r="Q49" s="141"/>
    </row>
    <row r="50" spans="2:17" ht="18" outlineLevel="1" thickBot="1" x14ac:dyDescent="0.35">
      <c r="B50" s="145" t="s">
        <v>616</v>
      </c>
      <c r="C50" s="148"/>
      <c r="D50" s="148"/>
      <c r="E50" s="148"/>
      <c r="F50" s="148">
        <v>76</v>
      </c>
      <c r="G50" s="147">
        <v>0</v>
      </c>
      <c r="H50" s="147">
        <v>0</v>
      </c>
      <c r="I50" s="147">
        <v>0</v>
      </c>
      <c r="J50" s="147">
        <v>0</v>
      </c>
      <c r="K50" s="147">
        <v>0</v>
      </c>
      <c r="L50" s="147">
        <v>0</v>
      </c>
      <c r="M50" s="147">
        <v>0</v>
      </c>
      <c r="N50" s="147">
        <v>0</v>
      </c>
      <c r="O50" s="158">
        <f t="shared" si="38"/>
        <v>76</v>
      </c>
      <c r="Q50" s="141"/>
    </row>
    <row r="51" spans="2:17" ht="18" outlineLevel="1" thickBot="1" x14ac:dyDescent="0.35">
      <c r="B51" s="145" t="s">
        <v>622</v>
      </c>
      <c r="C51" s="148"/>
      <c r="D51" s="148"/>
      <c r="E51" s="148"/>
      <c r="F51" s="148">
        <f>901+265</f>
        <v>1166</v>
      </c>
      <c r="G51" s="147">
        <v>0</v>
      </c>
      <c r="H51" s="147">
        <v>0</v>
      </c>
      <c r="I51" s="147">
        <v>0</v>
      </c>
      <c r="J51" s="147">
        <v>0</v>
      </c>
      <c r="K51" s="147">
        <v>0</v>
      </c>
      <c r="L51" s="147">
        <v>0</v>
      </c>
      <c r="M51" s="147">
        <v>0</v>
      </c>
      <c r="N51" s="147">
        <v>0</v>
      </c>
      <c r="O51" s="158">
        <f t="shared" si="38"/>
        <v>1166</v>
      </c>
      <c r="Q51" s="141"/>
    </row>
    <row r="52" spans="2:17" ht="18" outlineLevel="1" thickBot="1" x14ac:dyDescent="0.35">
      <c r="B52" s="145" t="s">
        <v>620</v>
      </c>
      <c r="C52" s="148"/>
      <c r="D52" s="148"/>
      <c r="E52" s="148"/>
      <c r="F52" s="148">
        <v>12.502379999999999</v>
      </c>
      <c r="G52" s="147">
        <f>+G23</f>
        <v>30.1</v>
      </c>
      <c r="H52" s="147">
        <f t="shared" ref="H52:N52" si="42">+H23</f>
        <v>12.3</v>
      </c>
      <c r="I52" s="147">
        <f t="shared" si="42"/>
        <v>36.9</v>
      </c>
      <c r="J52" s="147">
        <f t="shared" si="42"/>
        <v>6</v>
      </c>
      <c r="K52" s="147">
        <f t="shared" si="42"/>
        <v>9.9</v>
      </c>
      <c r="L52" s="147">
        <f t="shared" si="42"/>
        <v>30.6</v>
      </c>
      <c r="M52" s="147">
        <f t="shared" si="42"/>
        <v>0</v>
      </c>
      <c r="N52" s="147">
        <f t="shared" si="42"/>
        <v>0</v>
      </c>
      <c r="O52" s="158">
        <f t="shared" si="28"/>
        <v>138.30238</v>
      </c>
      <c r="Q52" s="141"/>
    </row>
    <row r="53" spans="2:17" ht="18.5" thickBot="1" x14ac:dyDescent="0.35">
      <c r="B53" s="140" t="s">
        <v>178</v>
      </c>
      <c r="C53" s="148">
        <v>5754</v>
      </c>
      <c r="D53" s="148">
        <v>2170</v>
      </c>
      <c r="E53" s="148">
        <v>2406</v>
      </c>
      <c r="F53" s="148">
        <v>1514</v>
      </c>
      <c r="G53" s="147">
        <v>1667</v>
      </c>
      <c r="H53" s="147">
        <v>1667</v>
      </c>
      <c r="I53" s="147">
        <v>1667</v>
      </c>
      <c r="J53" s="147">
        <v>1667</v>
      </c>
      <c r="K53" s="147">
        <v>1667</v>
      </c>
      <c r="L53" s="147">
        <v>1667</v>
      </c>
      <c r="M53" s="147">
        <v>1667</v>
      </c>
      <c r="N53" s="147">
        <v>1667</v>
      </c>
      <c r="O53" s="146">
        <f>SUM(C53:N53)</f>
        <v>25180</v>
      </c>
      <c r="Q53" s="141"/>
    </row>
    <row r="54" spans="2:17" ht="18.5" thickBot="1" x14ac:dyDescent="0.35">
      <c r="B54" s="140" t="s">
        <v>177</v>
      </c>
      <c r="C54" s="144"/>
      <c r="D54" s="144"/>
      <c r="E54" s="144"/>
      <c r="F54" s="144">
        <v>126</v>
      </c>
      <c r="G54" s="143"/>
      <c r="H54" s="143"/>
      <c r="I54" s="143"/>
      <c r="J54" s="143"/>
      <c r="K54" s="143"/>
      <c r="L54" s="143"/>
      <c r="M54" s="143"/>
      <c r="N54" s="143"/>
      <c r="O54" s="142">
        <f>SUM(C54:N54)</f>
        <v>126</v>
      </c>
      <c r="Q54" s="141"/>
    </row>
    <row r="55" spans="2:17" ht="18.5" thickBot="1" x14ac:dyDescent="0.35">
      <c r="B55" s="140" t="s">
        <v>176</v>
      </c>
      <c r="C55" s="139">
        <f t="shared" ref="C55:N55" si="43">+C39-C40-C53-C54</f>
        <v>118</v>
      </c>
      <c r="D55" s="139">
        <f t="shared" si="43"/>
        <v>11787</v>
      </c>
      <c r="E55" s="139">
        <f t="shared" si="43"/>
        <v>12783</v>
      </c>
      <c r="F55" s="139">
        <f t="shared" si="43"/>
        <v>6387.6945197788591</v>
      </c>
      <c r="G55" s="138">
        <f t="shared" si="43"/>
        <v>6926.6659243243976</v>
      </c>
      <c r="H55" s="138">
        <f t="shared" si="43"/>
        <v>2964.8197743243973</v>
      </c>
      <c r="I55" s="138">
        <f t="shared" si="43"/>
        <v>4100.4637243243978</v>
      </c>
      <c r="J55" s="138">
        <f t="shared" si="43"/>
        <v>3097.1046343243979</v>
      </c>
      <c r="K55" s="138">
        <f t="shared" si="43"/>
        <v>6634.1222643243982</v>
      </c>
      <c r="L55" s="138">
        <f t="shared" si="43"/>
        <v>6394.4587843243989</v>
      </c>
      <c r="M55" s="138">
        <f t="shared" si="43"/>
        <v>5023.0515843243975</v>
      </c>
      <c r="N55" s="138">
        <f t="shared" si="43"/>
        <v>2227.8528243243986</v>
      </c>
      <c r="O55" s="137">
        <f>SUM(C55:N55)</f>
        <v>68444.234034374036</v>
      </c>
    </row>
    <row r="59" spans="2:17" x14ac:dyDescent="0.3">
      <c r="C59" s="153" t="s">
        <v>197</v>
      </c>
      <c r="E59" s="349" t="s">
        <v>626</v>
      </c>
    </row>
    <row r="60" spans="2:17" ht="20.5" thickBot="1" x14ac:dyDescent="0.35">
      <c r="C60" s="363" t="s">
        <v>192</v>
      </c>
      <c r="D60" s="364"/>
      <c r="E60" s="365" t="s">
        <v>192</v>
      </c>
      <c r="F60" s="366"/>
      <c r="G60" s="365" t="s">
        <v>629</v>
      </c>
      <c r="H60" s="366"/>
    </row>
    <row r="61" spans="2:17" ht="20.5" thickBot="1" x14ac:dyDescent="0.35">
      <c r="C61" s="350" t="s">
        <v>627</v>
      </c>
      <c r="D61" s="350" t="s">
        <v>19</v>
      </c>
      <c r="E61" s="350" t="s">
        <v>627</v>
      </c>
      <c r="F61" s="350" t="s">
        <v>19</v>
      </c>
      <c r="G61" s="350" t="s">
        <v>628</v>
      </c>
      <c r="H61" s="350" t="s">
        <v>19</v>
      </c>
    </row>
    <row r="62" spans="2:17" ht="18.5" thickBot="1" x14ac:dyDescent="0.35">
      <c r="B62" s="140" t="s">
        <v>182</v>
      </c>
      <c r="C62" s="148">
        <v>16171</v>
      </c>
      <c r="D62" s="351">
        <v>1</v>
      </c>
      <c r="E62" s="158">
        <v>10785</v>
      </c>
      <c r="F62" s="352">
        <v>1</v>
      </c>
      <c r="G62" s="357">
        <f>+C62-E62</f>
        <v>5386</v>
      </c>
      <c r="H62" s="358">
        <f>+G62/E62</f>
        <v>0.49939731108020396</v>
      </c>
    </row>
    <row r="63" spans="2:17" ht="18.5" thickBot="1" x14ac:dyDescent="0.35">
      <c r="B63" s="140" t="s">
        <v>181</v>
      </c>
      <c r="C63" s="148">
        <v>5744</v>
      </c>
      <c r="D63" s="351">
        <f>+C63/$C$62</f>
        <v>0.35520375981695629</v>
      </c>
      <c r="E63" s="158">
        <v>6568.9220945540528</v>
      </c>
      <c r="F63" s="352">
        <f>+E63/$E$62</f>
        <v>0.60907947098322235</v>
      </c>
      <c r="G63" s="357">
        <f t="shared" ref="G63:G86" si="44">+C63-E63</f>
        <v>-824.92209455405282</v>
      </c>
      <c r="H63" s="358">
        <f t="shared" ref="H63:H86" si="45">+G63/E63</f>
        <v>-0.12557952167494149</v>
      </c>
    </row>
    <row r="64" spans="2:17" ht="18.5" thickBot="1" x14ac:dyDescent="0.35">
      <c r="B64" s="140" t="s">
        <v>623</v>
      </c>
      <c r="C64" s="148">
        <v>1924</v>
      </c>
      <c r="D64" s="351">
        <f t="shared" ref="D64:D86" si="46">+C64/$C$62</f>
        <v>0.11897841815595819</v>
      </c>
      <c r="E64" s="158">
        <v>2229.6251645540538</v>
      </c>
      <c r="F64" s="352">
        <f t="shared" ref="F64:F86" si="47">+E64/$E$62</f>
        <v>0.20673390491924468</v>
      </c>
      <c r="G64" s="357">
        <f t="shared" si="44"/>
        <v>-305.62516455405375</v>
      </c>
      <c r="H64" s="358">
        <f t="shared" si="45"/>
        <v>-0.13707468385843308</v>
      </c>
    </row>
    <row r="65" spans="2:8" ht="18" thickBot="1" x14ac:dyDescent="0.35">
      <c r="B65" s="145" t="s">
        <v>615</v>
      </c>
      <c r="C65" s="148">
        <v>1542</v>
      </c>
      <c r="D65" s="351">
        <f t="shared" si="46"/>
        <v>9.5355883989858392E-2</v>
      </c>
      <c r="E65" s="158">
        <v>1750.2412172871479</v>
      </c>
      <c r="F65" s="352">
        <f t="shared" si="47"/>
        <v>0.16228476748142309</v>
      </c>
      <c r="G65" s="357">
        <f t="shared" si="44"/>
        <v>-208.24121728714795</v>
      </c>
      <c r="H65" s="358">
        <f t="shared" si="45"/>
        <v>-0.11897858148371071</v>
      </c>
    </row>
    <row r="66" spans="2:8" ht="18" thickBot="1" x14ac:dyDescent="0.35">
      <c r="B66" s="145" t="s">
        <v>616</v>
      </c>
      <c r="C66" s="148">
        <v>382</v>
      </c>
      <c r="D66" s="351">
        <f t="shared" si="46"/>
        <v>2.3622534166099808E-2</v>
      </c>
      <c r="E66" s="158">
        <v>479.38394726690564</v>
      </c>
      <c r="F66" s="352">
        <f t="shared" si="47"/>
        <v>4.444913743782157E-2</v>
      </c>
      <c r="G66" s="357">
        <f t="shared" si="44"/>
        <v>-97.383947266905636</v>
      </c>
      <c r="H66" s="358">
        <f t="shared" si="45"/>
        <v>-0.20314394718913142</v>
      </c>
    </row>
    <row r="67" spans="2:8" ht="18.5" thickBot="1" x14ac:dyDescent="0.35">
      <c r="B67" s="140" t="s">
        <v>624</v>
      </c>
      <c r="C67" s="148">
        <v>3820</v>
      </c>
      <c r="D67" s="351">
        <f t="shared" si="46"/>
        <v>0.23622534166099809</v>
      </c>
      <c r="E67" s="158">
        <v>4339.2969299999995</v>
      </c>
      <c r="F67" s="352">
        <f t="shared" si="47"/>
        <v>0.4023455660639777</v>
      </c>
      <c r="G67" s="357">
        <f t="shared" si="44"/>
        <v>-519.29692999999952</v>
      </c>
      <c r="H67" s="358">
        <f t="shared" si="45"/>
        <v>-0.11967305726644514</v>
      </c>
    </row>
    <row r="68" spans="2:8" ht="18" thickBot="1" x14ac:dyDescent="0.35">
      <c r="B68" s="145" t="s">
        <v>615</v>
      </c>
      <c r="C68" s="148">
        <v>2903</v>
      </c>
      <c r="D68" s="351">
        <f t="shared" si="46"/>
        <v>0.1795188918434234</v>
      </c>
      <c r="E68" s="158">
        <v>3526.4349999999999</v>
      </c>
      <c r="F68" s="352">
        <f t="shared" si="47"/>
        <v>0.32697589244320813</v>
      </c>
      <c r="G68" s="357">
        <f t="shared" si="44"/>
        <v>-623.43499999999995</v>
      </c>
      <c r="H68" s="358">
        <f t="shared" si="45"/>
        <v>-0.17678902347554964</v>
      </c>
    </row>
    <row r="69" spans="2:8" ht="18" thickBot="1" x14ac:dyDescent="0.35">
      <c r="B69" s="145" t="s">
        <v>616</v>
      </c>
      <c r="C69" s="148">
        <v>917</v>
      </c>
      <c r="D69" s="351">
        <f t="shared" si="46"/>
        <v>5.6706449817574674E-2</v>
      </c>
      <c r="E69" s="158">
        <v>812.86192999999992</v>
      </c>
      <c r="F69" s="352">
        <f t="shared" si="47"/>
        <v>7.5369673620769573E-2</v>
      </c>
      <c r="G69" s="357">
        <f t="shared" si="44"/>
        <v>104.13807000000008</v>
      </c>
      <c r="H69" s="358">
        <f t="shared" si="45"/>
        <v>0.12811286413671766</v>
      </c>
    </row>
    <row r="70" spans="2:8" ht="18.5" thickBot="1" x14ac:dyDescent="0.35">
      <c r="B70" s="140" t="s">
        <v>180</v>
      </c>
      <c r="C70" s="148">
        <v>10427</v>
      </c>
      <c r="D70" s="351">
        <f t="shared" si="46"/>
        <v>0.64479624018304371</v>
      </c>
      <c r="E70" s="158">
        <v>4216.0779054459472</v>
      </c>
      <c r="F70" s="352">
        <f t="shared" si="47"/>
        <v>0.39092052901677765</v>
      </c>
      <c r="G70" s="357">
        <f t="shared" si="44"/>
        <v>6210.9220945540528</v>
      </c>
      <c r="H70" s="358">
        <f t="shared" si="45"/>
        <v>1.4731516432681062</v>
      </c>
    </row>
    <row r="71" spans="2:8" ht="18.5" thickBot="1" x14ac:dyDescent="0.35">
      <c r="B71" s="140" t="s">
        <v>179</v>
      </c>
      <c r="C71" s="148">
        <v>2399.3054802211414</v>
      </c>
      <c r="D71" s="351">
        <f t="shared" si="46"/>
        <v>0.14837087874721053</v>
      </c>
      <c r="E71" s="158">
        <v>1481.2069211215485</v>
      </c>
      <c r="F71" s="352">
        <f t="shared" si="47"/>
        <v>0.13733953835155757</v>
      </c>
      <c r="G71" s="357">
        <f t="shared" si="44"/>
        <v>918.09855909959288</v>
      </c>
      <c r="H71" s="358">
        <f t="shared" si="45"/>
        <v>0.61983139965645173</v>
      </c>
    </row>
    <row r="72" spans="2:8" ht="18.5" thickBot="1" x14ac:dyDescent="0.35">
      <c r="B72" s="140" t="s">
        <v>623</v>
      </c>
      <c r="C72" s="148">
        <v>1118.8031002211414</v>
      </c>
      <c r="D72" s="351">
        <f t="shared" si="46"/>
        <v>6.9185770837990324E-2</v>
      </c>
      <c r="E72" s="158">
        <v>1272.9127311215484</v>
      </c>
      <c r="F72" s="352">
        <f t="shared" si="47"/>
        <v>0.11802621521757518</v>
      </c>
      <c r="G72" s="357">
        <f t="shared" si="44"/>
        <v>-154.10963090040696</v>
      </c>
      <c r="H72" s="358">
        <f t="shared" si="45"/>
        <v>-0.1210684967889533</v>
      </c>
    </row>
    <row r="73" spans="2:8" ht="18" thickBot="1" x14ac:dyDescent="0.35">
      <c r="B73" s="145" t="s">
        <v>617</v>
      </c>
      <c r="C73" s="148">
        <v>359.49606399945958</v>
      </c>
      <c r="D73" s="351">
        <f t="shared" si="46"/>
        <v>2.2230911137187531E-2</v>
      </c>
      <c r="E73" s="158">
        <v>489.53260416666677</v>
      </c>
      <c r="F73" s="352">
        <f t="shared" si="47"/>
        <v>4.5390134832328864E-2</v>
      </c>
      <c r="G73" s="357">
        <f t="shared" si="44"/>
        <v>-130.03654016720719</v>
      </c>
      <c r="H73" s="358">
        <f t="shared" si="45"/>
        <v>-0.26563407434029629</v>
      </c>
    </row>
    <row r="74" spans="2:8" ht="18" thickBot="1" x14ac:dyDescent="0.35">
      <c r="B74" s="145" t="s">
        <v>618</v>
      </c>
      <c r="C74" s="148">
        <v>116</v>
      </c>
      <c r="D74" s="351">
        <f t="shared" si="46"/>
        <v>7.1733349823758577E-3</v>
      </c>
      <c r="E74" s="158">
        <v>113.64429240277137</v>
      </c>
      <c r="F74" s="352">
        <f t="shared" si="47"/>
        <v>1.0537254742955157E-2</v>
      </c>
      <c r="G74" s="357">
        <f t="shared" si="44"/>
        <v>2.3557075972286299</v>
      </c>
      <c r="H74" s="358">
        <f t="shared" si="45"/>
        <v>2.0728780543414101E-2</v>
      </c>
    </row>
    <row r="75" spans="2:8" ht="18" thickBot="1" x14ac:dyDescent="0.35">
      <c r="B75" s="145" t="s">
        <v>619</v>
      </c>
      <c r="C75" s="148">
        <v>134</v>
      </c>
      <c r="D75" s="351">
        <f t="shared" si="46"/>
        <v>8.286438686537629E-3</v>
      </c>
      <c r="E75" s="158">
        <v>130.63312070544384</v>
      </c>
      <c r="F75" s="352">
        <f t="shared" si="47"/>
        <v>1.2112482216545558E-2</v>
      </c>
      <c r="G75" s="357">
        <f t="shared" si="44"/>
        <v>3.3668792945561563</v>
      </c>
      <c r="H75" s="358">
        <f t="shared" si="45"/>
        <v>2.5773550202080178E-2</v>
      </c>
    </row>
    <row r="76" spans="2:8" ht="18" thickBot="1" x14ac:dyDescent="0.35">
      <c r="B76" s="145" t="s">
        <v>620</v>
      </c>
      <c r="C76" s="148">
        <v>509.30703622168176</v>
      </c>
      <c r="D76" s="351">
        <f t="shared" si="46"/>
        <v>3.1495086031889295E-2</v>
      </c>
      <c r="E76" s="158">
        <v>539.10271384666657</v>
      </c>
      <c r="F76" s="352">
        <f t="shared" si="47"/>
        <v>4.9986343425745629E-2</v>
      </c>
      <c r="G76" s="357">
        <f t="shared" si="44"/>
        <v>-29.795677624984819</v>
      </c>
      <c r="H76" s="358">
        <f t="shared" si="45"/>
        <v>-5.52690180548032E-2</v>
      </c>
    </row>
    <row r="77" spans="2:8" ht="18.5" thickBot="1" x14ac:dyDescent="0.35">
      <c r="B77" s="140" t="s">
        <v>625</v>
      </c>
      <c r="C77" s="148">
        <v>1280.5023799999999</v>
      </c>
      <c r="D77" s="351">
        <f t="shared" si="46"/>
        <v>7.9185107909220204E-2</v>
      </c>
      <c r="E77" s="158">
        <v>208.29419000000001</v>
      </c>
      <c r="F77" s="352">
        <f t="shared" si="47"/>
        <v>1.9313323133982385E-2</v>
      </c>
      <c r="G77" s="357">
        <f t="shared" si="44"/>
        <v>1072.2081899999998</v>
      </c>
      <c r="H77" s="358">
        <f t="shared" si="45"/>
        <v>5.147566477970412</v>
      </c>
    </row>
    <row r="78" spans="2:8" ht="18" thickBot="1" x14ac:dyDescent="0.35">
      <c r="B78" s="145" t="s">
        <v>617</v>
      </c>
      <c r="C78" s="148">
        <v>11</v>
      </c>
      <c r="D78" s="351">
        <f t="shared" si="46"/>
        <v>6.8023004143219338E-4</v>
      </c>
      <c r="E78" s="158">
        <v>7</v>
      </c>
      <c r="F78" s="352">
        <f t="shared" si="47"/>
        <v>6.4904960593416782E-4</v>
      </c>
      <c r="G78" s="357">
        <f t="shared" si="44"/>
        <v>4</v>
      </c>
      <c r="H78" s="358">
        <f t="shared" si="45"/>
        <v>0.5714285714285714</v>
      </c>
    </row>
    <row r="79" spans="2:8" ht="18" thickBot="1" x14ac:dyDescent="0.35">
      <c r="B79" s="145" t="s">
        <v>618</v>
      </c>
      <c r="C79" s="148">
        <v>5</v>
      </c>
      <c r="D79" s="351">
        <f t="shared" si="46"/>
        <v>3.0919547337826975E-4</v>
      </c>
      <c r="E79" s="158">
        <v>124.71185999999999</v>
      </c>
      <c r="F79" s="352">
        <f t="shared" si="47"/>
        <v>1.1563454798331015E-2</v>
      </c>
      <c r="G79" s="357">
        <f t="shared" si="44"/>
        <v>-119.71185999999999</v>
      </c>
      <c r="H79" s="358">
        <f t="shared" si="45"/>
        <v>-0.95990758216580208</v>
      </c>
    </row>
    <row r="80" spans="2:8" ht="18" thickBot="1" x14ac:dyDescent="0.35">
      <c r="B80" s="145" t="s">
        <v>619</v>
      </c>
      <c r="C80" s="148">
        <v>10</v>
      </c>
      <c r="D80" s="351">
        <f t="shared" si="46"/>
        <v>6.1839094675653951E-4</v>
      </c>
      <c r="E80" s="158">
        <v>61.582329999999999</v>
      </c>
      <c r="F80" s="352">
        <f t="shared" si="47"/>
        <v>5.709998145572554E-3</v>
      </c>
      <c r="G80" s="357">
        <f t="shared" si="44"/>
        <v>-51.582329999999999</v>
      </c>
      <c r="H80" s="358">
        <f t="shared" si="45"/>
        <v>-0.83761575763697149</v>
      </c>
    </row>
    <row r="81" spans="2:8" ht="18" thickBot="1" x14ac:dyDescent="0.35">
      <c r="B81" s="145" t="s">
        <v>616</v>
      </c>
      <c r="C81" s="148">
        <v>76</v>
      </c>
      <c r="D81" s="351">
        <f t="shared" si="46"/>
        <v>4.6997711953497001E-3</v>
      </c>
      <c r="E81" s="158">
        <v>0</v>
      </c>
      <c r="F81" s="352">
        <f t="shared" si="47"/>
        <v>0</v>
      </c>
      <c r="G81" s="357">
        <f t="shared" si="44"/>
        <v>76</v>
      </c>
      <c r="H81" s="358">
        <v>0</v>
      </c>
    </row>
    <row r="82" spans="2:8" ht="18" thickBot="1" x14ac:dyDescent="0.35">
      <c r="B82" s="145" t="s">
        <v>622</v>
      </c>
      <c r="C82" s="148">
        <v>1166</v>
      </c>
      <c r="D82" s="351">
        <f t="shared" si="46"/>
        <v>7.2104384391812507E-2</v>
      </c>
      <c r="E82" s="158">
        <v>0</v>
      </c>
      <c r="F82" s="352">
        <f t="shared" si="47"/>
        <v>0</v>
      </c>
      <c r="G82" s="357">
        <f t="shared" si="44"/>
        <v>1166</v>
      </c>
      <c r="H82" s="358">
        <v>0</v>
      </c>
    </row>
    <row r="83" spans="2:8" ht="18" thickBot="1" x14ac:dyDescent="0.35">
      <c r="B83" s="145" t="s">
        <v>620</v>
      </c>
      <c r="C83" s="148">
        <v>12.502379999999999</v>
      </c>
      <c r="D83" s="351">
        <f t="shared" si="46"/>
        <v>7.7313586049100234E-4</v>
      </c>
      <c r="E83" s="158">
        <v>15</v>
      </c>
      <c r="F83" s="352">
        <f t="shared" si="47"/>
        <v>1.3908205841446453E-3</v>
      </c>
      <c r="G83" s="357">
        <f t="shared" si="44"/>
        <v>-2.4976200000000013</v>
      </c>
      <c r="H83" s="358">
        <f t="shared" si="45"/>
        <v>-0.16650800000000007</v>
      </c>
    </row>
    <row r="84" spans="2:8" ht="18.5" thickBot="1" x14ac:dyDescent="0.35">
      <c r="B84" s="140" t="s">
        <v>178</v>
      </c>
      <c r="C84" s="148">
        <v>1514</v>
      </c>
      <c r="D84" s="351">
        <f t="shared" si="46"/>
        <v>9.3624389338940073E-2</v>
      </c>
      <c r="E84" s="158">
        <v>1667</v>
      </c>
      <c r="F84" s="352">
        <f t="shared" si="47"/>
        <v>0.15456652758460826</v>
      </c>
      <c r="G84" s="357">
        <f t="shared" si="44"/>
        <v>-153</v>
      </c>
      <c r="H84" s="358">
        <f t="shared" si="45"/>
        <v>-9.1781643671265747E-2</v>
      </c>
    </row>
    <row r="85" spans="2:8" ht="18.5" thickBot="1" x14ac:dyDescent="0.35">
      <c r="B85" s="140" t="s">
        <v>177</v>
      </c>
      <c r="C85" s="144">
        <v>126</v>
      </c>
      <c r="D85" s="355">
        <f t="shared" si="46"/>
        <v>7.7917259291323971E-3</v>
      </c>
      <c r="E85" s="157">
        <v>126</v>
      </c>
      <c r="F85" s="353">
        <f t="shared" si="47"/>
        <v>1.1682892906815021E-2</v>
      </c>
      <c r="G85" s="359">
        <f t="shared" si="44"/>
        <v>0</v>
      </c>
      <c r="H85" s="360">
        <f t="shared" si="45"/>
        <v>0</v>
      </c>
    </row>
    <row r="86" spans="2:8" ht="18.5" thickBot="1" x14ac:dyDescent="0.35">
      <c r="B86" s="140" t="s">
        <v>176</v>
      </c>
      <c r="C86" s="139">
        <v>6387.6945197788591</v>
      </c>
      <c r="D86" s="356">
        <f t="shared" si="46"/>
        <v>0.39500924616776073</v>
      </c>
      <c r="E86" s="137">
        <v>941.87098432439871</v>
      </c>
      <c r="F86" s="354">
        <f t="shared" si="47"/>
        <v>8.7331570173796821E-2</v>
      </c>
      <c r="G86" s="361">
        <f t="shared" si="44"/>
        <v>5445.8235354544604</v>
      </c>
      <c r="H86" s="362">
        <f t="shared" si="45"/>
        <v>5.7819209064612318</v>
      </c>
    </row>
  </sheetData>
  <mergeCells count="3">
    <mergeCell ref="C60:D60"/>
    <mergeCell ref="E60:F60"/>
    <mergeCell ref="G60:H60"/>
  </mergeCells>
  <pageMargins left="0.7" right="0.7" top="0.75" bottom="0.75" header="0.3" footer="0.3"/>
  <ignoredErrors>
    <ignoredError sqref="C46:E46" formulaRange="1"/>
    <ignoredError sqref="M46:N46 F46:L46" formula="1" formulaRange="1"/>
    <ignoredError sqref="G36:N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944F-C254-4F70-BB6C-F0928E844748}">
  <dimension ref="A1:AH238"/>
  <sheetViews>
    <sheetView showGridLines="0" zoomScale="90" zoomScaleNormal="90" workbookViewId="0">
      <pane xSplit="3" ySplit="4" topLeftCell="D32" activePane="bottomRight" state="frozen"/>
      <selection activeCell="O30" sqref="O30"/>
      <selection pane="topRight" activeCell="O30" sqref="O30"/>
      <selection pane="bottomLeft" activeCell="O30" sqref="O30"/>
      <selection pane="bottomRight" activeCell="D45" sqref="D45"/>
    </sheetView>
  </sheetViews>
  <sheetFormatPr baseColWidth="10" defaultColWidth="9.1796875" defaultRowHeight="14.5" outlineLevelRow="1" outlineLevelCol="1" x14ac:dyDescent="0.35"/>
  <cols>
    <col min="1" max="1" width="13" style="234" customWidth="1"/>
    <col min="2" max="2" width="21.81640625" style="282" customWidth="1"/>
    <col min="3" max="3" width="43.54296875" style="234" customWidth="1" collapsed="1"/>
    <col min="4" max="4" width="12.7265625" style="234" customWidth="1" outlineLevel="1"/>
    <col min="5" max="5" width="11.7265625" style="234" customWidth="1" outlineLevel="1"/>
    <col min="6" max="6" width="13" style="234" customWidth="1" outlineLevel="1"/>
    <col min="7" max="7" width="13.54296875" style="234" customWidth="1" outlineLevel="1"/>
    <col min="8" max="13" width="11.7265625" style="234" customWidth="1" outlineLevel="1"/>
    <col min="14" max="14" width="10.81640625" style="234" bestFit="1" customWidth="1" outlineLevel="1"/>
    <col min="15" max="15" width="10.26953125" style="234" bestFit="1" customWidth="1" outlineLevel="1"/>
    <col min="16" max="16" width="11.7265625" style="234" bestFit="1" customWidth="1"/>
    <col min="17" max="17" width="10" style="234" customWidth="1"/>
    <col min="18" max="18" width="10" style="324" bestFit="1" customWidth="1"/>
    <col min="19" max="19" width="10.81640625" style="234" bestFit="1" customWidth="1"/>
    <col min="20" max="21" width="12" style="234" bestFit="1" customWidth="1"/>
    <col min="22" max="22" width="11.26953125" style="234" bestFit="1" customWidth="1"/>
    <col min="23" max="23" width="17.7265625" style="234" customWidth="1"/>
    <col min="24" max="24" width="11" style="234" bestFit="1" customWidth="1"/>
    <col min="25" max="25" width="20.453125" style="234" bestFit="1" customWidth="1"/>
    <col min="26" max="27" width="9.1796875" style="234"/>
    <col min="28" max="28" width="10" style="234" bestFit="1" customWidth="1"/>
    <col min="29" max="16384" width="9.1796875" style="234"/>
  </cols>
  <sheetData>
    <row r="1" spans="1:25" s="190" customFormat="1" ht="13.5" thickBot="1" x14ac:dyDescent="0.4">
      <c r="B1" s="191"/>
      <c r="C1" s="192" t="s">
        <v>0</v>
      </c>
      <c r="D1" s="193" t="s">
        <v>295</v>
      </c>
      <c r="E1" s="194" t="s">
        <v>2</v>
      </c>
      <c r="F1" s="195" t="s">
        <v>3</v>
      </c>
      <c r="G1" s="195"/>
      <c r="H1" s="196"/>
      <c r="I1" s="197"/>
      <c r="R1" s="198"/>
      <c r="V1" s="199">
        <v>3.6799999999999999E-2</v>
      </c>
      <c r="W1" s="200" t="s">
        <v>4</v>
      </c>
      <c r="X1" s="200"/>
      <c r="Y1" s="200"/>
    </row>
    <row r="2" spans="1:25" s="201" customFormat="1" ht="7.5" customHeight="1" x14ac:dyDescent="0.35">
      <c r="C2" s="202"/>
      <c r="D2" s="203">
        <v>0</v>
      </c>
      <c r="E2" s="204">
        <f>+D2+1</f>
        <v>1</v>
      </c>
      <c r="F2" s="204">
        <f t="shared" ref="F2:P2" si="0">+E2+1</f>
        <v>2</v>
      </c>
      <c r="G2" s="204">
        <f t="shared" si="0"/>
        <v>3</v>
      </c>
      <c r="H2" s="205">
        <f t="shared" si="0"/>
        <v>4</v>
      </c>
      <c r="I2" s="206">
        <f t="shared" si="0"/>
        <v>5</v>
      </c>
      <c r="J2" s="206">
        <f t="shared" si="0"/>
        <v>6</v>
      </c>
      <c r="K2" s="206">
        <f t="shared" si="0"/>
        <v>7</v>
      </c>
      <c r="L2" s="206">
        <f t="shared" si="0"/>
        <v>8</v>
      </c>
      <c r="M2" s="206">
        <f t="shared" si="0"/>
        <v>9</v>
      </c>
      <c r="N2" s="206">
        <f t="shared" si="0"/>
        <v>10</v>
      </c>
      <c r="O2" s="206">
        <f t="shared" si="0"/>
        <v>11</v>
      </c>
      <c r="P2" s="207">
        <f t="shared" si="0"/>
        <v>12</v>
      </c>
      <c r="R2" s="208"/>
      <c r="T2" s="209"/>
      <c r="U2" s="209"/>
    </row>
    <row r="3" spans="1:25" s="190" customFormat="1" ht="13" x14ac:dyDescent="0.35">
      <c r="B3" s="191"/>
      <c r="C3" s="210" t="s">
        <v>5</v>
      </c>
      <c r="D3" s="211" t="s">
        <v>6</v>
      </c>
      <c r="E3" s="212" t="s">
        <v>7</v>
      </c>
      <c r="F3" s="211" t="s">
        <v>8</v>
      </c>
      <c r="G3" s="212" t="s">
        <v>9</v>
      </c>
      <c r="H3" s="211" t="s">
        <v>10</v>
      </c>
      <c r="I3" s="212" t="s">
        <v>11</v>
      </c>
      <c r="J3" s="211" t="s">
        <v>12</v>
      </c>
      <c r="K3" s="212" t="s">
        <v>13</v>
      </c>
      <c r="L3" s="211" t="s">
        <v>14</v>
      </c>
      <c r="M3" s="212" t="s">
        <v>15</v>
      </c>
      <c r="N3" s="211" t="s">
        <v>16</v>
      </c>
      <c r="O3" s="212" t="s">
        <v>17</v>
      </c>
      <c r="P3" s="213" t="s">
        <v>18</v>
      </c>
      <c r="R3" s="214" t="s">
        <v>19</v>
      </c>
      <c r="T3" s="213"/>
      <c r="U3" s="213"/>
    </row>
    <row r="4" spans="1:25" s="190" customFormat="1" ht="13" x14ac:dyDescent="0.35">
      <c r="B4" s="191"/>
      <c r="C4" s="215" t="s">
        <v>20</v>
      </c>
      <c r="D4" s="216" t="s">
        <v>21</v>
      </c>
      <c r="E4" s="216" t="s">
        <v>21</v>
      </c>
      <c r="F4" s="216" t="s">
        <v>21</v>
      </c>
      <c r="G4" s="216" t="s">
        <v>21</v>
      </c>
      <c r="H4" s="216" t="s">
        <v>21</v>
      </c>
      <c r="I4" s="216" t="s">
        <v>21</v>
      </c>
      <c r="J4" s="216" t="s">
        <v>21</v>
      </c>
      <c r="K4" s="216" t="s">
        <v>21</v>
      </c>
      <c r="L4" s="216" t="s">
        <v>21</v>
      </c>
      <c r="M4" s="216" t="s">
        <v>21</v>
      </c>
      <c r="N4" s="216" t="s">
        <v>21</v>
      </c>
      <c r="O4" s="216" t="s">
        <v>21</v>
      </c>
      <c r="P4" s="216" t="s">
        <v>21</v>
      </c>
      <c r="Q4" s="217"/>
      <c r="R4" s="218" t="s">
        <v>22</v>
      </c>
      <c r="T4" s="219"/>
      <c r="U4" s="219"/>
    </row>
    <row r="5" spans="1:25" s="190" customFormat="1" ht="5.25" customHeight="1" x14ac:dyDescent="0.35">
      <c r="B5" s="191"/>
      <c r="C5" s="220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7"/>
      <c r="R5" s="221"/>
      <c r="T5" s="212"/>
      <c r="U5" s="212"/>
    </row>
    <row r="6" spans="1:25" s="190" customFormat="1" ht="13.5" thickBot="1" x14ac:dyDescent="0.4">
      <c r="A6" s="222" t="s">
        <v>23</v>
      </c>
      <c r="B6" s="223" t="s">
        <v>24</v>
      </c>
      <c r="C6" s="224" t="s">
        <v>25</v>
      </c>
      <c r="D6" s="224">
        <f t="shared" ref="D6:O6" si="1">$D$238</f>
        <v>85</v>
      </c>
      <c r="E6" s="224">
        <f t="shared" si="1"/>
        <v>85</v>
      </c>
      <c r="F6" s="224">
        <f t="shared" si="1"/>
        <v>85</v>
      </c>
      <c r="G6" s="224">
        <f t="shared" si="1"/>
        <v>85</v>
      </c>
      <c r="H6" s="224">
        <f t="shared" si="1"/>
        <v>85</v>
      </c>
      <c r="I6" s="224">
        <f t="shared" si="1"/>
        <v>85</v>
      </c>
      <c r="J6" s="224">
        <f t="shared" si="1"/>
        <v>85</v>
      </c>
      <c r="K6" s="224">
        <f t="shared" si="1"/>
        <v>85</v>
      </c>
      <c r="L6" s="224">
        <f t="shared" si="1"/>
        <v>85</v>
      </c>
      <c r="M6" s="224">
        <f t="shared" si="1"/>
        <v>85</v>
      </c>
      <c r="N6" s="224">
        <f t="shared" si="1"/>
        <v>85</v>
      </c>
      <c r="O6" s="224">
        <f t="shared" si="1"/>
        <v>85</v>
      </c>
      <c r="P6" s="225">
        <f>+O6</f>
        <v>85</v>
      </c>
      <c r="R6" s="226"/>
      <c r="T6" s="227"/>
      <c r="U6" s="227"/>
    </row>
    <row r="7" spans="1:25" s="190" customFormat="1" ht="5.25" customHeight="1" x14ac:dyDescent="0.35">
      <c r="B7" s="191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R7" s="229"/>
      <c r="T7" s="228"/>
      <c r="U7" s="228"/>
    </row>
    <row r="8" spans="1:25" x14ac:dyDescent="0.35">
      <c r="A8" s="230"/>
      <c r="B8" s="230"/>
      <c r="C8" s="227" t="s">
        <v>26</v>
      </c>
      <c r="D8" s="231">
        <f>+F238</f>
        <v>1250250.0978999999</v>
      </c>
      <c r="E8" s="231">
        <f>+D8</f>
        <v>1250250.0978999999</v>
      </c>
      <c r="F8" s="231">
        <f>+E8</f>
        <v>1250250.0978999999</v>
      </c>
      <c r="G8" s="231">
        <f t="shared" ref="G8:O8" si="2">+$F$238</f>
        <v>1250250.0978999999</v>
      </c>
      <c r="H8" s="231">
        <f t="shared" si="2"/>
        <v>1250250.0978999999</v>
      </c>
      <c r="I8" s="231">
        <f t="shared" si="2"/>
        <v>1250250.0978999999</v>
      </c>
      <c r="J8" s="231">
        <f t="shared" si="2"/>
        <v>1250250.0978999999</v>
      </c>
      <c r="K8" s="231">
        <f t="shared" si="2"/>
        <v>1250250.0978999999</v>
      </c>
      <c r="L8" s="231">
        <f t="shared" si="2"/>
        <v>1250250.0978999999</v>
      </c>
      <c r="M8" s="231">
        <f t="shared" si="2"/>
        <v>1250250.0978999999</v>
      </c>
      <c r="N8" s="231">
        <f t="shared" si="2"/>
        <v>1250250.0978999999</v>
      </c>
      <c r="O8" s="231">
        <f t="shared" si="2"/>
        <v>1250250.0978999999</v>
      </c>
      <c r="P8" s="232">
        <f>+SUM(D8:O8)</f>
        <v>15003001.174799995</v>
      </c>
      <c r="Q8" s="233"/>
      <c r="R8" s="226">
        <f>+IF(P8=0,0,P8/$P$139)</f>
        <v>0.29357683550084029</v>
      </c>
      <c r="T8" s="235"/>
      <c r="U8" s="235"/>
    </row>
    <row r="9" spans="1:25" x14ac:dyDescent="0.35">
      <c r="A9" s="236"/>
      <c r="B9" s="237"/>
      <c r="C9" s="227" t="s">
        <v>27</v>
      </c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28"/>
      <c r="Q9" s="233"/>
      <c r="R9" s="229"/>
      <c r="T9" s="233"/>
      <c r="U9" s="233"/>
    </row>
    <row r="10" spans="1:25" hidden="1" outlineLevel="1" x14ac:dyDescent="0.35">
      <c r="A10" s="230"/>
      <c r="B10" s="230"/>
      <c r="C10" s="238" t="s">
        <v>28</v>
      </c>
      <c r="D10" s="239">
        <f>+$S$238</f>
        <v>0</v>
      </c>
      <c r="E10" s="240">
        <f>+$S$238</f>
        <v>0</v>
      </c>
      <c r="F10" s="240">
        <f>+$S$238</f>
        <v>0</v>
      </c>
      <c r="G10" s="240">
        <f t="shared" ref="G10:O10" si="3">+$S$238*(IPC+1)</f>
        <v>0</v>
      </c>
      <c r="H10" s="240">
        <f t="shared" si="3"/>
        <v>0</v>
      </c>
      <c r="I10" s="240">
        <f t="shared" si="3"/>
        <v>0</v>
      </c>
      <c r="J10" s="240">
        <f t="shared" si="3"/>
        <v>0</v>
      </c>
      <c r="K10" s="240">
        <f t="shared" si="3"/>
        <v>0</v>
      </c>
      <c r="L10" s="240">
        <f t="shared" si="3"/>
        <v>0</v>
      </c>
      <c r="M10" s="240">
        <f t="shared" si="3"/>
        <v>0</v>
      </c>
      <c r="N10" s="240">
        <f t="shared" si="3"/>
        <v>0</v>
      </c>
      <c r="O10" s="240">
        <f t="shared" si="3"/>
        <v>0</v>
      </c>
      <c r="P10" s="241">
        <f t="shared" ref="P10:P30" si="4">+SUM(D10:O10)</f>
        <v>0</v>
      </c>
      <c r="Q10" s="233"/>
      <c r="R10" s="242">
        <f t="shared" ref="R10:R28" si="5">+IF(P10=0,0,P10/$P$139)</f>
        <v>0</v>
      </c>
      <c r="T10" s="243"/>
      <c r="U10" s="243"/>
    </row>
    <row r="11" spans="1:25" hidden="1" outlineLevel="1" x14ac:dyDescent="0.35">
      <c r="A11" s="230"/>
      <c r="B11" s="230"/>
      <c r="C11" s="244" t="s">
        <v>29</v>
      </c>
      <c r="D11" s="245">
        <f>+$O$238</f>
        <v>52093.754079166654</v>
      </c>
      <c r="E11" s="246">
        <f>+$O$238</f>
        <v>52093.754079166654</v>
      </c>
      <c r="F11" s="246">
        <f>+$O$238</f>
        <v>52093.754079166654</v>
      </c>
      <c r="G11" s="246">
        <f t="shared" ref="G11:O11" si="6">+$O$238*(IPC+1)</f>
        <v>54010.804229279987</v>
      </c>
      <c r="H11" s="246">
        <f t="shared" si="6"/>
        <v>54010.804229279987</v>
      </c>
      <c r="I11" s="246">
        <f t="shared" si="6"/>
        <v>54010.804229279987</v>
      </c>
      <c r="J11" s="246">
        <f t="shared" si="6"/>
        <v>54010.804229279987</v>
      </c>
      <c r="K11" s="246">
        <f t="shared" si="6"/>
        <v>54010.804229279987</v>
      </c>
      <c r="L11" s="246">
        <f t="shared" si="6"/>
        <v>54010.804229279987</v>
      </c>
      <c r="M11" s="246">
        <f t="shared" si="6"/>
        <v>54010.804229279987</v>
      </c>
      <c r="N11" s="246">
        <f t="shared" si="6"/>
        <v>54010.804229279987</v>
      </c>
      <c r="O11" s="246">
        <f t="shared" si="6"/>
        <v>54010.804229279987</v>
      </c>
      <c r="P11" s="247">
        <f t="shared" si="4"/>
        <v>642378.50030101987</v>
      </c>
      <c r="Q11" s="248"/>
      <c r="R11" s="249">
        <f t="shared" si="5"/>
        <v>1.2569981506694312E-2</v>
      </c>
      <c r="T11" s="250"/>
      <c r="U11" s="250"/>
    </row>
    <row r="12" spans="1:25" hidden="1" outlineLevel="1" x14ac:dyDescent="0.35">
      <c r="A12" s="230"/>
      <c r="B12" s="230"/>
      <c r="C12" s="244" t="s">
        <v>30</v>
      </c>
      <c r="D12" s="245">
        <v>0</v>
      </c>
      <c r="E12" s="246">
        <v>0</v>
      </c>
      <c r="F12" s="246">
        <f>100000+22300</f>
        <v>122300</v>
      </c>
      <c r="G12" s="246">
        <f t="shared" ref="G12:N12" si="7">100000+22300</f>
        <v>122300</v>
      </c>
      <c r="H12" s="246">
        <f t="shared" si="7"/>
        <v>122300</v>
      </c>
      <c r="I12" s="246">
        <f t="shared" si="7"/>
        <v>122300</v>
      </c>
      <c r="J12" s="246">
        <f t="shared" si="7"/>
        <v>122300</v>
      </c>
      <c r="K12" s="246">
        <f t="shared" si="7"/>
        <v>122300</v>
      </c>
      <c r="L12" s="246">
        <f t="shared" si="7"/>
        <v>122300</v>
      </c>
      <c r="M12" s="246">
        <f t="shared" si="7"/>
        <v>122300</v>
      </c>
      <c r="N12" s="246">
        <f t="shared" si="7"/>
        <v>122300</v>
      </c>
      <c r="O12" s="246">
        <f>100000+22300+131520</f>
        <v>253820</v>
      </c>
      <c r="P12" s="247">
        <f t="shared" si="4"/>
        <v>1354520</v>
      </c>
      <c r="Q12" s="248"/>
      <c r="R12" s="249">
        <f t="shared" si="5"/>
        <v>2.6505076590310893E-2</v>
      </c>
      <c r="T12" s="250"/>
      <c r="U12" s="250"/>
    </row>
    <row r="13" spans="1:25" hidden="1" outlineLevel="1" x14ac:dyDescent="0.35">
      <c r="A13" s="230"/>
      <c r="B13" s="230"/>
      <c r="C13" s="244" t="s">
        <v>31</v>
      </c>
      <c r="D13" s="245">
        <f>+$Q$238</f>
        <v>0</v>
      </c>
      <c r="E13" s="246">
        <f>+$Q$238</f>
        <v>0</v>
      </c>
      <c r="F13" s="246">
        <f>+$Q$238</f>
        <v>0</v>
      </c>
      <c r="G13" s="246">
        <f t="shared" ref="G13:O13" si="8">+$Q$238*(IPC+1)</f>
        <v>0</v>
      </c>
      <c r="H13" s="246">
        <f t="shared" si="8"/>
        <v>0</v>
      </c>
      <c r="I13" s="246">
        <f t="shared" si="8"/>
        <v>0</v>
      </c>
      <c r="J13" s="246">
        <f t="shared" si="8"/>
        <v>0</v>
      </c>
      <c r="K13" s="246">
        <f t="shared" si="8"/>
        <v>0</v>
      </c>
      <c r="L13" s="246">
        <f t="shared" si="8"/>
        <v>0</v>
      </c>
      <c r="M13" s="246">
        <f t="shared" si="8"/>
        <v>0</v>
      </c>
      <c r="N13" s="246">
        <f t="shared" si="8"/>
        <v>0</v>
      </c>
      <c r="O13" s="246">
        <f t="shared" si="8"/>
        <v>0</v>
      </c>
      <c r="P13" s="247">
        <f t="shared" si="4"/>
        <v>0</v>
      </c>
      <c r="Q13" s="233"/>
      <c r="R13" s="249">
        <f t="shared" si="5"/>
        <v>0</v>
      </c>
      <c r="T13" s="251"/>
      <c r="U13" s="251"/>
    </row>
    <row r="14" spans="1:25" hidden="1" outlineLevel="1" x14ac:dyDescent="0.35">
      <c r="A14" s="230"/>
      <c r="B14" s="230"/>
      <c r="C14" s="252" t="s">
        <v>32</v>
      </c>
      <c r="D14" s="245">
        <f>+$L$238</f>
        <v>0</v>
      </c>
      <c r="E14" s="246">
        <f>+$L$238</f>
        <v>0</v>
      </c>
      <c r="F14" s="246">
        <f>+$L$238</f>
        <v>0</v>
      </c>
      <c r="G14" s="246">
        <f t="shared" ref="G14:O14" si="9">+$L$238*(IPC+1)</f>
        <v>0</v>
      </c>
      <c r="H14" s="246">
        <f t="shared" si="9"/>
        <v>0</v>
      </c>
      <c r="I14" s="246">
        <f t="shared" si="9"/>
        <v>0</v>
      </c>
      <c r="J14" s="246">
        <f t="shared" si="9"/>
        <v>0</v>
      </c>
      <c r="K14" s="246">
        <f t="shared" si="9"/>
        <v>0</v>
      </c>
      <c r="L14" s="246">
        <f t="shared" si="9"/>
        <v>0</v>
      </c>
      <c r="M14" s="246">
        <f t="shared" si="9"/>
        <v>0</v>
      </c>
      <c r="N14" s="246">
        <f t="shared" si="9"/>
        <v>0</v>
      </c>
      <c r="O14" s="246">
        <f t="shared" si="9"/>
        <v>0</v>
      </c>
      <c r="P14" s="247">
        <f t="shared" si="4"/>
        <v>0</v>
      </c>
      <c r="Q14" s="233"/>
      <c r="R14" s="249">
        <f t="shared" si="5"/>
        <v>0</v>
      </c>
      <c r="T14" s="251"/>
      <c r="U14" s="251"/>
    </row>
    <row r="15" spans="1:25" hidden="1" outlineLevel="1" x14ac:dyDescent="0.35">
      <c r="A15" s="230"/>
      <c r="B15" s="230"/>
      <c r="C15" s="252" t="s">
        <v>33</v>
      </c>
      <c r="D15" s="245">
        <f>+$I$238</f>
        <v>0</v>
      </c>
      <c r="E15" s="246">
        <f>+$I$238</f>
        <v>0</v>
      </c>
      <c r="F15" s="246">
        <f>+$I$238</f>
        <v>0</v>
      </c>
      <c r="G15" s="246">
        <f t="shared" ref="G15:O15" si="10">+$I$238*(IPC+1)</f>
        <v>0</v>
      </c>
      <c r="H15" s="246">
        <f t="shared" si="10"/>
        <v>0</v>
      </c>
      <c r="I15" s="246">
        <f t="shared" si="10"/>
        <v>0</v>
      </c>
      <c r="J15" s="246">
        <f t="shared" si="10"/>
        <v>0</v>
      </c>
      <c r="K15" s="246">
        <f t="shared" si="10"/>
        <v>0</v>
      </c>
      <c r="L15" s="246">
        <f t="shared" si="10"/>
        <v>0</v>
      </c>
      <c r="M15" s="246">
        <f t="shared" si="10"/>
        <v>0</v>
      </c>
      <c r="N15" s="246">
        <f t="shared" si="10"/>
        <v>0</v>
      </c>
      <c r="O15" s="246">
        <f t="shared" si="10"/>
        <v>0</v>
      </c>
      <c r="P15" s="247">
        <f t="shared" si="4"/>
        <v>0</v>
      </c>
      <c r="Q15" s="233"/>
      <c r="R15" s="249">
        <f t="shared" si="5"/>
        <v>0</v>
      </c>
      <c r="T15" s="251"/>
      <c r="U15" s="251"/>
    </row>
    <row r="16" spans="1:25" hidden="1" outlineLevel="1" x14ac:dyDescent="0.35">
      <c r="A16" s="230"/>
      <c r="B16" s="230"/>
      <c r="C16" s="253" t="s">
        <v>34</v>
      </c>
      <c r="D16" s="246">
        <v>0</v>
      </c>
      <c r="E16" s="246">
        <v>0</v>
      </c>
      <c r="F16" s="246">
        <v>0</v>
      </c>
      <c r="G16" s="246">
        <v>0</v>
      </c>
      <c r="H16" s="246">
        <v>0</v>
      </c>
      <c r="I16" s="246">
        <v>0</v>
      </c>
      <c r="J16" s="246">
        <v>0</v>
      </c>
      <c r="K16" s="246">
        <v>0</v>
      </c>
      <c r="L16" s="246">
        <v>0</v>
      </c>
      <c r="M16" s="246">
        <v>0</v>
      </c>
      <c r="N16" s="246">
        <v>0</v>
      </c>
      <c r="O16" s="246">
        <v>0</v>
      </c>
      <c r="P16" s="247">
        <f t="shared" si="4"/>
        <v>0</v>
      </c>
      <c r="Q16" s="233"/>
      <c r="R16" s="249">
        <f t="shared" si="5"/>
        <v>0</v>
      </c>
      <c r="T16" s="251"/>
      <c r="U16" s="251"/>
    </row>
    <row r="17" spans="1:23" hidden="1" outlineLevel="1" x14ac:dyDescent="0.35">
      <c r="A17" s="230"/>
      <c r="B17" s="230"/>
      <c r="C17" s="253" t="s">
        <v>35</v>
      </c>
      <c r="D17" s="246">
        <v>0</v>
      </c>
      <c r="E17" s="246">
        <v>0</v>
      </c>
      <c r="F17" s="246">
        <v>0</v>
      </c>
      <c r="G17" s="246">
        <v>0</v>
      </c>
      <c r="H17" s="246">
        <v>0</v>
      </c>
      <c r="I17" s="246">
        <v>0</v>
      </c>
      <c r="J17" s="246">
        <v>0</v>
      </c>
      <c r="K17" s="246">
        <v>0</v>
      </c>
      <c r="L17" s="246">
        <v>0</v>
      </c>
      <c r="M17" s="246">
        <v>0</v>
      </c>
      <c r="N17" s="246">
        <v>0</v>
      </c>
      <c r="O17" s="246">
        <v>0</v>
      </c>
      <c r="P17" s="247">
        <f t="shared" si="4"/>
        <v>0</v>
      </c>
      <c r="Q17" s="233"/>
      <c r="R17" s="249">
        <f t="shared" si="5"/>
        <v>0</v>
      </c>
      <c r="T17" s="251"/>
      <c r="U17" s="251"/>
    </row>
    <row r="18" spans="1:23" hidden="1" outlineLevel="1" x14ac:dyDescent="0.35">
      <c r="A18" s="230"/>
      <c r="B18" s="230"/>
      <c r="C18" s="253" t="s">
        <v>36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>
        <v>0</v>
      </c>
      <c r="J18" s="246">
        <v>0</v>
      </c>
      <c r="K18" s="246">
        <v>0</v>
      </c>
      <c r="L18" s="246">
        <v>0</v>
      </c>
      <c r="M18" s="246">
        <v>0</v>
      </c>
      <c r="N18" s="246">
        <v>0</v>
      </c>
      <c r="O18" s="246">
        <v>0</v>
      </c>
      <c r="P18" s="247">
        <f t="shared" si="4"/>
        <v>0</v>
      </c>
      <c r="Q18" s="233"/>
      <c r="R18" s="249">
        <f t="shared" si="5"/>
        <v>0</v>
      </c>
      <c r="T18" s="251"/>
      <c r="U18" s="251"/>
    </row>
    <row r="19" spans="1:23" hidden="1" outlineLevel="1" x14ac:dyDescent="0.35">
      <c r="A19" s="230"/>
      <c r="B19" s="230"/>
      <c r="C19" s="244" t="s">
        <v>37</v>
      </c>
      <c r="D19" s="245">
        <f>+$R$238</f>
        <v>10418.750815833333</v>
      </c>
      <c r="E19" s="246">
        <f t="shared" ref="E19:O19" si="11">+$R$238</f>
        <v>10418.750815833333</v>
      </c>
      <c r="F19" s="246">
        <f t="shared" si="11"/>
        <v>10418.750815833333</v>
      </c>
      <c r="G19" s="246">
        <f t="shared" si="11"/>
        <v>10418.750815833333</v>
      </c>
      <c r="H19" s="246">
        <f t="shared" si="11"/>
        <v>10418.750815833333</v>
      </c>
      <c r="I19" s="246">
        <f t="shared" si="11"/>
        <v>10418.750815833333</v>
      </c>
      <c r="J19" s="246">
        <f t="shared" si="11"/>
        <v>10418.750815833333</v>
      </c>
      <c r="K19" s="246">
        <f t="shared" si="11"/>
        <v>10418.750815833333</v>
      </c>
      <c r="L19" s="246">
        <f t="shared" si="11"/>
        <v>10418.750815833333</v>
      </c>
      <c r="M19" s="246">
        <f t="shared" si="11"/>
        <v>10418.750815833333</v>
      </c>
      <c r="N19" s="246">
        <f t="shared" si="11"/>
        <v>10418.750815833333</v>
      </c>
      <c r="O19" s="246">
        <f t="shared" si="11"/>
        <v>10418.750815833333</v>
      </c>
      <c r="P19" s="247">
        <f t="shared" si="4"/>
        <v>125025.00979000003</v>
      </c>
      <c r="Q19" s="233"/>
      <c r="R19" s="249">
        <f t="shared" si="5"/>
        <v>2.44647362917367E-3</v>
      </c>
      <c r="T19" s="250"/>
      <c r="U19" s="250"/>
      <c r="W19" s="234">
        <f>+O19*(IPC+1)</f>
        <v>10802.160845855999</v>
      </c>
    </row>
    <row r="20" spans="1:23" hidden="1" outlineLevel="1" x14ac:dyDescent="0.35">
      <c r="A20" s="230"/>
      <c r="B20" s="230"/>
      <c r="C20" s="252" t="s">
        <v>38</v>
      </c>
      <c r="D20" s="246">
        <v>0</v>
      </c>
      <c r="E20" s="246">
        <v>0</v>
      </c>
      <c r="F20" s="246">
        <v>0</v>
      </c>
      <c r="G20" s="246">
        <v>0</v>
      </c>
      <c r="H20" s="246">
        <v>0</v>
      </c>
      <c r="I20" s="246">
        <v>0</v>
      </c>
      <c r="J20" s="246">
        <v>0</v>
      </c>
      <c r="K20" s="246">
        <v>0</v>
      </c>
      <c r="L20" s="246">
        <v>0</v>
      </c>
      <c r="M20" s="246">
        <v>0</v>
      </c>
      <c r="N20" s="246">
        <v>0</v>
      </c>
      <c r="O20" s="246">
        <v>0</v>
      </c>
      <c r="P20" s="247">
        <f t="shared" si="4"/>
        <v>0</v>
      </c>
      <c r="Q20" s="233"/>
      <c r="R20" s="249">
        <f t="shared" si="5"/>
        <v>0</v>
      </c>
      <c r="T20" s="250"/>
      <c r="U20" s="250"/>
    </row>
    <row r="21" spans="1:23" hidden="1" outlineLevel="1" x14ac:dyDescent="0.35">
      <c r="A21" s="230"/>
      <c r="B21" s="230"/>
      <c r="C21" s="252" t="s">
        <v>39</v>
      </c>
      <c r="D21" s="246">
        <v>0</v>
      </c>
      <c r="E21" s="246">
        <v>0</v>
      </c>
      <c r="F21" s="246">
        <v>0</v>
      </c>
      <c r="G21" s="246">
        <v>0</v>
      </c>
      <c r="H21" s="246">
        <v>0</v>
      </c>
      <c r="I21" s="246">
        <v>0</v>
      </c>
      <c r="J21" s="246">
        <v>0</v>
      </c>
      <c r="K21" s="246">
        <v>0</v>
      </c>
      <c r="L21" s="246">
        <v>0</v>
      </c>
      <c r="M21" s="246">
        <v>0</v>
      </c>
      <c r="N21" s="246">
        <v>0</v>
      </c>
      <c r="O21" s="246">
        <v>0</v>
      </c>
      <c r="P21" s="247">
        <f t="shared" si="4"/>
        <v>0</v>
      </c>
      <c r="Q21" s="233"/>
      <c r="R21" s="249">
        <f t="shared" si="5"/>
        <v>0</v>
      </c>
      <c r="T21" s="250"/>
      <c r="U21" s="250"/>
    </row>
    <row r="22" spans="1:23" hidden="1" outlineLevel="1" x14ac:dyDescent="0.35">
      <c r="A22" s="230"/>
      <c r="B22" s="230"/>
      <c r="C22" s="244" t="s">
        <v>40</v>
      </c>
      <c r="D22" s="245">
        <f t="shared" ref="D22:O22" si="12">+$P$238</f>
        <v>0</v>
      </c>
      <c r="E22" s="246">
        <f t="shared" si="12"/>
        <v>0</v>
      </c>
      <c r="F22" s="246">
        <f t="shared" si="12"/>
        <v>0</v>
      </c>
      <c r="G22" s="246">
        <f t="shared" si="12"/>
        <v>0</v>
      </c>
      <c r="H22" s="246">
        <f t="shared" si="12"/>
        <v>0</v>
      </c>
      <c r="I22" s="246">
        <f t="shared" si="12"/>
        <v>0</v>
      </c>
      <c r="J22" s="246">
        <f t="shared" si="12"/>
        <v>0</v>
      </c>
      <c r="K22" s="246">
        <f t="shared" si="12"/>
        <v>0</v>
      </c>
      <c r="L22" s="246">
        <f t="shared" si="12"/>
        <v>0</v>
      </c>
      <c r="M22" s="246">
        <f t="shared" si="12"/>
        <v>0</v>
      </c>
      <c r="N22" s="246">
        <f t="shared" si="12"/>
        <v>0</v>
      </c>
      <c r="O22" s="246">
        <f t="shared" si="12"/>
        <v>0</v>
      </c>
      <c r="P22" s="247">
        <f t="shared" si="4"/>
        <v>0</v>
      </c>
      <c r="Q22" s="233"/>
      <c r="R22" s="249">
        <f t="shared" si="5"/>
        <v>0</v>
      </c>
      <c r="T22" s="250"/>
      <c r="U22" s="250"/>
    </row>
    <row r="23" spans="1:23" hidden="1" outlineLevel="1" x14ac:dyDescent="0.35">
      <c r="A23" s="230"/>
      <c r="B23" s="230"/>
      <c r="C23" s="252" t="s">
        <v>41</v>
      </c>
      <c r="D23" s="246">
        <v>0</v>
      </c>
      <c r="E23" s="246">
        <v>0</v>
      </c>
      <c r="F23" s="246">
        <v>0</v>
      </c>
      <c r="G23" s="246">
        <v>0</v>
      </c>
      <c r="H23" s="246">
        <v>0</v>
      </c>
      <c r="I23" s="246">
        <v>0</v>
      </c>
      <c r="J23" s="246">
        <v>0</v>
      </c>
      <c r="K23" s="246">
        <v>0</v>
      </c>
      <c r="L23" s="246">
        <v>0</v>
      </c>
      <c r="M23" s="246">
        <v>0</v>
      </c>
      <c r="N23" s="246">
        <v>0</v>
      </c>
      <c r="O23" s="246">
        <v>0</v>
      </c>
      <c r="P23" s="247">
        <f t="shared" si="4"/>
        <v>0</v>
      </c>
      <c r="Q23" s="233"/>
      <c r="R23" s="249">
        <f t="shared" si="5"/>
        <v>0</v>
      </c>
      <c r="T23" s="251"/>
      <c r="U23" s="251"/>
    </row>
    <row r="24" spans="1:23" hidden="1" outlineLevel="1" x14ac:dyDescent="0.35">
      <c r="A24" s="230"/>
      <c r="B24" s="230"/>
      <c r="C24" s="252" t="s">
        <v>42</v>
      </c>
      <c r="D24" s="245">
        <f>+$J$238</f>
        <v>0</v>
      </c>
      <c r="E24" s="246">
        <f>+$J$238</f>
        <v>0</v>
      </c>
      <c r="F24" s="246">
        <f>+$J$238</f>
        <v>0</v>
      </c>
      <c r="G24" s="246">
        <f t="shared" ref="G24:O24" si="13">+$J$238*(IPC+1)</f>
        <v>0</v>
      </c>
      <c r="H24" s="246">
        <f t="shared" si="13"/>
        <v>0</v>
      </c>
      <c r="I24" s="246">
        <f t="shared" si="13"/>
        <v>0</v>
      </c>
      <c r="J24" s="246">
        <f t="shared" si="13"/>
        <v>0</v>
      </c>
      <c r="K24" s="246">
        <f t="shared" si="13"/>
        <v>0</v>
      </c>
      <c r="L24" s="246">
        <f t="shared" si="13"/>
        <v>0</v>
      </c>
      <c r="M24" s="246">
        <f t="shared" si="13"/>
        <v>0</v>
      </c>
      <c r="N24" s="246">
        <f t="shared" si="13"/>
        <v>0</v>
      </c>
      <c r="O24" s="246">
        <f t="shared" si="13"/>
        <v>0</v>
      </c>
      <c r="P24" s="247">
        <f t="shared" si="4"/>
        <v>0</v>
      </c>
      <c r="Q24" s="233"/>
      <c r="R24" s="249">
        <f t="shared" si="5"/>
        <v>0</v>
      </c>
      <c r="T24" s="251"/>
      <c r="U24" s="251"/>
    </row>
    <row r="25" spans="1:23" hidden="1" outlineLevel="1" x14ac:dyDescent="0.35">
      <c r="A25" s="230"/>
      <c r="B25" s="230"/>
      <c r="C25" s="252" t="s">
        <v>43</v>
      </c>
      <c r="D25" s="245">
        <f>+$M$238</f>
        <v>0</v>
      </c>
      <c r="E25" s="246">
        <f>+$M$238</f>
        <v>0</v>
      </c>
      <c r="F25" s="246">
        <f>+$M$238</f>
        <v>0</v>
      </c>
      <c r="G25" s="246">
        <f t="shared" ref="G25:O25" si="14">+$M$238*(IPC+1)</f>
        <v>0</v>
      </c>
      <c r="H25" s="246">
        <f t="shared" si="14"/>
        <v>0</v>
      </c>
      <c r="I25" s="246">
        <f t="shared" si="14"/>
        <v>0</v>
      </c>
      <c r="J25" s="246">
        <f t="shared" si="14"/>
        <v>0</v>
      </c>
      <c r="K25" s="246">
        <f t="shared" si="14"/>
        <v>0</v>
      </c>
      <c r="L25" s="246">
        <f t="shared" si="14"/>
        <v>0</v>
      </c>
      <c r="M25" s="246">
        <f t="shared" si="14"/>
        <v>0</v>
      </c>
      <c r="N25" s="246">
        <f t="shared" si="14"/>
        <v>0</v>
      </c>
      <c r="O25" s="246">
        <f t="shared" si="14"/>
        <v>0</v>
      </c>
      <c r="P25" s="247">
        <f t="shared" si="4"/>
        <v>0</v>
      </c>
      <c r="Q25" s="233"/>
      <c r="R25" s="249">
        <f t="shared" si="5"/>
        <v>0</v>
      </c>
      <c r="T25" s="251"/>
      <c r="U25" s="251"/>
    </row>
    <row r="26" spans="1:23" hidden="1" outlineLevel="1" x14ac:dyDescent="0.35">
      <c r="A26" s="230"/>
      <c r="B26" s="230"/>
      <c r="C26" s="244" t="s">
        <v>44</v>
      </c>
      <c r="D26" s="246">
        <v>0</v>
      </c>
      <c r="E26" s="246">
        <v>0</v>
      </c>
      <c r="F26" s="246">
        <v>0</v>
      </c>
      <c r="G26" s="246">
        <v>0</v>
      </c>
      <c r="H26" s="246">
        <v>0</v>
      </c>
      <c r="I26" s="246">
        <v>0</v>
      </c>
      <c r="J26" s="246">
        <v>0</v>
      </c>
      <c r="K26" s="246">
        <v>0</v>
      </c>
      <c r="L26" s="246">
        <v>0</v>
      </c>
      <c r="M26" s="246">
        <v>0</v>
      </c>
      <c r="N26" s="246">
        <v>0</v>
      </c>
      <c r="O26" s="246">
        <v>0</v>
      </c>
      <c r="P26" s="247">
        <f t="shared" si="4"/>
        <v>0</v>
      </c>
      <c r="Q26" s="233"/>
      <c r="R26" s="249">
        <f t="shared" si="5"/>
        <v>0</v>
      </c>
      <c r="T26" s="251"/>
      <c r="U26" s="251"/>
    </row>
    <row r="27" spans="1:23" hidden="1" outlineLevel="1" x14ac:dyDescent="0.35">
      <c r="A27" s="230"/>
      <c r="B27" s="230"/>
      <c r="C27" s="252" t="s">
        <v>45</v>
      </c>
      <c r="D27" s="245">
        <f>+$K$238</f>
        <v>0</v>
      </c>
      <c r="E27" s="246">
        <f>+$K$238</f>
        <v>0</v>
      </c>
      <c r="F27" s="246">
        <f>+$K$238</f>
        <v>0</v>
      </c>
      <c r="G27" s="246">
        <f t="shared" ref="G27:O27" si="15">+$K$238*(IPC+1)</f>
        <v>0</v>
      </c>
      <c r="H27" s="246">
        <f t="shared" si="15"/>
        <v>0</v>
      </c>
      <c r="I27" s="246">
        <f t="shared" si="15"/>
        <v>0</v>
      </c>
      <c r="J27" s="246">
        <f t="shared" si="15"/>
        <v>0</v>
      </c>
      <c r="K27" s="246">
        <f t="shared" si="15"/>
        <v>0</v>
      </c>
      <c r="L27" s="246">
        <f t="shared" si="15"/>
        <v>0</v>
      </c>
      <c r="M27" s="246">
        <f t="shared" si="15"/>
        <v>0</v>
      </c>
      <c r="N27" s="246">
        <f t="shared" si="15"/>
        <v>0</v>
      </c>
      <c r="O27" s="246">
        <f t="shared" si="15"/>
        <v>0</v>
      </c>
      <c r="P27" s="247">
        <f t="shared" si="4"/>
        <v>0</v>
      </c>
      <c r="Q27" s="233"/>
      <c r="R27" s="249">
        <f t="shared" si="5"/>
        <v>0</v>
      </c>
      <c r="T27" s="251"/>
      <c r="U27" s="251"/>
    </row>
    <row r="28" spans="1:23" hidden="1" outlineLevel="1" x14ac:dyDescent="0.35">
      <c r="A28" s="230"/>
      <c r="B28" s="230"/>
      <c r="C28" s="252" t="s">
        <v>46</v>
      </c>
      <c r="D28" s="245">
        <f>+$H$238</f>
        <v>0</v>
      </c>
      <c r="E28" s="246">
        <f>+$H$238</f>
        <v>0</v>
      </c>
      <c r="F28" s="246">
        <f>+$H$238</f>
        <v>0</v>
      </c>
      <c r="G28" s="246">
        <f t="shared" ref="G28:O28" si="16">+$H$238*(IPC+1)</f>
        <v>0</v>
      </c>
      <c r="H28" s="246">
        <f t="shared" si="16"/>
        <v>0</v>
      </c>
      <c r="I28" s="246">
        <f t="shared" si="16"/>
        <v>0</v>
      </c>
      <c r="J28" s="246">
        <f t="shared" si="16"/>
        <v>0</v>
      </c>
      <c r="K28" s="246">
        <f t="shared" si="16"/>
        <v>0</v>
      </c>
      <c r="L28" s="246">
        <f t="shared" si="16"/>
        <v>0</v>
      </c>
      <c r="M28" s="246">
        <f t="shared" si="16"/>
        <v>0</v>
      </c>
      <c r="N28" s="246">
        <f t="shared" si="16"/>
        <v>0</v>
      </c>
      <c r="O28" s="246">
        <f t="shared" si="16"/>
        <v>0</v>
      </c>
      <c r="P28" s="247">
        <f t="shared" si="4"/>
        <v>0</v>
      </c>
      <c r="Q28" s="233"/>
      <c r="R28" s="254">
        <f t="shared" si="5"/>
        <v>0</v>
      </c>
      <c r="T28" s="250"/>
      <c r="U28" s="250"/>
    </row>
    <row r="29" spans="1:23" hidden="1" outlineLevel="1" x14ac:dyDescent="0.35">
      <c r="A29" s="230"/>
      <c r="B29" s="230"/>
      <c r="C29" s="252" t="s">
        <v>47</v>
      </c>
      <c r="D29" s="246">
        <v>0</v>
      </c>
      <c r="E29" s="246">
        <v>0</v>
      </c>
      <c r="F29" s="246">
        <v>0</v>
      </c>
      <c r="G29" s="246">
        <v>0</v>
      </c>
      <c r="H29" s="246">
        <v>0</v>
      </c>
      <c r="I29" s="246">
        <v>0</v>
      </c>
      <c r="J29" s="246">
        <v>0</v>
      </c>
      <c r="K29" s="246">
        <v>0</v>
      </c>
      <c r="L29" s="246">
        <v>0</v>
      </c>
      <c r="M29" s="246">
        <v>0</v>
      </c>
      <c r="N29" s="246">
        <v>0</v>
      </c>
      <c r="O29" s="246">
        <v>0</v>
      </c>
      <c r="P29" s="247">
        <f t="shared" si="4"/>
        <v>0</v>
      </c>
      <c r="Q29" s="233"/>
      <c r="R29" s="254"/>
      <c r="T29" s="250"/>
      <c r="U29" s="250"/>
    </row>
    <row r="30" spans="1:23" hidden="1" outlineLevel="1" x14ac:dyDescent="0.35">
      <c r="A30" s="230"/>
      <c r="B30" s="230"/>
      <c r="C30" s="255" t="s">
        <v>48</v>
      </c>
      <c r="D30" s="256">
        <v>0</v>
      </c>
      <c r="E30" s="257">
        <v>0</v>
      </c>
      <c r="F30" s="257">
        <v>0</v>
      </c>
      <c r="G30" s="257">
        <v>0</v>
      </c>
      <c r="H30" s="257">
        <v>0</v>
      </c>
      <c r="I30" s="257">
        <v>0</v>
      </c>
      <c r="J30" s="257">
        <v>0</v>
      </c>
      <c r="K30" s="257">
        <v>0</v>
      </c>
      <c r="L30" s="257">
        <v>0</v>
      </c>
      <c r="M30" s="257">
        <v>0</v>
      </c>
      <c r="N30" s="257">
        <v>0</v>
      </c>
      <c r="O30" s="257">
        <v>0</v>
      </c>
      <c r="P30" s="258">
        <f t="shared" si="4"/>
        <v>0</v>
      </c>
      <c r="Q30" s="233"/>
      <c r="R30" s="254"/>
      <c r="T30" s="247"/>
      <c r="U30" s="247"/>
    </row>
    <row r="31" spans="1:23" s="217" customFormat="1" ht="13" collapsed="1" x14ac:dyDescent="0.35">
      <c r="A31" s="259"/>
      <c r="B31" s="260"/>
      <c r="C31" s="235" t="s">
        <v>49</v>
      </c>
      <c r="D31" s="261">
        <f>SUM(D8:D30)-D22</f>
        <v>1312762.6027949997</v>
      </c>
      <c r="E31" s="231">
        <f t="shared" ref="E31:P31" si="17">SUM(E8:E30)-E22</f>
        <v>1312762.6027949997</v>
      </c>
      <c r="F31" s="231">
        <f t="shared" si="17"/>
        <v>1435062.6027949997</v>
      </c>
      <c r="G31" s="231">
        <f t="shared" si="17"/>
        <v>1436979.6529451131</v>
      </c>
      <c r="H31" s="231">
        <f t="shared" si="17"/>
        <v>1436979.6529451131</v>
      </c>
      <c r="I31" s="231">
        <f t="shared" si="17"/>
        <v>1436979.6529451131</v>
      </c>
      <c r="J31" s="231">
        <f t="shared" si="17"/>
        <v>1436979.6529451131</v>
      </c>
      <c r="K31" s="231">
        <f t="shared" si="17"/>
        <v>1436979.6529451131</v>
      </c>
      <c r="L31" s="231">
        <f t="shared" si="17"/>
        <v>1436979.6529451131</v>
      </c>
      <c r="M31" s="231">
        <f t="shared" si="17"/>
        <v>1436979.6529451131</v>
      </c>
      <c r="N31" s="231">
        <f t="shared" si="17"/>
        <v>1436979.6529451131</v>
      </c>
      <c r="O31" s="231">
        <f t="shared" si="17"/>
        <v>1568499.6529451131</v>
      </c>
      <c r="P31" s="231">
        <f t="shared" si="17"/>
        <v>17124924.684891015</v>
      </c>
      <c r="Q31" s="228"/>
      <c r="R31" s="226">
        <f>+IF(P31=0,0,P31/$P$139)</f>
        <v>0.33509836722701913</v>
      </c>
      <c r="T31" s="232"/>
      <c r="U31" s="232"/>
    </row>
    <row r="32" spans="1:23" x14ac:dyDescent="0.35">
      <c r="A32" s="236"/>
      <c r="B32" s="237"/>
      <c r="C32" s="262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63"/>
      <c r="Q32" s="233"/>
      <c r="R32" s="229"/>
      <c r="T32" s="233"/>
      <c r="U32" s="233"/>
    </row>
    <row r="33" spans="1:21" x14ac:dyDescent="0.35">
      <c r="A33" s="236"/>
      <c r="B33" s="237"/>
      <c r="C33" s="264" t="s">
        <v>50</v>
      </c>
      <c r="P33" s="217"/>
      <c r="Q33" s="233"/>
      <c r="R33" s="265"/>
    </row>
    <row r="34" spans="1:21" outlineLevel="1" x14ac:dyDescent="0.35">
      <c r="A34" s="230"/>
      <c r="B34" s="230"/>
      <c r="C34" s="238" t="s">
        <v>51</v>
      </c>
      <c r="D34" s="246">
        <v>0</v>
      </c>
      <c r="E34" s="246">
        <v>0</v>
      </c>
      <c r="F34" s="246">
        <v>0</v>
      </c>
      <c r="G34" s="246">
        <v>0</v>
      </c>
      <c r="H34" s="246">
        <v>0</v>
      </c>
      <c r="I34" s="246">
        <v>0</v>
      </c>
      <c r="J34" s="246">
        <v>0</v>
      </c>
      <c r="K34" s="246">
        <v>0</v>
      </c>
      <c r="L34" s="246">
        <v>0</v>
      </c>
      <c r="M34" s="246">
        <v>0</v>
      </c>
      <c r="N34" s="246">
        <v>0</v>
      </c>
      <c r="O34" s="246">
        <v>0</v>
      </c>
      <c r="P34" s="240">
        <f t="shared" ref="P34:P42" si="18">+SUM(D34:O34)</f>
        <v>0</v>
      </c>
      <c r="Q34" s="233"/>
      <c r="R34" s="242">
        <f t="shared" ref="R34:R43" si="19">+IF(P34=0,0,P34/$P$139)</f>
        <v>0</v>
      </c>
      <c r="T34" s="243"/>
      <c r="U34" s="243"/>
    </row>
    <row r="35" spans="1:21" outlineLevel="1" x14ac:dyDescent="0.35">
      <c r="A35" s="230"/>
      <c r="B35" s="230"/>
      <c r="C35" s="252" t="s">
        <v>52</v>
      </c>
      <c r="D35" s="246">
        <v>0</v>
      </c>
      <c r="E35" s="246">
        <v>0</v>
      </c>
      <c r="F35" s="246">
        <v>0</v>
      </c>
      <c r="G35" s="246">
        <v>0</v>
      </c>
      <c r="H35" s="246">
        <v>0</v>
      </c>
      <c r="I35" s="246">
        <v>0</v>
      </c>
      <c r="J35" s="246">
        <v>0</v>
      </c>
      <c r="K35" s="246">
        <v>0</v>
      </c>
      <c r="L35" s="246">
        <v>0</v>
      </c>
      <c r="M35" s="246">
        <v>0</v>
      </c>
      <c r="N35" s="246">
        <v>0</v>
      </c>
      <c r="O35" s="246">
        <v>0</v>
      </c>
      <c r="P35" s="247">
        <f t="shared" si="18"/>
        <v>0</v>
      </c>
      <c r="Q35" s="233"/>
      <c r="R35" s="249">
        <f t="shared" si="19"/>
        <v>0</v>
      </c>
      <c r="T35" s="250"/>
      <c r="U35" s="250"/>
    </row>
    <row r="36" spans="1:21" outlineLevel="1" x14ac:dyDescent="0.35">
      <c r="A36" s="230"/>
      <c r="B36" s="230"/>
      <c r="C36" s="252" t="s">
        <v>53</v>
      </c>
      <c r="D36" s="246">
        <v>0</v>
      </c>
      <c r="E36" s="246">
        <v>0</v>
      </c>
      <c r="F36" s="246">
        <v>0</v>
      </c>
      <c r="G36" s="246">
        <v>0</v>
      </c>
      <c r="H36" s="246">
        <v>0</v>
      </c>
      <c r="I36" s="246">
        <v>0</v>
      </c>
      <c r="J36" s="246">
        <v>0</v>
      </c>
      <c r="K36" s="246">
        <v>0</v>
      </c>
      <c r="L36" s="246">
        <v>0</v>
      </c>
      <c r="M36" s="246">
        <v>0</v>
      </c>
      <c r="N36" s="246">
        <v>0</v>
      </c>
      <c r="O36" s="246">
        <v>0</v>
      </c>
      <c r="P36" s="247">
        <f t="shared" si="18"/>
        <v>0</v>
      </c>
      <c r="Q36" s="233"/>
      <c r="R36" s="249">
        <f t="shared" si="19"/>
        <v>0</v>
      </c>
      <c r="T36" s="250"/>
      <c r="U36" s="250"/>
    </row>
    <row r="37" spans="1:21" outlineLevel="1" x14ac:dyDescent="0.35">
      <c r="A37" s="230"/>
      <c r="B37" s="230"/>
      <c r="C37" s="252" t="s">
        <v>54</v>
      </c>
      <c r="D37" s="246">
        <v>0</v>
      </c>
      <c r="E37" s="246">
        <v>0</v>
      </c>
      <c r="F37" s="246">
        <v>0</v>
      </c>
      <c r="G37" s="246">
        <v>0</v>
      </c>
      <c r="H37" s="246">
        <v>0</v>
      </c>
      <c r="I37" s="246">
        <v>0</v>
      </c>
      <c r="J37" s="246">
        <v>0</v>
      </c>
      <c r="K37" s="246">
        <v>0</v>
      </c>
      <c r="L37" s="246">
        <v>0</v>
      </c>
      <c r="M37" s="246">
        <v>0</v>
      </c>
      <c r="N37" s="246">
        <v>0</v>
      </c>
      <c r="O37" s="246">
        <v>0</v>
      </c>
      <c r="P37" s="247">
        <f t="shared" si="18"/>
        <v>0</v>
      </c>
      <c r="Q37" s="233"/>
      <c r="R37" s="249">
        <f t="shared" si="19"/>
        <v>0</v>
      </c>
      <c r="T37" s="250"/>
      <c r="U37" s="250"/>
    </row>
    <row r="38" spans="1:21" outlineLevel="1" x14ac:dyDescent="0.35">
      <c r="A38" s="230"/>
      <c r="B38" s="230"/>
      <c r="C38" s="252" t="s">
        <v>55</v>
      </c>
      <c r="D38" s="246">
        <v>0</v>
      </c>
      <c r="E38" s="246">
        <v>0</v>
      </c>
      <c r="F38" s="246">
        <v>0</v>
      </c>
      <c r="G38" s="246">
        <v>0</v>
      </c>
      <c r="H38" s="246">
        <v>0</v>
      </c>
      <c r="I38" s="246">
        <v>0</v>
      </c>
      <c r="J38" s="246">
        <v>0</v>
      </c>
      <c r="K38" s="246">
        <v>0</v>
      </c>
      <c r="L38" s="246">
        <v>0</v>
      </c>
      <c r="M38" s="246">
        <v>0</v>
      </c>
      <c r="N38" s="246">
        <v>0</v>
      </c>
      <c r="O38" s="246">
        <v>0</v>
      </c>
      <c r="P38" s="247">
        <f t="shared" si="18"/>
        <v>0</v>
      </c>
      <c r="Q38" s="233"/>
      <c r="R38" s="249">
        <f t="shared" si="19"/>
        <v>0</v>
      </c>
      <c r="T38" s="250"/>
      <c r="U38" s="250"/>
    </row>
    <row r="39" spans="1:21" outlineLevel="1" x14ac:dyDescent="0.35">
      <c r="A39" s="230"/>
      <c r="B39" s="230"/>
      <c r="C39" s="252" t="s">
        <v>56</v>
      </c>
      <c r="D39" s="246">
        <v>0</v>
      </c>
      <c r="E39" s="246">
        <v>0</v>
      </c>
      <c r="F39" s="246">
        <v>0</v>
      </c>
      <c r="G39" s="246">
        <v>0</v>
      </c>
      <c r="H39" s="246">
        <v>0</v>
      </c>
      <c r="I39" s="246">
        <v>0</v>
      </c>
      <c r="J39" s="246">
        <v>0</v>
      </c>
      <c r="K39" s="246">
        <v>0</v>
      </c>
      <c r="L39" s="246">
        <v>0</v>
      </c>
      <c r="M39" s="246">
        <v>0</v>
      </c>
      <c r="N39" s="246">
        <v>0</v>
      </c>
      <c r="O39" s="246">
        <v>0</v>
      </c>
      <c r="P39" s="247">
        <f t="shared" si="18"/>
        <v>0</v>
      </c>
      <c r="Q39" s="233"/>
      <c r="R39" s="249">
        <f t="shared" si="19"/>
        <v>0</v>
      </c>
      <c r="T39" s="244"/>
      <c r="U39" s="244"/>
    </row>
    <row r="40" spans="1:21" outlineLevel="1" x14ac:dyDescent="0.35">
      <c r="A40" s="230"/>
      <c r="B40" s="230"/>
      <c r="C40" s="252" t="s">
        <v>57</v>
      </c>
      <c r="D40" s="246">
        <v>0</v>
      </c>
      <c r="E40" s="246">
        <v>0</v>
      </c>
      <c r="F40" s="246">
        <v>0</v>
      </c>
      <c r="G40" s="246">
        <v>0</v>
      </c>
      <c r="H40" s="246">
        <v>0</v>
      </c>
      <c r="I40" s="246">
        <v>0</v>
      </c>
      <c r="J40" s="246">
        <v>0</v>
      </c>
      <c r="K40" s="246">
        <v>0</v>
      </c>
      <c r="L40" s="246">
        <v>0</v>
      </c>
      <c r="M40" s="246">
        <v>0</v>
      </c>
      <c r="N40" s="246">
        <v>0</v>
      </c>
      <c r="O40" s="246">
        <v>0</v>
      </c>
      <c r="P40" s="247">
        <f t="shared" si="18"/>
        <v>0</v>
      </c>
      <c r="Q40" s="233"/>
      <c r="R40" s="249">
        <f t="shared" si="19"/>
        <v>0</v>
      </c>
      <c r="T40" s="244"/>
      <c r="U40" s="244"/>
    </row>
    <row r="41" spans="1:21" outlineLevel="1" x14ac:dyDescent="0.35">
      <c r="A41" s="230"/>
      <c r="B41" s="230"/>
      <c r="C41" s="252" t="s">
        <v>58</v>
      </c>
      <c r="D41" s="246">
        <f>SUM(+D31+D42)*0.16</f>
        <v>220544.11726955997</v>
      </c>
      <c r="E41" s="246">
        <f t="shared" ref="E41:O41" si="20">SUM(+E31+E42)*0.16</f>
        <v>220544.11726955997</v>
      </c>
      <c r="F41" s="246">
        <f t="shared" si="20"/>
        <v>241090.51726955996</v>
      </c>
      <c r="G41" s="246">
        <f t="shared" si="20"/>
        <v>241412.58169477902</v>
      </c>
      <c r="H41" s="246">
        <f t="shared" si="20"/>
        <v>241412.58169477902</v>
      </c>
      <c r="I41" s="246">
        <f t="shared" si="20"/>
        <v>241412.58169477902</v>
      </c>
      <c r="J41" s="246">
        <f t="shared" si="20"/>
        <v>241412.58169477902</v>
      </c>
      <c r="K41" s="246">
        <f t="shared" si="20"/>
        <v>241412.58169477902</v>
      </c>
      <c r="L41" s="246">
        <f t="shared" si="20"/>
        <v>241412.58169477902</v>
      </c>
      <c r="M41" s="246">
        <f t="shared" si="20"/>
        <v>241412.58169477902</v>
      </c>
      <c r="N41" s="246">
        <f t="shared" si="20"/>
        <v>241412.58169477902</v>
      </c>
      <c r="O41" s="246">
        <f t="shared" si="20"/>
        <v>263507.94169477903</v>
      </c>
      <c r="P41" s="247">
        <f t="shared" si="18"/>
        <v>2876987.3470616909</v>
      </c>
      <c r="Q41" s="233"/>
      <c r="R41" s="249">
        <f t="shared" si="19"/>
        <v>5.6296525694139218E-2</v>
      </c>
      <c r="T41" s="266"/>
      <c r="U41" s="266"/>
    </row>
    <row r="42" spans="1:21" outlineLevel="1" x14ac:dyDescent="0.35">
      <c r="A42" s="230"/>
      <c r="B42" s="230"/>
      <c r="C42" s="252" t="s">
        <v>59</v>
      </c>
      <c r="D42" s="246">
        <f t="shared" ref="D42:J42" si="21">+D31*0.05</f>
        <v>65638.130139749992</v>
      </c>
      <c r="E42" s="246">
        <f t="shared" si="21"/>
        <v>65638.130139749992</v>
      </c>
      <c r="F42" s="246">
        <f t="shared" si="21"/>
        <v>71753.130139749992</v>
      </c>
      <c r="G42" s="246">
        <f t="shared" si="21"/>
        <v>71848.98264725566</v>
      </c>
      <c r="H42" s="246">
        <f t="shared" si="21"/>
        <v>71848.98264725566</v>
      </c>
      <c r="I42" s="246">
        <f t="shared" si="21"/>
        <v>71848.98264725566</v>
      </c>
      <c r="J42" s="246">
        <f t="shared" si="21"/>
        <v>71848.98264725566</v>
      </c>
      <c r="K42" s="246">
        <f>+K31*0.05</f>
        <v>71848.98264725566</v>
      </c>
      <c r="L42" s="246">
        <f t="shared" ref="L42:O42" si="22">+L31*0.05</f>
        <v>71848.98264725566</v>
      </c>
      <c r="M42" s="246">
        <f t="shared" si="22"/>
        <v>71848.98264725566</v>
      </c>
      <c r="N42" s="246">
        <f t="shared" si="22"/>
        <v>71848.98264725566</v>
      </c>
      <c r="O42" s="246">
        <f t="shared" si="22"/>
        <v>78424.98264725566</v>
      </c>
      <c r="P42" s="247">
        <f t="shared" si="18"/>
        <v>856246.23424455081</v>
      </c>
      <c r="Q42" s="233"/>
      <c r="R42" s="249">
        <f t="shared" si="19"/>
        <v>1.6754918361350957E-2</v>
      </c>
      <c r="T42" s="266"/>
      <c r="U42" s="266"/>
    </row>
    <row r="43" spans="1:21" s="217" customFormat="1" ht="13" x14ac:dyDescent="0.35">
      <c r="A43" s="259"/>
      <c r="B43" s="260"/>
      <c r="C43" s="243" t="s">
        <v>60</v>
      </c>
      <c r="D43" s="231">
        <f>SUM(D34:D42)</f>
        <v>286182.24740930996</v>
      </c>
      <c r="E43" s="231">
        <f t="shared" ref="E43:O43" si="23">SUM(E34:E42)</f>
        <v>286182.24740930996</v>
      </c>
      <c r="F43" s="231">
        <f t="shared" si="23"/>
        <v>312843.64740930998</v>
      </c>
      <c r="G43" s="231">
        <f t="shared" si="23"/>
        <v>313261.56434203469</v>
      </c>
      <c r="H43" s="231">
        <f t="shared" si="23"/>
        <v>313261.56434203469</v>
      </c>
      <c r="I43" s="231">
        <f t="shared" si="23"/>
        <v>313261.56434203469</v>
      </c>
      <c r="J43" s="231">
        <f t="shared" si="23"/>
        <v>313261.56434203469</v>
      </c>
      <c r="K43" s="231">
        <f t="shared" si="23"/>
        <v>313261.56434203469</v>
      </c>
      <c r="L43" s="231">
        <f t="shared" si="23"/>
        <v>313261.56434203469</v>
      </c>
      <c r="M43" s="231">
        <f t="shared" si="23"/>
        <v>313261.56434203469</v>
      </c>
      <c r="N43" s="231">
        <f t="shared" si="23"/>
        <v>313261.56434203469</v>
      </c>
      <c r="O43" s="231">
        <f t="shared" si="23"/>
        <v>341932.92434203468</v>
      </c>
      <c r="P43" s="232">
        <f>SUM(P34:P42)</f>
        <v>3733233.5813062415</v>
      </c>
      <c r="Q43" s="229"/>
      <c r="R43" s="226">
        <f t="shared" si="19"/>
        <v>7.3051444055490175E-2</v>
      </c>
      <c r="T43" s="232"/>
      <c r="U43" s="232"/>
    </row>
    <row r="44" spans="1:21" ht="9" customHeight="1" x14ac:dyDescent="0.35">
      <c r="A44" s="236"/>
      <c r="B44" s="237"/>
      <c r="C44" s="267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9"/>
      <c r="Q44" s="233"/>
      <c r="R44" s="229"/>
      <c r="T44" s="268"/>
      <c r="U44" s="268"/>
    </row>
    <row r="45" spans="1:21" s="217" customFormat="1" ht="13" x14ac:dyDescent="0.35">
      <c r="A45" s="259"/>
      <c r="B45" s="260"/>
      <c r="C45" s="250" t="s">
        <v>61</v>
      </c>
      <c r="D45" s="257">
        <f t="shared" ref="D45:P45" si="24">+D31+D43</f>
        <v>1598944.8502043097</v>
      </c>
      <c r="E45" s="257">
        <f t="shared" si="24"/>
        <v>1598944.8502043097</v>
      </c>
      <c r="F45" s="257">
        <f t="shared" si="24"/>
        <v>1747906.2502043098</v>
      </c>
      <c r="G45" s="257">
        <f t="shared" si="24"/>
        <v>1750241.2172871479</v>
      </c>
      <c r="H45" s="257">
        <f t="shared" si="24"/>
        <v>1750241.2172871479</v>
      </c>
      <c r="I45" s="257">
        <f t="shared" si="24"/>
        <v>1750241.2172871479</v>
      </c>
      <c r="J45" s="257">
        <f t="shared" si="24"/>
        <v>1750241.2172871479</v>
      </c>
      <c r="K45" s="257">
        <f>+K31+K43</f>
        <v>1750241.2172871479</v>
      </c>
      <c r="L45" s="257">
        <f t="shared" si="24"/>
        <v>1750241.2172871479</v>
      </c>
      <c r="M45" s="257">
        <f t="shared" si="24"/>
        <v>1750241.2172871479</v>
      </c>
      <c r="N45" s="257">
        <f t="shared" si="24"/>
        <v>1750241.2172871479</v>
      </c>
      <c r="O45" s="257">
        <f t="shared" si="24"/>
        <v>1910432.5772871478</v>
      </c>
      <c r="P45" s="258">
        <f t="shared" si="24"/>
        <v>20858158.266197257</v>
      </c>
      <c r="Q45" s="228"/>
      <c r="R45" s="226">
        <f>+IF(P45=0,0,P45/$P$139)</f>
        <v>0.40814981128250932</v>
      </c>
      <c r="T45" s="258"/>
      <c r="U45" s="258"/>
    </row>
    <row r="46" spans="1:21" x14ac:dyDescent="0.35">
      <c r="A46" s="236"/>
      <c r="B46" s="270"/>
      <c r="C46" s="271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63"/>
      <c r="Q46" s="233"/>
      <c r="R46" s="229"/>
      <c r="T46" s="233"/>
      <c r="U46" s="233"/>
    </row>
    <row r="47" spans="1:21" x14ac:dyDescent="0.35">
      <c r="A47" s="230"/>
      <c r="B47" s="230"/>
      <c r="C47" s="272" t="s">
        <v>296</v>
      </c>
      <c r="D47" s="233">
        <v>10000</v>
      </c>
      <c r="E47" s="233">
        <v>10000</v>
      </c>
      <c r="F47" s="233">
        <v>10000</v>
      </c>
      <c r="G47" s="233">
        <v>10000</v>
      </c>
      <c r="H47" s="233">
        <v>10000</v>
      </c>
      <c r="I47" s="233">
        <v>10000</v>
      </c>
      <c r="J47" s="233">
        <v>10000</v>
      </c>
      <c r="K47" s="233">
        <v>10000</v>
      </c>
      <c r="L47" s="233">
        <v>10000</v>
      </c>
      <c r="M47" s="233">
        <v>10000</v>
      </c>
      <c r="N47" s="233">
        <v>10000</v>
      </c>
      <c r="O47" s="233">
        <v>10000</v>
      </c>
      <c r="P47" s="273">
        <f>SUM(D47:O47)</f>
        <v>120000</v>
      </c>
      <c r="Q47" s="233"/>
      <c r="R47" s="229"/>
      <c r="T47" s="233"/>
      <c r="U47" s="233"/>
    </row>
    <row r="48" spans="1:21" s="217" customFormat="1" ht="13" x14ac:dyDescent="0.35">
      <c r="A48" s="230"/>
      <c r="B48" s="230"/>
      <c r="C48" s="250" t="s">
        <v>63</v>
      </c>
      <c r="D48" s="257">
        <f>+D47</f>
        <v>10000</v>
      </c>
      <c r="E48" s="257">
        <f t="shared" ref="E48:P48" si="25">+E47</f>
        <v>10000</v>
      </c>
      <c r="F48" s="257">
        <f t="shared" si="25"/>
        <v>10000</v>
      </c>
      <c r="G48" s="257">
        <f t="shared" si="25"/>
        <v>10000</v>
      </c>
      <c r="H48" s="257">
        <f t="shared" si="25"/>
        <v>10000</v>
      </c>
      <c r="I48" s="257">
        <f t="shared" si="25"/>
        <v>10000</v>
      </c>
      <c r="J48" s="257">
        <f t="shared" si="25"/>
        <v>10000</v>
      </c>
      <c r="K48" s="257">
        <f t="shared" si="25"/>
        <v>10000</v>
      </c>
      <c r="L48" s="257">
        <f t="shared" si="25"/>
        <v>10000</v>
      </c>
      <c r="M48" s="257">
        <f t="shared" si="25"/>
        <v>10000</v>
      </c>
      <c r="N48" s="257">
        <f t="shared" si="25"/>
        <v>10000</v>
      </c>
      <c r="O48" s="257">
        <f t="shared" si="25"/>
        <v>10000</v>
      </c>
      <c r="P48" s="257">
        <f t="shared" si="25"/>
        <v>120000</v>
      </c>
      <c r="Q48" s="228"/>
      <c r="R48" s="226">
        <f>+IF(P48=0,0,P48/$P$139)</f>
        <v>2.3481448711257912E-3</v>
      </c>
      <c r="T48" s="258"/>
      <c r="U48" s="258"/>
    </row>
    <row r="49" spans="1:21" x14ac:dyDescent="0.35">
      <c r="A49" s="230"/>
      <c r="B49" s="230"/>
      <c r="C49" s="272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63"/>
      <c r="Q49" s="233"/>
      <c r="R49" s="229"/>
      <c r="T49" s="233"/>
      <c r="U49" s="233"/>
    </row>
    <row r="50" spans="1:21" x14ac:dyDescent="0.35">
      <c r="A50" s="230"/>
      <c r="B50" s="230"/>
      <c r="C50" s="272" t="s">
        <v>64</v>
      </c>
      <c r="D50" s="233">
        <v>0</v>
      </c>
      <c r="E50" s="233">
        <v>0</v>
      </c>
      <c r="F50" s="233">
        <v>0</v>
      </c>
      <c r="G50" s="233">
        <v>0</v>
      </c>
      <c r="H50" s="233">
        <v>0</v>
      </c>
      <c r="I50" s="233">
        <v>0</v>
      </c>
      <c r="J50" s="233">
        <v>0</v>
      </c>
      <c r="K50" s="233">
        <v>0</v>
      </c>
      <c r="L50" s="233">
        <v>0</v>
      </c>
      <c r="M50" s="233">
        <v>0</v>
      </c>
      <c r="N50" s="233">
        <v>0</v>
      </c>
      <c r="O50" s="233">
        <v>0</v>
      </c>
      <c r="P50" s="273">
        <f>SUM(D50:O50)</f>
        <v>0</v>
      </c>
      <c r="Q50" s="233"/>
      <c r="R50" s="229"/>
      <c r="T50" s="233"/>
      <c r="U50" s="233"/>
    </row>
    <row r="51" spans="1:21" s="217" customFormat="1" ht="13" x14ac:dyDescent="0.35">
      <c r="A51" s="230"/>
      <c r="B51" s="230"/>
      <c r="C51" s="250" t="s">
        <v>65</v>
      </c>
      <c r="D51" s="257">
        <f>+D50</f>
        <v>0</v>
      </c>
      <c r="E51" s="257">
        <f t="shared" ref="E51:P51" si="26">+E50</f>
        <v>0</v>
      </c>
      <c r="F51" s="257">
        <f t="shared" si="26"/>
        <v>0</v>
      </c>
      <c r="G51" s="257">
        <f t="shared" si="26"/>
        <v>0</v>
      </c>
      <c r="H51" s="257">
        <f t="shared" si="26"/>
        <v>0</v>
      </c>
      <c r="I51" s="257">
        <f t="shared" si="26"/>
        <v>0</v>
      </c>
      <c r="J51" s="257">
        <f t="shared" si="26"/>
        <v>0</v>
      </c>
      <c r="K51" s="257">
        <f t="shared" si="26"/>
        <v>0</v>
      </c>
      <c r="L51" s="257">
        <f t="shared" si="26"/>
        <v>0</v>
      </c>
      <c r="M51" s="257">
        <f t="shared" si="26"/>
        <v>0</v>
      </c>
      <c r="N51" s="257">
        <f t="shared" si="26"/>
        <v>0</v>
      </c>
      <c r="O51" s="257">
        <f t="shared" si="26"/>
        <v>0</v>
      </c>
      <c r="P51" s="257">
        <f t="shared" si="26"/>
        <v>0</v>
      </c>
      <c r="Q51" s="228"/>
      <c r="R51" s="226">
        <f>+IF(P51=0,0,P51/$P$139)</f>
        <v>0</v>
      </c>
      <c r="T51" s="258"/>
      <c r="U51" s="258"/>
    </row>
    <row r="52" spans="1:21" x14ac:dyDescent="0.35">
      <c r="A52" s="230"/>
      <c r="B52" s="230"/>
      <c r="C52" s="272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63"/>
      <c r="Q52" s="233"/>
      <c r="R52" s="229"/>
      <c r="T52" s="233"/>
      <c r="U52" s="233"/>
    </row>
    <row r="53" spans="1:21" x14ac:dyDescent="0.35">
      <c r="A53" s="230"/>
      <c r="B53" s="230"/>
      <c r="C53" s="272" t="s">
        <v>252</v>
      </c>
      <c r="D53" s="233">
        <v>0</v>
      </c>
      <c r="E53" s="233">
        <v>0</v>
      </c>
      <c r="F53" s="233">
        <v>200000</v>
      </c>
      <c r="G53" s="233">
        <v>380000</v>
      </c>
      <c r="H53" s="233"/>
      <c r="I53" s="233">
        <v>440000</v>
      </c>
      <c r="J53" s="233">
        <v>0</v>
      </c>
      <c r="K53" s="233">
        <v>0</v>
      </c>
      <c r="L53" s="233">
        <v>440000</v>
      </c>
      <c r="M53" s="233">
        <v>0</v>
      </c>
      <c r="N53" s="233">
        <v>0</v>
      </c>
      <c r="O53" s="233">
        <v>380000</v>
      </c>
      <c r="P53" s="273">
        <f>SUM(D53:O53)</f>
        <v>1840000</v>
      </c>
      <c r="Q53" s="233"/>
      <c r="R53" s="229"/>
      <c r="T53" s="233"/>
      <c r="U53" s="233"/>
    </row>
    <row r="54" spans="1:21" s="217" customFormat="1" ht="13" x14ac:dyDescent="0.35">
      <c r="A54" s="230"/>
      <c r="B54" s="230"/>
      <c r="C54" s="250" t="s">
        <v>67</v>
      </c>
      <c r="D54" s="257">
        <f>+D53</f>
        <v>0</v>
      </c>
      <c r="E54" s="257">
        <f t="shared" ref="E54:P54" si="27">+E53</f>
        <v>0</v>
      </c>
      <c r="F54" s="257">
        <f t="shared" si="27"/>
        <v>200000</v>
      </c>
      <c r="G54" s="257">
        <f t="shared" si="27"/>
        <v>380000</v>
      </c>
      <c r="H54" s="257">
        <f t="shared" si="27"/>
        <v>0</v>
      </c>
      <c r="I54" s="257">
        <f t="shared" si="27"/>
        <v>440000</v>
      </c>
      <c r="J54" s="257">
        <f t="shared" si="27"/>
        <v>0</v>
      </c>
      <c r="K54" s="257">
        <f t="shared" si="27"/>
        <v>0</v>
      </c>
      <c r="L54" s="257">
        <f t="shared" si="27"/>
        <v>440000</v>
      </c>
      <c r="M54" s="257">
        <f t="shared" si="27"/>
        <v>0</v>
      </c>
      <c r="N54" s="257">
        <f t="shared" si="27"/>
        <v>0</v>
      </c>
      <c r="O54" s="257">
        <f t="shared" si="27"/>
        <v>380000</v>
      </c>
      <c r="P54" s="257">
        <f t="shared" si="27"/>
        <v>1840000</v>
      </c>
      <c r="Q54" s="228"/>
      <c r="R54" s="226">
        <f>+IF(P54=0,0,P54/$P$139)</f>
        <v>3.6004888023928802E-2</v>
      </c>
      <c r="T54" s="258"/>
      <c r="U54" s="258"/>
    </row>
    <row r="55" spans="1:21" x14ac:dyDescent="0.35">
      <c r="A55" s="230"/>
      <c r="B55" s="230"/>
      <c r="C55" s="272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63"/>
      <c r="Q55" s="233"/>
      <c r="R55" s="229"/>
      <c r="T55" s="233"/>
      <c r="U55" s="233"/>
    </row>
    <row r="56" spans="1:21" x14ac:dyDescent="0.35">
      <c r="A56" s="230"/>
      <c r="B56" s="230"/>
      <c r="C56" s="272" t="s">
        <v>68</v>
      </c>
      <c r="D56" s="233">
        <v>0</v>
      </c>
      <c r="E56" s="233">
        <v>0</v>
      </c>
      <c r="F56" s="233">
        <v>0</v>
      </c>
      <c r="G56" s="233">
        <v>0</v>
      </c>
      <c r="H56" s="233">
        <v>0</v>
      </c>
      <c r="I56" s="233">
        <v>0</v>
      </c>
      <c r="J56" s="233">
        <v>0</v>
      </c>
      <c r="K56" s="233">
        <v>0</v>
      </c>
      <c r="L56" s="233">
        <v>0</v>
      </c>
      <c r="M56" s="233">
        <v>0</v>
      </c>
      <c r="N56" s="233">
        <v>0</v>
      </c>
      <c r="O56" s="233">
        <v>0</v>
      </c>
      <c r="P56" s="274">
        <f t="shared" ref="P56:P60" si="28">SUM(D56:O56)</f>
        <v>0</v>
      </c>
      <c r="Q56" s="233"/>
      <c r="R56" s="229"/>
      <c r="T56" s="233"/>
      <c r="U56" s="233"/>
    </row>
    <row r="57" spans="1:21" x14ac:dyDescent="0.35">
      <c r="A57" s="230"/>
      <c r="B57" s="230"/>
      <c r="C57" s="272" t="s">
        <v>69</v>
      </c>
      <c r="D57" s="233">
        <v>0</v>
      </c>
      <c r="E57" s="233">
        <v>0</v>
      </c>
      <c r="F57" s="233">
        <v>0</v>
      </c>
      <c r="G57" s="233">
        <v>0</v>
      </c>
      <c r="H57" s="233">
        <v>0</v>
      </c>
      <c r="I57" s="233">
        <v>0</v>
      </c>
      <c r="J57" s="233">
        <v>0</v>
      </c>
      <c r="K57" s="233">
        <v>0</v>
      </c>
      <c r="L57" s="233">
        <v>0</v>
      </c>
      <c r="M57" s="233">
        <v>0</v>
      </c>
      <c r="N57" s="233">
        <v>0</v>
      </c>
      <c r="O57" s="233">
        <v>0</v>
      </c>
      <c r="P57" s="273">
        <f t="shared" si="28"/>
        <v>0</v>
      </c>
      <c r="Q57" s="233"/>
      <c r="R57" s="229"/>
      <c r="T57" s="233"/>
      <c r="U57" s="233"/>
    </row>
    <row r="58" spans="1:21" x14ac:dyDescent="0.35">
      <c r="A58" s="230"/>
      <c r="B58" s="230"/>
      <c r="C58" s="272" t="s">
        <v>70</v>
      </c>
      <c r="D58" s="233">
        <v>0</v>
      </c>
      <c r="E58" s="233">
        <v>0</v>
      </c>
      <c r="F58" s="233">
        <v>0</v>
      </c>
      <c r="G58" s="233">
        <v>0</v>
      </c>
      <c r="H58" s="233">
        <v>0</v>
      </c>
      <c r="I58" s="233">
        <v>0</v>
      </c>
      <c r="J58" s="233">
        <v>0</v>
      </c>
      <c r="K58" s="233">
        <v>0</v>
      </c>
      <c r="L58" s="233">
        <v>0</v>
      </c>
      <c r="M58" s="233">
        <v>0</v>
      </c>
      <c r="N58" s="233">
        <v>0</v>
      </c>
      <c r="O58" s="233">
        <v>0</v>
      </c>
      <c r="P58" s="273">
        <f t="shared" si="28"/>
        <v>0</v>
      </c>
      <c r="Q58" s="233"/>
      <c r="R58" s="229"/>
      <c r="T58" s="233"/>
      <c r="U58" s="233"/>
    </row>
    <row r="59" spans="1:21" x14ac:dyDescent="0.35">
      <c r="A59" s="230"/>
      <c r="B59" s="230"/>
      <c r="C59" s="272" t="s">
        <v>71</v>
      </c>
      <c r="D59" s="233">
        <v>0</v>
      </c>
      <c r="E59" s="233">
        <v>0</v>
      </c>
      <c r="F59" s="233">
        <v>0</v>
      </c>
      <c r="G59" s="233">
        <v>0</v>
      </c>
      <c r="H59" s="233">
        <v>0</v>
      </c>
      <c r="I59" s="233">
        <v>0</v>
      </c>
      <c r="J59" s="233">
        <v>0</v>
      </c>
      <c r="K59" s="233">
        <v>0</v>
      </c>
      <c r="L59" s="233">
        <v>0</v>
      </c>
      <c r="M59" s="233">
        <v>0</v>
      </c>
      <c r="N59" s="233">
        <v>0</v>
      </c>
      <c r="O59" s="233">
        <v>0</v>
      </c>
      <c r="P59" s="273">
        <f t="shared" si="28"/>
        <v>0</v>
      </c>
      <c r="Q59" s="233"/>
      <c r="R59" s="229"/>
      <c r="T59" s="233"/>
      <c r="U59" s="233"/>
    </row>
    <row r="60" spans="1:21" x14ac:dyDescent="0.35">
      <c r="A60" s="230"/>
      <c r="B60" s="230"/>
      <c r="C60" s="272" t="s">
        <v>72</v>
      </c>
      <c r="D60" s="233">
        <v>0</v>
      </c>
      <c r="E60" s="233">
        <v>0</v>
      </c>
      <c r="F60" s="233">
        <v>0</v>
      </c>
      <c r="G60" s="233">
        <v>0</v>
      </c>
      <c r="H60" s="233">
        <v>0</v>
      </c>
      <c r="I60" s="233">
        <v>0</v>
      </c>
      <c r="J60" s="233">
        <v>0</v>
      </c>
      <c r="K60" s="233">
        <v>0</v>
      </c>
      <c r="L60" s="233">
        <v>0</v>
      </c>
      <c r="M60" s="233">
        <v>0</v>
      </c>
      <c r="N60" s="233">
        <v>0</v>
      </c>
      <c r="O60" s="233">
        <v>0</v>
      </c>
      <c r="P60" s="273">
        <f t="shared" si="28"/>
        <v>0</v>
      </c>
      <c r="Q60" s="233"/>
      <c r="R60" s="229"/>
      <c r="T60" s="233"/>
      <c r="U60" s="233"/>
    </row>
    <row r="61" spans="1:21" s="217" customFormat="1" ht="13" x14ac:dyDescent="0.35">
      <c r="A61" s="230"/>
      <c r="B61" s="275" t="s">
        <v>73</v>
      </c>
      <c r="C61" s="250" t="s">
        <v>74</v>
      </c>
      <c r="D61" s="257">
        <f>SUM(D56:D60)</f>
        <v>0</v>
      </c>
      <c r="E61" s="257">
        <f t="shared" ref="E61:P61" si="29">SUM(E56:E60)</f>
        <v>0</v>
      </c>
      <c r="F61" s="257">
        <f t="shared" si="29"/>
        <v>0</v>
      </c>
      <c r="G61" s="257">
        <f t="shared" si="29"/>
        <v>0</v>
      </c>
      <c r="H61" s="257">
        <f t="shared" si="29"/>
        <v>0</v>
      </c>
      <c r="I61" s="257">
        <f t="shared" si="29"/>
        <v>0</v>
      </c>
      <c r="J61" s="257">
        <f t="shared" si="29"/>
        <v>0</v>
      </c>
      <c r="K61" s="257">
        <f t="shared" si="29"/>
        <v>0</v>
      </c>
      <c r="L61" s="257">
        <f t="shared" si="29"/>
        <v>0</v>
      </c>
      <c r="M61" s="257">
        <f t="shared" si="29"/>
        <v>0</v>
      </c>
      <c r="N61" s="257">
        <f t="shared" si="29"/>
        <v>0</v>
      </c>
      <c r="O61" s="257">
        <f t="shared" si="29"/>
        <v>0</v>
      </c>
      <c r="P61" s="257">
        <f t="shared" si="29"/>
        <v>0</v>
      </c>
      <c r="Q61" s="228"/>
      <c r="R61" s="226">
        <f>+IF(P61=0,0,P61/$P$139)</f>
        <v>0</v>
      </c>
      <c r="T61" s="258"/>
      <c r="U61" s="258"/>
    </row>
    <row r="62" spans="1:21" x14ac:dyDescent="0.35">
      <c r="A62" s="230"/>
      <c r="B62" s="230"/>
      <c r="C62" s="272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63"/>
      <c r="Q62" s="233"/>
      <c r="R62" s="229"/>
      <c r="T62" s="233"/>
      <c r="U62" s="233"/>
    </row>
    <row r="63" spans="1:21" x14ac:dyDescent="0.35">
      <c r="A63" s="230"/>
      <c r="B63" s="230"/>
      <c r="C63" s="272" t="s">
        <v>75</v>
      </c>
      <c r="D63" s="233">
        <v>0</v>
      </c>
      <c r="E63" s="233">
        <v>0</v>
      </c>
      <c r="F63" s="233">
        <v>0</v>
      </c>
      <c r="G63" s="233">
        <v>0</v>
      </c>
      <c r="H63" s="233">
        <v>0</v>
      </c>
      <c r="I63" s="233">
        <v>0</v>
      </c>
      <c r="J63" s="233">
        <v>0</v>
      </c>
      <c r="K63" s="233">
        <v>0</v>
      </c>
      <c r="L63" s="233">
        <v>0</v>
      </c>
      <c r="M63" s="233">
        <v>0</v>
      </c>
      <c r="N63" s="233">
        <v>0</v>
      </c>
      <c r="O63" s="233">
        <v>0</v>
      </c>
      <c r="P63" s="273">
        <f>SUM(D63:O63)</f>
        <v>0</v>
      </c>
      <c r="Q63" s="233"/>
      <c r="R63" s="229"/>
      <c r="T63" s="233"/>
      <c r="U63" s="233"/>
    </row>
    <row r="64" spans="1:21" s="217" customFormat="1" ht="13" x14ac:dyDescent="0.35">
      <c r="A64" s="230"/>
      <c r="B64" s="230"/>
      <c r="C64" s="250" t="s">
        <v>76</v>
      </c>
      <c r="D64" s="257">
        <f>+D63</f>
        <v>0</v>
      </c>
      <c r="E64" s="257">
        <f t="shared" ref="E64:P64" si="30">+E63</f>
        <v>0</v>
      </c>
      <c r="F64" s="257">
        <f t="shared" si="30"/>
        <v>0</v>
      </c>
      <c r="G64" s="257">
        <f t="shared" si="30"/>
        <v>0</v>
      </c>
      <c r="H64" s="257">
        <f t="shared" si="30"/>
        <v>0</v>
      </c>
      <c r="I64" s="257">
        <f t="shared" si="30"/>
        <v>0</v>
      </c>
      <c r="J64" s="257">
        <f t="shared" si="30"/>
        <v>0</v>
      </c>
      <c r="K64" s="257">
        <f t="shared" si="30"/>
        <v>0</v>
      </c>
      <c r="L64" s="257">
        <f t="shared" si="30"/>
        <v>0</v>
      </c>
      <c r="M64" s="257">
        <f t="shared" si="30"/>
        <v>0</v>
      </c>
      <c r="N64" s="257">
        <f t="shared" si="30"/>
        <v>0</v>
      </c>
      <c r="O64" s="257">
        <f t="shared" si="30"/>
        <v>0</v>
      </c>
      <c r="P64" s="257">
        <f t="shared" si="30"/>
        <v>0</v>
      </c>
      <c r="Q64" s="228"/>
      <c r="R64" s="226">
        <f>+IF(P64=0,0,P64/$P$139)</f>
        <v>0</v>
      </c>
      <c r="T64" s="258"/>
      <c r="U64" s="258"/>
    </row>
    <row r="65" spans="1:21" x14ac:dyDescent="0.35">
      <c r="A65" s="230"/>
      <c r="B65" s="230"/>
      <c r="C65" s="272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63"/>
      <c r="Q65" s="233"/>
      <c r="R65" s="229"/>
      <c r="T65" s="233"/>
      <c r="U65" s="233"/>
    </row>
    <row r="66" spans="1:21" x14ac:dyDescent="0.35">
      <c r="A66" s="230"/>
      <c r="B66" s="230"/>
      <c r="C66" s="272" t="s">
        <v>77</v>
      </c>
      <c r="D66" s="233">
        <v>0</v>
      </c>
      <c r="E66" s="233">
        <v>0</v>
      </c>
      <c r="F66" s="233">
        <v>0</v>
      </c>
      <c r="G66" s="233">
        <v>0</v>
      </c>
      <c r="H66" s="233">
        <v>0</v>
      </c>
      <c r="I66" s="233">
        <v>0</v>
      </c>
      <c r="J66" s="233">
        <v>0</v>
      </c>
      <c r="K66" s="233">
        <v>0</v>
      </c>
      <c r="L66" s="233">
        <v>0</v>
      </c>
      <c r="M66" s="233">
        <v>0</v>
      </c>
      <c r="N66" s="233">
        <v>0</v>
      </c>
      <c r="O66" s="233">
        <v>0</v>
      </c>
      <c r="P66" s="273">
        <f>SUM(D66:O66)</f>
        <v>0</v>
      </c>
      <c r="Q66" s="233"/>
      <c r="R66" s="229"/>
      <c r="T66" s="233"/>
      <c r="U66" s="233"/>
    </row>
    <row r="67" spans="1:21" s="217" customFormat="1" ht="13" x14ac:dyDescent="0.35">
      <c r="A67" s="230"/>
      <c r="B67" s="230"/>
      <c r="C67" s="250" t="s">
        <v>78</v>
      </c>
      <c r="D67" s="257">
        <f>+D66</f>
        <v>0</v>
      </c>
      <c r="E67" s="257">
        <f t="shared" ref="E67:P67" si="31">+E66</f>
        <v>0</v>
      </c>
      <c r="F67" s="257">
        <f t="shared" si="31"/>
        <v>0</v>
      </c>
      <c r="G67" s="257">
        <f t="shared" si="31"/>
        <v>0</v>
      </c>
      <c r="H67" s="257">
        <f t="shared" si="31"/>
        <v>0</v>
      </c>
      <c r="I67" s="257">
        <f t="shared" si="31"/>
        <v>0</v>
      </c>
      <c r="J67" s="257">
        <f t="shared" si="31"/>
        <v>0</v>
      </c>
      <c r="K67" s="257">
        <f t="shared" si="31"/>
        <v>0</v>
      </c>
      <c r="L67" s="257">
        <f t="shared" si="31"/>
        <v>0</v>
      </c>
      <c r="M67" s="257">
        <f t="shared" si="31"/>
        <v>0</v>
      </c>
      <c r="N67" s="257">
        <f t="shared" si="31"/>
        <v>0</v>
      </c>
      <c r="O67" s="257">
        <f t="shared" si="31"/>
        <v>0</v>
      </c>
      <c r="P67" s="257">
        <f t="shared" si="31"/>
        <v>0</v>
      </c>
      <c r="Q67" s="228"/>
      <c r="R67" s="226">
        <f>+IF(P67=0,0,P67/$P$139)</f>
        <v>0</v>
      </c>
      <c r="T67" s="258"/>
      <c r="U67" s="258"/>
    </row>
    <row r="68" spans="1:21" x14ac:dyDescent="0.35">
      <c r="A68" s="230"/>
      <c r="B68" s="230"/>
      <c r="C68" s="272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63"/>
      <c r="Q68" s="233"/>
      <c r="R68" s="229"/>
      <c r="T68" s="233"/>
      <c r="U68" s="233"/>
    </row>
    <row r="69" spans="1:21" x14ac:dyDescent="0.35">
      <c r="A69" s="230"/>
      <c r="B69" s="230"/>
      <c r="C69" s="272" t="s">
        <v>79</v>
      </c>
      <c r="D69" s="233">
        <v>206045</v>
      </c>
      <c r="E69" s="233">
        <v>153636</v>
      </c>
      <c r="F69" s="233">
        <v>226390</v>
      </c>
      <c r="G69" s="233">
        <v>206107</v>
      </c>
      <c r="H69" s="233">
        <v>207457</v>
      </c>
      <c r="I69" s="233">
        <v>190363</v>
      </c>
      <c r="J69" s="233">
        <v>216272</v>
      </c>
      <c r="K69" s="233">
        <v>158254</v>
      </c>
      <c r="L69" s="233">
        <v>198866</v>
      </c>
      <c r="M69" s="233">
        <v>201914</v>
      </c>
      <c r="N69" s="233">
        <v>216255</v>
      </c>
      <c r="O69" s="233">
        <v>203426</v>
      </c>
      <c r="P69" s="273">
        <f t="shared" ref="P69:P74" si="32">SUM(D69:O69)</f>
        <v>2384985</v>
      </c>
      <c r="Q69" s="233"/>
      <c r="R69" s="229"/>
      <c r="T69" s="233"/>
      <c r="U69" s="233"/>
    </row>
    <row r="70" spans="1:21" x14ac:dyDescent="0.35">
      <c r="A70" s="230"/>
      <c r="B70" s="230"/>
      <c r="C70" s="272" t="s">
        <v>80</v>
      </c>
      <c r="D70" s="233">
        <v>248960</v>
      </c>
      <c r="E70" s="233">
        <v>186440</v>
      </c>
      <c r="F70" s="233">
        <v>268314</v>
      </c>
      <c r="G70" s="233">
        <v>154895</v>
      </c>
      <c r="H70" s="233">
        <v>243510</v>
      </c>
      <c r="I70" s="233">
        <v>263459</v>
      </c>
      <c r="J70" s="233">
        <v>329454</v>
      </c>
      <c r="K70" s="233">
        <v>223542</v>
      </c>
      <c r="L70" s="233">
        <v>227461</v>
      </c>
      <c r="M70" s="233">
        <v>390184</v>
      </c>
      <c r="N70" s="233">
        <v>219813</v>
      </c>
      <c r="O70" s="233">
        <v>335605</v>
      </c>
      <c r="P70" s="273">
        <f t="shared" si="32"/>
        <v>3091637</v>
      </c>
      <c r="Q70" s="233"/>
      <c r="R70" s="229"/>
      <c r="T70" s="233"/>
      <c r="U70" s="233"/>
    </row>
    <row r="71" spans="1:21" x14ac:dyDescent="0.35">
      <c r="A71" s="230"/>
      <c r="B71" s="230"/>
      <c r="C71" s="272" t="s">
        <v>81</v>
      </c>
      <c r="D71" s="233">
        <v>259790</v>
      </c>
      <c r="E71" s="233">
        <v>174251</v>
      </c>
      <c r="F71" s="233">
        <v>218364</v>
      </c>
      <c r="G71" s="233">
        <v>185064</v>
      </c>
      <c r="H71" s="233">
        <v>139974</v>
      </c>
      <c r="I71" s="233">
        <v>181929</v>
      </c>
      <c r="J71" s="233">
        <v>209519</v>
      </c>
      <c r="K71" s="233">
        <v>241046</v>
      </c>
      <c r="L71" s="233">
        <v>175031</v>
      </c>
      <c r="M71" s="233">
        <v>184733</v>
      </c>
      <c r="N71" s="233">
        <v>236205</v>
      </c>
      <c r="O71" s="233">
        <v>148335</v>
      </c>
      <c r="P71" s="273">
        <f t="shared" si="32"/>
        <v>2354241</v>
      </c>
      <c r="Q71" s="233"/>
      <c r="R71" s="229"/>
      <c r="T71" s="233"/>
      <c r="U71" s="233"/>
    </row>
    <row r="72" spans="1:21" x14ac:dyDescent="0.35">
      <c r="A72" s="230"/>
      <c r="B72" s="230"/>
      <c r="C72" s="272" t="s">
        <v>82</v>
      </c>
      <c r="D72" s="233">
        <v>235480</v>
      </c>
      <c r="E72" s="233">
        <v>173652</v>
      </c>
      <c r="F72" s="233">
        <v>273080</v>
      </c>
      <c r="G72" s="233">
        <v>241775</v>
      </c>
      <c r="H72" s="233">
        <v>250122</v>
      </c>
      <c r="I72" s="233">
        <v>224911</v>
      </c>
      <c r="J72" s="233">
        <v>268864</v>
      </c>
      <c r="K72" s="233">
        <v>197417</v>
      </c>
      <c r="L72" s="233">
        <v>259220</v>
      </c>
      <c r="M72" s="233">
        <v>268184</v>
      </c>
      <c r="N72" s="233">
        <v>287746</v>
      </c>
      <c r="O72" s="233">
        <v>244004</v>
      </c>
      <c r="P72" s="273">
        <f t="shared" si="32"/>
        <v>2924455</v>
      </c>
      <c r="Q72" s="233"/>
      <c r="R72" s="229"/>
      <c r="T72" s="233"/>
      <c r="U72" s="233"/>
    </row>
    <row r="73" spans="1:21" x14ac:dyDescent="0.35">
      <c r="A73" s="230"/>
      <c r="B73" s="230"/>
      <c r="C73" s="272" t="s">
        <v>83</v>
      </c>
      <c r="D73" s="233">
        <v>58870</v>
      </c>
      <c r="E73" s="233">
        <v>43896</v>
      </c>
      <c r="F73" s="233">
        <v>64683</v>
      </c>
      <c r="G73" s="233">
        <v>58888</v>
      </c>
      <c r="H73" s="233">
        <v>59273</v>
      </c>
      <c r="I73" s="233">
        <v>54389</v>
      </c>
      <c r="J73" s="233">
        <v>61792</v>
      </c>
      <c r="K73" s="233">
        <v>45215</v>
      </c>
      <c r="L73" s="233">
        <v>56819</v>
      </c>
      <c r="M73" s="233">
        <v>57690</v>
      </c>
      <c r="N73" s="233">
        <v>61787</v>
      </c>
      <c r="O73" s="233">
        <v>58122</v>
      </c>
      <c r="P73" s="273">
        <f t="shared" si="32"/>
        <v>681424</v>
      </c>
      <c r="Q73" s="233"/>
      <c r="R73" s="229"/>
      <c r="T73" s="233"/>
      <c r="U73" s="233"/>
    </row>
    <row r="74" spans="1:21" x14ac:dyDescent="0.35">
      <c r="A74" s="230"/>
      <c r="B74" s="230"/>
      <c r="C74" s="272" t="s">
        <v>84</v>
      </c>
      <c r="D74" s="233">
        <v>30000</v>
      </c>
      <c r="E74" s="233">
        <v>30000</v>
      </c>
      <c r="F74" s="233">
        <v>30000</v>
      </c>
      <c r="G74" s="233">
        <v>30000</v>
      </c>
      <c r="H74" s="233">
        <v>30000</v>
      </c>
      <c r="I74" s="233">
        <v>30000</v>
      </c>
      <c r="J74" s="233">
        <v>30000</v>
      </c>
      <c r="K74" s="233">
        <v>30000</v>
      </c>
      <c r="L74" s="233">
        <v>30000</v>
      </c>
      <c r="M74" s="233">
        <v>30000</v>
      </c>
      <c r="N74" s="233">
        <v>30000</v>
      </c>
      <c r="O74" s="233">
        <v>30000</v>
      </c>
      <c r="P74" s="273">
        <f t="shared" si="32"/>
        <v>360000</v>
      </c>
      <c r="Q74" s="233"/>
      <c r="R74" s="229"/>
      <c r="T74" s="233"/>
      <c r="U74" s="233"/>
    </row>
    <row r="75" spans="1:21" s="217" customFormat="1" ht="13" x14ac:dyDescent="0.35">
      <c r="A75" s="230"/>
      <c r="B75" s="230"/>
      <c r="C75" s="250" t="s">
        <v>85</v>
      </c>
      <c r="D75" s="257">
        <f t="shared" ref="D75:P75" si="33">SUM(D69:D74)</f>
        <v>1039145</v>
      </c>
      <c r="E75" s="257">
        <f t="shared" si="33"/>
        <v>761875</v>
      </c>
      <c r="F75" s="257">
        <f t="shared" si="33"/>
        <v>1080831</v>
      </c>
      <c r="G75" s="257">
        <f t="shared" si="33"/>
        <v>876729</v>
      </c>
      <c r="H75" s="257">
        <f t="shared" si="33"/>
        <v>930336</v>
      </c>
      <c r="I75" s="257">
        <f t="shared" si="33"/>
        <v>945051</v>
      </c>
      <c r="J75" s="257">
        <f t="shared" si="33"/>
        <v>1115901</v>
      </c>
      <c r="K75" s="257">
        <f t="shared" si="33"/>
        <v>895474</v>
      </c>
      <c r="L75" s="257">
        <f t="shared" si="33"/>
        <v>947397</v>
      </c>
      <c r="M75" s="257">
        <f t="shared" si="33"/>
        <v>1132705</v>
      </c>
      <c r="N75" s="257">
        <f t="shared" si="33"/>
        <v>1051806</v>
      </c>
      <c r="O75" s="257">
        <f t="shared" si="33"/>
        <v>1019492</v>
      </c>
      <c r="P75" s="257">
        <f t="shared" si="33"/>
        <v>11796742</v>
      </c>
      <c r="Q75" s="228"/>
      <c r="R75" s="226">
        <f>+IF(P75=0,0,P75/$P$139)</f>
        <v>0.23083716019411843</v>
      </c>
      <c r="T75" s="258"/>
      <c r="U75" s="258"/>
    </row>
    <row r="76" spans="1:21" x14ac:dyDescent="0.35">
      <c r="A76" s="230"/>
      <c r="B76" s="230"/>
      <c r="C76" s="272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63"/>
      <c r="Q76" s="233"/>
      <c r="R76" s="229"/>
      <c r="T76" s="233"/>
      <c r="U76" s="233"/>
    </row>
    <row r="77" spans="1:21" x14ac:dyDescent="0.35">
      <c r="A77" s="230"/>
      <c r="B77" s="230"/>
      <c r="C77" s="272" t="s">
        <v>86</v>
      </c>
      <c r="D77" s="233">
        <v>0</v>
      </c>
      <c r="E77" s="233">
        <v>0</v>
      </c>
      <c r="F77" s="233">
        <v>0</v>
      </c>
      <c r="G77" s="233">
        <v>0</v>
      </c>
      <c r="H77" s="233">
        <v>0</v>
      </c>
      <c r="I77" s="233">
        <v>0</v>
      </c>
      <c r="J77" s="233">
        <v>0</v>
      </c>
      <c r="K77" s="233">
        <v>0</v>
      </c>
      <c r="L77" s="233">
        <v>0</v>
      </c>
      <c r="M77" s="233">
        <v>0</v>
      </c>
      <c r="N77" s="233">
        <v>0</v>
      </c>
      <c r="O77" s="233">
        <v>0</v>
      </c>
      <c r="P77" s="273">
        <f t="shared" ref="P77:P80" si="34">SUM(D77:O77)</f>
        <v>0</v>
      </c>
      <c r="Q77" s="233"/>
      <c r="R77" s="229"/>
      <c r="T77" s="233"/>
      <c r="U77" s="233"/>
    </row>
    <row r="78" spans="1:21" x14ac:dyDescent="0.35">
      <c r="A78" s="230"/>
      <c r="B78" s="230"/>
      <c r="C78" s="272" t="s">
        <v>87</v>
      </c>
      <c r="D78" s="233">
        <v>0</v>
      </c>
      <c r="E78" s="233">
        <v>0</v>
      </c>
      <c r="F78" s="233">
        <v>0</v>
      </c>
      <c r="G78" s="233">
        <v>0</v>
      </c>
      <c r="H78" s="233">
        <v>0</v>
      </c>
      <c r="I78" s="233">
        <v>0</v>
      </c>
      <c r="J78" s="233">
        <v>0</v>
      </c>
      <c r="K78" s="233">
        <v>0</v>
      </c>
      <c r="L78" s="233">
        <v>0</v>
      </c>
      <c r="M78" s="233">
        <v>0</v>
      </c>
      <c r="N78" s="233">
        <v>0</v>
      </c>
      <c r="O78" s="233">
        <v>0</v>
      </c>
      <c r="P78" s="273">
        <f t="shared" si="34"/>
        <v>0</v>
      </c>
      <c r="Q78" s="233"/>
      <c r="R78" s="229"/>
      <c r="T78" s="233"/>
      <c r="U78" s="233"/>
    </row>
    <row r="79" spans="1:21" x14ac:dyDescent="0.35">
      <c r="A79" s="230"/>
      <c r="B79" s="230"/>
      <c r="C79" s="272" t="s">
        <v>88</v>
      </c>
      <c r="D79" s="233">
        <v>0</v>
      </c>
      <c r="E79" s="233">
        <v>0</v>
      </c>
      <c r="F79" s="233">
        <v>0</v>
      </c>
      <c r="G79" s="233">
        <v>0</v>
      </c>
      <c r="H79" s="233">
        <v>0</v>
      </c>
      <c r="I79" s="233">
        <v>0</v>
      </c>
      <c r="J79" s="233">
        <v>0</v>
      </c>
      <c r="K79" s="233">
        <v>0</v>
      </c>
      <c r="L79" s="233">
        <v>0</v>
      </c>
      <c r="M79" s="233">
        <v>0</v>
      </c>
      <c r="N79" s="233">
        <v>0</v>
      </c>
      <c r="O79" s="233">
        <v>0</v>
      </c>
      <c r="P79" s="273">
        <f t="shared" si="34"/>
        <v>0</v>
      </c>
      <c r="Q79" s="233"/>
      <c r="R79" s="229"/>
      <c r="T79" s="233"/>
      <c r="U79" s="233"/>
    </row>
    <row r="80" spans="1:21" x14ac:dyDescent="0.35">
      <c r="A80" s="230"/>
      <c r="B80" s="230"/>
      <c r="C80" s="272" t="s">
        <v>89</v>
      </c>
      <c r="D80" s="233">
        <v>0</v>
      </c>
      <c r="E80" s="233">
        <v>0</v>
      </c>
      <c r="F80" s="233">
        <v>0</v>
      </c>
      <c r="G80" s="233">
        <v>0</v>
      </c>
      <c r="H80" s="233">
        <v>0</v>
      </c>
      <c r="I80" s="233">
        <v>0</v>
      </c>
      <c r="J80" s="233">
        <v>0</v>
      </c>
      <c r="K80" s="233">
        <v>0</v>
      </c>
      <c r="L80" s="233">
        <v>0</v>
      </c>
      <c r="M80" s="233">
        <v>0</v>
      </c>
      <c r="N80" s="233">
        <v>0</v>
      </c>
      <c r="O80" s="233">
        <v>0</v>
      </c>
      <c r="P80" s="274">
        <f t="shared" si="34"/>
        <v>0</v>
      </c>
      <c r="Q80" s="233"/>
      <c r="R80" s="229"/>
      <c r="T80" s="233"/>
      <c r="U80" s="233"/>
    </row>
    <row r="81" spans="1:21" s="217" customFormat="1" ht="13" x14ac:dyDescent="0.35">
      <c r="A81" s="230"/>
      <c r="B81" s="230"/>
      <c r="C81" s="250" t="s">
        <v>90</v>
      </c>
      <c r="D81" s="257">
        <f>SUM(D77:D80)</f>
        <v>0</v>
      </c>
      <c r="E81" s="257">
        <f t="shared" ref="E81:P81" si="35">SUM(E77:E80)</f>
        <v>0</v>
      </c>
      <c r="F81" s="257">
        <f t="shared" si="35"/>
        <v>0</v>
      </c>
      <c r="G81" s="257">
        <f t="shared" si="35"/>
        <v>0</v>
      </c>
      <c r="H81" s="257">
        <f t="shared" si="35"/>
        <v>0</v>
      </c>
      <c r="I81" s="257">
        <f t="shared" si="35"/>
        <v>0</v>
      </c>
      <c r="J81" s="257">
        <f t="shared" si="35"/>
        <v>0</v>
      </c>
      <c r="K81" s="257">
        <f t="shared" si="35"/>
        <v>0</v>
      </c>
      <c r="L81" s="257">
        <f t="shared" si="35"/>
        <v>0</v>
      </c>
      <c r="M81" s="257">
        <f t="shared" si="35"/>
        <v>0</v>
      </c>
      <c r="N81" s="257">
        <f t="shared" si="35"/>
        <v>0</v>
      </c>
      <c r="O81" s="257">
        <f t="shared" si="35"/>
        <v>0</v>
      </c>
      <c r="P81" s="257">
        <f t="shared" si="35"/>
        <v>0</v>
      </c>
      <c r="Q81" s="228"/>
      <c r="R81" s="226">
        <f>+IF(P81=0,0,P81/$P$139)</f>
        <v>0</v>
      </c>
      <c r="T81" s="258"/>
      <c r="U81" s="258"/>
    </row>
    <row r="82" spans="1:21" x14ac:dyDescent="0.35">
      <c r="A82" s="230"/>
      <c r="B82" s="230"/>
      <c r="C82" s="272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63"/>
      <c r="Q82" s="233"/>
      <c r="R82" s="229"/>
      <c r="T82" s="233"/>
      <c r="U82" s="233"/>
    </row>
    <row r="83" spans="1:21" x14ac:dyDescent="0.35">
      <c r="A83" s="230"/>
      <c r="B83" s="230"/>
      <c r="C83" s="272" t="s">
        <v>91</v>
      </c>
      <c r="D83" s="233">
        <v>0</v>
      </c>
      <c r="E83" s="233">
        <v>0</v>
      </c>
      <c r="F83" s="233">
        <v>30000</v>
      </c>
      <c r="G83" s="233">
        <v>0</v>
      </c>
      <c r="H83" s="233">
        <v>0</v>
      </c>
      <c r="I83" s="233">
        <v>30000</v>
      </c>
      <c r="J83" s="233">
        <v>0</v>
      </c>
      <c r="K83" s="233">
        <v>0</v>
      </c>
      <c r="L83" s="233">
        <v>30000</v>
      </c>
      <c r="M83" s="233">
        <v>0</v>
      </c>
      <c r="N83" s="233">
        <v>0</v>
      </c>
      <c r="O83" s="233">
        <v>30000</v>
      </c>
      <c r="P83" s="273">
        <f>SUM(D83:O83)</f>
        <v>120000</v>
      </c>
      <c r="Q83" s="233"/>
      <c r="R83" s="229"/>
      <c r="T83" s="233"/>
      <c r="U83" s="233"/>
    </row>
    <row r="84" spans="1:21" s="217" customFormat="1" ht="13" x14ac:dyDescent="0.35">
      <c r="A84" s="230"/>
      <c r="B84" s="230"/>
      <c r="C84" s="250" t="s">
        <v>92</v>
      </c>
      <c r="D84" s="257">
        <f>+D83</f>
        <v>0</v>
      </c>
      <c r="E84" s="257">
        <f t="shared" ref="E84:P84" si="36">+E83</f>
        <v>0</v>
      </c>
      <c r="F84" s="257">
        <f t="shared" si="36"/>
        <v>30000</v>
      </c>
      <c r="G84" s="257">
        <f t="shared" si="36"/>
        <v>0</v>
      </c>
      <c r="H84" s="257">
        <f t="shared" si="36"/>
        <v>0</v>
      </c>
      <c r="I84" s="257">
        <f t="shared" si="36"/>
        <v>30000</v>
      </c>
      <c r="J84" s="257">
        <f t="shared" si="36"/>
        <v>0</v>
      </c>
      <c r="K84" s="257">
        <f t="shared" si="36"/>
        <v>0</v>
      </c>
      <c r="L84" s="257">
        <f t="shared" si="36"/>
        <v>30000</v>
      </c>
      <c r="M84" s="257">
        <f t="shared" si="36"/>
        <v>0</v>
      </c>
      <c r="N84" s="257">
        <f t="shared" si="36"/>
        <v>0</v>
      </c>
      <c r="O84" s="257">
        <f t="shared" si="36"/>
        <v>30000</v>
      </c>
      <c r="P84" s="257">
        <f t="shared" si="36"/>
        <v>120000</v>
      </c>
      <c r="Q84" s="228"/>
      <c r="R84" s="226">
        <f>+IF(P84=0,0,P84/$P$139)</f>
        <v>2.3481448711257912E-3</v>
      </c>
      <c r="T84" s="258"/>
      <c r="U84" s="258"/>
    </row>
    <row r="85" spans="1:21" x14ac:dyDescent="0.35">
      <c r="A85" s="230"/>
      <c r="B85" s="230"/>
      <c r="C85" s="272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63"/>
      <c r="Q85" s="233"/>
      <c r="R85" s="229"/>
      <c r="T85" s="233"/>
      <c r="U85" s="233"/>
    </row>
    <row r="86" spans="1:21" x14ac:dyDescent="0.35">
      <c r="A86" s="230"/>
      <c r="B86" s="230"/>
      <c r="C86" s="272" t="s">
        <v>297</v>
      </c>
      <c r="D86" s="233">
        <f>8666*3</f>
        <v>25998</v>
      </c>
      <c r="E86" s="233">
        <f t="shared" ref="E86:O86" si="37">8666*3</f>
        <v>25998</v>
      </c>
      <c r="F86" s="233">
        <f t="shared" si="37"/>
        <v>25998</v>
      </c>
      <c r="G86" s="233">
        <f t="shared" si="37"/>
        <v>25998</v>
      </c>
      <c r="H86" s="233">
        <f t="shared" si="37"/>
        <v>25998</v>
      </c>
      <c r="I86" s="233">
        <f t="shared" si="37"/>
        <v>25998</v>
      </c>
      <c r="J86" s="233">
        <f t="shared" si="37"/>
        <v>25998</v>
      </c>
      <c r="K86" s="233">
        <f t="shared" si="37"/>
        <v>25998</v>
      </c>
      <c r="L86" s="233">
        <f t="shared" si="37"/>
        <v>25998</v>
      </c>
      <c r="M86" s="233">
        <f t="shared" si="37"/>
        <v>25998</v>
      </c>
      <c r="N86" s="233">
        <f t="shared" si="37"/>
        <v>25998</v>
      </c>
      <c r="O86" s="233">
        <f t="shared" si="37"/>
        <v>25998</v>
      </c>
      <c r="P86" s="273">
        <f>SUM(D86:O86)</f>
        <v>311976</v>
      </c>
      <c r="Q86" s="233"/>
      <c r="R86" s="229"/>
      <c r="T86" s="233"/>
      <c r="U86" s="233"/>
    </row>
    <row r="87" spans="1:21" x14ac:dyDescent="0.35">
      <c r="A87" s="230"/>
      <c r="B87" s="276"/>
      <c r="C87" s="272" t="s">
        <v>298</v>
      </c>
      <c r="D87" s="233">
        <v>10000</v>
      </c>
      <c r="E87" s="233">
        <v>0</v>
      </c>
      <c r="F87" s="233">
        <v>10000</v>
      </c>
      <c r="G87" s="233">
        <v>0</v>
      </c>
      <c r="H87" s="233">
        <v>10000</v>
      </c>
      <c r="I87" s="233">
        <v>0</v>
      </c>
      <c r="J87" s="233">
        <v>10000</v>
      </c>
      <c r="K87" s="233">
        <v>0</v>
      </c>
      <c r="L87" s="233">
        <v>10000</v>
      </c>
      <c r="M87" s="233">
        <v>0</v>
      </c>
      <c r="N87" s="233">
        <v>10000</v>
      </c>
      <c r="O87" s="233">
        <v>0</v>
      </c>
      <c r="P87" s="273">
        <f t="shared" ref="P87:P92" si="38">SUM(D87:O87)</f>
        <v>60000</v>
      </c>
      <c r="Q87" s="233"/>
      <c r="R87" s="229"/>
      <c r="T87" s="233"/>
      <c r="U87" s="233"/>
    </row>
    <row r="88" spans="1:21" x14ac:dyDescent="0.35">
      <c r="A88" s="230"/>
      <c r="B88" s="230"/>
      <c r="C88" s="272" t="s">
        <v>299</v>
      </c>
      <c r="D88" s="233">
        <v>2000</v>
      </c>
      <c r="E88" s="233">
        <v>0</v>
      </c>
      <c r="F88" s="233">
        <v>2000</v>
      </c>
      <c r="G88" s="233">
        <v>0</v>
      </c>
      <c r="H88" s="233">
        <v>2000</v>
      </c>
      <c r="I88" s="233">
        <v>0</v>
      </c>
      <c r="J88" s="233">
        <v>2000</v>
      </c>
      <c r="K88" s="233">
        <v>0</v>
      </c>
      <c r="L88" s="233">
        <v>2000</v>
      </c>
      <c r="M88" s="233">
        <v>0</v>
      </c>
      <c r="N88" s="233">
        <v>2000</v>
      </c>
      <c r="O88" s="233">
        <v>0</v>
      </c>
      <c r="P88" s="273">
        <f t="shared" si="38"/>
        <v>12000</v>
      </c>
      <c r="Q88" s="233"/>
      <c r="R88" s="229"/>
      <c r="T88" s="233"/>
      <c r="U88" s="233"/>
    </row>
    <row r="89" spans="1:21" x14ac:dyDescent="0.35">
      <c r="A89" s="230"/>
      <c r="B89" s="230"/>
      <c r="C89" s="272" t="s">
        <v>300</v>
      </c>
      <c r="D89" s="233">
        <v>0</v>
      </c>
      <c r="E89" s="233">
        <v>0</v>
      </c>
      <c r="F89" s="233">
        <f>8*3800</f>
        <v>30400</v>
      </c>
      <c r="G89" s="233">
        <v>0</v>
      </c>
      <c r="H89" s="234">
        <v>0</v>
      </c>
      <c r="I89" s="233">
        <v>0</v>
      </c>
      <c r="J89" s="233">
        <v>0</v>
      </c>
      <c r="K89" s="234">
        <v>0</v>
      </c>
      <c r="L89" s="233">
        <f>8*3800</f>
        <v>30400</v>
      </c>
      <c r="M89" s="234">
        <v>0</v>
      </c>
      <c r="N89" s="233">
        <v>0</v>
      </c>
      <c r="O89" s="233">
        <v>0</v>
      </c>
      <c r="P89" s="273">
        <f t="shared" si="38"/>
        <v>60800</v>
      </c>
      <c r="Q89" s="233"/>
      <c r="R89" s="229"/>
      <c r="T89" s="233"/>
      <c r="U89" s="233"/>
    </row>
    <row r="90" spans="1:21" x14ac:dyDescent="0.35">
      <c r="A90" s="230"/>
      <c r="B90" s="230"/>
      <c r="C90" s="272" t="s">
        <v>301</v>
      </c>
      <c r="D90" s="233">
        <v>0</v>
      </c>
      <c r="E90" s="233">
        <v>0</v>
      </c>
      <c r="F90" s="233">
        <v>0</v>
      </c>
      <c r="G90" s="233">
        <v>0</v>
      </c>
      <c r="H90" s="233">
        <v>0</v>
      </c>
      <c r="I90" s="233">
        <f>8*5000</f>
        <v>40000</v>
      </c>
      <c r="J90" s="233">
        <v>0</v>
      </c>
      <c r="K90" s="233">
        <v>0</v>
      </c>
      <c r="L90" s="233">
        <v>0</v>
      </c>
      <c r="M90" s="233">
        <v>0</v>
      </c>
      <c r="N90" s="233">
        <v>0</v>
      </c>
      <c r="O90" s="233">
        <f>8*5000</f>
        <v>40000</v>
      </c>
      <c r="P90" s="273">
        <f t="shared" si="38"/>
        <v>80000</v>
      </c>
      <c r="Q90" s="233"/>
      <c r="R90" s="229"/>
      <c r="T90" s="233"/>
      <c r="U90" s="233"/>
    </row>
    <row r="91" spans="1:21" x14ac:dyDescent="0.35">
      <c r="A91" s="230"/>
      <c r="B91" s="230"/>
      <c r="C91" s="272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73">
        <f t="shared" si="38"/>
        <v>0</v>
      </c>
      <c r="Q91" s="233"/>
      <c r="R91" s="229"/>
      <c r="T91" s="233"/>
      <c r="U91" s="233"/>
    </row>
    <row r="92" spans="1:21" x14ac:dyDescent="0.35">
      <c r="A92" s="230"/>
      <c r="B92" s="230"/>
      <c r="C92" s="272" t="s">
        <v>302</v>
      </c>
      <c r="D92" s="233">
        <v>0</v>
      </c>
      <c r="E92" s="233">
        <v>0</v>
      </c>
      <c r="F92" s="233">
        <v>0</v>
      </c>
      <c r="G92" s="233">
        <v>0</v>
      </c>
      <c r="H92" s="233">
        <v>0</v>
      </c>
      <c r="I92" s="233">
        <v>250000</v>
      </c>
      <c r="J92" s="233">
        <v>0</v>
      </c>
      <c r="K92" s="233">
        <v>0</v>
      </c>
      <c r="L92" s="233">
        <v>0</v>
      </c>
      <c r="M92" s="233">
        <v>0</v>
      </c>
      <c r="N92" s="233">
        <v>0</v>
      </c>
      <c r="O92" s="233">
        <v>0</v>
      </c>
      <c r="P92" s="273">
        <f t="shared" si="38"/>
        <v>250000</v>
      </c>
      <c r="Q92" s="233"/>
      <c r="R92" s="229"/>
      <c r="T92" s="233"/>
      <c r="U92" s="233"/>
    </row>
    <row r="93" spans="1:21" s="217" customFormat="1" ht="13" x14ac:dyDescent="0.35">
      <c r="C93" s="250" t="s">
        <v>99</v>
      </c>
      <c r="D93" s="257">
        <f>SUM(D86:D92)</f>
        <v>37998</v>
      </c>
      <c r="E93" s="257">
        <f t="shared" ref="E93:O93" si="39">SUM(E86:E92)</f>
        <v>25998</v>
      </c>
      <c r="F93" s="257">
        <f t="shared" si="39"/>
        <v>68398</v>
      </c>
      <c r="G93" s="257">
        <f t="shared" si="39"/>
        <v>25998</v>
      </c>
      <c r="H93" s="257">
        <f t="shared" si="39"/>
        <v>37998</v>
      </c>
      <c r="I93" s="257">
        <f t="shared" si="39"/>
        <v>315998</v>
      </c>
      <c r="J93" s="257">
        <f t="shared" si="39"/>
        <v>37998</v>
      </c>
      <c r="K93" s="257">
        <f t="shared" si="39"/>
        <v>25998</v>
      </c>
      <c r="L93" s="257">
        <f t="shared" si="39"/>
        <v>68398</v>
      </c>
      <c r="M93" s="257">
        <f t="shared" si="39"/>
        <v>25998</v>
      </c>
      <c r="N93" s="257">
        <f t="shared" si="39"/>
        <v>37998</v>
      </c>
      <c r="O93" s="257">
        <f t="shared" si="39"/>
        <v>65998</v>
      </c>
      <c r="P93" s="257">
        <f>SUM(P86:P92)</f>
        <v>774776</v>
      </c>
      <c r="Q93" s="228"/>
      <c r="R93" s="226">
        <f>+IF(P93=0,0,P93/$P$139)</f>
        <v>1.5160719088927969E-2</v>
      </c>
      <c r="T93" s="258"/>
      <c r="U93" s="258"/>
    </row>
    <row r="94" spans="1:21" x14ac:dyDescent="0.35">
      <c r="B94" s="234"/>
      <c r="C94" s="272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63"/>
      <c r="Q94" s="233"/>
      <c r="R94" s="229"/>
      <c r="T94" s="233"/>
      <c r="U94" s="233"/>
    </row>
    <row r="95" spans="1:21" x14ac:dyDescent="0.35">
      <c r="A95" s="230"/>
      <c r="B95" s="230"/>
      <c r="C95" s="272" t="s">
        <v>100</v>
      </c>
      <c r="D95" s="233">
        <v>0</v>
      </c>
      <c r="E95" s="233">
        <v>0</v>
      </c>
      <c r="F95" s="233">
        <v>0</v>
      </c>
      <c r="G95" s="233">
        <v>0</v>
      </c>
      <c r="H95" s="233">
        <v>0</v>
      </c>
      <c r="I95" s="233">
        <v>0</v>
      </c>
      <c r="J95" s="233">
        <v>0</v>
      </c>
      <c r="K95" s="233">
        <v>0</v>
      </c>
      <c r="L95" s="233">
        <v>0</v>
      </c>
      <c r="M95" s="233">
        <v>0</v>
      </c>
      <c r="N95" s="233">
        <v>0</v>
      </c>
      <c r="O95" s="233">
        <v>0</v>
      </c>
      <c r="P95" s="273">
        <f t="shared" ref="P95:P101" si="40">SUM(D95:O95)</f>
        <v>0</v>
      </c>
      <c r="Q95" s="233"/>
      <c r="R95" s="229"/>
      <c r="T95" s="233"/>
      <c r="U95" s="233"/>
    </row>
    <row r="96" spans="1:21" x14ac:dyDescent="0.35">
      <c r="A96" s="230"/>
      <c r="B96" s="230"/>
      <c r="C96" s="272" t="s">
        <v>101</v>
      </c>
      <c r="D96" s="233">
        <v>0</v>
      </c>
      <c r="E96" s="233">
        <v>0</v>
      </c>
      <c r="F96" s="233">
        <v>0</v>
      </c>
      <c r="G96" s="233">
        <v>0</v>
      </c>
      <c r="H96" s="233">
        <v>0</v>
      </c>
      <c r="I96" s="233">
        <v>0</v>
      </c>
      <c r="J96" s="233">
        <v>0</v>
      </c>
      <c r="K96" s="233">
        <v>0</v>
      </c>
      <c r="L96" s="233">
        <v>0</v>
      </c>
      <c r="M96" s="233">
        <v>0</v>
      </c>
      <c r="N96" s="233">
        <v>0</v>
      </c>
      <c r="O96" s="233">
        <v>0</v>
      </c>
      <c r="P96" s="273">
        <f t="shared" si="40"/>
        <v>0</v>
      </c>
      <c r="Q96" s="233"/>
      <c r="R96" s="229"/>
      <c r="T96" s="233"/>
      <c r="U96" s="233"/>
    </row>
    <row r="97" spans="1:21" x14ac:dyDescent="0.35">
      <c r="A97" s="230"/>
      <c r="B97" s="230"/>
      <c r="C97" s="272" t="s">
        <v>102</v>
      </c>
      <c r="D97" s="233">
        <v>0</v>
      </c>
      <c r="E97" s="233">
        <v>0</v>
      </c>
      <c r="F97" s="233">
        <v>0</v>
      </c>
      <c r="G97" s="233">
        <v>0</v>
      </c>
      <c r="H97" s="233">
        <v>0</v>
      </c>
      <c r="I97" s="233">
        <v>0</v>
      </c>
      <c r="J97" s="233">
        <v>0</v>
      </c>
      <c r="K97" s="233">
        <v>0</v>
      </c>
      <c r="L97" s="233">
        <v>0</v>
      </c>
      <c r="M97" s="233">
        <v>0</v>
      </c>
      <c r="N97" s="233">
        <v>0</v>
      </c>
      <c r="O97" s="233">
        <v>0</v>
      </c>
      <c r="P97" s="273">
        <f t="shared" si="40"/>
        <v>0</v>
      </c>
      <c r="Q97" s="233"/>
      <c r="R97" s="229"/>
      <c r="T97" s="233"/>
      <c r="U97" s="233"/>
    </row>
    <row r="98" spans="1:21" x14ac:dyDescent="0.35">
      <c r="A98" s="230"/>
      <c r="B98" s="230"/>
      <c r="C98" s="272" t="s">
        <v>103</v>
      </c>
      <c r="D98" s="233">
        <v>0</v>
      </c>
      <c r="E98" s="233">
        <v>0</v>
      </c>
      <c r="F98" s="233">
        <v>0</v>
      </c>
      <c r="G98" s="233">
        <v>0</v>
      </c>
      <c r="H98" s="233">
        <v>0</v>
      </c>
      <c r="I98" s="233">
        <v>0</v>
      </c>
      <c r="J98" s="233">
        <v>0</v>
      </c>
      <c r="K98" s="233">
        <v>0</v>
      </c>
      <c r="L98" s="233">
        <v>0</v>
      </c>
      <c r="M98" s="233">
        <v>0</v>
      </c>
      <c r="N98" s="233">
        <v>0</v>
      </c>
      <c r="O98" s="233">
        <v>0</v>
      </c>
      <c r="P98" s="273">
        <f t="shared" si="40"/>
        <v>0</v>
      </c>
      <c r="Q98" s="233"/>
      <c r="R98" s="229"/>
      <c r="T98" s="233"/>
      <c r="U98" s="233"/>
    </row>
    <row r="99" spans="1:21" x14ac:dyDescent="0.35">
      <c r="A99" s="230"/>
      <c r="B99" s="230"/>
      <c r="C99" s="272" t="s">
        <v>104</v>
      </c>
      <c r="D99" s="233">
        <v>0</v>
      </c>
      <c r="E99" s="233">
        <v>0</v>
      </c>
      <c r="F99" s="233">
        <v>0</v>
      </c>
      <c r="G99" s="233">
        <v>0</v>
      </c>
      <c r="H99" s="233">
        <v>0</v>
      </c>
      <c r="I99" s="233">
        <v>0</v>
      </c>
      <c r="J99" s="233">
        <v>0</v>
      </c>
      <c r="K99" s="233">
        <v>0</v>
      </c>
      <c r="L99" s="233">
        <v>0</v>
      </c>
      <c r="M99" s="233">
        <v>0</v>
      </c>
      <c r="N99" s="233">
        <v>0</v>
      </c>
      <c r="O99" s="233">
        <v>0</v>
      </c>
      <c r="P99" s="273">
        <f t="shared" si="40"/>
        <v>0</v>
      </c>
      <c r="Q99" s="233"/>
      <c r="R99" s="229"/>
      <c r="T99" s="233"/>
      <c r="U99" s="233"/>
    </row>
    <row r="100" spans="1:21" x14ac:dyDescent="0.35">
      <c r="A100" s="230"/>
      <c r="B100" s="230"/>
      <c r="C100" s="272" t="s">
        <v>105</v>
      </c>
      <c r="D100" s="233">
        <v>0</v>
      </c>
      <c r="E100" s="233">
        <v>0</v>
      </c>
      <c r="F100" s="233">
        <v>0</v>
      </c>
      <c r="G100" s="233">
        <v>0</v>
      </c>
      <c r="H100" s="233">
        <v>0</v>
      </c>
      <c r="I100" s="233">
        <v>0</v>
      </c>
      <c r="J100" s="233">
        <v>0</v>
      </c>
      <c r="K100" s="233">
        <v>0</v>
      </c>
      <c r="L100" s="233">
        <v>0</v>
      </c>
      <c r="M100" s="233">
        <v>0</v>
      </c>
      <c r="N100" s="233">
        <v>0</v>
      </c>
      <c r="O100" s="233">
        <v>0</v>
      </c>
      <c r="P100" s="273">
        <f t="shared" si="40"/>
        <v>0</v>
      </c>
      <c r="Q100" s="233"/>
      <c r="R100" s="229"/>
      <c r="T100" s="233"/>
      <c r="U100" s="233"/>
    </row>
    <row r="101" spans="1:21" x14ac:dyDescent="0.35">
      <c r="A101" s="230"/>
      <c r="B101" s="230"/>
      <c r="C101" s="272" t="s">
        <v>106</v>
      </c>
      <c r="D101" s="233">
        <v>0</v>
      </c>
      <c r="E101" s="233">
        <v>0</v>
      </c>
      <c r="F101" s="233">
        <v>0</v>
      </c>
      <c r="G101" s="233">
        <v>0</v>
      </c>
      <c r="H101" s="233">
        <v>0</v>
      </c>
      <c r="I101" s="233">
        <v>0</v>
      </c>
      <c r="J101" s="233">
        <v>0</v>
      </c>
      <c r="K101" s="233">
        <v>0</v>
      </c>
      <c r="L101" s="233">
        <v>0</v>
      </c>
      <c r="M101" s="233">
        <v>0</v>
      </c>
      <c r="N101" s="233">
        <v>0</v>
      </c>
      <c r="O101" s="233">
        <v>0</v>
      </c>
      <c r="P101" s="273">
        <f t="shared" si="40"/>
        <v>0</v>
      </c>
      <c r="Q101" s="233"/>
      <c r="R101" s="229"/>
      <c r="T101" s="233"/>
      <c r="U101" s="233"/>
    </row>
    <row r="102" spans="1:21" s="217" customFormat="1" ht="13" x14ac:dyDescent="0.35">
      <c r="A102" s="230"/>
      <c r="B102" s="230"/>
      <c r="C102" s="250" t="s">
        <v>107</v>
      </c>
      <c r="D102" s="257">
        <f t="shared" ref="D102:P102" si="41">SUM(D95:D101)</f>
        <v>0</v>
      </c>
      <c r="E102" s="257">
        <f t="shared" si="41"/>
        <v>0</v>
      </c>
      <c r="F102" s="257">
        <f t="shared" si="41"/>
        <v>0</v>
      </c>
      <c r="G102" s="257">
        <f t="shared" si="41"/>
        <v>0</v>
      </c>
      <c r="H102" s="257">
        <f t="shared" si="41"/>
        <v>0</v>
      </c>
      <c r="I102" s="257">
        <f t="shared" si="41"/>
        <v>0</v>
      </c>
      <c r="J102" s="257">
        <f t="shared" si="41"/>
        <v>0</v>
      </c>
      <c r="K102" s="257">
        <f t="shared" si="41"/>
        <v>0</v>
      </c>
      <c r="L102" s="257">
        <f t="shared" si="41"/>
        <v>0</v>
      </c>
      <c r="M102" s="257">
        <f t="shared" si="41"/>
        <v>0</v>
      </c>
      <c r="N102" s="257">
        <f t="shared" si="41"/>
        <v>0</v>
      </c>
      <c r="O102" s="257">
        <f t="shared" si="41"/>
        <v>0</v>
      </c>
      <c r="P102" s="257">
        <f t="shared" si="41"/>
        <v>0</v>
      </c>
      <c r="Q102" s="228"/>
      <c r="R102" s="226">
        <f>+IF(P102=0,0,P102/$P$139)</f>
        <v>0</v>
      </c>
      <c r="T102" s="258"/>
      <c r="U102" s="258"/>
    </row>
    <row r="103" spans="1:21" x14ac:dyDescent="0.35">
      <c r="A103" s="230"/>
      <c r="B103" s="230"/>
      <c r="C103" s="272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63"/>
      <c r="Q103" s="233"/>
      <c r="R103" s="229"/>
      <c r="T103" s="233"/>
      <c r="U103" s="233"/>
    </row>
    <row r="104" spans="1:21" x14ac:dyDescent="0.35">
      <c r="A104" s="230"/>
      <c r="B104" s="230"/>
      <c r="C104" s="272" t="s">
        <v>108</v>
      </c>
      <c r="D104" s="233">
        <v>50000</v>
      </c>
      <c r="E104" s="233">
        <v>50000</v>
      </c>
      <c r="F104" s="233">
        <v>50000</v>
      </c>
      <c r="G104" s="233">
        <v>50000</v>
      </c>
      <c r="H104" s="233">
        <v>50000</v>
      </c>
      <c r="I104" s="233">
        <v>50000</v>
      </c>
      <c r="J104" s="233">
        <v>50000</v>
      </c>
      <c r="K104" s="233">
        <v>50000</v>
      </c>
      <c r="L104" s="233">
        <v>50000</v>
      </c>
      <c r="M104" s="233">
        <v>50000</v>
      </c>
      <c r="N104" s="233">
        <v>50000</v>
      </c>
      <c r="O104" s="233">
        <v>50000</v>
      </c>
      <c r="P104" s="273">
        <f t="shared" ref="P104" si="42">SUM(D104:O104)</f>
        <v>600000</v>
      </c>
      <c r="Q104" s="233"/>
      <c r="R104" s="229"/>
      <c r="T104" s="233"/>
      <c r="U104" s="233"/>
    </row>
    <row r="105" spans="1:21" s="217" customFormat="1" ht="13" x14ac:dyDescent="0.35">
      <c r="A105" s="230"/>
      <c r="B105" s="230"/>
      <c r="C105" s="250" t="s">
        <v>109</v>
      </c>
      <c r="D105" s="257">
        <f>SUM(D104)</f>
        <v>50000</v>
      </c>
      <c r="E105" s="257">
        <f t="shared" ref="E105:O105" si="43">SUM(E104)</f>
        <v>50000</v>
      </c>
      <c r="F105" s="257">
        <f t="shared" si="43"/>
        <v>50000</v>
      </c>
      <c r="G105" s="257">
        <f t="shared" si="43"/>
        <v>50000</v>
      </c>
      <c r="H105" s="257">
        <f t="shared" si="43"/>
        <v>50000</v>
      </c>
      <c r="I105" s="257">
        <f t="shared" si="43"/>
        <v>50000</v>
      </c>
      <c r="J105" s="257">
        <f t="shared" si="43"/>
        <v>50000</v>
      </c>
      <c r="K105" s="257">
        <f t="shared" si="43"/>
        <v>50000</v>
      </c>
      <c r="L105" s="257">
        <f t="shared" si="43"/>
        <v>50000</v>
      </c>
      <c r="M105" s="257">
        <f t="shared" si="43"/>
        <v>50000</v>
      </c>
      <c r="N105" s="257">
        <f t="shared" si="43"/>
        <v>50000</v>
      </c>
      <c r="O105" s="257">
        <f t="shared" si="43"/>
        <v>50000</v>
      </c>
      <c r="P105" s="257">
        <f>+P104</f>
        <v>600000</v>
      </c>
      <c r="Q105" s="228"/>
      <c r="R105" s="226">
        <f>+IF(P105=0,0,P105/$P$139)</f>
        <v>1.1740724355628956E-2</v>
      </c>
      <c r="T105" s="258"/>
      <c r="U105" s="258"/>
    </row>
    <row r="106" spans="1:21" x14ac:dyDescent="0.35">
      <c r="A106" s="230"/>
      <c r="B106" s="230"/>
      <c r="C106" s="272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63"/>
      <c r="Q106" s="233"/>
      <c r="R106" s="229"/>
      <c r="T106" s="233"/>
      <c r="U106" s="233"/>
    </row>
    <row r="107" spans="1:21" x14ac:dyDescent="0.35">
      <c r="A107" s="230"/>
      <c r="B107" s="230"/>
      <c r="C107" s="272" t="s">
        <v>110</v>
      </c>
      <c r="D107" s="233">
        <v>0</v>
      </c>
      <c r="E107" s="233">
        <v>0</v>
      </c>
      <c r="F107" s="233">
        <v>0</v>
      </c>
      <c r="G107" s="233">
        <v>0</v>
      </c>
      <c r="H107" s="233">
        <v>0</v>
      </c>
      <c r="I107" s="233">
        <v>0</v>
      </c>
      <c r="J107" s="233">
        <v>0</v>
      </c>
      <c r="K107" s="233">
        <v>0</v>
      </c>
      <c r="L107" s="233">
        <v>0</v>
      </c>
      <c r="M107" s="233">
        <v>0</v>
      </c>
      <c r="N107" s="233">
        <v>0</v>
      </c>
      <c r="O107" s="233">
        <v>0</v>
      </c>
      <c r="P107" s="273">
        <v>0</v>
      </c>
      <c r="Q107" s="233"/>
      <c r="R107" s="229"/>
      <c r="T107" s="233"/>
      <c r="U107" s="233"/>
    </row>
    <row r="108" spans="1:21" s="217" customFormat="1" ht="13" x14ac:dyDescent="0.35">
      <c r="A108" s="230"/>
      <c r="B108" s="230"/>
      <c r="C108" s="250" t="s">
        <v>111</v>
      </c>
      <c r="D108" s="257">
        <f>+D107</f>
        <v>0</v>
      </c>
      <c r="E108" s="257">
        <f t="shared" ref="E108:P108" si="44">+E107</f>
        <v>0</v>
      </c>
      <c r="F108" s="257">
        <f t="shared" si="44"/>
        <v>0</v>
      </c>
      <c r="G108" s="257">
        <f t="shared" si="44"/>
        <v>0</v>
      </c>
      <c r="H108" s="257">
        <f t="shared" si="44"/>
        <v>0</v>
      </c>
      <c r="I108" s="257">
        <f t="shared" si="44"/>
        <v>0</v>
      </c>
      <c r="J108" s="257">
        <f t="shared" si="44"/>
        <v>0</v>
      </c>
      <c r="K108" s="257">
        <f t="shared" si="44"/>
        <v>0</v>
      </c>
      <c r="L108" s="257">
        <f t="shared" si="44"/>
        <v>0</v>
      </c>
      <c r="M108" s="257">
        <f t="shared" si="44"/>
        <v>0</v>
      </c>
      <c r="N108" s="257">
        <f t="shared" si="44"/>
        <v>0</v>
      </c>
      <c r="O108" s="257">
        <f t="shared" si="44"/>
        <v>0</v>
      </c>
      <c r="P108" s="257">
        <f t="shared" si="44"/>
        <v>0</v>
      </c>
      <c r="Q108" s="228"/>
      <c r="R108" s="226">
        <f>+IF(P108=0,0,P108/$P$139)</f>
        <v>0</v>
      </c>
      <c r="T108" s="258"/>
      <c r="U108" s="258"/>
    </row>
    <row r="109" spans="1:21" x14ac:dyDescent="0.35">
      <c r="A109" s="230"/>
      <c r="B109" s="230"/>
      <c r="C109" s="272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63"/>
      <c r="Q109" s="233"/>
      <c r="R109" s="229"/>
      <c r="T109" s="233"/>
      <c r="U109" s="233"/>
    </row>
    <row r="110" spans="1:21" x14ac:dyDescent="0.35">
      <c r="A110" s="230"/>
      <c r="B110" s="230"/>
      <c r="C110" s="272" t="s">
        <v>96</v>
      </c>
      <c r="D110" s="233">
        <v>0</v>
      </c>
      <c r="E110" s="233">
        <v>0</v>
      </c>
      <c r="F110" s="233">
        <v>0</v>
      </c>
      <c r="G110" s="233">
        <v>0</v>
      </c>
      <c r="H110" s="233">
        <v>0</v>
      </c>
      <c r="I110" s="233">
        <v>0</v>
      </c>
      <c r="J110" s="233">
        <v>0</v>
      </c>
      <c r="K110" s="233">
        <v>0</v>
      </c>
      <c r="L110" s="233">
        <v>0</v>
      </c>
      <c r="M110" s="233">
        <v>0</v>
      </c>
      <c r="N110" s="233">
        <v>0</v>
      </c>
      <c r="O110" s="233">
        <v>0</v>
      </c>
      <c r="P110" s="273">
        <f t="shared" ref="P110:P115" si="45">SUM(D110:O110)</f>
        <v>0</v>
      </c>
      <c r="Q110" s="233"/>
      <c r="R110" s="229"/>
      <c r="T110" s="233"/>
      <c r="U110" s="233"/>
    </row>
    <row r="111" spans="1:21" x14ac:dyDescent="0.35">
      <c r="A111" s="230"/>
      <c r="B111" s="230"/>
      <c r="C111" s="272" t="s">
        <v>112</v>
      </c>
      <c r="D111" s="233">
        <v>0</v>
      </c>
      <c r="E111" s="233">
        <v>0</v>
      </c>
      <c r="F111" s="233">
        <v>0</v>
      </c>
      <c r="G111" s="233">
        <v>0</v>
      </c>
      <c r="H111" s="233">
        <v>0</v>
      </c>
      <c r="I111" s="233">
        <v>0</v>
      </c>
      <c r="J111" s="233">
        <v>0</v>
      </c>
      <c r="K111" s="233">
        <v>0</v>
      </c>
      <c r="L111" s="233">
        <v>0</v>
      </c>
      <c r="M111" s="233">
        <v>0</v>
      </c>
      <c r="N111" s="233">
        <v>0</v>
      </c>
      <c r="O111" s="233">
        <v>0</v>
      </c>
      <c r="P111" s="273">
        <f t="shared" si="45"/>
        <v>0</v>
      </c>
      <c r="Q111" s="233"/>
      <c r="R111" s="229"/>
      <c r="T111" s="233"/>
      <c r="U111" s="233"/>
    </row>
    <row r="112" spans="1:21" x14ac:dyDescent="0.35">
      <c r="A112" s="230"/>
      <c r="B112" s="230"/>
      <c r="C112" s="272" t="s">
        <v>113</v>
      </c>
      <c r="D112" s="233">
        <v>0</v>
      </c>
      <c r="E112" s="233">
        <v>0</v>
      </c>
      <c r="F112" s="233">
        <v>0</v>
      </c>
      <c r="G112" s="233">
        <v>0</v>
      </c>
      <c r="H112" s="233">
        <v>0</v>
      </c>
      <c r="I112" s="233">
        <v>0</v>
      </c>
      <c r="J112" s="233">
        <v>0</v>
      </c>
      <c r="K112" s="233">
        <v>0</v>
      </c>
      <c r="L112" s="233">
        <v>0</v>
      </c>
      <c r="M112" s="233">
        <v>0</v>
      </c>
      <c r="N112" s="233">
        <v>0</v>
      </c>
      <c r="O112" s="233">
        <v>0</v>
      </c>
      <c r="P112" s="273">
        <f t="shared" si="45"/>
        <v>0</v>
      </c>
      <c r="Q112" s="233"/>
      <c r="R112" s="229"/>
      <c r="T112" s="233"/>
      <c r="U112" s="233"/>
    </row>
    <row r="113" spans="1:21" x14ac:dyDescent="0.35">
      <c r="A113" s="230"/>
      <c r="B113" s="230" t="s">
        <v>114</v>
      </c>
      <c r="C113" s="272" t="s">
        <v>115</v>
      </c>
      <c r="D113" s="233">
        <v>76870</v>
      </c>
      <c r="E113" s="233">
        <v>76870</v>
      </c>
      <c r="F113" s="233">
        <v>76870</v>
      </c>
      <c r="G113" s="233">
        <v>76870</v>
      </c>
      <c r="H113" s="233">
        <v>76870</v>
      </c>
      <c r="I113" s="233">
        <v>76870</v>
      </c>
      <c r="J113" s="233">
        <v>76870</v>
      </c>
      <c r="K113" s="233">
        <v>76870</v>
      </c>
      <c r="L113" s="233">
        <v>76870</v>
      </c>
      <c r="M113" s="233">
        <v>76870</v>
      </c>
      <c r="N113" s="233">
        <v>76870</v>
      </c>
      <c r="O113" s="233">
        <v>76870</v>
      </c>
      <c r="P113" s="273">
        <f t="shared" si="45"/>
        <v>922440</v>
      </c>
      <c r="Q113" s="233"/>
      <c r="R113" s="229"/>
      <c r="T113" s="233"/>
      <c r="U113" s="233"/>
    </row>
    <row r="114" spans="1:21" x14ac:dyDescent="0.35">
      <c r="A114" s="230"/>
      <c r="B114" s="230" t="s">
        <v>73</v>
      </c>
      <c r="C114" s="272" t="s">
        <v>116</v>
      </c>
      <c r="D114" s="233">
        <v>0</v>
      </c>
      <c r="E114" s="233">
        <v>0</v>
      </c>
      <c r="F114" s="233">
        <v>0</v>
      </c>
      <c r="G114" s="233">
        <v>0</v>
      </c>
      <c r="H114" s="233">
        <v>0</v>
      </c>
      <c r="I114" s="233">
        <v>0</v>
      </c>
      <c r="J114" s="233">
        <v>0</v>
      </c>
      <c r="K114" s="233">
        <v>0</v>
      </c>
      <c r="L114" s="233">
        <v>0</v>
      </c>
      <c r="M114" s="233">
        <v>0</v>
      </c>
      <c r="N114" s="233">
        <v>0</v>
      </c>
      <c r="O114" s="233">
        <v>0</v>
      </c>
      <c r="P114" s="273">
        <f t="shared" si="45"/>
        <v>0</v>
      </c>
      <c r="Q114" s="233"/>
      <c r="R114" s="229"/>
      <c r="T114" s="233"/>
      <c r="U114" s="233"/>
    </row>
    <row r="115" spans="1:21" x14ac:dyDescent="0.35">
      <c r="A115" s="230"/>
      <c r="B115" s="230"/>
      <c r="C115" s="272" t="s">
        <v>117</v>
      </c>
      <c r="D115" s="233">
        <v>0</v>
      </c>
      <c r="E115" s="233">
        <v>0</v>
      </c>
      <c r="F115" s="233">
        <v>0</v>
      </c>
      <c r="G115" s="233">
        <v>0</v>
      </c>
      <c r="H115" s="233">
        <v>0</v>
      </c>
      <c r="I115" s="233">
        <v>0</v>
      </c>
      <c r="J115" s="233">
        <v>0</v>
      </c>
      <c r="K115" s="233">
        <v>0</v>
      </c>
      <c r="L115" s="233">
        <v>0</v>
      </c>
      <c r="M115" s="233">
        <v>0</v>
      </c>
      <c r="N115" s="233">
        <v>0</v>
      </c>
      <c r="O115" s="233">
        <v>0</v>
      </c>
      <c r="P115" s="273">
        <f t="shared" si="45"/>
        <v>0</v>
      </c>
      <c r="Q115" s="233"/>
      <c r="R115" s="229"/>
      <c r="T115" s="233"/>
      <c r="U115" s="233"/>
    </row>
    <row r="116" spans="1:21" s="217" customFormat="1" ht="13" x14ac:dyDescent="0.35">
      <c r="A116" s="230"/>
      <c r="B116" s="230"/>
      <c r="C116" s="250" t="s">
        <v>118</v>
      </c>
      <c r="D116" s="257">
        <f t="shared" ref="D116:P116" si="46">SUM(D110:D115)</f>
        <v>76870</v>
      </c>
      <c r="E116" s="257">
        <f t="shared" si="46"/>
        <v>76870</v>
      </c>
      <c r="F116" s="257">
        <f t="shared" si="46"/>
        <v>76870</v>
      </c>
      <c r="G116" s="257">
        <f t="shared" si="46"/>
        <v>76870</v>
      </c>
      <c r="H116" s="257">
        <f t="shared" si="46"/>
        <v>76870</v>
      </c>
      <c r="I116" s="257">
        <f t="shared" si="46"/>
        <v>76870</v>
      </c>
      <c r="J116" s="257">
        <f t="shared" si="46"/>
        <v>76870</v>
      </c>
      <c r="K116" s="257">
        <f t="shared" si="46"/>
        <v>76870</v>
      </c>
      <c r="L116" s="257">
        <f t="shared" si="46"/>
        <v>76870</v>
      </c>
      <c r="M116" s="257">
        <f t="shared" si="46"/>
        <v>76870</v>
      </c>
      <c r="N116" s="257">
        <f t="shared" si="46"/>
        <v>76870</v>
      </c>
      <c r="O116" s="257">
        <f t="shared" si="46"/>
        <v>76870</v>
      </c>
      <c r="P116" s="257">
        <f t="shared" si="46"/>
        <v>922440</v>
      </c>
      <c r="Q116" s="228"/>
      <c r="R116" s="226">
        <f>+IF(P116=0,0,P116/$P$139)</f>
        <v>1.805018962434396E-2</v>
      </c>
      <c r="T116" s="258"/>
      <c r="U116" s="258"/>
    </row>
    <row r="117" spans="1:21" x14ac:dyDescent="0.35">
      <c r="A117" s="230"/>
      <c r="B117" s="230"/>
      <c r="C117" s="272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63"/>
      <c r="Q117" s="233"/>
      <c r="R117" s="229"/>
      <c r="T117" s="233"/>
      <c r="U117" s="233"/>
    </row>
    <row r="118" spans="1:21" x14ac:dyDescent="0.35">
      <c r="A118" s="230"/>
      <c r="B118" s="230"/>
      <c r="C118" s="272" t="s">
        <v>119</v>
      </c>
      <c r="D118" s="233">
        <v>0</v>
      </c>
      <c r="E118" s="233">
        <v>0</v>
      </c>
      <c r="F118" s="233">
        <v>0</v>
      </c>
      <c r="G118" s="233">
        <v>0</v>
      </c>
      <c r="H118" s="233">
        <v>0</v>
      </c>
      <c r="I118" s="233">
        <v>0</v>
      </c>
      <c r="J118" s="233">
        <v>0</v>
      </c>
      <c r="K118" s="233">
        <v>0</v>
      </c>
      <c r="L118" s="233">
        <v>0</v>
      </c>
      <c r="M118" s="233">
        <v>0</v>
      </c>
      <c r="N118" s="233">
        <v>0</v>
      </c>
      <c r="O118" s="233">
        <v>0</v>
      </c>
      <c r="P118" s="273">
        <f t="shared" ref="P118:P123" si="47">SUM(D118:O118)</f>
        <v>0</v>
      </c>
      <c r="Q118" s="233"/>
      <c r="R118" s="229"/>
      <c r="T118" s="233"/>
      <c r="U118" s="233"/>
    </row>
    <row r="119" spans="1:21" x14ac:dyDescent="0.35">
      <c r="A119" s="230"/>
      <c r="B119" s="230"/>
      <c r="C119" s="272" t="s">
        <v>120</v>
      </c>
      <c r="D119" s="233">
        <v>0</v>
      </c>
      <c r="E119" s="233">
        <v>0</v>
      </c>
      <c r="F119" s="233">
        <v>0</v>
      </c>
      <c r="G119" s="233">
        <v>0</v>
      </c>
      <c r="H119" s="233">
        <v>0</v>
      </c>
      <c r="I119" s="233">
        <v>0</v>
      </c>
      <c r="J119" s="233">
        <v>0</v>
      </c>
      <c r="K119" s="233">
        <v>0</v>
      </c>
      <c r="L119" s="233">
        <v>0</v>
      </c>
      <c r="M119" s="233">
        <v>0</v>
      </c>
      <c r="N119" s="233">
        <v>0</v>
      </c>
      <c r="O119" s="233">
        <v>0</v>
      </c>
      <c r="P119" s="273">
        <f t="shared" si="47"/>
        <v>0</v>
      </c>
      <c r="Q119" s="233"/>
      <c r="R119" s="229"/>
      <c r="T119" s="233"/>
      <c r="U119" s="233"/>
    </row>
    <row r="120" spans="1:21" x14ac:dyDescent="0.35">
      <c r="A120" s="230"/>
      <c r="B120" s="230"/>
      <c r="C120" s="272" t="s">
        <v>121</v>
      </c>
      <c r="D120" s="233">
        <v>0</v>
      </c>
      <c r="E120" s="233">
        <v>0</v>
      </c>
      <c r="F120" s="233">
        <v>0</v>
      </c>
      <c r="G120" s="233">
        <v>0</v>
      </c>
      <c r="H120" s="233">
        <v>0</v>
      </c>
      <c r="I120" s="233">
        <v>0</v>
      </c>
      <c r="J120" s="233">
        <v>0</v>
      </c>
      <c r="K120" s="233">
        <v>0</v>
      </c>
      <c r="L120" s="233">
        <v>0</v>
      </c>
      <c r="M120" s="233">
        <v>0</v>
      </c>
      <c r="N120" s="233">
        <v>0</v>
      </c>
      <c r="O120" s="233">
        <v>0</v>
      </c>
      <c r="P120" s="273">
        <f t="shared" si="47"/>
        <v>0</v>
      </c>
      <c r="Q120" s="233"/>
      <c r="R120" s="229"/>
      <c r="T120" s="233"/>
      <c r="U120" s="233"/>
    </row>
    <row r="121" spans="1:21" x14ac:dyDescent="0.35">
      <c r="A121" s="230"/>
      <c r="B121" s="230"/>
      <c r="C121" s="272" t="s">
        <v>122</v>
      </c>
      <c r="D121" s="233">
        <v>0</v>
      </c>
      <c r="E121" s="233">
        <v>0</v>
      </c>
      <c r="F121" s="233">
        <v>0</v>
      </c>
      <c r="G121" s="233">
        <v>0</v>
      </c>
      <c r="H121" s="233">
        <v>0</v>
      </c>
      <c r="I121" s="233">
        <v>0</v>
      </c>
      <c r="J121" s="233">
        <v>0</v>
      </c>
      <c r="K121" s="233">
        <v>0</v>
      </c>
      <c r="L121" s="233">
        <v>0</v>
      </c>
      <c r="M121" s="233">
        <v>0</v>
      </c>
      <c r="N121" s="233">
        <v>0</v>
      </c>
      <c r="O121" s="233">
        <v>0</v>
      </c>
      <c r="P121" s="273">
        <f t="shared" si="47"/>
        <v>0</v>
      </c>
      <c r="Q121" s="233"/>
      <c r="R121" s="229"/>
      <c r="T121" s="233"/>
      <c r="U121" s="233"/>
    </row>
    <row r="122" spans="1:21" x14ac:dyDescent="0.35">
      <c r="A122" s="230"/>
      <c r="B122" s="230"/>
      <c r="C122" s="272" t="s">
        <v>123</v>
      </c>
      <c r="D122" s="233">
        <v>0</v>
      </c>
      <c r="E122" s="233">
        <v>0</v>
      </c>
      <c r="F122" s="233">
        <v>0</v>
      </c>
      <c r="G122" s="233">
        <v>0</v>
      </c>
      <c r="H122" s="233">
        <v>0</v>
      </c>
      <c r="I122" s="233">
        <v>0</v>
      </c>
      <c r="J122" s="233">
        <v>0</v>
      </c>
      <c r="K122" s="233">
        <v>0</v>
      </c>
      <c r="L122" s="233">
        <v>0</v>
      </c>
      <c r="M122" s="233">
        <v>0</v>
      </c>
      <c r="N122" s="233">
        <v>0</v>
      </c>
      <c r="O122" s="233">
        <v>0</v>
      </c>
      <c r="P122" s="273">
        <f t="shared" si="47"/>
        <v>0</v>
      </c>
      <c r="Q122" s="233"/>
      <c r="R122" s="229"/>
      <c r="T122" s="233"/>
      <c r="U122" s="233"/>
    </row>
    <row r="123" spans="1:21" x14ac:dyDescent="0.35">
      <c r="A123" s="230"/>
      <c r="B123" s="230"/>
      <c r="C123" s="272" t="s">
        <v>124</v>
      </c>
      <c r="D123" s="233">
        <v>0</v>
      </c>
      <c r="E123" s="233">
        <v>0</v>
      </c>
      <c r="F123" s="233">
        <v>0</v>
      </c>
      <c r="G123" s="233">
        <v>0</v>
      </c>
      <c r="H123" s="233">
        <v>0</v>
      </c>
      <c r="I123" s="233">
        <v>0</v>
      </c>
      <c r="J123" s="233">
        <v>0</v>
      </c>
      <c r="K123" s="233">
        <v>0</v>
      </c>
      <c r="L123" s="233">
        <v>0</v>
      </c>
      <c r="M123" s="233">
        <v>0</v>
      </c>
      <c r="N123" s="233">
        <v>0</v>
      </c>
      <c r="O123" s="233">
        <v>0</v>
      </c>
      <c r="P123" s="273">
        <f t="shared" si="47"/>
        <v>0</v>
      </c>
      <c r="Q123" s="233"/>
      <c r="R123" s="229"/>
      <c r="T123" s="233"/>
      <c r="U123" s="233"/>
    </row>
    <row r="124" spans="1:21" s="217" customFormat="1" ht="13" x14ac:dyDescent="0.35">
      <c r="A124" s="230"/>
      <c r="B124" s="230"/>
      <c r="C124" s="250" t="s">
        <v>125</v>
      </c>
      <c r="D124" s="257">
        <f>SUM(D118:D123)</f>
        <v>0</v>
      </c>
      <c r="E124" s="257">
        <f t="shared" ref="E124:P124" si="48">SUM(E118:E123)</f>
        <v>0</v>
      </c>
      <c r="F124" s="257">
        <f t="shared" si="48"/>
        <v>0</v>
      </c>
      <c r="G124" s="257">
        <f t="shared" si="48"/>
        <v>0</v>
      </c>
      <c r="H124" s="257">
        <f t="shared" si="48"/>
        <v>0</v>
      </c>
      <c r="I124" s="257">
        <f t="shared" si="48"/>
        <v>0</v>
      </c>
      <c r="J124" s="257">
        <f t="shared" si="48"/>
        <v>0</v>
      </c>
      <c r="K124" s="257">
        <f t="shared" si="48"/>
        <v>0</v>
      </c>
      <c r="L124" s="257">
        <f t="shared" si="48"/>
        <v>0</v>
      </c>
      <c r="M124" s="257">
        <f t="shared" si="48"/>
        <v>0</v>
      </c>
      <c r="N124" s="257">
        <f t="shared" si="48"/>
        <v>0</v>
      </c>
      <c r="O124" s="257">
        <f t="shared" si="48"/>
        <v>0</v>
      </c>
      <c r="P124" s="257">
        <f t="shared" si="48"/>
        <v>0</v>
      </c>
      <c r="Q124" s="228"/>
      <c r="R124" s="226">
        <f>+IF(P124=0,0,P124/$P$139)</f>
        <v>0</v>
      </c>
      <c r="T124" s="258"/>
      <c r="U124" s="258"/>
    </row>
    <row r="125" spans="1:21" x14ac:dyDescent="0.35">
      <c r="A125" s="230"/>
      <c r="B125" s="230"/>
      <c r="C125" s="272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63"/>
      <c r="Q125" s="233"/>
      <c r="R125" s="229"/>
      <c r="T125" s="233"/>
      <c r="U125" s="233"/>
    </row>
    <row r="126" spans="1:21" x14ac:dyDescent="0.35">
      <c r="A126" s="277"/>
      <c r="B126" s="230"/>
      <c r="C126" s="272" t="s">
        <v>303</v>
      </c>
      <c r="D126" s="233">
        <v>350000</v>
      </c>
      <c r="E126" s="233">
        <v>750000</v>
      </c>
      <c r="F126" s="233">
        <v>600000</v>
      </c>
      <c r="G126" s="233">
        <v>850000</v>
      </c>
      <c r="H126" s="233">
        <v>850000</v>
      </c>
      <c r="I126" s="233">
        <v>850000</v>
      </c>
      <c r="J126" s="233">
        <v>850000</v>
      </c>
      <c r="K126" s="233">
        <v>650000</v>
      </c>
      <c r="L126" s="233">
        <v>500000</v>
      </c>
      <c r="M126" s="233">
        <v>500000</v>
      </c>
      <c r="N126" s="233">
        <v>500000</v>
      </c>
      <c r="O126" s="233">
        <v>500000</v>
      </c>
      <c r="P126" s="273">
        <f>SUM(D126:O126)</f>
        <v>7750000</v>
      </c>
      <c r="Q126" s="233"/>
      <c r="R126" s="229"/>
      <c r="T126" s="233"/>
      <c r="U126" s="233"/>
    </row>
    <row r="127" spans="1:21" x14ac:dyDescent="0.35">
      <c r="A127" s="230"/>
      <c r="B127" s="230"/>
      <c r="C127" s="272" t="s">
        <v>304</v>
      </c>
      <c r="D127" s="233">
        <v>100000</v>
      </c>
      <c r="E127" s="233">
        <v>100000</v>
      </c>
      <c r="F127" s="233">
        <v>100000</v>
      </c>
      <c r="G127" s="233">
        <v>150000</v>
      </c>
      <c r="H127" s="233">
        <v>150000</v>
      </c>
      <c r="I127" s="233">
        <v>150000</v>
      </c>
      <c r="J127" s="233">
        <v>150000</v>
      </c>
      <c r="K127" s="233">
        <v>150000</v>
      </c>
      <c r="L127" s="233">
        <v>150000</v>
      </c>
      <c r="M127" s="233">
        <v>100000</v>
      </c>
      <c r="N127" s="233">
        <v>100000</v>
      </c>
      <c r="O127" s="233">
        <v>100000</v>
      </c>
      <c r="P127" s="273">
        <f t="shared" ref="P127:P130" si="49">SUM(D127:O127)</f>
        <v>1500000</v>
      </c>
      <c r="Q127" s="233"/>
      <c r="R127" s="229"/>
      <c r="T127" s="233"/>
      <c r="U127" s="233"/>
    </row>
    <row r="128" spans="1:21" x14ac:dyDescent="0.35">
      <c r="B128" s="230"/>
      <c r="C128" s="272" t="s">
        <v>305</v>
      </c>
      <c r="D128" s="233">
        <v>50000</v>
      </c>
      <c r="E128" s="233">
        <v>100000</v>
      </c>
      <c r="F128" s="233">
        <v>400000</v>
      </c>
      <c r="G128" s="233">
        <v>1000000</v>
      </c>
      <c r="H128" s="233">
        <v>1000000</v>
      </c>
      <c r="I128" s="233">
        <v>200000</v>
      </c>
      <c r="J128" s="233">
        <v>100000</v>
      </c>
      <c r="K128" s="233">
        <v>100000</v>
      </c>
      <c r="L128" s="233">
        <v>200000</v>
      </c>
      <c r="M128" s="233">
        <v>200000</v>
      </c>
      <c r="N128" s="233">
        <v>100000</v>
      </c>
      <c r="O128" s="233">
        <v>50000</v>
      </c>
      <c r="P128" s="273">
        <f t="shared" si="49"/>
        <v>3500000</v>
      </c>
      <c r="Q128" s="233"/>
      <c r="R128" s="229"/>
      <c r="T128" s="233"/>
      <c r="U128" s="233"/>
    </row>
    <row r="129" spans="1:21" x14ac:dyDescent="0.35">
      <c r="A129" s="230"/>
      <c r="B129" s="230"/>
      <c r="C129" s="272" t="s">
        <v>306</v>
      </c>
      <c r="D129" s="233">
        <v>50000</v>
      </c>
      <c r="E129" s="233">
        <v>80000</v>
      </c>
      <c r="F129" s="233">
        <v>80000</v>
      </c>
      <c r="G129" s="233">
        <v>80000</v>
      </c>
      <c r="H129" s="233">
        <v>60000</v>
      </c>
      <c r="I129" s="233">
        <v>50000</v>
      </c>
      <c r="J129" s="233">
        <v>50000</v>
      </c>
      <c r="K129" s="233">
        <v>50000</v>
      </c>
      <c r="L129" s="233">
        <v>50000</v>
      </c>
      <c r="M129" s="233">
        <v>50000</v>
      </c>
      <c r="N129" s="233">
        <v>50000</v>
      </c>
      <c r="O129" s="233">
        <v>50000</v>
      </c>
      <c r="P129" s="273">
        <f t="shared" si="49"/>
        <v>700000</v>
      </c>
      <c r="Q129" s="233"/>
      <c r="R129" s="229"/>
      <c r="T129" s="233"/>
      <c r="U129" s="233"/>
    </row>
    <row r="130" spans="1:21" x14ac:dyDescent="0.35">
      <c r="A130" s="230"/>
      <c r="B130" s="230"/>
      <c r="C130" s="272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73">
        <f t="shared" si="49"/>
        <v>0</v>
      </c>
      <c r="Q130" s="233"/>
      <c r="R130" s="229"/>
      <c r="T130" s="233"/>
      <c r="U130" s="233"/>
    </row>
    <row r="131" spans="1:21" s="217" customFormat="1" ht="13" x14ac:dyDescent="0.35">
      <c r="A131" s="230"/>
      <c r="B131" s="230"/>
      <c r="C131" s="250" t="s">
        <v>130</v>
      </c>
      <c r="D131" s="257">
        <f>SUM(D126:D129)</f>
        <v>550000</v>
      </c>
      <c r="E131" s="257">
        <f t="shared" ref="E131:O131" si="50">SUM(E126:E129)</f>
        <v>1030000</v>
      </c>
      <c r="F131" s="257">
        <f t="shared" si="50"/>
        <v>1180000</v>
      </c>
      <c r="G131" s="257">
        <f t="shared" si="50"/>
        <v>2080000</v>
      </c>
      <c r="H131" s="257">
        <f t="shared" si="50"/>
        <v>2060000</v>
      </c>
      <c r="I131" s="257">
        <f t="shared" si="50"/>
        <v>1250000</v>
      </c>
      <c r="J131" s="257">
        <f t="shared" si="50"/>
        <v>1150000</v>
      </c>
      <c r="K131" s="257">
        <f t="shared" si="50"/>
        <v>950000</v>
      </c>
      <c r="L131" s="257">
        <f t="shared" si="50"/>
        <v>900000</v>
      </c>
      <c r="M131" s="257">
        <f t="shared" si="50"/>
        <v>850000</v>
      </c>
      <c r="N131" s="257">
        <f t="shared" si="50"/>
        <v>750000</v>
      </c>
      <c r="O131" s="257">
        <f t="shared" si="50"/>
        <v>700000</v>
      </c>
      <c r="P131" s="257">
        <f>SUM(P126:P129)</f>
        <v>13450000</v>
      </c>
      <c r="Q131" s="228"/>
      <c r="R131" s="226">
        <f>+IF(P131=0,0,P131/$P$139)</f>
        <v>0.26318790430534911</v>
      </c>
      <c r="T131" s="258"/>
      <c r="U131" s="258"/>
    </row>
    <row r="132" spans="1:21" x14ac:dyDescent="0.35">
      <c r="A132" s="230"/>
      <c r="B132" s="230"/>
      <c r="C132" s="272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63"/>
      <c r="Q132" s="233"/>
      <c r="R132" s="229"/>
      <c r="T132" s="233"/>
      <c r="U132" s="233"/>
    </row>
    <row r="133" spans="1:21" x14ac:dyDescent="0.35">
      <c r="A133" s="230"/>
      <c r="B133" s="230" t="s">
        <v>114</v>
      </c>
      <c r="C133" s="272" t="s">
        <v>131</v>
      </c>
      <c r="D133" s="233">
        <v>16838</v>
      </c>
      <c r="E133" s="233">
        <v>16838</v>
      </c>
      <c r="F133" s="233">
        <v>16838</v>
      </c>
      <c r="G133" s="233">
        <v>16838</v>
      </c>
      <c r="H133" s="233">
        <v>16838</v>
      </c>
      <c r="I133" s="233">
        <v>16838</v>
      </c>
      <c r="J133" s="233">
        <v>16838</v>
      </c>
      <c r="K133" s="233">
        <v>16838</v>
      </c>
      <c r="L133" s="233">
        <v>16838</v>
      </c>
      <c r="M133" s="233">
        <v>16838</v>
      </c>
      <c r="N133" s="233">
        <v>16838</v>
      </c>
      <c r="O133" s="233">
        <v>16838</v>
      </c>
      <c r="P133" s="273">
        <f>SUM(D133:O133)</f>
        <v>202056</v>
      </c>
      <c r="Q133" s="233"/>
      <c r="R133" s="229"/>
      <c r="T133" s="233"/>
      <c r="U133" s="233"/>
    </row>
    <row r="134" spans="1:21" s="217" customFormat="1" ht="13" x14ac:dyDescent="0.35">
      <c r="A134" s="230"/>
      <c r="B134" s="230"/>
      <c r="C134" s="250" t="s">
        <v>132</v>
      </c>
      <c r="D134" s="257">
        <f>+D133</f>
        <v>16838</v>
      </c>
      <c r="E134" s="257">
        <f t="shared" ref="E134:P134" si="51">+E133</f>
        <v>16838</v>
      </c>
      <c r="F134" s="257">
        <f t="shared" si="51"/>
        <v>16838</v>
      </c>
      <c r="G134" s="257">
        <f t="shared" si="51"/>
        <v>16838</v>
      </c>
      <c r="H134" s="257">
        <f t="shared" si="51"/>
        <v>16838</v>
      </c>
      <c r="I134" s="257">
        <f t="shared" si="51"/>
        <v>16838</v>
      </c>
      <c r="J134" s="257">
        <f t="shared" si="51"/>
        <v>16838</v>
      </c>
      <c r="K134" s="257">
        <f t="shared" si="51"/>
        <v>16838</v>
      </c>
      <c r="L134" s="257">
        <f t="shared" si="51"/>
        <v>16838</v>
      </c>
      <c r="M134" s="257">
        <f t="shared" si="51"/>
        <v>16838</v>
      </c>
      <c r="N134" s="257">
        <f t="shared" si="51"/>
        <v>16838</v>
      </c>
      <c r="O134" s="257">
        <f t="shared" si="51"/>
        <v>16838</v>
      </c>
      <c r="P134" s="257">
        <f t="shared" si="51"/>
        <v>202056</v>
      </c>
      <c r="Q134" s="228"/>
      <c r="R134" s="226">
        <f>+IF(P134=0,0,P134/$P$139)</f>
        <v>3.9538063340016074E-3</v>
      </c>
      <c r="T134" s="258"/>
      <c r="U134" s="258"/>
    </row>
    <row r="135" spans="1:21" x14ac:dyDescent="0.35">
      <c r="A135" s="230"/>
      <c r="B135" s="230"/>
      <c r="C135" s="272" t="s">
        <v>307</v>
      </c>
      <c r="D135" s="233">
        <v>0</v>
      </c>
      <c r="E135" s="233">
        <v>0</v>
      </c>
      <c r="F135" s="233">
        <v>0</v>
      </c>
      <c r="G135" s="233">
        <v>0</v>
      </c>
      <c r="H135" s="233">
        <v>150000</v>
      </c>
      <c r="I135" s="233">
        <v>150000</v>
      </c>
      <c r="J135" s="233">
        <v>0</v>
      </c>
      <c r="K135" s="233">
        <v>0</v>
      </c>
      <c r="L135" s="233">
        <v>0</v>
      </c>
      <c r="M135" s="233">
        <v>0</v>
      </c>
      <c r="N135" s="233">
        <v>0</v>
      </c>
      <c r="O135" s="233">
        <v>0</v>
      </c>
      <c r="P135" s="273">
        <f>SUM(D135:O135)</f>
        <v>300000</v>
      </c>
      <c r="Q135" s="233"/>
      <c r="R135" s="229"/>
      <c r="T135" s="233"/>
      <c r="U135" s="233"/>
    </row>
    <row r="136" spans="1:21" x14ac:dyDescent="0.35">
      <c r="A136" s="230"/>
      <c r="B136" s="230" t="s">
        <v>133</v>
      </c>
      <c r="C136" s="272" t="s">
        <v>134</v>
      </c>
      <c r="D136" s="233">
        <v>10000</v>
      </c>
      <c r="E136" s="233">
        <v>10000</v>
      </c>
      <c r="F136" s="233">
        <v>10000</v>
      </c>
      <c r="G136" s="233">
        <v>10000</v>
      </c>
      <c r="H136" s="233">
        <v>10000</v>
      </c>
      <c r="I136" s="233">
        <v>10000</v>
      </c>
      <c r="J136" s="233">
        <v>10000</v>
      </c>
      <c r="K136" s="233">
        <v>10000</v>
      </c>
      <c r="L136" s="233">
        <v>10000</v>
      </c>
      <c r="M136" s="233">
        <v>10000</v>
      </c>
      <c r="N136" s="233">
        <v>10000</v>
      </c>
      <c r="O136" s="233">
        <v>10000</v>
      </c>
      <c r="P136" s="273">
        <f>SUM(D136:O136)</f>
        <v>120000</v>
      </c>
      <c r="Q136" s="233"/>
      <c r="R136" s="229"/>
      <c r="T136" s="233"/>
      <c r="U136" s="233"/>
    </row>
    <row r="137" spans="1:21" s="217" customFormat="1" ht="13" x14ac:dyDescent="0.35">
      <c r="A137" s="259"/>
      <c r="B137" s="260"/>
      <c r="C137" s="250" t="s">
        <v>135</v>
      </c>
      <c r="D137" s="257">
        <f>SUM(D135:D136)</f>
        <v>10000</v>
      </c>
      <c r="E137" s="257">
        <f t="shared" ref="E137:P137" si="52">SUM(E135:E136)</f>
        <v>10000</v>
      </c>
      <c r="F137" s="257">
        <f t="shared" si="52"/>
        <v>10000</v>
      </c>
      <c r="G137" s="257">
        <f t="shared" si="52"/>
        <v>10000</v>
      </c>
      <c r="H137" s="257">
        <f t="shared" si="52"/>
        <v>160000</v>
      </c>
      <c r="I137" s="257">
        <f t="shared" si="52"/>
        <v>160000</v>
      </c>
      <c r="J137" s="257">
        <f t="shared" si="52"/>
        <v>10000</v>
      </c>
      <c r="K137" s="257">
        <f t="shared" si="52"/>
        <v>10000</v>
      </c>
      <c r="L137" s="257">
        <f t="shared" si="52"/>
        <v>10000</v>
      </c>
      <c r="M137" s="257">
        <f t="shared" si="52"/>
        <v>10000</v>
      </c>
      <c r="N137" s="257">
        <f t="shared" si="52"/>
        <v>10000</v>
      </c>
      <c r="O137" s="257">
        <f t="shared" si="52"/>
        <v>10000</v>
      </c>
      <c r="P137" s="257">
        <f t="shared" si="52"/>
        <v>420000</v>
      </c>
      <c r="Q137" s="228"/>
      <c r="R137" s="226">
        <f>+IF(P137=0,0,P137/$P$139)</f>
        <v>8.2185070489402701E-3</v>
      </c>
      <c r="T137" s="258"/>
      <c r="U137" s="258"/>
    </row>
    <row r="138" spans="1:21" ht="15" thickBot="1" x14ac:dyDescent="0.4">
      <c r="B138" s="278"/>
      <c r="C138" s="279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28"/>
      <c r="Q138" s="233"/>
      <c r="R138" s="229"/>
      <c r="T138" s="233"/>
      <c r="U138" s="233"/>
    </row>
    <row r="139" spans="1:21" s="217" customFormat="1" ht="13" x14ac:dyDescent="0.35">
      <c r="B139" s="280"/>
      <c r="C139" s="250" t="s">
        <v>136</v>
      </c>
      <c r="D139" s="231">
        <f>+D48+D51+D54+D61+D64+D67+D75+D81+D84+D93+D102+D105+D108+D116+D124+D131+D134+D137</f>
        <v>1790851</v>
      </c>
      <c r="E139" s="231">
        <f t="shared" ref="E139:O139" si="53">+E48+E51+E54+E61+E64+E67+E75+E81+E84+E93+E102+E105+E108+E116+E124+E131+E134+E137</f>
        <v>1981581</v>
      </c>
      <c r="F139" s="231">
        <f t="shared" si="53"/>
        <v>2722937</v>
      </c>
      <c r="G139" s="231">
        <f t="shared" si="53"/>
        <v>3526435</v>
      </c>
      <c r="H139" s="231">
        <f t="shared" si="53"/>
        <v>3342042</v>
      </c>
      <c r="I139" s="231">
        <f t="shared" si="53"/>
        <v>3294757</v>
      </c>
      <c r="J139" s="231">
        <f t="shared" si="53"/>
        <v>2467607</v>
      </c>
      <c r="K139" s="231">
        <f t="shared" si="53"/>
        <v>2035180</v>
      </c>
      <c r="L139" s="231">
        <f t="shared" si="53"/>
        <v>2549503</v>
      </c>
      <c r="M139" s="231">
        <f t="shared" si="53"/>
        <v>2172411</v>
      </c>
      <c r="N139" s="231">
        <f t="shared" si="53"/>
        <v>2003512</v>
      </c>
      <c r="O139" s="231">
        <f t="shared" si="53"/>
        <v>2359198</v>
      </c>
      <c r="P139" s="231">
        <f>+P45+P48+P51+P54+P61+P64+P67+P75+P81+P84+P93+P102+P105+P108+P116+P124+P131+P134+P137</f>
        <v>51104172.266197257</v>
      </c>
      <c r="Q139" s="228"/>
      <c r="R139" s="226">
        <f>+IF(P139=0,0,P139/$P$139)</f>
        <v>1</v>
      </c>
      <c r="T139" s="232"/>
      <c r="U139" s="232"/>
    </row>
    <row r="140" spans="1:21" x14ac:dyDescent="0.35">
      <c r="B140" s="278"/>
      <c r="C140" s="281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28"/>
      <c r="Q140" s="233"/>
      <c r="R140" s="229"/>
    </row>
    <row r="141" spans="1:21" x14ac:dyDescent="0.35">
      <c r="C141" s="235" t="s">
        <v>137</v>
      </c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28"/>
      <c r="Q141" s="233"/>
      <c r="R141" s="229"/>
    </row>
    <row r="142" spans="1:21" x14ac:dyDescent="0.35">
      <c r="C142" s="283"/>
      <c r="D142" s="283"/>
      <c r="E142" s="283"/>
      <c r="F142" s="283"/>
      <c r="G142" s="283"/>
      <c r="H142" s="23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4"/>
    </row>
    <row r="143" spans="1:21" x14ac:dyDescent="0.35">
      <c r="C143" s="285"/>
      <c r="D143" s="286"/>
      <c r="E143" s="286"/>
      <c r="F143" s="286"/>
      <c r="G143" s="286"/>
      <c r="H143" s="233"/>
      <c r="I143" s="286"/>
      <c r="J143" s="286"/>
      <c r="K143" s="286"/>
      <c r="L143" s="286"/>
      <c r="M143" s="286"/>
      <c r="N143" s="286"/>
      <c r="O143" s="286"/>
      <c r="P143" s="287"/>
      <c r="Q143" s="286"/>
      <c r="R143" s="288"/>
    </row>
    <row r="144" spans="1:21" x14ac:dyDescent="0.35">
      <c r="C144" s="289"/>
      <c r="D144" s="289"/>
      <c r="E144" s="289"/>
      <c r="F144" s="290"/>
      <c r="G144" s="289"/>
      <c r="H144" s="291"/>
      <c r="I144" s="289"/>
      <c r="J144" s="291"/>
      <c r="K144" s="289"/>
      <c r="L144" s="289"/>
      <c r="M144" s="289"/>
      <c r="N144" s="289"/>
      <c r="O144" s="289"/>
      <c r="P144" s="289"/>
      <c r="Q144" s="289"/>
      <c r="R144" s="288"/>
    </row>
    <row r="145" spans="1:34" s="282" customFormat="1" ht="13.5" customHeight="1" x14ac:dyDescent="0.35">
      <c r="B145" s="292"/>
      <c r="C145" s="292"/>
      <c r="D145" s="292"/>
      <c r="E145" s="292"/>
      <c r="F145" s="290"/>
      <c r="G145" s="289"/>
      <c r="H145" s="291"/>
      <c r="I145" s="289"/>
      <c r="J145" s="291"/>
      <c r="K145" s="289"/>
      <c r="L145" s="289"/>
      <c r="M145" s="289"/>
      <c r="N145" s="289"/>
      <c r="O145" s="289"/>
      <c r="P145" s="289"/>
      <c r="Q145" s="289"/>
      <c r="R145" s="288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</row>
    <row r="146" spans="1:34" s="282" customFormat="1" ht="23" x14ac:dyDescent="0.35">
      <c r="B146" s="293" t="s">
        <v>138</v>
      </c>
      <c r="C146" s="294" t="s">
        <v>139</v>
      </c>
      <c r="D146" s="294" t="s">
        <v>140</v>
      </c>
      <c r="E146" s="294" t="s">
        <v>141</v>
      </c>
      <c r="F146" s="294" t="s">
        <v>142</v>
      </c>
      <c r="G146" s="295" t="s">
        <v>143</v>
      </c>
      <c r="H146" s="294" t="s">
        <v>144</v>
      </c>
      <c r="I146" s="103" t="s">
        <v>145</v>
      </c>
      <c r="J146" s="103" t="s">
        <v>146</v>
      </c>
      <c r="K146" s="103" t="s">
        <v>147</v>
      </c>
      <c r="L146" s="103" t="s">
        <v>148</v>
      </c>
      <c r="M146" s="296">
        <v>0</v>
      </c>
      <c r="N146" s="296"/>
      <c r="O146" s="108">
        <v>15</v>
      </c>
      <c r="P146" s="103" t="s">
        <v>149</v>
      </c>
      <c r="Q146" s="297" t="s">
        <v>150</v>
      </c>
      <c r="R146" s="297" t="s">
        <v>151</v>
      </c>
      <c r="S146" s="294" t="s">
        <v>152</v>
      </c>
      <c r="T146" s="298">
        <v>0.03</v>
      </c>
      <c r="U146" s="294" t="s">
        <v>53</v>
      </c>
      <c r="V146" s="294" t="s">
        <v>153</v>
      </c>
      <c r="W146" s="294" t="s">
        <v>154</v>
      </c>
      <c r="X146" s="294" t="s">
        <v>155</v>
      </c>
      <c r="Y146" s="299"/>
      <c r="Z146" s="234"/>
      <c r="AA146" s="234"/>
      <c r="AB146" s="234"/>
      <c r="AC146" s="234"/>
      <c r="AF146" s="234"/>
    </row>
    <row r="147" spans="1:34" x14ac:dyDescent="0.35">
      <c r="B147" s="300"/>
      <c r="C147" s="301"/>
      <c r="D147" s="301"/>
      <c r="E147" s="302"/>
      <c r="F147" s="302"/>
      <c r="G147" s="303" t="s">
        <v>156</v>
      </c>
      <c r="H147" s="304" t="s">
        <v>157</v>
      </c>
      <c r="I147" s="305" t="s">
        <v>158</v>
      </c>
      <c r="J147" s="305" t="s">
        <v>158</v>
      </c>
      <c r="K147" s="305" t="s">
        <v>158</v>
      </c>
      <c r="L147" s="305" t="s">
        <v>158</v>
      </c>
      <c r="M147" s="305" t="s">
        <v>159</v>
      </c>
      <c r="N147" s="305" t="s">
        <v>160</v>
      </c>
      <c r="O147" s="306" t="s">
        <v>161</v>
      </c>
      <c r="P147" s="307">
        <v>1.9E-2</v>
      </c>
      <c r="Q147" s="308" t="s">
        <v>158</v>
      </c>
      <c r="R147" s="309" t="s">
        <v>162</v>
      </c>
      <c r="S147" s="305" t="s">
        <v>163</v>
      </c>
      <c r="T147" s="310" t="s">
        <v>164</v>
      </c>
      <c r="U147" s="304">
        <v>0.02</v>
      </c>
      <c r="V147" s="310">
        <v>3.15E-2</v>
      </c>
      <c r="W147" s="304" t="s">
        <v>165</v>
      </c>
      <c r="X147" s="304">
        <v>0.05</v>
      </c>
      <c r="Y147" s="299"/>
    </row>
    <row r="148" spans="1:34" x14ac:dyDescent="0.35">
      <c r="A148" s="234" t="s">
        <v>308</v>
      </c>
      <c r="B148" s="311" t="s">
        <v>309</v>
      </c>
      <c r="C148" s="312" t="s">
        <v>310</v>
      </c>
      <c r="D148" s="311">
        <v>1</v>
      </c>
      <c r="E148" s="313">
        <v>400</v>
      </c>
      <c r="F148" s="314">
        <f t="shared" ref="F148:F211" si="54">+E148*D148*30</f>
        <v>12000</v>
      </c>
      <c r="G148" s="315">
        <f t="shared" ref="G148:G211" si="55">+F148*12</f>
        <v>144000</v>
      </c>
      <c r="H148" s="316">
        <v>0</v>
      </c>
      <c r="I148" s="317"/>
      <c r="J148" s="317"/>
      <c r="K148" s="317"/>
      <c r="L148" s="317"/>
      <c r="M148" s="315">
        <f t="shared" ref="M148:M153" si="56">+F148*$M$146</f>
        <v>0</v>
      </c>
      <c r="N148" s="315">
        <v>0</v>
      </c>
      <c r="O148" s="315">
        <f t="shared" ref="O148:O153" si="57">+(F148/30)*$O$146/12</f>
        <v>500</v>
      </c>
      <c r="P148" s="315">
        <v>0</v>
      </c>
      <c r="Q148" s="317"/>
      <c r="R148" s="315">
        <v>1200</v>
      </c>
      <c r="S148" s="318"/>
      <c r="T148" s="315">
        <f t="shared" ref="T148:T153" si="58">(+F148+J148+K148+L148+N148+P148+O148+Q148+R148)*$T$146</f>
        <v>411</v>
      </c>
      <c r="U148" s="315">
        <f t="shared" ref="U148:U153" si="59">IF((+F148+J148+K148+L148+N148+O148+P148+Q148+R148)&gt;56617.5,1132.35,(+F148+J148+K148+L148+N148+O148+P148+Q148+R148)*$U$147)</f>
        <v>274</v>
      </c>
      <c r="V148" s="315">
        <f t="shared" ref="V148:V153" si="60">IF((+F148+J148+K148+L148+N148+O148+P148+Q148+R148)&gt;56617.5,1783.45,(+F148+J148+K148+L148+N148+O148+P148+Q148+R148)*$V$147)</f>
        <v>431.55</v>
      </c>
      <c r="W148" s="315">
        <v>0</v>
      </c>
      <c r="X148" s="315">
        <f t="shared" ref="X148:X153" si="61">IF((+F148+J148+K148+L148+N148+O148+P148+Q148+R148)&gt;56617.5,2830.88,(+F148+J148+K148+L148+N148+O148+P148+Q148+R148)*$X$147)</f>
        <v>685</v>
      </c>
      <c r="Y148" s="319"/>
    </row>
    <row r="149" spans="1:34" x14ac:dyDescent="0.35">
      <c r="A149" s="234" t="s">
        <v>308</v>
      </c>
      <c r="B149" s="311" t="s">
        <v>309</v>
      </c>
      <c r="C149" s="312" t="s">
        <v>311</v>
      </c>
      <c r="D149" s="311">
        <v>1</v>
      </c>
      <c r="E149" s="313">
        <v>433.33333333333331</v>
      </c>
      <c r="F149" s="314">
        <f t="shared" si="54"/>
        <v>13000</v>
      </c>
      <c r="G149" s="315">
        <f t="shared" si="55"/>
        <v>156000</v>
      </c>
      <c r="H149" s="316">
        <v>0</v>
      </c>
      <c r="I149" s="317"/>
      <c r="J149" s="317"/>
      <c r="K149" s="317"/>
      <c r="L149" s="317"/>
      <c r="M149" s="315">
        <f t="shared" si="56"/>
        <v>0</v>
      </c>
      <c r="N149" s="315">
        <v>0</v>
      </c>
      <c r="O149" s="315">
        <f t="shared" si="57"/>
        <v>541.66666666666663</v>
      </c>
      <c r="P149" s="315">
        <v>0</v>
      </c>
      <c r="Q149" s="317"/>
      <c r="R149" s="315">
        <v>1300</v>
      </c>
      <c r="S149" s="318">
        <v>0</v>
      </c>
      <c r="T149" s="315">
        <f t="shared" si="58"/>
        <v>445.24999999999994</v>
      </c>
      <c r="U149" s="315">
        <f t="shared" si="59"/>
        <v>296.83333333333331</v>
      </c>
      <c r="V149" s="315">
        <f t="shared" si="60"/>
        <v>467.51249999999999</v>
      </c>
      <c r="W149" s="315">
        <v>0</v>
      </c>
      <c r="X149" s="315">
        <f t="shared" si="61"/>
        <v>742.08333333333337</v>
      </c>
      <c r="Y149" s="319"/>
    </row>
    <row r="150" spans="1:34" x14ac:dyDescent="0.35">
      <c r="A150" s="234" t="s">
        <v>308</v>
      </c>
      <c r="B150" s="311" t="s">
        <v>309</v>
      </c>
      <c r="C150" s="312" t="s">
        <v>312</v>
      </c>
      <c r="D150" s="311">
        <v>1</v>
      </c>
      <c r="E150" s="313">
        <v>433.33333333333331</v>
      </c>
      <c r="F150" s="314">
        <f t="shared" si="54"/>
        <v>13000</v>
      </c>
      <c r="G150" s="315">
        <f t="shared" si="55"/>
        <v>156000</v>
      </c>
      <c r="H150" s="316">
        <v>0</v>
      </c>
      <c r="I150" s="317"/>
      <c r="J150" s="317"/>
      <c r="K150" s="317"/>
      <c r="L150" s="317"/>
      <c r="M150" s="315">
        <f t="shared" si="56"/>
        <v>0</v>
      </c>
      <c r="N150" s="315">
        <v>0</v>
      </c>
      <c r="O150" s="315">
        <f t="shared" si="57"/>
        <v>541.66666666666663</v>
      </c>
      <c r="P150" s="315">
        <v>0</v>
      </c>
      <c r="Q150" s="317"/>
      <c r="R150" s="315">
        <v>1300</v>
      </c>
      <c r="S150" s="318">
        <v>0</v>
      </c>
      <c r="T150" s="315">
        <f t="shared" si="58"/>
        <v>445.24999999999994</v>
      </c>
      <c r="U150" s="315">
        <f t="shared" si="59"/>
        <v>296.83333333333331</v>
      </c>
      <c r="V150" s="315">
        <f t="shared" si="60"/>
        <v>467.51249999999999</v>
      </c>
      <c r="W150" s="315">
        <v>0</v>
      </c>
      <c r="X150" s="315">
        <f t="shared" si="61"/>
        <v>742.08333333333337</v>
      </c>
      <c r="Y150" s="319"/>
    </row>
    <row r="151" spans="1:34" x14ac:dyDescent="0.35">
      <c r="A151" s="234" t="s">
        <v>313</v>
      </c>
      <c r="B151" s="311" t="s">
        <v>314</v>
      </c>
      <c r="C151" s="312" t="s">
        <v>315</v>
      </c>
      <c r="D151" s="311">
        <v>1</v>
      </c>
      <c r="E151" s="313">
        <v>400</v>
      </c>
      <c r="F151" s="314">
        <f t="shared" si="54"/>
        <v>12000</v>
      </c>
      <c r="G151" s="315">
        <f t="shared" si="55"/>
        <v>144000</v>
      </c>
      <c r="H151" s="316">
        <v>0</v>
      </c>
      <c r="I151" s="317"/>
      <c r="J151" s="317"/>
      <c r="K151" s="317"/>
      <c r="L151" s="317"/>
      <c r="M151" s="315">
        <f t="shared" si="56"/>
        <v>0</v>
      </c>
      <c r="N151" s="315">
        <v>0</v>
      </c>
      <c r="O151" s="315">
        <f t="shared" si="57"/>
        <v>500</v>
      </c>
      <c r="P151" s="315">
        <v>0</v>
      </c>
      <c r="Q151" s="317"/>
      <c r="R151" s="315">
        <v>1200</v>
      </c>
      <c r="S151" s="318"/>
      <c r="T151" s="315">
        <f t="shared" si="58"/>
        <v>411</v>
      </c>
      <c r="U151" s="315">
        <f t="shared" si="59"/>
        <v>274</v>
      </c>
      <c r="V151" s="315">
        <f t="shared" si="60"/>
        <v>431.55</v>
      </c>
      <c r="W151" s="315">
        <v>0</v>
      </c>
      <c r="X151" s="315">
        <f t="shared" si="61"/>
        <v>685</v>
      </c>
      <c r="Y151" s="319"/>
    </row>
    <row r="152" spans="1:34" x14ac:dyDescent="0.35">
      <c r="A152" s="234" t="s">
        <v>313</v>
      </c>
      <c r="B152" s="311" t="s">
        <v>314</v>
      </c>
      <c r="C152" s="312" t="s">
        <v>316</v>
      </c>
      <c r="D152" s="311">
        <v>1</v>
      </c>
      <c r="E152" s="313">
        <v>433.33333333333331</v>
      </c>
      <c r="F152" s="314">
        <f t="shared" si="54"/>
        <v>13000</v>
      </c>
      <c r="G152" s="315">
        <f t="shared" si="55"/>
        <v>156000</v>
      </c>
      <c r="H152" s="316">
        <v>0</v>
      </c>
      <c r="I152" s="317"/>
      <c r="J152" s="317"/>
      <c r="K152" s="317"/>
      <c r="L152" s="317"/>
      <c r="M152" s="315">
        <f t="shared" si="56"/>
        <v>0</v>
      </c>
      <c r="N152" s="315">
        <v>0</v>
      </c>
      <c r="O152" s="315">
        <f t="shared" si="57"/>
        <v>541.66666666666663</v>
      </c>
      <c r="P152" s="315">
        <v>0</v>
      </c>
      <c r="Q152" s="317"/>
      <c r="R152" s="315">
        <v>1300</v>
      </c>
      <c r="S152" s="318"/>
      <c r="T152" s="315">
        <f t="shared" si="58"/>
        <v>445.24999999999994</v>
      </c>
      <c r="U152" s="315">
        <f t="shared" si="59"/>
        <v>296.83333333333331</v>
      </c>
      <c r="V152" s="315">
        <f t="shared" si="60"/>
        <v>467.51249999999999</v>
      </c>
      <c r="W152" s="315">
        <v>0</v>
      </c>
      <c r="X152" s="315">
        <f t="shared" si="61"/>
        <v>742.08333333333337</v>
      </c>
      <c r="Y152" s="319"/>
    </row>
    <row r="153" spans="1:34" x14ac:dyDescent="0.35">
      <c r="A153" s="234" t="s">
        <v>263</v>
      </c>
      <c r="B153" s="311" t="s">
        <v>317</v>
      </c>
      <c r="C153" s="312" t="s">
        <v>318</v>
      </c>
      <c r="D153" s="311">
        <v>1</v>
      </c>
      <c r="E153" s="313">
        <v>400</v>
      </c>
      <c r="F153" s="314">
        <f t="shared" si="54"/>
        <v>12000</v>
      </c>
      <c r="G153" s="315">
        <f t="shared" si="55"/>
        <v>144000</v>
      </c>
      <c r="H153" s="316"/>
      <c r="I153" s="317"/>
      <c r="J153" s="317"/>
      <c r="K153" s="317"/>
      <c r="L153" s="317"/>
      <c r="M153" s="315">
        <f t="shared" si="56"/>
        <v>0</v>
      </c>
      <c r="N153" s="315">
        <v>0</v>
      </c>
      <c r="O153" s="315">
        <f t="shared" si="57"/>
        <v>500</v>
      </c>
      <c r="P153" s="315">
        <v>0</v>
      </c>
      <c r="Q153" s="317"/>
      <c r="R153" s="315">
        <v>1200</v>
      </c>
      <c r="S153" s="318"/>
      <c r="T153" s="315">
        <f t="shared" si="58"/>
        <v>411</v>
      </c>
      <c r="U153" s="315">
        <f t="shared" si="59"/>
        <v>274</v>
      </c>
      <c r="V153" s="315">
        <f t="shared" si="60"/>
        <v>431.55</v>
      </c>
      <c r="W153" s="315">
        <v>0</v>
      </c>
      <c r="X153" s="315">
        <f t="shared" si="61"/>
        <v>685</v>
      </c>
      <c r="Y153" s="319"/>
    </row>
    <row r="154" spans="1:34" x14ac:dyDescent="0.35">
      <c r="A154" s="234" t="s">
        <v>263</v>
      </c>
      <c r="B154" s="311" t="s">
        <v>317</v>
      </c>
      <c r="C154" s="312" t="s">
        <v>319</v>
      </c>
      <c r="D154" s="311">
        <v>1</v>
      </c>
      <c r="E154" s="313">
        <v>366.67</v>
      </c>
      <c r="F154" s="314">
        <f t="shared" si="54"/>
        <v>11000.1</v>
      </c>
      <c r="G154" s="315">
        <f t="shared" si="55"/>
        <v>132001.20000000001</v>
      </c>
      <c r="H154" s="316"/>
      <c r="I154" s="317"/>
      <c r="J154" s="317"/>
      <c r="K154" s="317"/>
      <c r="L154" s="317"/>
      <c r="M154" s="315"/>
      <c r="N154" s="315"/>
      <c r="O154" s="315">
        <f t="shared" ref="O154:O217" si="62">+(F154/30)*$O$146/12</f>
        <v>458.33750000000003</v>
      </c>
      <c r="P154" s="315">
        <v>0</v>
      </c>
      <c r="Q154" s="317"/>
      <c r="R154" s="315">
        <v>1100.01</v>
      </c>
      <c r="S154" s="318"/>
      <c r="T154" s="315"/>
      <c r="U154" s="315"/>
      <c r="V154" s="315"/>
      <c r="W154" s="315"/>
      <c r="X154" s="315"/>
      <c r="Y154" s="319"/>
    </row>
    <row r="155" spans="1:34" x14ac:dyDescent="0.35">
      <c r="A155" s="234" t="s">
        <v>262</v>
      </c>
      <c r="B155" s="311" t="s">
        <v>320</v>
      </c>
      <c r="C155" s="312" t="s">
        <v>321</v>
      </c>
      <c r="D155" s="311">
        <v>1</v>
      </c>
      <c r="E155" s="313">
        <v>400</v>
      </c>
      <c r="F155" s="314">
        <f t="shared" si="54"/>
        <v>12000</v>
      </c>
      <c r="G155" s="315">
        <f t="shared" si="55"/>
        <v>144000</v>
      </c>
      <c r="H155" s="316"/>
      <c r="I155" s="317"/>
      <c r="J155" s="317"/>
      <c r="K155" s="317"/>
      <c r="L155" s="317"/>
      <c r="M155" s="315"/>
      <c r="N155" s="315"/>
      <c r="O155" s="315">
        <f t="shared" si="62"/>
        <v>500</v>
      </c>
      <c r="P155" s="315">
        <v>0</v>
      </c>
      <c r="Q155" s="317"/>
      <c r="R155" s="315">
        <v>1200</v>
      </c>
      <c r="S155" s="318"/>
      <c r="T155" s="315"/>
      <c r="U155" s="315"/>
      <c r="V155" s="315"/>
      <c r="W155" s="315"/>
      <c r="X155" s="315"/>
      <c r="Y155" s="319"/>
    </row>
    <row r="156" spans="1:34" x14ac:dyDescent="0.35">
      <c r="A156" s="234" t="s">
        <v>262</v>
      </c>
      <c r="B156" s="311" t="s">
        <v>320</v>
      </c>
      <c r="C156" s="312" t="s">
        <v>322</v>
      </c>
      <c r="D156" s="311">
        <v>1</v>
      </c>
      <c r="E156" s="313">
        <v>400</v>
      </c>
      <c r="F156" s="314">
        <f t="shared" si="54"/>
        <v>12000</v>
      </c>
      <c r="G156" s="315">
        <f t="shared" si="55"/>
        <v>144000</v>
      </c>
      <c r="H156" s="316"/>
      <c r="I156" s="317"/>
      <c r="J156" s="317"/>
      <c r="K156" s="317"/>
      <c r="L156" s="317"/>
      <c r="M156" s="315"/>
      <c r="N156" s="315"/>
      <c r="O156" s="315">
        <f t="shared" si="62"/>
        <v>500</v>
      </c>
      <c r="P156" s="315">
        <v>0</v>
      </c>
      <c r="Q156" s="317"/>
      <c r="R156" s="315">
        <v>1200</v>
      </c>
      <c r="S156" s="318"/>
      <c r="T156" s="315"/>
      <c r="U156" s="315"/>
      <c r="V156" s="315"/>
      <c r="W156" s="315"/>
      <c r="X156" s="315"/>
      <c r="Y156" s="319"/>
    </row>
    <row r="157" spans="1:34" x14ac:dyDescent="0.35">
      <c r="A157" s="234" t="s">
        <v>323</v>
      </c>
      <c r="B157" s="311" t="s">
        <v>324</v>
      </c>
      <c r="C157" s="312" t="s">
        <v>325</v>
      </c>
      <c r="D157" s="311">
        <v>1</v>
      </c>
      <c r="E157" s="313">
        <v>433.33330000000001</v>
      </c>
      <c r="F157" s="314">
        <f t="shared" si="54"/>
        <v>12999.999</v>
      </c>
      <c r="G157" s="315">
        <f t="shared" si="55"/>
        <v>155999.98800000001</v>
      </c>
      <c r="H157" s="316"/>
      <c r="I157" s="317"/>
      <c r="J157" s="317"/>
      <c r="K157" s="317"/>
      <c r="L157" s="317"/>
      <c r="M157" s="315"/>
      <c r="N157" s="315"/>
      <c r="O157" s="315">
        <f t="shared" si="62"/>
        <v>541.66662499999995</v>
      </c>
      <c r="P157" s="315">
        <v>0</v>
      </c>
      <c r="Q157" s="317"/>
      <c r="R157" s="315">
        <v>1299.9999</v>
      </c>
      <c r="S157" s="318"/>
      <c r="T157" s="315"/>
      <c r="U157" s="315"/>
      <c r="V157" s="315"/>
      <c r="W157" s="315"/>
      <c r="X157" s="315"/>
      <c r="Y157" s="319"/>
    </row>
    <row r="158" spans="1:34" x14ac:dyDescent="0.35">
      <c r="A158" s="234" t="s">
        <v>323</v>
      </c>
      <c r="B158" s="311" t="s">
        <v>324</v>
      </c>
      <c r="C158" s="312" t="s">
        <v>326</v>
      </c>
      <c r="D158" s="311">
        <v>1</v>
      </c>
      <c r="E158" s="313">
        <v>433.33332999999999</v>
      </c>
      <c r="F158" s="314">
        <f t="shared" si="54"/>
        <v>12999.999899999999</v>
      </c>
      <c r="G158" s="315">
        <f t="shared" si="55"/>
        <v>155999.9988</v>
      </c>
      <c r="H158" s="316"/>
      <c r="I158" s="317"/>
      <c r="J158" s="317"/>
      <c r="K158" s="317"/>
      <c r="L158" s="317"/>
      <c r="M158" s="315"/>
      <c r="N158" s="315"/>
      <c r="O158" s="315">
        <f t="shared" si="62"/>
        <v>541.66666249999992</v>
      </c>
      <c r="P158" s="315">
        <v>0</v>
      </c>
      <c r="Q158" s="317"/>
      <c r="R158" s="315">
        <v>1299.99999</v>
      </c>
      <c r="S158" s="318"/>
      <c r="T158" s="315"/>
      <c r="U158" s="315"/>
      <c r="V158" s="315"/>
      <c r="W158" s="315"/>
      <c r="X158" s="315"/>
      <c r="Y158" s="319"/>
    </row>
    <row r="159" spans="1:34" x14ac:dyDescent="0.35">
      <c r="A159" s="234" t="s">
        <v>327</v>
      </c>
      <c r="B159" s="311" t="s">
        <v>328</v>
      </c>
      <c r="C159" s="312" t="s">
        <v>329</v>
      </c>
      <c r="D159" s="311">
        <v>1</v>
      </c>
      <c r="E159" s="313">
        <v>400</v>
      </c>
      <c r="F159" s="314">
        <f t="shared" si="54"/>
        <v>12000</v>
      </c>
      <c r="G159" s="315">
        <f t="shared" si="55"/>
        <v>144000</v>
      </c>
      <c r="H159" s="316"/>
      <c r="I159" s="317"/>
      <c r="J159" s="317"/>
      <c r="K159" s="317"/>
      <c r="L159" s="317"/>
      <c r="M159" s="315"/>
      <c r="N159" s="315"/>
      <c r="O159" s="315">
        <f t="shared" si="62"/>
        <v>500</v>
      </c>
      <c r="P159" s="315">
        <v>0</v>
      </c>
      <c r="Q159" s="317"/>
      <c r="R159" s="315">
        <v>1200</v>
      </c>
      <c r="S159" s="318"/>
      <c r="T159" s="315"/>
      <c r="U159" s="315"/>
      <c r="V159" s="315"/>
      <c r="W159" s="315"/>
      <c r="X159" s="315"/>
      <c r="Y159" s="319"/>
    </row>
    <row r="160" spans="1:34" x14ac:dyDescent="0.35">
      <c r="A160" s="234" t="s">
        <v>327</v>
      </c>
      <c r="B160" s="311" t="s">
        <v>328</v>
      </c>
      <c r="C160" s="312" t="s">
        <v>330</v>
      </c>
      <c r="D160" s="311">
        <v>1</v>
      </c>
      <c r="E160" s="313">
        <v>333.33333333333331</v>
      </c>
      <c r="F160" s="314">
        <f t="shared" si="54"/>
        <v>10000</v>
      </c>
      <c r="G160" s="315">
        <f t="shared" si="55"/>
        <v>120000</v>
      </c>
      <c r="H160" s="316"/>
      <c r="I160" s="317"/>
      <c r="J160" s="317"/>
      <c r="K160" s="317"/>
      <c r="L160" s="317"/>
      <c r="M160" s="315"/>
      <c r="N160" s="315"/>
      <c r="O160" s="315">
        <f t="shared" si="62"/>
        <v>416.66666666666669</v>
      </c>
      <c r="P160" s="315">
        <v>0</v>
      </c>
      <c r="Q160" s="317"/>
      <c r="R160" s="315">
        <v>1000</v>
      </c>
      <c r="S160" s="318"/>
      <c r="T160" s="315"/>
      <c r="U160" s="315"/>
      <c r="V160" s="315"/>
      <c r="W160" s="315"/>
      <c r="X160" s="315"/>
      <c r="Y160" s="319"/>
    </row>
    <row r="161" spans="1:34" x14ac:dyDescent="0.35">
      <c r="A161" s="234" t="s">
        <v>331</v>
      </c>
      <c r="B161" s="311" t="s">
        <v>332</v>
      </c>
      <c r="C161" s="312" t="s">
        <v>333</v>
      </c>
      <c r="D161" s="311">
        <v>1</v>
      </c>
      <c r="E161" s="313">
        <v>433.33330000000001</v>
      </c>
      <c r="F161" s="314">
        <f t="shared" si="54"/>
        <v>12999.999</v>
      </c>
      <c r="G161" s="315">
        <f t="shared" si="55"/>
        <v>155999.98800000001</v>
      </c>
      <c r="H161" s="316"/>
      <c r="I161" s="317"/>
      <c r="J161" s="317"/>
      <c r="K161" s="317"/>
      <c r="L161" s="317"/>
      <c r="M161" s="315"/>
      <c r="N161" s="315"/>
      <c r="O161" s="315">
        <f t="shared" si="62"/>
        <v>541.66662499999995</v>
      </c>
      <c r="P161" s="315">
        <v>0</v>
      </c>
      <c r="Q161" s="317"/>
      <c r="R161" s="315">
        <v>1299.9999</v>
      </c>
      <c r="S161" s="318"/>
      <c r="T161" s="315"/>
      <c r="U161" s="315"/>
      <c r="V161" s="315"/>
      <c r="W161" s="315"/>
      <c r="X161" s="315"/>
      <c r="Y161" s="319"/>
    </row>
    <row r="162" spans="1:34" x14ac:dyDescent="0.35">
      <c r="A162" s="234" t="s">
        <v>331</v>
      </c>
      <c r="B162" s="311" t="s">
        <v>332</v>
      </c>
      <c r="C162" s="312" t="s">
        <v>334</v>
      </c>
      <c r="D162" s="311">
        <v>1</v>
      </c>
      <c r="E162" s="313">
        <v>466.66666666666669</v>
      </c>
      <c r="F162" s="314">
        <f t="shared" si="54"/>
        <v>14000</v>
      </c>
      <c r="G162" s="315">
        <f t="shared" si="55"/>
        <v>168000</v>
      </c>
      <c r="H162" s="316"/>
      <c r="I162" s="317"/>
      <c r="J162" s="317"/>
      <c r="K162" s="317"/>
      <c r="L162" s="317"/>
      <c r="M162" s="315"/>
      <c r="N162" s="315"/>
      <c r="O162" s="315">
        <f t="shared" si="62"/>
        <v>583.33333333333337</v>
      </c>
      <c r="P162" s="315">
        <v>0</v>
      </c>
      <c r="Q162" s="317"/>
      <c r="R162" s="315">
        <v>1400</v>
      </c>
      <c r="S162" s="318"/>
      <c r="T162" s="315"/>
      <c r="U162" s="315"/>
      <c r="V162" s="315"/>
      <c r="W162" s="315"/>
      <c r="X162" s="315"/>
      <c r="Y162" s="319"/>
    </row>
    <row r="163" spans="1:34" x14ac:dyDescent="0.35">
      <c r="A163" s="234" t="s">
        <v>308</v>
      </c>
      <c r="B163" s="311" t="s">
        <v>335</v>
      </c>
      <c r="C163" s="312" t="s">
        <v>336</v>
      </c>
      <c r="D163" s="311">
        <v>1</v>
      </c>
      <c r="E163" s="313">
        <v>500</v>
      </c>
      <c r="F163" s="314">
        <f t="shared" si="54"/>
        <v>15000</v>
      </c>
      <c r="G163" s="315">
        <f t="shared" si="55"/>
        <v>180000</v>
      </c>
      <c r="H163" s="316"/>
      <c r="I163" s="317"/>
      <c r="J163" s="317"/>
      <c r="K163" s="317"/>
      <c r="L163" s="317"/>
      <c r="M163" s="315"/>
      <c r="N163" s="315"/>
      <c r="O163" s="315">
        <f t="shared" si="62"/>
        <v>625</v>
      </c>
      <c r="P163" s="315">
        <v>0</v>
      </c>
      <c r="Q163" s="317"/>
      <c r="R163" s="315">
        <v>1500</v>
      </c>
      <c r="S163" s="318"/>
      <c r="T163" s="315"/>
      <c r="U163" s="315"/>
      <c r="V163" s="315"/>
      <c r="W163" s="315"/>
      <c r="X163" s="315"/>
      <c r="Y163" s="319"/>
    </row>
    <row r="164" spans="1:34" x14ac:dyDescent="0.35">
      <c r="A164" s="234" t="s">
        <v>313</v>
      </c>
      <c r="B164" s="311" t="s">
        <v>337</v>
      </c>
      <c r="C164" s="312" t="s">
        <v>338</v>
      </c>
      <c r="D164" s="311">
        <v>1</v>
      </c>
      <c r="E164" s="313">
        <v>500</v>
      </c>
      <c r="F164" s="314">
        <f t="shared" si="54"/>
        <v>15000</v>
      </c>
      <c r="G164" s="315">
        <f t="shared" si="55"/>
        <v>180000</v>
      </c>
      <c r="H164" s="316"/>
      <c r="I164" s="317"/>
      <c r="J164" s="317"/>
      <c r="K164" s="317"/>
      <c r="L164" s="317"/>
      <c r="M164" s="315"/>
      <c r="N164" s="315"/>
      <c r="O164" s="315">
        <f t="shared" si="62"/>
        <v>625</v>
      </c>
      <c r="P164" s="315">
        <v>0</v>
      </c>
      <c r="Q164" s="317"/>
      <c r="R164" s="315">
        <v>1500</v>
      </c>
      <c r="S164" s="318"/>
      <c r="T164" s="315"/>
      <c r="U164" s="315"/>
      <c r="V164" s="315"/>
      <c r="W164" s="315"/>
      <c r="X164" s="315"/>
      <c r="Y164" s="319"/>
    </row>
    <row r="165" spans="1:34" x14ac:dyDescent="0.35">
      <c r="A165" s="234" t="s">
        <v>263</v>
      </c>
      <c r="B165" s="311" t="s">
        <v>339</v>
      </c>
      <c r="C165" s="312" t="s">
        <v>340</v>
      </c>
      <c r="D165" s="311">
        <v>1</v>
      </c>
      <c r="E165" s="313">
        <v>600</v>
      </c>
      <c r="F165" s="314">
        <f t="shared" si="54"/>
        <v>18000</v>
      </c>
      <c r="G165" s="315">
        <f t="shared" si="55"/>
        <v>216000</v>
      </c>
      <c r="H165" s="316"/>
      <c r="I165" s="317"/>
      <c r="J165" s="317"/>
      <c r="K165" s="317"/>
      <c r="L165" s="317"/>
      <c r="M165" s="315"/>
      <c r="N165" s="315"/>
      <c r="O165" s="315">
        <f t="shared" si="62"/>
        <v>750</v>
      </c>
      <c r="P165" s="315">
        <v>0</v>
      </c>
      <c r="Q165" s="317"/>
      <c r="R165" s="315">
        <v>1800</v>
      </c>
      <c r="S165" s="318"/>
      <c r="T165" s="315"/>
      <c r="U165" s="315"/>
      <c r="V165" s="315"/>
      <c r="W165" s="315"/>
      <c r="X165" s="315"/>
      <c r="Y165" s="319"/>
    </row>
    <row r="166" spans="1:34" x14ac:dyDescent="0.35">
      <c r="A166" s="234" t="s">
        <v>341</v>
      </c>
      <c r="B166" s="311" t="s">
        <v>342</v>
      </c>
      <c r="C166" s="312" t="s">
        <v>343</v>
      </c>
      <c r="D166" s="311">
        <v>1</v>
      </c>
      <c r="E166" s="313">
        <v>500</v>
      </c>
      <c r="F166" s="314">
        <f t="shared" si="54"/>
        <v>15000</v>
      </c>
      <c r="G166" s="315">
        <f t="shared" si="55"/>
        <v>180000</v>
      </c>
      <c r="H166" s="316"/>
      <c r="I166" s="317"/>
      <c r="J166" s="317"/>
      <c r="K166" s="317"/>
      <c r="L166" s="317"/>
      <c r="M166" s="315"/>
      <c r="N166" s="315"/>
      <c r="O166" s="315">
        <f t="shared" si="62"/>
        <v>625</v>
      </c>
      <c r="P166" s="315">
        <v>0</v>
      </c>
      <c r="Q166" s="317"/>
      <c r="R166" s="315">
        <v>1500</v>
      </c>
      <c r="S166" s="318"/>
      <c r="T166" s="315"/>
      <c r="U166" s="315"/>
      <c r="V166" s="315"/>
      <c r="W166" s="315"/>
      <c r="X166" s="315"/>
      <c r="Y166" s="319"/>
    </row>
    <row r="167" spans="1:34" x14ac:dyDescent="0.35">
      <c r="A167" s="234" t="s">
        <v>341</v>
      </c>
      <c r="B167" s="311" t="s">
        <v>342</v>
      </c>
      <c r="C167" s="312" t="s">
        <v>344</v>
      </c>
      <c r="D167" s="311">
        <v>1</v>
      </c>
      <c r="E167" s="313">
        <v>533.33333333333337</v>
      </c>
      <c r="F167" s="314">
        <f t="shared" si="54"/>
        <v>16000.000000000002</v>
      </c>
      <c r="G167" s="315">
        <f t="shared" si="55"/>
        <v>192000.00000000003</v>
      </c>
      <c r="H167" s="316"/>
      <c r="I167" s="317"/>
      <c r="J167" s="317"/>
      <c r="K167" s="317"/>
      <c r="L167" s="317"/>
      <c r="M167" s="315"/>
      <c r="N167" s="315"/>
      <c r="O167" s="315">
        <f t="shared" si="62"/>
        <v>666.66666666666674</v>
      </c>
      <c r="P167" s="315">
        <v>0</v>
      </c>
      <c r="Q167" s="317"/>
      <c r="R167" s="315">
        <v>1600</v>
      </c>
      <c r="S167" s="318"/>
      <c r="T167" s="315"/>
      <c r="U167" s="315"/>
      <c r="V167" s="315"/>
      <c r="W167" s="315"/>
      <c r="X167" s="315"/>
      <c r="Y167" s="319"/>
    </row>
    <row r="168" spans="1:34" x14ac:dyDescent="0.35">
      <c r="A168" s="234" t="s">
        <v>345</v>
      </c>
      <c r="B168" s="311" t="s">
        <v>346</v>
      </c>
      <c r="C168" s="312" t="s">
        <v>347</v>
      </c>
      <c r="D168" s="311">
        <v>1</v>
      </c>
      <c r="E168" s="313">
        <v>433.33333333333331</v>
      </c>
      <c r="F168" s="314">
        <f t="shared" si="54"/>
        <v>13000</v>
      </c>
      <c r="G168" s="315">
        <f t="shared" si="55"/>
        <v>156000</v>
      </c>
      <c r="H168" s="316"/>
      <c r="I168" s="317"/>
      <c r="J168" s="317"/>
      <c r="K168" s="317"/>
      <c r="L168" s="317"/>
      <c r="M168" s="315"/>
      <c r="N168" s="315"/>
      <c r="O168" s="315">
        <f t="shared" si="62"/>
        <v>541.66666666666663</v>
      </c>
      <c r="P168" s="315">
        <v>0</v>
      </c>
      <c r="Q168" s="317"/>
      <c r="R168" s="315">
        <v>1300</v>
      </c>
      <c r="S168" s="318"/>
      <c r="T168" s="315"/>
      <c r="U168" s="315"/>
      <c r="V168" s="315"/>
      <c r="W168" s="315"/>
      <c r="X168" s="315"/>
      <c r="Y168" s="319"/>
    </row>
    <row r="169" spans="1:34" x14ac:dyDescent="0.35">
      <c r="A169" s="234" t="s">
        <v>345</v>
      </c>
      <c r="B169" s="311" t="s">
        <v>346</v>
      </c>
      <c r="C169" s="312" t="s">
        <v>348</v>
      </c>
      <c r="D169" s="311">
        <v>1</v>
      </c>
      <c r="E169" s="313">
        <v>466.66666666666669</v>
      </c>
      <c r="F169" s="314">
        <f t="shared" si="54"/>
        <v>14000</v>
      </c>
      <c r="G169" s="315">
        <f t="shared" si="55"/>
        <v>168000</v>
      </c>
      <c r="H169" s="316"/>
      <c r="I169" s="317"/>
      <c r="J169" s="317"/>
      <c r="K169" s="317"/>
      <c r="L169" s="317"/>
      <c r="M169" s="315"/>
      <c r="N169" s="315"/>
      <c r="O169" s="315">
        <f t="shared" si="62"/>
        <v>583.33333333333337</v>
      </c>
      <c r="P169" s="315">
        <v>0</v>
      </c>
      <c r="Q169" s="317"/>
      <c r="R169" s="315">
        <v>1400</v>
      </c>
      <c r="S169" s="318"/>
      <c r="T169" s="315"/>
      <c r="U169" s="315"/>
      <c r="V169" s="315"/>
      <c r="W169" s="315"/>
      <c r="X169" s="315"/>
      <c r="Y169" s="319"/>
    </row>
    <row r="170" spans="1:34" x14ac:dyDescent="0.35">
      <c r="A170" s="234" t="s">
        <v>349</v>
      </c>
      <c r="B170" s="311" t="s">
        <v>350</v>
      </c>
      <c r="C170" s="312" t="s">
        <v>351</v>
      </c>
      <c r="D170" s="311">
        <v>1</v>
      </c>
      <c r="E170" s="313">
        <v>666.66666666666663</v>
      </c>
      <c r="F170" s="314">
        <f t="shared" si="54"/>
        <v>20000</v>
      </c>
      <c r="G170" s="315">
        <f t="shared" si="55"/>
        <v>240000</v>
      </c>
      <c r="H170" s="316"/>
      <c r="I170" s="317"/>
      <c r="J170" s="317"/>
      <c r="K170" s="317"/>
      <c r="L170" s="317"/>
      <c r="M170" s="315"/>
      <c r="N170" s="315"/>
      <c r="O170" s="315">
        <f t="shared" si="62"/>
        <v>833.33333333333337</v>
      </c>
      <c r="P170" s="315">
        <v>0</v>
      </c>
      <c r="Q170" s="317"/>
      <c r="R170" s="315">
        <v>2000</v>
      </c>
      <c r="S170" s="318"/>
      <c r="T170" s="315"/>
      <c r="U170" s="315"/>
      <c r="V170" s="315"/>
      <c r="W170" s="315"/>
      <c r="X170" s="315"/>
      <c r="Y170" s="319"/>
    </row>
    <row r="171" spans="1:34" x14ac:dyDescent="0.35">
      <c r="A171" s="234" t="s">
        <v>308</v>
      </c>
      <c r="B171" s="311" t="s">
        <v>352</v>
      </c>
      <c r="C171" s="312" t="s">
        <v>353</v>
      </c>
      <c r="D171" s="311">
        <v>1</v>
      </c>
      <c r="E171" s="313">
        <v>400</v>
      </c>
      <c r="F171" s="314">
        <f t="shared" si="54"/>
        <v>12000</v>
      </c>
      <c r="G171" s="315">
        <f t="shared" si="55"/>
        <v>144000</v>
      </c>
      <c r="H171" s="316"/>
      <c r="I171" s="317"/>
      <c r="J171" s="317"/>
      <c r="K171" s="317"/>
      <c r="L171" s="317"/>
      <c r="M171" s="315"/>
      <c r="N171" s="315"/>
      <c r="O171" s="315">
        <f t="shared" si="62"/>
        <v>500</v>
      </c>
      <c r="P171" s="315">
        <v>0</v>
      </c>
      <c r="Q171" s="317"/>
      <c r="R171" s="315">
        <v>1200</v>
      </c>
      <c r="S171" s="318"/>
      <c r="T171" s="315"/>
      <c r="U171" s="315"/>
      <c r="V171" s="315"/>
      <c r="W171" s="315"/>
      <c r="X171" s="315"/>
      <c r="Y171" s="319"/>
    </row>
    <row r="172" spans="1:34" x14ac:dyDescent="0.35">
      <c r="A172" s="234" t="s">
        <v>308</v>
      </c>
      <c r="B172" s="311" t="s">
        <v>354</v>
      </c>
      <c r="C172" s="312" t="s">
        <v>355</v>
      </c>
      <c r="D172" s="311">
        <v>1</v>
      </c>
      <c r="E172" s="313">
        <v>533.33333333333337</v>
      </c>
      <c r="F172" s="314">
        <f t="shared" si="54"/>
        <v>16000.000000000002</v>
      </c>
      <c r="G172" s="315">
        <f t="shared" si="55"/>
        <v>192000.00000000003</v>
      </c>
      <c r="H172" s="316"/>
      <c r="I172" s="317"/>
      <c r="J172" s="317"/>
      <c r="K172" s="317"/>
      <c r="L172" s="317"/>
      <c r="M172" s="315"/>
      <c r="N172" s="315"/>
      <c r="O172" s="315">
        <f t="shared" si="62"/>
        <v>666.66666666666674</v>
      </c>
      <c r="P172" s="315">
        <v>0</v>
      </c>
      <c r="Q172" s="317"/>
      <c r="R172" s="315">
        <v>1600</v>
      </c>
      <c r="S172" s="318"/>
      <c r="T172" s="315"/>
      <c r="U172" s="315"/>
      <c r="V172" s="315"/>
      <c r="W172" s="315"/>
      <c r="X172" s="315"/>
      <c r="Y172" s="319"/>
    </row>
    <row r="173" spans="1:34" x14ac:dyDescent="0.35">
      <c r="A173" s="234" t="s">
        <v>308</v>
      </c>
      <c r="B173" s="311" t="s">
        <v>356</v>
      </c>
      <c r="C173" s="312" t="s">
        <v>357</v>
      </c>
      <c r="D173" s="311">
        <v>1</v>
      </c>
      <c r="E173" s="313">
        <v>400</v>
      </c>
      <c r="F173" s="314">
        <f t="shared" si="54"/>
        <v>12000</v>
      </c>
      <c r="G173" s="315">
        <f t="shared" si="55"/>
        <v>144000</v>
      </c>
      <c r="H173" s="316"/>
      <c r="I173" s="317"/>
      <c r="J173" s="317"/>
      <c r="K173" s="317"/>
      <c r="L173" s="317"/>
      <c r="M173" s="315"/>
      <c r="N173" s="315"/>
      <c r="O173" s="315">
        <f t="shared" si="62"/>
        <v>500</v>
      </c>
      <c r="P173" s="315">
        <v>0</v>
      </c>
      <c r="Q173" s="317"/>
      <c r="R173" s="315">
        <v>1200</v>
      </c>
      <c r="S173" s="318"/>
      <c r="T173" s="315"/>
      <c r="U173" s="315"/>
      <c r="V173" s="315"/>
      <c r="W173" s="315"/>
      <c r="X173" s="315"/>
      <c r="Y173" s="319"/>
    </row>
    <row r="174" spans="1:34" x14ac:dyDescent="0.35">
      <c r="A174" s="234" t="s">
        <v>308</v>
      </c>
      <c r="B174" s="311" t="s">
        <v>356</v>
      </c>
      <c r="C174" s="312" t="s">
        <v>358</v>
      </c>
      <c r="D174" s="311">
        <v>1</v>
      </c>
      <c r="E174" s="313">
        <v>433.33333333333331</v>
      </c>
      <c r="F174" s="314">
        <f t="shared" si="54"/>
        <v>13000</v>
      </c>
      <c r="G174" s="315">
        <f t="shared" si="55"/>
        <v>156000</v>
      </c>
      <c r="H174" s="316"/>
      <c r="I174" s="317"/>
      <c r="J174" s="317"/>
      <c r="K174" s="317"/>
      <c r="L174" s="317"/>
      <c r="M174" s="315"/>
      <c r="N174" s="315"/>
      <c r="O174" s="315">
        <f t="shared" si="62"/>
        <v>541.66666666666663</v>
      </c>
      <c r="P174" s="315">
        <v>0</v>
      </c>
      <c r="Q174" s="317"/>
      <c r="R174" s="315">
        <v>1300</v>
      </c>
      <c r="S174" s="318"/>
      <c r="T174" s="315"/>
      <c r="U174" s="315"/>
      <c r="V174" s="315"/>
      <c r="W174" s="315"/>
      <c r="X174" s="315"/>
      <c r="Y174" s="319"/>
      <c r="AD174" s="282"/>
      <c r="AE174" s="282"/>
      <c r="AG174" s="282"/>
      <c r="AH174" s="282"/>
    </row>
    <row r="175" spans="1:34" x14ac:dyDescent="0.35">
      <c r="A175" s="234" t="s">
        <v>313</v>
      </c>
      <c r="B175" s="311" t="s">
        <v>356</v>
      </c>
      <c r="C175" s="312" t="s">
        <v>359</v>
      </c>
      <c r="D175" s="311">
        <v>1</v>
      </c>
      <c r="E175" s="313">
        <v>466.66666666666669</v>
      </c>
      <c r="F175" s="314">
        <f t="shared" si="54"/>
        <v>14000</v>
      </c>
      <c r="G175" s="315">
        <f t="shared" si="55"/>
        <v>168000</v>
      </c>
      <c r="H175" s="316"/>
      <c r="I175" s="317"/>
      <c r="J175" s="317"/>
      <c r="K175" s="317"/>
      <c r="L175" s="317"/>
      <c r="M175" s="315"/>
      <c r="N175" s="315"/>
      <c r="O175" s="315">
        <f t="shared" si="62"/>
        <v>583.33333333333337</v>
      </c>
      <c r="P175" s="315">
        <v>0</v>
      </c>
      <c r="Q175" s="317"/>
      <c r="R175" s="315">
        <v>1400</v>
      </c>
      <c r="S175" s="318"/>
      <c r="T175" s="315"/>
      <c r="U175" s="315"/>
      <c r="V175" s="315"/>
      <c r="W175" s="315"/>
      <c r="X175" s="315"/>
      <c r="Y175" s="319"/>
    </row>
    <row r="176" spans="1:34" x14ac:dyDescent="0.35">
      <c r="A176" s="234" t="s">
        <v>263</v>
      </c>
      <c r="B176" s="311" t="s">
        <v>356</v>
      </c>
      <c r="C176" s="312" t="s">
        <v>360</v>
      </c>
      <c r="D176" s="311">
        <v>1</v>
      </c>
      <c r="E176" s="313">
        <v>400</v>
      </c>
      <c r="F176" s="314">
        <f t="shared" si="54"/>
        <v>12000</v>
      </c>
      <c r="G176" s="315">
        <f t="shared" si="55"/>
        <v>144000</v>
      </c>
      <c r="H176" s="316"/>
      <c r="I176" s="317"/>
      <c r="J176" s="317"/>
      <c r="K176" s="317"/>
      <c r="L176" s="317"/>
      <c r="M176" s="315"/>
      <c r="N176" s="315"/>
      <c r="O176" s="315">
        <f t="shared" si="62"/>
        <v>500</v>
      </c>
      <c r="P176" s="315">
        <v>0</v>
      </c>
      <c r="Q176" s="317"/>
      <c r="R176" s="315">
        <v>1200</v>
      </c>
      <c r="S176" s="318"/>
      <c r="T176" s="315"/>
      <c r="U176" s="315"/>
      <c r="V176" s="315"/>
      <c r="W176" s="315"/>
      <c r="X176" s="315"/>
      <c r="Y176" s="319"/>
    </row>
    <row r="177" spans="1:25" x14ac:dyDescent="0.35">
      <c r="A177" s="234" t="s">
        <v>263</v>
      </c>
      <c r="B177" s="311" t="s">
        <v>356</v>
      </c>
      <c r="C177" s="312" t="s">
        <v>361</v>
      </c>
      <c r="D177" s="311">
        <v>1</v>
      </c>
      <c r="E177" s="313">
        <v>400</v>
      </c>
      <c r="F177" s="314">
        <f t="shared" si="54"/>
        <v>12000</v>
      </c>
      <c r="G177" s="315">
        <f t="shared" si="55"/>
        <v>144000</v>
      </c>
      <c r="H177" s="316"/>
      <c r="I177" s="317"/>
      <c r="J177" s="317"/>
      <c r="K177" s="317"/>
      <c r="L177" s="317"/>
      <c r="M177" s="315"/>
      <c r="N177" s="315"/>
      <c r="O177" s="315">
        <f t="shared" si="62"/>
        <v>500</v>
      </c>
      <c r="P177" s="315">
        <v>0</v>
      </c>
      <c r="Q177" s="317"/>
      <c r="R177" s="315">
        <v>1200</v>
      </c>
      <c r="S177" s="318"/>
      <c r="T177" s="315"/>
      <c r="U177" s="315"/>
      <c r="V177" s="315"/>
      <c r="W177" s="315"/>
      <c r="X177" s="315"/>
      <c r="Y177" s="319"/>
    </row>
    <row r="178" spans="1:25" x14ac:dyDescent="0.35">
      <c r="A178" s="234" t="s">
        <v>262</v>
      </c>
      <c r="B178" s="311" t="s">
        <v>356</v>
      </c>
      <c r="C178" s="312" t="s">
        <v>362</v>
      </c>
      <c r="D178" s="311">
        <v>1</v>
      </c>
      <c r="E178" s="313">
        <v>433.33333333333331</v>
      </c>
      <c r="F178" s="314">
        <f t="shared" si="54"/>
        <v>13000</v>
      </c>
      <c r="G178" s="315">
        <f t="shared" si="55"/>
        <v>156000</v>
      </c>
      <c r="H178" s="316"/>
      <c r="I178" s="317"/>
      <c r="J178" s="317"/>
      <c r="K178" s="317"/>
      <c r="L178" s="317"/>
      <c r="M178" s="315"/>
      <c r="N178" s="315"/>
      <c r="O178" s="315">
        <f t="shared" si="62"/>
        <v>541.66666666666663</v>
      </c>
      <c r="P178" s="315">
        <v>0</v>
      </c>
      <c r="Q178" s="317"/>
      <c r="R178" s="315">
        <v>1300</v>
      </c>
      <c r="S178" s="318"/>
      <c r="T178" s="315"/>
      <c r="U178" s="315"/>
      <c r="V178" s="315"/>
      <c r="W178" s="315"/>
      <c r="X178" s="315"/>
      <c r="Y178" s="319"/>
    </row>
    <row r="179" spans="1:25" x14ac:dyDescent="0.35">
      <c r="A179" s="234" t="s">
        <v>308</v>
      </c>
      <c r="B179" s="311" t="s">
        <v>363</v>
      </c>
      <c r="C179" s="312" t="s">
        <v>364</v>
      </c>
      <c r="D179" s="311">
        <v>1</v>
      </c>
      <c r="E179" s="313">
        <v>466.66666666666669</v>
      </c>
      <c r="F179" s="314">
        <f t="shared" si="54"/>
        <v>14000</v>
      </c>
      <c r="G179" s="315">
        <f t="shared" si="55"/>
        <v>168000</v>
      </c>
      <c r="H179" s="316"/>
      <c r="I179" s="317"/>
      <c r="J179" s="317"/>
      <c r="K179" s="317"/>
      <c r="L179" s="317"/>
      <c r="M179" s="315"/>
      <c r="N179" s="315"/>
      <c r="O179" s="315">
        <f t="shared" si="62"/>
        <v>583.33333333333337</v>
      </c>
      <c r="P179" s="315">
        <v>0</v>
      </c>
      <c r="Q179" s="317"/>
      <c r="R179" s="315">
        <v>1400</v>
      </c>
      <c r="S179" s="318"/>
      <c r="T179" s="315"/>
      <c r="U179" s="315"/>
      <c r="V179" s="315"/>
      <c r="W179" s="315"/>
      <c r="X179" s="315"/>
      <c r="Y179" s="319"/>
    </row>
    <row r="180" spans="1:25" x14ac:dyDescent="0.35">
      <c r="A180" s="234" t="s">
        <v>308</v>
      </c>
      <c r="B180" s="311" t="s">
        <v>363</v>
      </c>
      <c r="C180" s="312" t="s">
        <v>365</v>
      </c>
      <c r="D180" s="311">
        <v>1</v>
      </c>
      <c r="E180" s="313">
        <v>533.33333333333337</v>
      </c>
      <c r="F180" s="314">
        <f t="shared" si="54"/>
        <v>16000.000000000002</v>
      </c>
      <c r="G180" s="315">
        <f t="shared" si="55"/>
        <v>192000.00000000003</v>
      </c>
      <c r="H180" s="316"/>
      <c r="I180" s="317"/>
      <c r="J180" s="317"/>
      <c r="K180" s="317"/>
      <c r="L180" s="317"/>
      <c r="M180" s="315"/>
      <c r="N180" s="315"/>
      <c r="O180" s="315">
        <f t="shared" si="62"/>
        <v>666.66666666666674</v>
      </c>
      <c r="P180" s="315">
        <v>0</v>
      </c>
      <c r="Q180" s="317"/>
      <c r="R180" s="315">
        <v>1600</v>
      </c>
      <c r="S180" s="318"/>
      <c r="T180" s="315"/>
      <c r="U180" s="315"/>
      <c r="V180" s="315"/>
      <c r="W180" s="315"/>
      <c r="X180" s="315"/>
      <c r="Y180" s="319"/>
    </row>
    <row r="181" spans="1:25" x14ac:dyDescent="0.35">
      <c r="A181" s="234" t="s">
        <v>308</v>
      </c>
      <c r="B181" s="311" t="s">
        <v>363</v>
      </c>
      <c r="C181" s="312" t="s">
        <v>366</v>
      </c>
      <c r="D181" s="311">
        <v>1</v>
      </c>
      <c r="E181" s="313">
        <v>450</v>
      </c>
      <c r="F181" s="314">
        <f t="shared" si="54"/>
        <v>13500</v>
      </c>
      <c r="G181" s="315">
        <f t="shared" si="55"/>
        <v>162000</v>
      </c>
      <c r="H181" s="316"/>
      <c r="I181" s="317"/>
      <c r="J181" s="317"/>
      <c r="K181" s="317"/>
      <c r="L181" s="317"/>
      <c r="M181" s="315"/>
      <c r="N181" s="315"/>
      <c r="O181" s="315">
        <f t="shared" si="62"/>
        <v>562.5</v>
      </c>
      <c r="P181" s="315">
        <v>0</v>
      </c>
      <c r="Q181" s="317"/>
      <c r="R181" s="315">
        <v>1350</v>
      </c>
      <c r="S181" s="318"/>
      <c r="T181" s="315"/>
      <c r="U181" s="315"/>
      <c r="V181" s="315"/>
      <c r="W181" s="315"/>
      <c r="X181" s="315"/>
      <c r="Y181" s="319"/>
    </row>
    <row r="182" spans="1:25" x14ac:dyDescent="0.35">
      <c r="A182" s="234" t="s">
        <v>308</v>
      </c>
      <c r="B182" s="311" t="s">
        <v>363</v>
      </c>
      <c r="C182" s="312" t="s">
        <v>367</v>
      </c>
      <c r="D182" s="311">
        <v>1</v>
      </c>
      <c r="E182" s="313">
        <v>466.66666666666669</v>
      </c>
      <c r="F182" s="314">
        <f t="shared" si="54"/>
        <v>14000</v>
      </c>
      <c r="G182" s="315">
        <f t="shared" si="55"/>
        <v>168000</v>
      </c>
      <c r="H182" s="316"/>
      <c r="I182" s="317"/>
      <c r="J182" s="317"/>
      <c r="K182" s="317"/>
      <c r="L182" s="317"/>
      <c r="M182" s="315"/>
      <c r="N182" s="315"/>
      <c r="O182" s="315">
        <f t="shared" si="62"/>
        <v>583.33333333333337</v>
      </c>
      <c r="P182" s="315">
        <v>0</v>
      </c>
      <c r="Q182" s="317"/>
      <c r="R182" s="315">
        <v>1400</v>
      </c>
      <c r="S182" s="318"/>
      <c r="T182" s="315"/>
      <c r="U182" s="315"/>
      <c r="V182" s="315"/>
      <c r="W182" s="315"/>
      <c r="X182" s="315"/>
      <c r="Y182" s="319"/>
    </row>
    <row r="183" spans="1:25" x14ac:dyDescent="0.35">
      <c r="A183" s="234" t="s">
        <v>308</v>
      </c>
      <c r="B183" s="311" t="s">
        <v>363</v>
      </c>
      <c r="C183" s="312" t="s">
        <v>368</v>
      </c>
      <c r="D183" s="311">
        <v>1</v>
      </c>
      <c r="E183" s="313">
        <v>466.66666666666669</v>
      </c>
      <c r="F183" s="314">
        <f t="shared" si="54"/>
        <v>14000</v>
      </c>
      <c r="G183" s="315">
        <f t="shared" si="55"/>
        <v>168000</v>
      </c>
      <c r="H183" s="316"/>
      <c r="I183" s="317"/>
      <c r="J183" s="317"/>
      <c r="K183" s="317"/>
      <c r="L183" s="317"/>
      <c r="M183" s="315"/>
      <c r="N183" s="315"/>
      <c r="O183" s="315">
        <f t="shared" si="62"/>
        <v>583.33333333333337</v>
      </c>
      <c r="P183" s="315">
        <v>0</v>
      </c>
      <c r="Q183" s="317"/>
      <c r="R183" s="315">
        <v>1400</v>
      </c>
      <c r="S183" s="318"/>
      <c r="T183" s="315"/>
      <c r="U183" s="315"/>
      <c r="V183" s="315"/>
      <c r="W183" s="315"/>
      <c r="X183" s="315"/>
      <c r="Y183" s="319"/>
    </row>
    <row r="184" spans="1:25" x14ac:dyDescent="0.35">
      <c r="A184" s="234" t="s">
        <v>308</v>
      </c>
      <c r="B184" s="311" t="s">
        <v>363</v>
      </c>
      <c r="C184" s="312" t="s">
        <v>369</v>
      </c>
      <c r="D184" s="311">
        <v>1</v>
      </c>
      <c r="E184" s="313">
        <v>516.66666666666663</v>
      </c>
      <c r="F184" s="314">
        <f t="shared" si="54"/>
        <v>15499.999999999998</v>
      </c>
      <c r="G184" s="315">
        <f t="shared" si="55"/>
        <v>185999.99999999997</v>
      </c>
      <c r="H184" s="316"/>
      <c r="I184" s="317"/>
      <c r="J184" s="317"/>
      <c r="K184" s="317"/>
      <c r="L184" s="317"/>
      <c r="M184" s="315"/>
      <c r="N184" s="315"/>
      <c r="O184" s="315">
        <f t="shared" si="62"/>
        <v>645.83333333333326</v>
      </c>
      <c r="P184" s="315">
        <v>0</v>
      </c>
      <c r="Q184" s="317"/>
      <c r="R184" s="315">
        <v>1550</v>
      </c>
      <c r="S184" s="318"/>
      <c r="T184" s="315"/>
      <c r="U184" s="315"/>
      <c r="V184" s="315"/>
      <c r="W184" s="315"/>
      <c r="X184" s="315"/>
      <c r="Y184" s="319"/>
    </row>
    <row r="185" spans="1:25" x14ac:dyDescent="0.35">
      <c r="A185" s="234" t="s">
        <v>308</v>
      </c>
      <c r="B185" s="311" t="s">
        <v>363</v>
      </c>
      <c r="C185" s="312" t="s">
        <v>370</v>
      </c>
      <c r="D185" s="311">
        <v>1</v>
      </c>
      <c r="E185" s="313">
        <v>458.33333333333331</v>
      </c>
      <c r="F185" s="314">
        <f t="shared" si="54"/>
        <v>13750</v>
      </c>
      <c r="G185" s="315">
        <f t="shared" si="55"/>
        <v>165000</v>
      </c>
      <c r="H185" s="316"/>
      <c r="I185" s="317"/>
      <c r="J185" s="317"/>
      <c r="K185" s="317"/>
      <c r="L185" s="317"/>
      <c r="M185" s="315"/>
      <c r="N185" s="315"/>
      <c r="O185" s="315">
        <f t="shared" si="62"/>
        <v>572.91666666666663</v>
      </c>
      <c r="P185" s="315">
        <v>0</v>
      </c>
      <c r="Q185" s="317"/>
      <c r="R185" s="315">
        <v>1375</v>
      </c>
      <c r="S185" s="318"/>
      <c r="T185" s="315"/>
      <c r="U185" s="315"/>
      <c r="V185" s="315"/>
      <c r="W185" s="315"/>
      <c r="X185" s="315"/>
      <c r="Y185" s="319"/>
    </row>
    <row r="186" spans="1:25" x14ac:dyDescent="0.35">
      <c r="A186" s="234" t="s">
        <v>308</v>
      </c>
      <c r="B186" s="311" t="s">
        <v>363</v>
      </c>
      <c r="C186" s="312" t="s">
        <v>371</v>
      </c>
      <c r="D186" s="311">
        <v>1</v>
      </c>
      <c r="E186" s="313">
        <v>466.66666666666669</v>
      </c>
      <c r="F186" s="314">
        <f t="shared" si="54"/>
        <v>14000</v>
      </c>
      <c r="G186" s="315">
        <f t="shared" si="55"/>
        <v>168000</v>
      </c>
      <c r="H186" s="316"/>
      <c r="I186" s="317"/>
      <c r="J186" s="317"/>
      <c r="K186" s="317"/>
      <c r="L186" s="317"/>
      <c r="M186" s="315"/>
      <c r="N186" s="315"/>
      <c r="O186" s="315">
        <f t="shared" si="62"/>
        <v>583.33333333333337</v>
      </c>
      <c r="P186" s="315">
        <v>0</v>
      </c>
      <c r="Q186" s="317"/>
      <c r="R186" s="315">
        <v>1400</v>
      </c>
      <c r="S186" s="318"/>
      <c r="T186" s="315"/>
      <c r="U186" s="315"/>
      <c r="V186" s="315"/>
      <c r="W186" s="315"/>
      <c r="X186" s="315"/>
      <c r="Y186" s="319"/>
    </row>
    <row r="187" spans="1:25" x14ac:dyDescent="0.35">
      <c r="A187" s="234" t="s">
        <v>308</v>
      </c>
      <c r="B187" s="311" t="s">
        <v>363</v>
      </c>
      <c r="C187" s="312" t="s">
        <v>372</v>
      </c>
      <c r="D187" s="311">
        <v>1</v>
      </c>
      <c r="E187" s="313">
        <v>466.66666666666669</v>
      </c>
      <c r="F187" s="314">
        <f t="shared" si="54"/>
        <v>14000</v>
      </c>
      <c r="G187" s="315">
        <f t="shared" si="55"/>
        <v>168000</v>
      </c>
      <c r="H187" s="316"/>
      <c r="I187" s="317"/>
      <c r="J187" s="317"/>
      <c r="K187" s="317"/>
      <c r="L187" s="317"/>
      <c r="M187" s="315"/>
      <c r="N187" s="315"/>
      <c r="O187" s="315">
        <f t="shared" si="62"/>
        <v>583.33333333333337</v>
      </c>
      <c r="P187" s="315">
        <v>0</v>
      </c>
      <c r="Q187" s="317"/>
      <c r="R187" s="315">
        <v>1400</v>
      </c>
      <c r="S187" s="318"/>
      <c r="T187" s="315"/>
      <c r="U187" s="315"/>
      <c r="V187" s="315"/>
      <c r="W187" s="315"/>
      <c r="X187" s="315"/>
      <c r="Y187" s="319"/>
    </row>
    <row r="188" spans="1:25" x14ac:dyDescent="0.35">
      <c r="A188" s="234" t="s">
        <v>308</v>
      </c>
      <c r="B188" s="311" t="s">
        <v>363</v>
      </c>
      <c r="C188" s="312" t="s">
        <v>373</v>
      </c>
      <c r="D188" s="311">
        <v>1</v>
      </c>
      <c r="E188" s="313">
        <v>466.66666666666669</v>
      </c>
      <c r="F188" s="314">
        <f t="shared" si="54"/>
        <v>14000</v>
      </c>
      <c r="G188" s="315">
        <f t="shared" si="55"/>
        <v>168000</v>
      </c>
      <c r="H188" s="316"/>
      <c r="I188" s="317"/>
      <c r="J188" s="317"/>
      <c r="K188" s="317"/>
      <c r="L188" s="317"/>
      <c r="M188" s="315"/>
      <c r="N188" s="315"/>
      <c r="O188" s="315">
        <f t="shared" si="62"/>
        <v>583.33333333333337</v>
      </c>
      <c r="P188" s="315">
        <v>0</v>
      </c>
      <c r="Q188" s="317"/>
      <c r="R188" s="315">
        <v>1400</v>
      </c>
      <c r="S188" s="318"/>
      <c r="T188" s="315"/>
      <c r="U188" s="315"/>
      <c r="V188" s="315"/>
      <c r="W188" s="315"/>
      <c r="X188" s="315"/>
      <c r="Y188" s="319"/>
    </row>
    <row r="189" spans="1:25" x14ac:dyDescent="0.35">
      <c r="A189" s="234" t="s">
        <v>308</v>
      </c>
      <c r="B189" s="311" t="s">
        <v>363</v>
      </c>
      <c r="C189" s="312" t="s">
        <v>374</v>
      </c>
      <c r="D189" s="311">
        <v>1</v>
      </c>
      <c r="E189" s="313">
        <v>466.66666666666669</v>
      </c>
      <c r="F189" s="314">
        <f t="shared" si="54"/>
        <v>14000</v>
      </c>
      <c r="G189" s="315">
        <f t="shared" si="55"/>
        <v>168000</v>
      </c>
      <c r="H189" s="316"/>
      <c r="I189" s="317"/>
      <c r="J189" s="317"/>
      <c r="K189" s="317"/>
      <c r="L189" s="317"/>
      <c r="M189" s="315"/>
      <c r="N189" s="315"/>
      <c r="O189" s="315">
        <f t="shared" si="62"/>
        <v>583.33333333333337</v>
      </c>
      <c r="P189" s="315">
        <v>0</v>
      </c>
      <c r="Q189" s="317"/>
      <c r="R189" s="315">
        <v>1400</v>
      </c>
      <c r="S189" s="318"/>
      <c r="T189" s="315"/>
      <c r="U189" s="315"/>
      <c r="V189" s="315"/>
      <c r="W189" s="315"/>
      <c r="X189" s="315"/>
      <c r="Y189" s="319"/>
    </row>
    <row r="190" spans="1:25" x14ac:dyDescent="0.35">
      <c r="A190" s="234" t="s">
        <v>313</v>
      </c>
      <c r="B190" s="311" t="s">
        <v>363</v>
      </c>
      <c r="C190" s="312" t="s">
        <v>375</v>
      </c>
      <c r="D190" s="311">
        <v>1</v>
      </c>
      <c r="E190" s="313">
        <v>500</v>
      </c>
      <c r="F190" s="314">
        <f t="shared" si="54"/>
        <v>15000</v>
      </c>
      <c r="G190" s="315">
        <f t="shared" si="55"/>
        <v>180000</v>
      </c>
      <c r="H190" s="316"/>
      <c r="I190" s="317"/>
      <c r="J190" s="317"/>
      <c r="K190" s="317"/>
      <c r="L190" s="317"/>
      <c r="M190" s="315"/>
      <c r="N190" s="315"/>
      <c r="O190" s="315">
        <f t="shared" si="62"/>
        <v>625</v>
      </c>
      <c r="P190" s="315">
        <v>0</v>
      </c>
      <c r="Q190" s="317"/>
      <c r="R190" s="315">
        <v>1500</v>
      </c>
      <c r="S190" s="318"/>
      <c r="T190" s="315"/>
      <c r="U190" s="315"/>
      <c r="V190" s="315"/>
      <c r="W190" s="315"/>
      <c r="X190" s="315"/>
      <c r="Y190" s="319"/>
    </row>
    <row r="191" spans="1:25" x14ac:dyDescent="0.35">
      <c r="A191" s="234" t="s">
        <v>313</v>
      </c>
      <c r="B191" s="311" t="s">
        <v>363</v>
      </c>
      <c r="C191" s="312" t="s">
        <v>376</v>
      </c>
      <c r="D191" s="311">
        <v>1</v>
      </c>
      <c r="E191" s="313">
        <v>466.66666666666669</v>
      </c>
      <c r="F191" s="314">
        <f t="shared" si="54"/>
        <v>14000</v>
      </c>
      <c r="G191" s="315">
        <f t="shared" si="55"/>
        <v>168000</v>
      </c>
      <c r="H191" s="316"/>
      <c r="I191" s="317"/>
      <c r="J191" s="317"/>
      <c r="K191" s="317"/>
      <c r="L191" s="317"/>
      <c r="M191" s="315"/>
      <c r="N191" s="315"/>
      <c r="O191" s="315">
        <f t="shared" si="62"/>
        <v>583.33333333333337</v>
      </c>
      <c r="P191" s="315">
        <v>0</v>
      </c>
      <c r="Q191" s="317"/>
      <c r="R191" s="315">
        <v>1400</v>
      </c>
      <c r="S191" s="318"/>
      <c r="T191" s="315"/>
      <c r="U191" s="315"/>
      <c r="V191" s="315"/>
      <c r="W191" s="315"/>
      <c r="X191" s="315"/>
      <c r="Y191" s="319"/>
    </row>
    <row r="192" spans="1:25" x14ac:dyDescent="0.35">
      <c r="A192" s="234" t="s">
        <v>263</v>
      </c>
      <c r="B192" s="311" t="s">
        <v>363</v>
      </c>
      <c r="C192" s="312" t="s">
        <v>377</v>
      </c>
      <c r="D192" s="311">
        <v>1</v>
      </c>
      <c r="E192" s="313">
        <v>400</v>
      </c>
      <c r="F192" s="314">
        <f t="shared" si="54"/>
        <v>12000</v>
      </c>
      <c r="G192" s="315">
        <f t="shared" si="55"/>
        <v>144000</v>
      </c>
      <c r="H192" s="316"/>
      <c r="I192" s="317"/>
      <c r="J192" s="317"/>
      <c r="K192" s="317"/>
      <c r="L192" s="317"/>
      <c r="M192" s="315"/>
      <c r="N192" s="315"/>
      <c r="O192" s="315">
        <f t="shared" si="62"/>
        <v>500</v>
      </c>
      <c r="P192" s="315">
        <v>0</v>
      </c>
      <c r="Q192" s="317"/>
      <c r="R192" s="315">
        <v>1200</v>
      </c>
      <c r="S192" s="318"/>
      <c r="T192" s="315"/>
      <c r="U192" s="315"/>
      <c r="V192" s="315"/>
      <c r="W192" s="315"/>
      <c r="X192" s="315"/>
      <c r="Y192" s="319"/>
    </row>
    <row r="193" spans="1:25" x14ac:dyDescent="0.35">
      <c r="A193" s="234" t="s">
        <v>263</v>
      </c>
      <c r="B193" s="311" t="s">
        <v>363</v>
      </c>
      <c r="C193" s="312" t="s">
        <v>378</v>
      </c>
      <c r="D193" s="311">
        <v>1</v>
      </c>
      <c r="E193" s="313">
        <v>466.66666666666669</v>
      </c>
      <c r="F193" s="314">
        <f t="shared" si="54"/>
        <v>14000</v>
      </c>
      <c r="G193" s="315">
        <f t="shared" si="55"/>
        <v>168000</v>
      </c>
      <c r="H193" s="316"/>
      <c r="I193" s="317"/>
      <c r="J193" s="317"/>
      <c r="K193" s="317"/>
      <c r="L193" s="317"/>
      <c r="M193" s="315"/>
      <c r="N193" s="315"/>
      <c r="O193" s="315">
        <f t="shared" si="62"/>
        <v>583.33333333333337</v>
      </c>
      <c r="P193" s="315">
        <v>0</v>
      </c>
      <c r="Q193" s="317"/>
      <c r="R193" s="315">
        <v>1400</v>
      </c>
      <c r="S193" s="318"/>
      <c r="T193" s="315"/>
      <c r="U193" s="315"/>
      <c r="V193" s="315"/>
      <c r="W193" s="315"/>
      <c r="X193" s="315"/>
      <c r="Y193" s="319"/>
    </row>
    <row r="194" spans="1:25" x14ac:dyDescent="0.35">
      <c r="A194" s="234" t="s">
        <v>262</v>
      </c>
      <c r="B194" s="311" t="s">
        <v>363</v>
      </c>
      <c r="C194" s="312" t="s">
        <v>379</v>
      </c>
      <c r="D194" s="311">
        <v>1</v>
      </c>
      <c r="E194" s="313">
        <v>433.33333333333331</v>
      </c>
      <c r="F194" s="314">
        <f t="shared" si="54"/>
        <v>13000</v>
      </c>
      <c r="G194" s="315">
        <f t="shared" si="55"/>
        <v>156000</v>
      </c>
      <c r="H194" s="316"/>
      <c r="I194" s="317"/>
      <c r="J194" s="317"/>
      <c r="K194" s="317"/>
      <c r="L194" s="317"/>
      <c r="M194" s="315"/>
      <c r="N194" s="315"/>
      <c r="O194" s="315">
        <f t="shared" si="62"/>
        <v>541.66666666666663</v>
      </c>
      <c r="P194" s="315">
        <v>0</v>
      </c>
      <c r="Q194" s="317"/>
      <c r="R194" s="315">
        <v>1300</v>
      </c>
      <c r="S194" s="318"/>
      <c r="T194" s="315"/>
      <c r="U194" s="315"/>
      <c r="V194" s="315"/>
      <c r="W194" s="315"/>
      <c r="X194" s="315"/>
      <c r="Y194" s="319"/>
    </row>
    <row r="195" spans="1:25" x14ac:dyDescent="0.35">
      <c r="A195" s="234" t="s">
        <v>262</v>
      </c>
      <c r="B195" s="311" t="s">
        <v>363</v>
      </c>
      <c r="C195" s="312" t="s">
        <v>380</v>
      </c>
      <c r="D195" s="311">
        <v>1</v>
      </c>
      <c r="E195" s="313">
        <v>466.66666666666669</v>
      </c>
      <c r="F195" s="314">
        <f t="shared" si="54"/>
        <v>14000</v>
      </c>
      <c r="G195" s="315">
        <f t="shared" si="55"/>
        <v>168000</v>
      </c>
      <c r="H195" s="316"/>
      <c r="I195" s="317"/>
      <c r="J195" s="317"/>
      <c r="K195" s="317"/>
      <c r="L195" s="317"/>
      <c r="M195" s="315"/>
      <c r="N195" s="315"/>
      <c r="O195" s="315">
        <f t="shared" si="62"/>
        <v>583.33333333333337</v>
      </c>
      <c r="P195" s="315">
        <v>0</v>
      </c>
      <c r="Q195" s="317"/>
      <c r="R195" s="315">
        <v>1400</v>
      </c>
      <c r="S195" s="318"/>
      <c r="T195" s="315"/>
      <c r="U195" s="315"/>
      <c r="V195" s="315"/>
      <c r="W195" s="315"/>
      <c r="X195" s="315"/>
      <c r="Y195" s="319"/>
    </row>
    <row r="196" spans="1:25" x14ac:dyDescent="0.35">
      <c r="A196" s="234" t="s">
        <v>262</v>
      </c>
      <c r="B196" s="311" t="s">
        <v>363</v>
      </c>
      <c r="C196" s="312" t="s">
        <v>381</v>
      </c>
      <c r="D196" s="311">
        <v>1</v>
      </c>
      <c r="E196" s="313">
        <v>466.66666666666669</v>
      </c>
      <c r="F196" s="314">
        <f t="shared" si="54"/>
        <v>14000</v>
      </c>
      <c r="G196" s="315">
        <f t="shared" si="55"/>
        <v>168000</v>
      </c>
      <c r="H196" s="316"/>
      <c r="I196" s="317"/>
      <c r="J196" s="317"/>
      <c r="K196" s="317"/>
      <c r="L196" s="317"/>
      <c r="M196" s="315"/>
      <c r="N196" s="315"/>
      <c r="O196" s="315">
        <f t="shared" si="62"/>
        <v>583.33333333333337</v>
      </c>
      <c r="P196" s="315">
        <v>0</v>
      </c>
      <c r="Q196" s="317"/>
      <c r="R196" s="315">
        <v>1400</v>
      </c>
      <c r="S196" s="318"/>
      <c r="T196" s="315"/>
      <c r="U196" s="315"/>
      <c r="V196" s="315"/>
      <c r="W196" s="315"/>
      <c r="X196" s="315"/>
      <c r="Y196" s="319"/>
    </row>
    <row r="197" spans="1:25" x14ac:dyDescent="0.35">
      <c r="A197" s="234" t="s">
        <v>262</v>
      </c>
      <c r="B197" s="311" t="s">
        <v>363</v>
      </c>
      <c r="C197" s="312" t="s">
        <v>382</v>
      </c>
      <c r="D197" s="311">
        <v>1</v>
      </c>
      <c r="E197" s="313">
        <v>433.33333333333331</v>
      </c>
      <c r="F197" s="314">
        <f t="shared" si="54"/>
        <v>13000</v>
      </c>
      <c r="G197" s="315">
        <f t="shared" si="55"/>
        <v>156000</v>
      </c>
      <c r="H197" s="316"/>
      <c r="I197" s="317"/>
      <c r="J197" s="317"/>
      <c r="K197" s="317"/>
      <c r="L197" s="317"/>
      <c r="M197" s="315"/>
      <c r="N197" s="315"/>
      <c r="O197" s="315">
        <f t="shared" si="62"/>
        <v>541.66666666666663</v>
      </c>
      <c r="P197" s="315">
        <v>0</v>
      </c>
      <c r="Q197" s="317"/>
      <c r="R197" s="315">
        <v>1300</v>
      </c>
      <c r="S197" s="318"/>
      <c r="T197" s="315"/>
      <c r="U197" s="315"/>
      <c r="V197" s="315"/>
      <c r="W197" s="315"/>
      <c r="X197" s="315"/>
      <c r="Y197" s="319"/>
    </row>
    <row r="198" spans="1:25" x14ac:dyDescent="0.35">
      <c r="A198" s="234" t="s">
        <v>262</v>
      </c>
      <c r="B198" s="311" t="s">
        <v>363</v>
      </c>
      <c r="C198" s="312" t="s">
        <v>383</v>
      </c>
      <c r="D198" s="311">
        <v>1</v>
      </c>
      <c r="E198" s="313">
        <v>433.33333333333331</v>
      </c>
      <c r="F198" s="314">
        <f t="shared" si="54"/>
        <v>13000</v>
      </c>
      <c r="G198" s="315">
        <f t="shared" si="55"/>
        <v>156000</v>
      </c>
      <c r="H198" s="316"/>
      <c r="I198" s="317"/>
      <c r="J198" s="317"/>
      <c r="K198" s="317"/>
      <c r="L198" s="317"/>
      <c r="M198" s="315"/>
      <c r="N198" s="315"/>
      <c r="O198" s="315">
        <f t="shared" si="62"/>
        <v>541.66666666666663</v>
      </c>
      <c r="P198" s="315">
        <v>0</v>
      </c>
      <c r="Q198" s="317"/>
      <c r="R198" s="315">
        <v>1300</v>
      </c>
      <c r="S198" s="318"/>
      <c r="T198" s="315"/>
      <c r="U198" s="315"/>
      <c r="V198" s="315"/>
      <c r="W198" s="315"/>
      <c r="X198" s="315"/>
      <c r="Y198" s="319"/>
    </row>
    <row r="199" spans="1:25" x14ac:dyDescent="0.35">
      <c r="A199" s="234" t="s">
        <v>262</v>
      </c>
      <c r="B199" s="311" t="s">
        <v>363</v>
      </c>
      <c r="C199" s="312" t="s">
        <v>384</v>
      </c>
      <c r="D199" s="311">
        <v>1</v>
      </c>
      <c r="E199" s="313">
        <v>500</v>
      </c>
      <c r="F199" s="314">
        <f t="shared" si="54"/>
        <v>15000</v>
      </c>
      <c r="G199" s="315">
        <f t="shared" si="55"/>
        <v>180000</v>
      </c>
      <c r="H199" s="316"/>
      <c r="I199" s="317"/>
      <c r="J199" s="317"/>
      <c r="K199" s="317"/>
      <c r="L199" s="317"/>
      <c r="M199" s="315"/>
      <c r="N199" s="315"/>
      <c r="O199" s="315">
        <f t="shared" si="62"/>
        <v>625</v>
      </c>
      <c r="P199" s="315">
        <v>0</v>
      </c>
      <c r="Q199" s="317"/>
      <c r="R199" s="315">
        <v>1500</v>
      </c>
      <c r="S199" s="318"/>
      <c r="T199" s="315"/>
      <c r="U199" s="315"/>
      <c r="V199" s="315"/>
      <c r="W199" s="315"/>
      <c r="X199" s="315"/>
      <c r="Y199" s="319"/>
    </row>
    <row r="200" spans="1:25" x14ac:dyDescent="0.35">
      <c r="A200" s="234" t="s">
        <v>345</v>
      </c>
      <c r="B200" s="311" t="s">
        <v>363</v>
      </c>
      <c r="C200" s="312" t="s">
        <v>385</v>
      </c>
      <c r="D200" s="311">
        <v>1</v>
      </c>
      <c r="E200" s="313">
        <v>466.66666666666669</v>
      </c>
      <c r="F200" s="314">
        <f t="shared" si="54"/>
        <v>14000</v>
      </c>
      <c r="G200" s="315">
        <f t="shared" si="55"/>
        <v>168000</v>
      </c>
      <c r="H200" s="316"/>
      <c r="I200" s="317"/>
      <c r="J200" s="317"/>
      <c r="K200" s="317"/>
      <c r="L200" s="317"/>
      <c r="M200" s="315"/>
      <c r="N200" s="315"/>
      <c r="O200" s="315">
        <f t="shared" si="62"/>
        <v>583.33333333333337</v>
      </c>
      <c r="P200" s="315">
        <v>0</v>
      </c>
      <c r="Q200" s="317"/>
      <c r="R200" s="315">
        <v>1400</v>
      </c>
      <c r="S200" s="318"/>
      <c r="T200" s="315"/>
      <c r="U200" s="315"/>
      <c r="V200" s="315"/>
      <c r="W200" s="315"/>
      <c r="X200" s="315"/>
      <c r="Y200" s="319"/>
    </row>
    <row r="201" spans="1:25" x14ac:dyDescent="0.35">
      <c r="A201" s="234" t="s">
        <v>308</v>
      </c>
      <c r="B201" s="311" t="s">
        <v>386</v>
      </c>
      <c r="C201" s="312" t="s">
        <v>387</v>
      </c>
      <c r="D201" s="311">
        <v>1</v>
      </c>
      <c r="E201" s="313">
        <v>600</v>
      </c>
      <c r="F201" s="314">
        <f t="shared" si="54"/>
        <v>18000</v>
      </c>
      <c r="G201" s="315">
        <f t="shared" si="55"/>
        <v>216000</v>
      </c>
      <c r="H201" s="316"/>
      <c r="I201" s="317"/>
      <c r="J201" s="317"/>
      <c r="K201" s="317"/>
      <c r="L201" s="317"/>
      <c r="M201" s="315"/>
      <c r="N201" s="315"/>
      <c r="O201" s="315">
        <f t="shared" si="62"/>
        <v>750</v>
      </c>
      <c r="P201" s="315">
        <v>0</v>
      </c>
      <c r="Q201" s="317"/>
      <c r="R201" s="315">
        <v>1800</v>
      </c>
      <c r="S201" s="318"/>
      <c r="T201" s="315"/>
      <c r="U201" s="315"/>
      <c r="V201" s="315"/>
      <c r="W201" s="315"/>
      <c r="X201" s="315"/>
      <c r="Y201" s="319"/>
    </row>
    <row r="202" spans="1:25" x14ac:dyDescent="0.35">
      <c r="A202" s="234" t="s">
        <v>308</v>
      </c>
      <c r="B202" s="311" t="s">
        <v>386</v>
      </c>
      <c r="C202" s="312" t="s">
        <v>388</v>
      </c>
      <c r="D202" s="311">
        <v>1</v>
      </c>
      <c r="E202" s="313">
        <v>666.66666666666663</v>
      </c>
      <c r="F202" s="314">
        <f t="shared" si="54"/>
        <v>20000</v>
      </c>
      <c r="G202" s="315">
        <f t="shared" si="55"/>
        <v>240000</v>
      </c>
      <c r="H202" s="316"/>
      <c r="I202" s="317"/>
      <c r="J202" s="317"/>
      <c r="K202" s="317"/>
      <c r="L202" s="317"/>
      <c r="M202" s="315"/>
      <c r="N202" s="315"/>
      <c r="O202" s="315">
        <f t="shared" si="62"/>
        <v>833.33333333333337</v>
      </c>
      <c r="P202" s="315">
        <v>0</v>
      </c>
      <c r="Q202" s="317"/>
      <c r="R202" s="315">
        <v>2000</v>
      </c>
      <c r="S202" s="318"/>
      <c r="T202" s="315"/>
      <c r="U202" s="315"/>
      <c r="V202" s="315"/>
      <c r="W202" s="315"/>
      <c r="X202" s="315"/>
      <c r="Y202" s="319"/>
    </row>
    <row r="203" spans="1:25" x14ac:dyDescent="0.35">
      <c r="A203" s="234" t="s">
        <v>308</v>
      </c>
      <c r="B203" s="311" t="s">
        <v>386</v>
      </c>
      <c r="C203" s="312" t="s">
        <v>389</v>
      </c>
      <c r="D203" s="311">
        <v>1</v>
      </c>
      <c r="E203" s="313">
        <v>566.66666666666663</v>
      </c>
      <c r="F203" s="314">
        <f t="shared" si="54"/>
        <v>17000</v>
      </c>
      <c r="G203" s="315">
        <f t="shared" si="55"/>
        <v>204000</v>
      </c>
      <c r="H203" s="316"/>
      <c r="I203" s="317"/>
      <c r="J203" s="317"/>
      <c r="K203" s="317"/>
      <c r="L203" s="317"/>
      <c r="M203" s="315"/>
      <c r="N203" s="315"/>
      <c r="O203" s="315">
        <f t="shared" si="62"/>
        <v>708.33333333333337</v>
      </c>
      <c r="P203" s="315">
        <v>0</v>
      </c>
      <c r="Q203" s="317"/>
      <c r="R203" s="315">
        <v>1700</v>
      </c>
      <c r="S203" s="318"/>
      <c r="T203" s="315"/>
      <c r="U203" s="315"/>
      <c r="V203" s="315"/>
      <c r="W203" s="315"/>
      <c r="X203" s="315"/>
      <c r="Y203" s="319"/>
    </row>
    <row r="204" spans="1:25" x14ac:dyDescent="0.35">
      <c r="A204" s="234" t="s">
        <v>308</v>
      </c>
      <c r="B204" s="311" t="s">
        <v>386</v>
      </c>
      <c r="C204" s="312" t="s">
        <v>390</v>
      </c>
      <c r="D204" s="311">
        <v>1</v>
      </c>
      <c r="E204" s="313">
        <v>666.66666666666663</v>
      </c>
      <c r="F204" s="314">
        <f t="shared" si="54"/>
        <v>20000</v>
      </c>
      <c r="G204" s="315">
        <f t="shared" si="55"/>
        <v>240000</v>
      </c>
      <c r="H204" s="316"/>
      <c r="I204" s="317"/>
      <c r="J204" s="317"/>
      <c r="K204" s="317"/>
      <c r="L204" s="317"/>
      <c r="M204" s="315"/>
      <c r="N204" s="315"/>
      <c r="O204" s="315">
        <f t="shared" si="62"/>
        <v>833.33333333333337</v>
      </c>
      <c r="P204" s="315">
        <v>0</v>
      </c>
      <c r="Q204" s="317"/>
      <c r="R204" s="315">
        <v>2000</v>
      </c>
      <c r="S204" s="318"/>
      <c r="T204" s="315"/>
      <c r="U204" s="315"/>
      <c r="V204" s="315"/>
      <c r="W204" s="315"/>
      <c r="X204" s="315"/>
      <c r="Y204" s="319"/>
    </row>
    <row r="205" spans="1:25" x14ac:dyDescent="0.35">
      <c r="A205" s="234" t="s">
        <v>313</v>
      </c>
      <c r="B205" s="311" t="s">
        <v>386</v>
      </c>
      <c r="C205" s="312" t="s">
        <v>391</v>
      </c>
      <c r="D205" s="311">
        <v>1</v>
      </c>
      <c r="E205" s="313">
        <v>600</v>
      </c>
      <c r="F205" s="314">
        <f t="shared" si="54"/>
        <v>18000</v>
      </c>
      <c r="G205" s="315">
        <f t="shared" si="55"/>
        <v>216000</v>
      </c>
      <c r="H205" s="316"/>
      <c r="I205" s="317"/>
      <c r="J205" s="317"/>
      <c r="K205" s="317"/>
      <c r="L205" s="317"/>
      <c r="M205" s="315">
        <f>+F205*$M$146</f>
        <v>0</v>
      </c>
      <c r="N205" s="315">
        <v>0</v>
      </c>
      <c r="O205" s="315">
        <f t="shared" si="62"/>
        <v>750</v>
      </c>
      <c r="P205" s="315">
        <v>0</v>
      </c>
      <c r="Q205" s="317"/>
      <c r="R205" s="315">
        <v>1800</v>
      </c>
      <c r="S205" s="318"/>
      <c r="T205" s="315">
        <f>(+F205+J205+K205+L205+N205+P205+O205+Q205+R205)*$T$146</f>
        <v>616.5</v>
      </c>
      <c r="U205" s="315">
        <f>IF((+F205+J205+K205+L205+N205+O205+P205+Q205+R205)&gt;56617.5,1132.35,(+F205+J205+K205+L205+N205+O205+P205+Q205+R205)*$U$147)</f>
        <v>411</v>
      </c>
      <c r="V205" s="315">
        <f>IF((+F205+J205+K205+L205+N205+O205+P205+Q205+R205)&gt;56617.5,1783.45,(+F205+J205+K205+L205+N205+O205+P205+Q205+R205)*$V$147)</f>
        <v>647.32500000000005</v>
      </c>
      <c r="W205" s="315">
        <v>0</v>
      </c>
      <c r="X205" s="315">
        <f>IF((+F205+J205+K205+L205+N205+O205+P205+Q205+R205)&gt;56617.5,2830.88,(+F205+J205+K205+L205+N205+O205+P205+Q205+R205)*$X$147)</f>
        <v>1027.5</v>
      </c>
      <c r="Y205" s="319"/>
    </row>
    <row r="206" spans="1:25" x14ac:dyDescent="0.35">
      <c r="A206" s="234" t="s">
        <v>313</v>
      </c>
      <c r="B206" s="311" t="s">
        <v>386</v>
      </c>
      <c r="C206" s="312" t="s">
        <v>392</v>
      </c>
      <c r="D206" s="311">
        <v>1</v>
      </c>
      <c r="E206" s="313">
        <v>600</v>
      </c>
      <c r="F206" s="314">
        <f t="shared" si="54"/>
        <v>18000</v>
      </c>
      <c r="G206" s="315">
        <f t="shared" si="55"/>
        <v>216000</v>
      </c>
      <c r="H206" s="316"/>
      <c r="I206" s="317"/>
      <c r="J206" s="317"/>
      <c r="K206" s="317"/>
      <c r="L206" s="317"/>
      <c r="M206" s="315">
        <f>+F206*$M$146</f>
        <v>0</v>
      </c>
      <c r="N206" s="315">
        <v>0</v>
      </c>
      <c r="O206" s="315">
        <f t="shared" si="62"/>
        <v>750</v>
      </c>
      <c r="P206" s="315">
        <v>0</v>
      </c>
      <c r="Q206" s="317"/>
      <c r="R206" s="315">
        <v>1800</v>
      </c>
      <c r="S206" s="318"/>
      <c r="T206" s="315">
        <f>(+F206+J206+K206+L206+N206+P206+O206+Q206+R206)*$T$146</f>
        <v>616.5</v>
      </c>
      <c r="U206" s="315">
        <f>IF((+F206+J206+K206+L206+N206+O206+P206+Q206+R206)&gt;56617.5,1132.35,(+F206+J206+K206+L206+N206+O206+P206+Q206+R206)*$U$147)</f>
        <v>411</v>
      </c>
      <c r="V206" s="315">
        <f>IF((+F206+J206+K206+L206+N206+O206+P206+Q206+R206)&gt;56617.5,1783.45,(+F206+J206+K206+L206+N206+O206+P206+Q206+R206)*$V$147)</f>
        <v>647.32500000000005</v>
      </c>
      <c r="W206" s="315">
        <v>0</v>
      </c>
      <c r="X206" s="315">
        <f>IF((+F206+J206+K206+L206+N206+O206+P206+Q206+R206)&gt;56617.5,2830.88,(+F206+J206+K206+L206+N206+O206+P206+Q206+R206)*$X$147)</f>
        <v>1027.5</v>
      </c>
      <c r="Y206" s="319"/>
    </row>
    <row r="207" spans="1:25" x14ac:dyDescent="0.35">
      <c r="A207" s="234" t="s">
        <v>313</v>
      </c>
      <c r="B207" s="311" t="s">
        <v>386</v>
      </c>
      <c r="C207" s="312" t="s">
        <v>393</v>
      </c>
      <c r="D207" s="311">
        <v>1</v>
      </c>
      <c r="E207" s="313">
        <v>600</v>
      </c>
      <c r="F207" s="314">
        <f t="shared" si="54"/>
        <v>18000</v>
      </c>
      <c r="G207" s="315">
        <f t="shared" si="55"/>
        <v>216000</v>
      </c>
      <c r="H207" s="316"/>
      <c r="I207" s="317"/>
      <c r="J207" s="317"/>
      <c r="K207" s="317"/>
      <c r="L207" s="317"/>
      <c r="M207" s="315">
        <f>+F207*$M$146</f>
        <v>0</v>
      </c>
      <c r="N207" s="315">
        <v>0</v>
      </c>
      <c r="O207" s="315">
        <f t="shared" si="62"/>
        <v>750</v>
      </c>
      <c r="P207" s="315">
        <v>0</v>
      </c>
      <c r="Q207" s="317"/>
      <c r="R207" s="315">
        <v>1800</v>
      </c>
      <c r="S207" s="318"/>
      <c r="T207" s="315">
        <f>(+F207+J207+K207+L207+N207+P207+O207+Q207+R207)*$T$146</f>
        <v>616.5</v>
      </c>
      <c r="U207" s="315">
        <f>IF((+F207+J207+K207+L207+N207+O207+P207+Q207+R207)&gt;56617.5,1132.35,(+F207+J207+K207+L207+N207+O207+P207+Q207+R207)*$U$147)</f>
        <v>411</v>
      </c>
      <c r="V207" s="315">
        <f>IF((+F207+J207+K207+L207+N207+O207+P207+Q207+R207)&gt;56617.5,1783.45,(+F207+J207+K207+L207+N207+O207+P207+Q207+R207)*$V$147)</f>
        <v>647.32500000000005</v>
      </c>
      <c r="W207" s="315">
        <v>0</v>
      </c>
      <c r="X207" s="315">
        <f>IF((+F207+J207+K207+L207+N207+O207+P207+Q207+R207)&gt;56617.5,2830.88,(+F207+J207+K207+L207+N207+O207+P207+Q207+R207)*$X$147)</f>
        <v>1027.5</v>
      </c>
      <c r="Y207" s="319"/>
    </row>
    <row r="208" spans="1:25" x14ac:dyDescent="0.35">
      <c r="A208" s="234" t="s">
        <v>263</v>
      </c>
      <c r="B208" s="311" t="s">
        <v>386</v>
      </c>
      <c r="C208" s="312" t="s">
        <v>394</v>
      </c>
      <c r="D208" s="311">
        <v>1</v>
      </c>
      <c r="E208" s="313">
        <v>666.66666666666663</v>
      </c>
      <c r="F208" s="314">
        <f t="shared" si="54"/>
        <v>20000</v>
      </c>
      <c r="G208" s="315">
        <f t="shared" si="55"/>
        <v>240000</v>
      </c>
      <c r="H208" s="316"/>
      <c r="I208" s="317"/>
      <c r="J208" s="317"/>
      <c r="K208" s="317"/>
      <c r="L208" s="317"/>
      <c r="M208" s="315"/>
      <c r="N208" s="315"/>
      <c r="O208" s="315">
        <f t="shared" si="62"/>
        <v>833.33333333333337</v>
      </c>
      <c r="P208" s="315">
        <v>0</v>
      </c>
      <c r="Q208" s="317"/>
      <c r="R208" s="315">
        <v>2000</v>
      </c>
      <c r="S208" s="318"/>
      <c r="T208" s="315"/>
      <c r="U208" s="315"/>
      <c r="V208" s="315"/>
      <c r="W208" s="315"/>
      <c r="X208" s="315"/>
      <c r="Y208" s="319"/>
    </row>
    <row r="209" spans="1:25" x14ac:dyDescent="0.35">
      <c r="A209" s="234" t="s">
        <v>262</v>
      </c>
      <c r="B209" s="311" t="s">
        <v>386</v>
      </c>
      <c r="C209" s="312" t="s">
        <v>395</v>
      </c>
      <c r="D209" s="311">
        <v>1</v>
      </c>
      <c r="E209" s="313">
        <v>566.66666666666663</v>
      </c>
      <c r="F209" s="314">
        <f t="shared" si="54"/>
        <v>17000</v>
      </c>
      <c r="G209" s="315">
        <f t="shared" si="55"/>
        <v>204000</v>
      </c>
      <c r="H209" s="316"/>
      <c r="I209" s="317"/>
      <c r="J209" s="317"/>
      <c r="K209" s="317"/>
      <c r="L209" s="317"/>
      <c r="M209" s="315"/>
      <c r="N209" s="315"/>
      <c r="O209" s="315">
        <f t="shared" si="62"/>
        <v>708.33333333333337</v>
      </c>
      <c r="P209" s="315">
        <v>0</v>
      </c>
      <c r="Q209" s="317"/>
      <c r="R209" s="315">
        <v>1700</v>
      </c>
      <c r="S209" s="318"/>
      <c r="T209" s="315"/>
      <c r="U209" s="315"/>
      <c r="V209" s="315"/>
      <c r="W209" s="315"/>
      <c r="X209" s="315"/>
      <c r="Y209" s="319"/>
    </row>
    <row r="210" spans="1:25" x14ac:dyDescent="0.35">
      <c r="A210" s="234" t="s">
        <v>262</v>
      </c>
      <c r="B210" s="311" t="s">
        <v>386</v>
      </c>
      <c r="C210" s="312" t="s">
        <v>396</v>
      </c>
      <c r="D210" s="311">
        <v>1</v>
      </c>
      <c r="E210" s="313">
        <v>566.66666666666663</v>
      </c>
      <c r="F210" s="314">
        <f t="shared" si="54"/>
        <v>17000</v>
      </c>
      <c r="G210" s="315">
        <f t="shared" si="55"/>
        <v>204000</v>
      </c>
      <c r="H210" s="316"/>
      <c r="I210" s="317"/>
      <c r="J210" s="317"/>
      <c r="K210" s="317"/>
      <c r="L210" s="317"/>
      <c r="M210" s="315"/>
      <c r="N210" s="315"/>
      <c r="O210" s="315">
        <f t="shared" si="62"/>
        <v>708.33333333333337</v>
      </c>
      <c r="P210" s="315">
        <v>0</v>
      </c>
      <c r="Q210" s="317"/>
      <c r="R210" s="315">
        <v>1700</v>
      </c>
      <c r="S210" s="318"/>
      <c r="T210" s="315"/>
      <c r="U210" s="315"/>
      <c r="V210" s="315"/>
      <c r="W210" s="315"/>
      <c r="X210" s="315"/>
      <c r="Y210" s="319"/>
    </row>
    <row r="211" spans="1:25" x14ac:dyDescent="0.35">
      <c r="A211" s="234" t="s">
        <v>262</v>
      </c>
      <c r="B211" s="311" t="s">
        <v>386</v>
      </c>
      <c r="C211" s="312" t="s">
        <v>397</v>
      </c>
      <c r="D211" s="311">
        <v>1</v>
      </c>
      <c r="E211" s="313">
        <v>600</v>
      </c>
      <c r="F211" s="314">
        <f t="shared" si="54"/>
        <v>18000</v>
      </c>
      <c r="G211" s="315">
        <f t="shared" si="55"/>
        <v>216000</v>
      </c>
      <c r="H211" s="316"/>
      <c r="I211" s="317"/>
      <c r="J211" s="317"/>
      <c r="K211" s="317"/>
      <c r="L211" s="317"/>
      <c r="M211" s="315">
        <f>+F211*$M$146</f>
        <v>0</v>
      </c>
      <c r="N211" s="315">
        <v>0</v>
      </c>
      <c r="O211" s="315">
        <f t="shared" si="62"/>
        <v>750</v>
      </c>
      <c r="P211" s="315">
        <v>0</v>
      </c>
      <c r="Q211" s="317"/>
      <c r="R211" s="315">
        <v>1800</v>
      </c>
      <c r="S211" s="318"/>
      <c r="T211" s="315">
        <f>(+F211+J211+K211+L211+N211+P211+O211+Q211+R211)*$T$146</f>
        <v>616.5</v>
      </c>
      <c r="U211" s="315">
        <f>IF((+F211+J211+K211+L211+N211+O211+P211+Q211+R211)&gt;56617.5,1132.35,(+F211+J211+K211+L211+N211+O211+P211+Q211+R211)*$U$147)</f>
        <v>411</v>
      </c>
      <c r="V211" s="315">
        <f>IF((+F211+J211+K211+L211+N211+O211+P211+Q211+R211)&gt;56617.5,1783.45,(+F211+J211+K211+L211+N211+O211+P211+Q211+R211)*$V$147)</f>
        <v>647.32500000000005</v>
      </c>
      <c r="W211" s="315">
        <v>0</v>
      </c>
      <c r="X211" s="315">
        <f>IF((+F211+J211+K211+L211+N211+O211+P211+Q211+R211)&gt;56617.5,2830.88,(+F211+J211+K211+L211+N211+O211+P211+Q211+R211)*$X$147)</f>
        <v>1027.5</v>
      </c>
      <c r="Y211" s="319"/>
    </row>
    <row r="212" spans="1:25" x14ac:dyDescent="0.35">
      <c r="A212" s="234" t="s">
        <v>345</v>
      </c>
      <c r="B212" s="311" t="s">
        <v>386</v>
      </c>
      <c r="C212" s="312" t="s">
        <v>398</v>
      </c>
      <c r="D212" s="311">
        <v>1</v>
      </c>
      <c r="E212" s="313">
        <v>600</v>
      </c>
      <c r="F212" s="314">
        <f t="shared" ref="F212:F237" si="63">+E212*D212*30</f>
        <v>18000</v>
      </c>
      <c r="G212" s="315">
        <f t="shared" ref="G212:G237" si="64">+F212*12</f>
        <v>216000</v>
      </c>
      <c r="H212" s="316"/>
      <c r="I212" s="317"/>
      <c r="J212" s="317"/>
      <c r="K212" s="317"/>
      <c r="L212" s="317"/>
      <c r="M212" s="315"/>
      <c r="N212" s="315"/>
      <c r="O212" s="315">
        <f t="shared" si="62"/>
        <v>750</v>
      </c>
      <c r="P212" s="315">
        <v>0</v>
      </c>
      <c r="Q212" s="317"/>
      <c r="R212" s="315">
        <v>1800</v>
      </c>
      <c r="S212" s="318"/>
      <c r="T212" s="315"/>
      <c r="U212" s="315"/>
      <c r="V212" s="315"/>
      <c r="W212" s="315"/>
      <c r="X212" s="315"/>
      <c r="Y212" s="319"/>
    </row>
    <row r="213" spans="1:25" x14ac:dyDescent="0.35">
      <c r="A213" s="234" t="s">
        <v>345</v>
      </c>
      <c r="B213" s="311" t="s">
        <v>386</v>
      </c>
      <c r="C213" s="312" t="s">
        <v>399</v>
      </c>
      <c r="D213" s="311">
        <v>1</v>
      </c>
      <c r="E213" s="313">
        <v>600</v>
      </c>
      <c r="F213" s="314">
        <f t="shared" si="63"/>
        <v>18000</v>
      </c>
      <c r="G213" s="315">
        <f t="shared" si="64"/>
        <v>216000</v>
      </c>
      <c r="H213" s="316"/>
      <c r="I213" s="317"/>
      <c r="J213" s="317"/>
      <c r="K213" s="317"/>
      <c r="L213" s="317"/>
      <c r="M213" s="315">
        <f>+F213*$M$146</f>
        <v>0</v>
      </c>
      <c r="N213" s="315">
        <v>0</v>
      </c>
      <c r="O213" s="315">
        <f t="shared" si="62"/>
        <v>750</v>
      </c>
      <c r="P213" s="315">
        <v>0</v>
      </c>
      <c r="Q213" s="317"/>
      <c r="R213" s="315">
        <v>1800</v>
      </c>
      <c r="S213" s="318"/>
      <c r="T213" s="315">
        <f>(+F213+J213+K213+L213+N213+P213+O213+Q213+R213)*$T$146</f>
        <v>616.5</v>
      </c>
      <c r="U213" s="315">
        <f>IF((+F213+J213+K213+L213+N213+O213+P213+Q213+R213)&gt;56617.5,1132.35,(+F213+J213+K213+L213+N213+O213+P213+Q213+R213)*$U$147)</f>
        <v>411</v>
      </c>
      <c r="V213" s="315">
        <f>IF((+F213+J213+K213+L213+N213+O213+P213+Q213+R213)&gt;56617.5,1783.45,(+F213+J213+K213+L213+N213+O213+P213+Q213+R213)*$V$147)</f>
        <v>647.32500000000005</v>
      </c>
      <c r="W213" s="315">
        <v>0</v>
      </c>
      <c r="X213" s="315">
        <f>IF((+F213+J213+K213+L213+N213+O213+P213+Q213+R213)&gt;56617.5,2830.88,(+F213+J213+K213+L213+N213+O213+P213+Q213+R213)*$X$147)</f>
        <v>1027.5</v>
      </c>
      <c r="Y213" s="319"/>
    </row>
    <row r="214" spans="1:25" x14ac:dyDescent="0.35">
      <c r="A214" s="234" t="s">
        <v>345</v>
      </c>
      <c r="B214" s="311" t="s">
        <v>386</v>
      </c>
      <c r="C214" s="312" t="s">
        <v>400</v>
      </c>
      <c r="D214" s="311">
        <v>1</v>
      </c>
      <c r="E214" s="313">
        <v>600</v>
      </c>
      <c r="F214" s="314">
        <f t="shared" si="63"/>
        <v>18000</v>
      </c>
      <c r="G214" s="315">
        <f t="shared" si="64"/>
        <v>216000</v>
      </c>
      <c r="H214" s="316"/>
      <c r="I214" s="317"/>
      <c r="J214" s="317"/>
      <c r="K214" s="317"/>
      <c r="L214" s="317"/>
      <c r="M214" s="315">
        <f>+F214*$M$146</f>
        <v>0</v>
      </c>
      <c r="N214" s="315">
        <v>0</v>
      </c>
      <c r="O214" s="315">
        <f t="shared" si="62"/>
        <v>750</v>
      </c>
      <c r="P214" s="315">
        <v>0</v>
      </c>
      <c r="Q214" s="317"/>
      <c r="R214" s="315">
        <v>1800</v>
      </c>
      <c r="S214" s="318"/>
      <c r="T214" s="315">
        <f>(+F214+J214+K214+L214+N214+P214+O214+Q214+R214)*$T$146</f>
        <v>616.5</v>
      </c>
      <c r="U214" s="315">
        <f>IF((+F214+J214+K214+L214+N214+O214+P214+Q214+R214)&gt;56617.5,1132.35,(+F214+J214+K214+L214+N214+O214+P214+Q214+R214)*$U$147)</f>
        <v>411</v>
      </c>
      <c r="V214" s="315">
        <f>IF((+F214+J214+K214+L214+N214+O214+P214+Q214+R214)&gt;56617.5,1783.45,(+F214+J214+K214+L214+N214+O214+P214+Q214+R214)*$V$147)</f>
        <v>647.32500000000005</v>
      </c>
      <c r="W214" s="315">
        <v>0</v>
      </c>
      <c r="X214" s="315">
        <f>IF((+F214+J214+K214+L214+N214+O214+P214+Q214+R214)&gt;56617.5,2830.88,(+F214+J214+K214+L214+N214+O214+P214+Q214+R214)*$X$147)</f>
        <v>1027.5</v>
      </c>
      <c r="Y214" s="319"/>
    </row>
    <row r="215" spans="1:25" x14ac:dyDescent="0.35">
      <c r="A215" s="234" t="s">
        <v>345</v>
      </c>
      <c r="B215" s="311" t="s">
        <v>386</v>
      </c>
      <c r="C215" s="312" t="s">
        <v>401</v>
      </c>
      <c r="D215" s="311">
        <v>1</v>
      </c>
      <c r="E215" s="313">
        <v>600</v>
      </c>
      <c r="F215" s="314">
        <f t="shared" si="63"/>
        <v>18000</v>
      </c>
      <c r="G215" s="315">
        <f t="shared" si="64"/>
        <v>216000</v>
      </c>
      <c r="H215" s="316"/>
      <c r="I215" s="317"/>
      <c r="J215" s="317"/>
      <c r="K215" s="317"/>
      <c r="L215" s="317"/>
      <c r="M215" s="315">
        <f>+F215*$M$146</f>
        <v>0</v>
      </c>
      <c r="N215" s="315">
        <v>0</v>
      </c>
      <c r="O215" s="315">
        <f t="shared" si="62"/>
        <v>750</v>
      </c>
      <c r="P215" s="315">
        <v>0</v>
      </c>
      <c r="Q215" s="317"/>
      <c r="R215" s="315">
        <v>1800</v>
      </c>
      <c r="S215" s="318"/>
      <c r="T215" s="315">
        <f>(+F215+J215+K215+L215+N215+P215+O215+Q215+R215)*$T$146</f>
        <v>616.5</v>
      </c>
      <c r="U215" s="315">
        <f>IF((+F215+J215+K215+L215+N215+O215+P215+Q215+R215)&gt;56617.5,1132.35,(+F215+J215+K215+L215+N215+O215+P215+Q215+R215)*$U$147)</f>
        <v>411</v>
      </c>
      <c r="V215" s="315">
        <f>IF((+F215+J215+K215+L215+N215+O215+P215+Q215+R215)&gt;56617.5,1783.45,(+F215+J215+K215+L215+N215+O215+P215+Q215+R215)*$V$147)</f>
        <v>647.32500000000005</v>
      </c>
      <c r="W215" s="315">
        <v>0</v>
      </c>
      <c r="X215" s="315">
        <f>IF((+F215+J215+K215+L215+N215+O215+P215+Q215+R215)&gt;56617.5,2830.88,(+F215+J215+K215+L215+N215+O215+P215+Q215+R215)*$X$147)</f>
        <v>1027.5</v>
      </c>
      <c r="Y215" s="319"/>
    </row>
    <row r="216" spans="1:25" x14ac:dyDescent="0.35">
      <c r="A216" s="234" t="s">
        <v>345</v>
      </c>
      <c r="B216" s="311" t="s">
        <v>386</v>
      </c>
      <c r="C216" s="312" t="s">
        <v>402</v>
      </c>
      <c r="D216" s="311">
        <v>1</v>
      </c>
      <c r="E216" s="313">
        <v>600</v>
      </c>
      <c r="F216" s="314">
        <f t="shared" si="63"/>
        <v>18000</v>
      </c>
      <c r="G216" s="315">
        <f t="shared" si="64"/>
        <v>216000</v>
      </c>
      <c r="H216" s="316"/>
      <c r="I216" s="317"/>
      <c r="J216" s="317"/>
      <c r="K216" s="317"/>
      <c r="L216" s="317"/>
      <c r="M216" s="315">
        <f>+F216*$M$146</f>
        <v>0</v>
      </c>
      <c r="N216" s="315">
        <v>0</v>
      </c>
      <c r="O216" s="315">
        <f t="shared" si="62"/>
        <v>750</v>
      </c>
      <c r="P216" s="315">
        <v>0</v>
      </c>
      <c r="Q216" s="317"/>
      <c r="R216" s="315">
        <v>1800</v>
      </c>
      <c r="S216" s="318"/>
      <c r="T216" s="315">
        <f>(+F216+J216+K216+L216+N216+P216+O216+Q216+R216)*$T$146</f>
        <v>616.5</v>
      </c>
      <c r="U216" s="315">
        <f>IF((+F216+J216+K216+L216+N216+O216+P216+Q216+R216)&gt;56617.5,1132.35,(+F216+J216+K216+L216+N216+O216+P216+Q216+R216)*$U$147)</f>
        <v>411</v>
      </c>
      <c r="V216" s="315">
        <f>IF((+F216+J216+K216+L216+N216+O216+P216+Q216+R216)&gt;56617.5,1783.45,(+F216+J216+K216+L216+N216+O216+P216+Q216+R216)*$V$147)</f>
        <v>647.32500000000005</v>
      </c>
      <c r="W216" s="315">
        <v>0</v>
      </c>
      <c r="X216" s="315">
        <f>IF((+F216+J216+K216+L216+N216+O216+P216+Q216+R216)&gt;56617.5,2830.88,(+F216+J216+K216+L216+N216+O216+P216+Q216+R216)*$X$147)</f>
        <v>1027.5</v>
      </c>
      <c r="Y216" s="319"/>
    </row>
    <row r="217" spans="1:25" x14ac:dyDescent="0.35">
      <c r="A217" s="234" t="s">
        <v>262</v>
      </c>
      <c r="B217" s="311" t="s">
        <v>403</v>
      </c>
      <c r="C217" s="312" t="s">
        <v>404</v>
      </c>
      <c r="D217" s="311">
        <v>1</v>
      </c>
      <c r="E217" s="313">
        <v>900</v>
      </c>
      <c r="F217" s="314">
        <f t="shared" si="63"/>
        <v>27000</v>
      </c>
      <c r="G217" s="315">
        <f t="shared" si="64"/>
        <v>324000</v>
      </c>
      <c r="H217" s="316"/>
      <c r="I217" s="317"/>
      <c r="J217" s="317"/>
      <c r="K217" s="317"/>
      <c r="L217" s="317"/>
      <c r="M217" s="315">
        <f>+F217*$M$146</f>
        <v>0</v>
      </c>
      <c r="N217" s="315">
        <v>0</v>
      </c>
      <c r="O217" s="315">
        <f t="shared" si="62"/>
        <v>1125</v>
      </c>
      <c r="P217" s="315">
        <v>0</v>
      </c>
      <c r="Q217" s="317"/>
      <c r="R217" s="315">
        <v>2700</v>
      </c>
      <c r="S217" s="318"/>
      <c r="T217" s="315">
        <f>(+F217+J217+K217+L217+N217+P217+O217+Q217+R217)*$T$146</f>
        <v>924.75</v>
      </c>
      <c r="U217" s="315">
        <f>IF((+F217+J217+K217+L217+N217+O217+P217+Q217+R217)&gt;56617.5,1132.35,(+F217+J217+K217+L217+N217+O217+P217+Q217+R217)*$U$147)</f>
        <v>616.5</v>
      </c>
      <c r="V217" s="315">
        <f>IF((+F217+J217+K217+L217+N217+O217+P217+Q217+R217)&gt;56617.5,1783.45,(+F217+J217+K217+L217+N217+O217+P217+Q217+R217)*$V$147)</f>
        <v>970.98749999999995</v>
      </c>
      <c r="W217" s="315">
        <v>0</v>
      </c>
      <c r="X217" s="315">
        <f>IF((+F217+J217+K217+L217+N217+O217+P217+Q217+R217)&gt;56617.5,2830.88,(+F217+J217+K217+L217+N217+O217+P217+Q217+R217)*$X$147)</f>
        <v>1541.25</v>
      </c>
      <c r="Y217" s="319"/>
    </row>
    <row r="218" spans="1:25" x14ac:dyDescent="0.35">
      <c r="A218" s="234" t="s">
        <v>308</v>
      </c>
      <c r="B218" s="311" t="s">
        <v>405</v>
      </c>
      <c r="C218" s="312" t="s">
        <v>406</v>
      </c>
      <c r="D218" s="311">
        <v>1</v>
      </c>
      <c r="E218" s="313">
        <v>600</v>
      </c>
      <c r="F218" s="314">
        <f t="shared" si="63"/>
        <v>18000</v>
      </c>
      <c r="G218" s="315">
        <f t="shared" si="64"/>
        <v>216000</v>
      </c>
      <c r="H218" s="316"/>
      <c r="I218" s="317"/>
      <c r="J218" s="317"/>
      <c r="K218" s="317"/>
      <c r="L218" s="317"/>
      <c r="M218" s="315"/>
      <c r="N218" s="315"/>
      <c r="O218" s="315">
        <f t="shared" ref="O218:O237" si="65">+(F218/30)*$O$146/12</f>
        <v>750</v>
      </c>
      <c r="P218" s="315">
        <v>0</v>
      </c>
      <c r="Q218" s="317"/>
      <c r="R218" s="315">
        <v>1800</v>
      </c>
      <c r="S218" s="318"/>
      <c r="T218" s="315"/>
      <c r="U218" s="315"/>
      <c r="V218" s="315"/>
      <c r="W218" s="315"/>
      <c r="X218" s="315"/>
      <c r="Y218" s="319"/>
    </row>
    <row r="219" spans="1:25" x14ac:dyDescent="0.35">
      <c r="A219" s="234" t="s">
        <v>308</v>
      </c>
      <c r="B219" s="311" t="s">
        <v>407</v>
      </c>
      <c r="C219" s="312" t="s">
        <v>408</v>
      </c>
      <c r="D219" s="311">
        <v>1</v>
      </c>
      <c r="E219" s="313">
        <v>750</v>
      </c>
      <c r="F219" s="314">
        <f t="shared" si="63"/>
        <v>22500</v>
      </c>
      <c r="G219" s="315">
        <f t="shared" si="64"/>
        <v>270000</v>
      </c>
      <c r="H219" s="316"/>
      <c r="I219" s="317"/>
      <c r="J219" s="317"/>
      <c r="K219" s="317"/>
      <c r="L219" s="317"/>
      <c r="M219" s="315">
        <f t="shared" ref="M219:M237" si="66">+F219*$M$146</f>
        <v>0</v>
      </c>
      <c r="N219" s="315">
        <v>0</v>
      </c>
      <c r="O219" s="315">
        <f t="shared" si="65"/>
        <v>937.5</v>
      </c>
      <c r="P219" s="315">
        <v>0</v>
      </c>
      <c r="Q219" s="317"/>
      <c r="R219" s="315">
        <v>2250</v>
      </c>
      <c r="S219" s="318"/>
      <c r="T219" s="315">
        <f t="shared" ref="T219:T237" si="67">(+F219+J219+K219+L219+N219+P219+O219+Q219+R219)*$T$146</f>
        <v>770.625</v>
      </c>
      <c r="U219" s="315">
        <f t="shared" ref="U219:U237" si="68">IF((+F219+J219+K219+L219+N219+O219+P219+Q219+R219)&gt;56617.5,1132.35,(+F219+J219+K219+L219+N219+O219+P219+Q219+R219)*$U$147)</f>
        <v>513.75</v>
      </c>
      <c r="V219" s="315">
        <f t="shared" ref="V219:V237" si="69">IF((+F219+J219+K219+L219+N219+O219+P219+Q219+R219)&gt;56617.5,1783.45,(+F219+J219+K219+L219+N219+O219+P219+Q219+R219)*$V$147)</f>
        <v>809.15625</v>
      </c>
      <c r="W219" s="315">
        <v>0</v>
      </c>
      <c r="X219" s="315">
        <f t="shared" ref="X219:X237" si="70">IF((+F219+J219+K219+L219+N219+O219+P219+Q219+R219)&gt;56617.5,2830.88,(+F219+J219+K219+L219+N219+O219+P219+Q219+R219)*$X$147)</f>
        <v>1284.375</v>
      </c>
      <c r="Y219" s="319"/>
    </row>
    <row r="220" spans="1:25" x14ac:dyDescent="0.35">
      <c r="A220" s="234" t="s">
        <v>313</v>
      </c>
      <c r="B220" s="311" t="s">
        <v>407</v>
      </c>
      <c r="C220" s="312" t="s">
        <v>409</v>
      </c>
      <c r="D220" s="311">
        <v>1</v>
      </c>
      <c r="E220" s="313">
        <v>666.66666666666663</v>
      </c>
      <c r="F220" s="314">
        <f t="shared" si="63"/>
        <v>20000</v>
      </c>
      <c r="G220" s="315">
        <f t="shared" si="64"/>
        <v>240000</v>
      </c>
      <c r="H220" s="316"/>
      <c r="I220" s="317"/>
      <c r="J220" s="317"/>
      <c r="K220" s="317"/>
      <c r="L220" s="317"/>
      <c r="M220" s="315">
        <f t="shared" si="66"/>
        <v>0</v>
      </c>
      <c r="N220" s="315">
        <v>0</v>
      </c>
      <c r="O220" s="315">
        <f t="shared" si="65"/>
        <v>833.33333333333337</v>
      </c>
      <c r="P220" s="315">
        <v>0</v>
      </c>
      <c r="Q220" s="317"/>
      <c r="R220" s="315">
        <v>2000</v>
      </c>
      <c r="S220" s="318"/>
      <c r="T220" s="315">
        <f t="shared" si="67"/>
        <v>684.99999999999989</v>
      </c>
      <c r="U220" s="315">
        <f t="shared" si="68"/>
        <v>456.66666666666663</v>
      </c>
      <c r="V220" s="315">
        <f t="shared" si="69"/>
        <v>719.25</v>
      </c>
      <c r="W220" s="315">
        <v>0</v>
      </c>
      <c r="X220" s="315">
        <f t="shared" si="70"/>
        <v>1141.6666666666667</v>
      </c>
      <c r="Y220" s="319"/>
    </row>
    <row r="221" spans="1:25" x14ac:dyDescent="0.35">
      <c r="A221" s="234" t="s">
        <v>262</v>
      </c>
      <c r="B221" s="311" t="s">
        <v>407</v>
      </c>
      <c r="C221" s="312" t="s">
        <v>410</v>
      </c>
      <c r="D221" s="311">
        <v>1</v>
      </c>
      <c r="E221" s="313">
        <v>966.66666666666663</v>
      </c>
      <c r="F221" s="314">
        <f t="shared" si="63"/>
        <v>29000</v>
      </c>
      <c r="G221" s="315">
        <f t="shared" si="64"/>
        <v>348000</v>
      </c>
      <c r="H221" s="316"/>
      <c r="I221" s="317"/>
      <c r="J221" s="317"/>
      <c r="K221" s="317"/>
      <c r="L221" s="317"/>
      <c r="M221" s="315">
        <f t="shared" si="66"/>
        <v>0</v>
      </c>
      <c r="N221" s="315">
        <v>0</v>
      </c>
      <c r="O221" s="315">
        <f t="shared" si="65"/>
        <v>1208.3333333333333</v>
      </c>
      <c r="P221" s="315">
        <v>0</v>
      </c>
      <c r="Q221" s="317"/>
      <c r="R221" s="315">
        <v>2900</v>
      </c>
      <c r="S221" s="318"/>
      <c r="T221" s="315">
        <f t="shared" si="67"/>
        <v>993.24999999999977</v>
      </c>
      <c r="U221" s="315">
        <f t="shared" si="68"/>
        <v>662.16666666666663</v>
      </c>
      <c r="V221" s="315">
        <f t="shared" si="69"/>
        <v>1042.9124999999999</v>
      </c>
      <c r="W221" s="315">
        <v>0</v>
      </c>
      <c r="X221" s="315">
        <f t="shared" si="70"/>
        <v>1655.4166666666665</v>
      </c>
      <c r="Y221" s="319"/>
    </row>
    <row r="222" spans="1:25" x14ac:dyDescent="0.35">
      <c r="A222" s="234" t="s">
        <v>308</v>
      </c>
      <c r="B222" s="311" t="s">
        <v>411</v>
      </c>
      <c r="C222" s="312" t="s">
        <v>412</v>
      </c>
      <c r="D222" s="311">
        <v>1</v>
      </c>
      <c r="E222" s="313">
        <v>433.33333333333331</v>
      </c>
      <c r="F222" s="314">
        <f t="shared" si="63"/>
        <v>13000</v>
      </c>
      <c r="G222" s="315">
        <f t="shared" si="64"/>
        <v>156000</v>
      </c>
      <c r="H222" s="316"/>
      <c r="I222" s="317"/>
      <c r="J222" s="317"/>
      <c r="K222" s="317"/>
      <c r="L222" s="317"/>
      <c r="M222" s="315">
        <f t="shared" si="66"/>
        <v>0</v>
      </c>
      <c r="N222" s="315">
        <v>0</v>
      </c>
      <c r="O222" s="315">
        <f t="shared" si="65"/>
        <v>541.66666666666663</v>
      </c>
      <c r="P222" s="315">
        <v>0</v>
      </c>
      <c r="Q222" s="317"/>
      <c r="R222" s="315">
        <v>1300</v>
      </c>
      <c r="S222" s="318"/>
      <c r="T222" s="315">
        <f t="shared" si="67"/>
        <v>445.24999999999994</v>
      </c>
      <c r="U222" s="315">
        <f t="shared" si="68"/>
        <v>296.83333333333331</v>
      </c>
      <c r="V222" s="315">
        <f t="shared" si="69"/>
        <v>467.51249999999999</v>
      </c>
      <c r="W222" s="315">
        <v>0</v>
      </c>
      <c r="X222" s="315">
        <f t="shared" si="70"/>
        <v>742.08333333333337</v>
      </c>
      <c r="Y222" s="319"/>
    </row>
    <row r="223" spans="1:25" x14ac:dyDescent="0.35">
      <c r="A223" s="234" t="s">
        <v>262</v>
      </c>
      <c r="B223" s="311" t="s">
        <v>413</v>
      </c>
      <c r="C223" s="312" t="s">
        <v>414</v>
      </c>
      <c r="D223" s="311">
        <v>1</v>
      </c>
      <c r="E223" s="313">
        <v>433.33333333333331</v>
      </c>
      <c r="F223" s="314">
        <f t="shared" si="63"/>
        <v>13000</v>
      </c>
      <c r="G223" s="315">
        <f t="shared" si="64"/>
        <v>156000</v>
      </c>
      <c r="H223" s="316"/>
      <c r="I223" s="317"/>
      <c r="J223" s="317"/>
      <c r="K223" s="317"/>
      <c r="L223" s="317"/>
      <c r="M223" s="315">
        <f t="shared" si="66"/>
        <v>0</v>
      </c>
      <c r="N223" s="315">
        <v>0</v>
      </c>
      <c r="O223" s="315">
        <f t="shared" si="65"/>
        <v>541.66666666666663</v>
      </c>
      <c r="P223" s="315">
        <v>0</v>
      </c>
      <c r="Q223" s="317"/>
      <c r="R223" s="315">
        <v>1300</v>
      </c>
      <c r="S223" s="318"/>
      <c r="T223" s="315">
        <f t="shared" si="67"/>
        <v>445.24999999999994</v>
      </c>
      <c r="U223" s="315">
        <f t="shared" si="68"/>
        <v>296.83333333333331</v>
      </c>
      <c r="V223" s="315">
        <f t="shared" si="69"/>
        <v>467.51249999999999</v>
      </c>
      <c r="W223" s="315">
        <v>0</v>
      </c>
      <c r="X223" s="315">
        <f t="shared" si="70"/>
        <v>742.08333333333337</v>
      </c>
      <c r="Y223" s="319"/>
    </row>
    <row r="224" spans="1:25" x14ac:dyDescent="0.35">
      <c r="A224" s="234" t="s">
        <v>263</v>
      </c>
      <c r="B224" s="311" t="s">
        <v>415</v>
      </c>
      <c r="C224" s="312" t="s">
        <v>416</v>
      </c>
      <c r="D224" s="311">
        <v>1</v>
      </c>
      <c r="E224" s="313">
        <v>666.66666666666663</v>
      </c>
      <c r="F224" s="314">
        <f t="shared" si="63"/>
        <v>20000</v>
      </c>
      <c r="G224" s="315">
        <f t="shared" si="64"/>
        <v>240000</v>
      </c>
      <c r="H224" s="316"/>
      <c r="I224" s="317"/>
      <c r="J224" s="317"/>
      <c r="K224" s="317"/>
      <c r="L224" s="317"/>
      <c r="M224" s="315">
        <f t="shared" si="66"/>
        <v>0</v>
      </c>
      <c r="N224" s="315">
        <v>0</v>
      </c>
      <c r="O224" s="315">
        <f t="shared" si="65"/>
        <v>833.33333333333337</v>
      </c>
      <c r="P224" s="315">
        <v>0</v>
      </c>
      <c r="Q224" s="317"/>
      <c r="R224" s="315">
        <v>2000</v>
      </c>
      <c r="S224" s="318"/>
      <c r="T224" s="315">
        <f t="shared" si="67"/>
        <v>684.99999999999989</v>
      </c>
      <c r="U224" s="315">
        <f t="shared" si="68"/>
        <v>456.66666666666663</v>
      </c>
      <c r="V224" s="315">
        <f t="shared" si="69"/>
        <v>719.25</v>
      </c>
      <c r="W224" s="315">
        <v>0</v>
      </c>
      <c r="X224" s="315">
        <f t="shared" si="70"/>
        <v>1141.6666666666667</v>
      </c>
      <c r="Y224" s="319"/>
    </row>
    <row r="225" spans="1:34" x14ac:dyDescent="0.35">
      <c r="A225" s="234" t="s">
        <v>345</v>
      </c>
      <c r="B225" s="311" t="s">
        <v>415</v>
      </c>
      <c r="C225" s="312" t="s">
        <v>417</v>
      </c>
      <c r="D225" s="311">
        <v>1</v>
      </c>
      <c r="E225" s="313">
        <v>666.66666666666663</v>
      </c>
      <c r="F225" s="314">
        <f t="shared" si="63"/>
        <v>20000</v>
      </c>
      <c r="G225" s="315">
        <f t="shared" si="64"/>
        <v>240000</v>
      </c>
      <c r="H225" s="316"/>
      <c r="I225" s="317"/>
      <c r="J225" s="317"/>
      <c r="K225" s="317"/>
      <c r="L225" s="317"/>
      <c r="M225" s="315">
        <f t="shared" si="66"/>
        <v>0</v>
      </c>
      <c r="N225" s="315">
        <v>0</v>
      </c>
      <c r="O225" s="315">
        <f t="shared" si="65"/>
        <v>833.33333333333337</v>
      </c>
      <c r="P225" s="315">
        <v>0</v>
      </c>
      <c r="Q225" s="317"/>
      <c r="R225" s="315">
        <v>2000</v>
      </c>
      <c r="S225" s="318"/>
      <c r="T225" s="315">
        <f t="shared" si="67"/>
        <v>684.99999999999989</v>
      </c>
      <c r="U225" s="315">
        <f t="shared" si="68"/>
        <v>456.66666666666663</v>
      </c>
      <c r="V225" s="315">
        <f t="shared" si="69"/>
        <v>719.25</v>
      </c>
      <c r="W225" s="315">
        <v>0</v>
      </c>
      <c r="X225" s="315">
        <f t="shared" si="70"/>
        <v>1141.6666666666667</v>
      </c>
      <c r="Y225" s="319"/>
    </row>
    <row r="226" spans="1:34" s="282" customFormat="1" x14ac:dyDescent="0.35">
      <c r="A226" s="234" t="s">
        <v>349</v>
      </c>
      <c r="B226" s="311" t="s">
        <v>418</v>
      </c>
      <c r="C226" s="312" t="s">
        <v>419</v>
      </c>
      <c r="D226" s="311">
        <v>1</v>
      </c>
      <c r="E226" s="313">
        <v>400</v>
      </c>
      <c r="F226" s="314">
        <f t="shared" si="63"/>
        <v>12000</v>
      </c>
      <c r="G226" s="315">
        <f t="shared" si="64"/>
        <v>144000</v>
      </c>
      <c r="H226" s="316"/>
      <c r="I226" s="317"/>
      <c r="J226" s="317"/>
      <c r="K226" s="317"/>
      <c r="L226" s="317"/>
      <c r="M226" s="315">
        <f t="shared" si="66"/>
        <v>0</v>
      </c>
      <c r="N226" s="315">
        <v>0</v>
      </c>
      <c r="O226" s="315">
        <f t="shared" si="65"/>
        <v>500</v>
      </c>
      <c r="P226" s="315">
        <v>0</v>
      </c>
      <c r="Q226" s="317"/>
      <c r="R226" s="315">
        <v>1200</v>
      </c>
      <c r="S226" s="318"/>
      <c r="T226" s="315">
        <f t="shared" si="67"/>
        <v>411</v>
      </c>
      <c r="U226" s="315">
        <f t="shared" si="68"/>
        <v>274</v>
      </c>
      <c r="V226" s="315">
        <f t="shared" si="69"/>
        <v>431.55</v>
      </c>
      <c r="W226" s="315">
        <v>0</v>
      </c>
      <c r="X226" s="315">
        <f t="shared" si="70"/>
        <v>685</v>
      </c>
      <c r="Y226" s="319"/>
      <c r="Z226" s="234"/>
      <c r="AA226" s="234"/>
      <c r="AB226" s="234"/>
      <c r="AC226" s="234"/>
      <c r="AD226" s="234"/>
      <c r="AE226" s="234"/>
      <c r="AF226" s="234"/>
      <c r="AG226" s="234"/>
      <c r="AH226" s="234"/>
    </row>
    <row r="227" spans="1:34" x14ac:dyDescent="0.35">
      <c r="A227" s="234" t="s">
        <v>308</v>
      </c>
      <c r="B227" s="311" t="s">
        <v>420</v>
      </c>
      <c r="C227" s="312" t="s">
        <v>421</v>
      </c>
      <c r="D227" s="311">
        <v>1</v>
      </c>
      <c r="E227" s="313">
        <v>233.33333333333334</v>
      </c>
      <c r="F227" s="314">
        <f t="shared" si="63"/>
        <v>7000</v>
      </c>
      <c r="G227" s="315">
        <f t="shared" si="64"/>
        <v>84000</v>
      </c>
      <c r="H227" s="316"/>
      <c r="I227" s="317"/>
      <c r="J227" s="317"/>
      <c r="K227" s="317"/>
      <c r="L227" s="317"/>
      <c r="M227" s="315">
        <f t="shared" si="66"/>
        <v>0</v>
      </c>
      <c r="N227" s="315">
        <v>0</v>
      </c>
      <c r="O227" s="315">
        <f t="shared" si="65"/>
        <v>291.66666666666669</v>
      </c>
      <c r="P227" s="315">
        <v>0</v>
      </c>
      <c r="Q227" s="317"/>
      <c r="R227" s="315">
        <v>700</v>
      </c>
      <c r="S227" s="318"/>
      <c r="T227" s="315">
        <f t="shared" si="67"/>
        <v>239.75</v>
      </c>
      <c r="U227" s="315">
        <f t="shared" si="68"/>
        <v>159.83333333333334</v>
      </c>
      <c r="V227" s="315">
        <f t="shared" si="69"/>
        <v>251.73750000000001</v>
      </c>
      <c r="W227" s="315">
        <v>0</v>
      </c>
      <c r="X227" s="315">
        <f t="shared" si="70"/>
        <v>399.58333333333337</v>
      </c>
      <c r="Y227" s="319"/>
    </row>
    <row r="228" spans="1:34" x14ac:dyDescent="0.35">
      <c r="A228" s="234" t="s">
        <v>308</v>
      </c>
      <c r="B228" s="311" t="s">
        <v>420</v>
      </c>
      <c r="C228" s="312" t="s">
        <v>422</v>
      </c>
      <c r="D228" s="311">
        <v>1</v>
      </c>
      <c r="E228" s="313">
        <v>233.33333333333334</v>
      </c>
      <c r="F228" s="314">
        <f t="shared" si="63"/>
        <v>7000</v>
      </c>
      <c r="G228" s="315">
        <f t="shared" si="64"/>
        <v>84000</v>
      </c>
      <c r="H228" s="316"/>
      <c r="I228" s="317"/>
      <c r="J228" s="317"/>
      <c r="K228" s="317"/>
      <c r="L228" s="317"/>
      <c r="M228" s="315">
        <f t="shared" si="66"/>
        <v>0</v>
      </c>
      <c r="N228" s="315">
        <v>0</v>
      </c>
      <c r="O228" s="315">
        <f t="shared" si="65"/>
        <v>291.66666666666669</v>
      </c>
      <c r="P228" s="315">
        <v>0</v>
      </c>
      <c r="Q228" s="317"/>
      <c r="R228" s="315">
        <v>700</v>
      </c>
      <c r="S228" s="318"/>
      <c r="T228" s="315">
        <f t="shared" si="67"/>
        <v>239.75</v>
      </c>
      <c r="U228" s="315">
        <f t="shared" si="68"/>
        <v>159.83333333333334</v>
      </c>
      <c r="V228" s="315">
        <f t="shared" si="69"/>
        <v>251.73750000000001</v>
      </c>
      <c r="W228" s="315">
        <v>0</v>
      </c>
      <c r="X228" s="315">
        <f t="shared" si="70"/>
        <v>399.58333333333337</v>
      </c>
      <c r="Y228" s="319"/>
    </row>
    <row r="229" spans="1:34" x14ac:dyDescent="0.35">
      <c r="A229" s="234" t="s">
        <v>313</v>
      </c>
      <c r="B229" s="311" t="s">
        <v>420</v>
      </c>
      <c r="C229" s="312" t="s">
        <v>423</v>
      </c>
      <c r="D229" s="311">
        <v>1</v>
      </c>
      <c r="E229" s="313">
        <v>233.33333333333334</v>
      </c>
      <c r="F229" s="314">
        <f t="shared" si="63"/>
        <v>7000</v>
      </c>
      <c r="G229" s="315">
        <f t="shared" si="64"/>
        <v>84000</v>
      </c>
      <c r="H229" s="316"/>
      <c r="I229" s="317"/>
      <c r="J229" s="317"/>
      <c r="K229" s="317"/>
      <c r="L229" s="317"/>
      <c r="M229" s="315">
        <f t="shared" si="66"/>
        <v>0</v>
      </c>
      <c r="N229" s="315">
        <v>0</v>
      </c>
      <c r="O229" s="315">
        <f t="shared" si="65"/>
        <v>291.66666666666669</v>
      </c>
      <c r="P229" s="315">
        <v>0</v>
      </c>
      <c r="Q229" s="317"/>
      <c r="R229" s="315">
        <v>700</v>
      </c>
      <c r="S229" s="318"/>
      <c r="T229" s="315">
        <f t="shared" si="67"/>
        <v>239.75</v>
      </c>
      <c r="U229" s="315">
        <f t="shared" si="68"/>
        <v>159.83333333333334</v>
      </c>
      <c r="V229" s="315">
        <f t="shared" si="69"/>
        <v>251.73750000000001</v>
      </c>
      <c r="W229" s="315">
        <v>0</v>
      </c>
      <c r="X229" s="315">
        <f t="shared" si="70"/>
        <v>399.58333333333337</v>
      </c>
      <c r="Y229" s="319"/>
    </row>
    <row r="230" spans="1:34" x14ac:dyDescent="0.35">
      <c r="A230" s="234" t="s">
        <v>262</v>
      </c>
      <c r="B230" s="311" t="s">
        <v>420</v>
      </c>
      <c r="C230" s="312" t="s">
        <v>424</v>
      </c>
      <c r="D230" s="311">
        <v>1</v>
      </c>
      <c r="E230" s="313">
        <v>233.33333333333334</v>
      </c>
      <c r="F230" s="314">
        <f t="shared" si="63"/>
        <v>7000</v>
      </c>
      <c r="G230" s="315">
        <f t="shared" si="64"/>
        <v>84000</v>
      </c>
      <c r="H230" s="316"/>
      <c r="I230" s="317"/>
      <c r="J230" s="317"/>
      <c r="K230" s="317"/>
      <c r="L230" s="317"/>
      <c r="M230" s="315">
        <f t="shared" si="66"/>
        <v>0</v>
      </c>
      <c r="N230" s="315">
        <v>0</v>
      </c>
      <c r="O230" s="315">
        <f t="shared" si="65"/>
        <v>291.66666666666669</v>
      </c>
      <c r="P230" s="315">
        <v>0</v>
      </c>
      <c r="Q230" s="317"/>
      <c r="R230" s="315">
        <v>700</v>
      </c>
      <c r="S230" s="318"/>
      <c r="T230" s="315">
        <f t="shared" si="67"/>
        <v>239.75</v>
      </c>
      <c r="U230" s="315">
        <f t="shared" si="68"/>
        <v>159.83333333333334</v>
      </c>
      <c r="V230" s="315">
        <f t="shared" si="69"/>
        <v>251.73750000000001</v>
      </c>
      <c r="W230" s="315">
        <v>0</v>
      </c>
      <c r="X230" s="315">
        <f t="shared" si="70"/>
        <v>399.58333333333337</v>
      </c>
      <c r="Y230" s="319"/>
    </row>
    <row r="231" spans="1:34" x14ac:dyDescent="0.35">
      <c r="A231" s="234" t="s">
        <v>262</v>
      </c>
      <c r="B231" s="311" t="s">
        <v>420</v>
      </c>
      <c r="C231" s="312" t="s">
        <v>174</v>
      </c>
      <c r="D231" s="311">
        <v>1</v>
      </c>
      <c r="E231" s="313">
        <v>233.33333333333334</v>
      </c>
      <c r="F231" s="314">
        <f t="shared" si="63"/>
        <v>7000</v>
      </c>
      <c r="G231" s="315">
        <f t="shared" si="64"/>
        <v>84000</v>
      </c>
      <c r="H231" s="316"/>
      <c r="I231" s="317"/>
      <c r="J231" s="317"/>
      <c r="K231" s="317"/>
      <c r="L231" s="317"/>
      <c r="M231" s="315">
        <f t="shared" si="66"/>
        <v>0</v>
      </c>
      <c r="N231" s="315">
        <v>0</v>
      </c>
      <c r="O231" s="315">
        <f t="shared" si="65"/>
        <v>291.66666666666669</v>
      </c>
      <c r="P231" s="315">
        <v>0</v>
      </c>
      <c r="Q231" s="317"/>
      <c r="R231" s="315">
        <v>700</v>
      </c>
      <c r="S231" s="318"/>
      <c r="T231" s="315">
        <f t="shared" si="67"/>
        <v>239.75</v>
      </c>
      <c r="U231" s="315">
        <f t="shared" si="68"/>
        <v>159.83333333333334</v>
      </c>
      <c r="V231" s="315">
        <f t="shared" si="69"/>
        <v>251.73750000000001</v>
      </c>
      <c r="W231" s="315">
        <v>0</v>
      </c>
      <c r="X231" s="315">
        <f t="shared" si="70"/>
        <v>399.58333333333337</v>
      </c>
      <c r="Y231" s="319"/>
    </row>
    <row r="232" spans="1:34" x14ac:dyDescent="0.35">
      <c r="A232" s="234" t="s">
        <v>345</v>
      </c>
      <c r="B232" s="311" t="s">
        <v>420</v>
      </c>
      <c r="C232" s="312" t="s">
        <v>174</v>
      </c>
      <c r="D232" s="311">
        <v>1</v>
      </c>
      <c r="E232" s="313">
        <v>233.33333333333334</v>
      </c>
      <c r="F232" s="314">
        <f t="shared" si="63"/>
        <v>7000</v>
      </c>
      <c r="G232" s="315">
        <f t="shared" si="64"/>
        <v>84000</v>
      </c>
      <c r="H232" s="316"/>
      <c r="I232" s="317"/>
      <c r="J232" s="317"/>
      <c r="K232" s="317"/>
      <c r="L232" s="317"/>
      <c r="M232" s="315">
        <f t="shared" si="66"/>
        <v>0</v>
      </c>
      <c r="N232" s="315">
        <v>0</v>
      </c>
      <c r="O232" s="315">
        <f t="shared" si="65"/>
        <v>291.66666666666669</v>
      </c>
      <c r="P232" s="315">
        <v>0</v>
      </c>
      <c r="Q232" s="317"/>
      <c r="R232" s="315">
        <v>700</v>
      </c>
      <c r="S232" s="318"/>
      <c r="T232" s="315">
        <f t="shared" si="67"/>
        <v>239.75</v>
      </c>
      <c r="U232" s="315">
        <f t="shared" si="68"/>
        <v>159.83333333333334</v>
      </c>
      <c r="V232" s="315">
        <f t="shared" si="69"/>
        <v>251.73750000000001</v>
      </c>
      <c r="W232" s="315">
        <v>0</v>
      </c>
      <c r="X232" s="315">
        <f t="shared" si="70"/>
        <v>399.58333333333337</v>
      </c>
      <c r="Y232" s="319"/>
    </row>
    <row r="233" spans="1:34" hidden="1" x14ac:dyDescent="0.35">
      <c r="B233" s="311"/>
      <c r="C233" s="312" t="s">
        <v>175</v>
      </c>
      <c r="D233" s="311">
        <v>0</v>
      </c>
      <c r="E233" s="313">
        <v>0</v>
      </c>
      <c r="F233" s="314">
        <f t="shared" si="63"/>
        <v>0</v>
      </c>
      <c r="G233" s="315">
        <f t="shared" si="64"/>
        <v>0</v>
      </c>
      <c r="H233" s="316"/>
      <c r="I233" s="317"/>
      <c r="J233" s="317"/>
      <c r="K233" s="317"/>
      <c r="L233" s="317"/>
      <c r="M233" s="315">
        <f t="shared" si="66"/>
        <v>0</v>
      </c>
      <c r="N233" s="315">
        <v>0</v>
      </c>
      <c r="O233" s="315">
        <f t="shared" si="65"/>
        <v>0</v>
      </c>
      <c r="P233" s="315">
        <f t="shared" ref="P233:P236" si="71">+F233*$P$147</f>
        <v>0</v>
      </c>
      <c r="Q233" s="317"/>
      <c r="R233" s="315">
        <f t="shared" ref="R233:R237" si="72">+P233*25%</f>
        <v>0</v>
      </c>
      <c r="S233" s="318"/>
      <c r="T233" s="315">
        <f t="shared" si="67"/>
        <v>0</v>
      </c>
      <c r="U233" s="315">
        <f t="shared" si="68"/>
        <v>0</v>
      </c>
      <c r="V233" s="315">
        <f t="shared" si="69"/>
        <v>0</v>
      </c>
      <c r="W233" s="315">
        <v>0</v>
      </c>
      <c r="X233" s="315">
        <f t="shared" si="70"/>
        <v>0</v>
      </c>
      <c r="Y233" s="319"/>
    </row>
    <row r="234" spans="1:34" hidden="1" x14ac:dyDescent="0.35">
      <c r="B234" s="311"/>
      <c r="C234" s="312" t="s">
        <v>175</v>
      </c>
      <c r="D234" s="311">
        <v>0</v>
      </c>
      <c r="E234" s="313">
        <v>0</v>
      </c>
      <c r="F234" s="314">
        <f t="shared" si="63"/>
        <v>0</v>
      </c>
      <c r="G234" s="315">
        <f t="shared" si="64"/>
        <v>0</v>
      </c>
      <c r="H234" s="316"/>
      <c r="I234" s="317"/>
      <c r="J234" s="317"/>
      <c r="K234" s="317"/>
      <c r="L234" s="317"/>
      <c r="M234" s="315">
        <f t="shared" si="66"/>
        <v>0</v>
      </c>
      <c r="N234" s="315">
        <v>0</v>
      </c>
      <c r="O234" s="315">
        <f t="shared" si="65"/>
        <v>0</v>
      </c>
      <c r="P234" s="315">
        <f t="shared" si="71"/>
        <v>0</v>
      </c>
      <c r="Q234" s="317"/>
      <c r="R234" s="315">
        <f t="shared" si="72"/>
        <v>0</v>
      </c>
      <c r="S234" s="318"/>
      <c r="T234" s="315">
        <f t="shared" si="67"/>
        <v>0</v>
      </c>
      <c r="U234" s="315">
        <f t="shared" si="68"/>
        <v>0</v>
      </c>
      <c r="V234" s="315">
        <f t="shared" si="69"/>
        <v>0</v>
      </c>
      <c r="W234" s="315">
        <v>0</v>
      </c>
      <c r="X234" s="315">
        <f t="shared" si="70"/>
        <v>0</v>
      </c>
      <c r="Y234" s="319"/>
    </row>
    <row r="235" spans="1:34" hidden="1" x14ac:dyDescent="0.35">
      <c r="B235" s="311"/>
      <c r="C235" s="312" t="s">
        <v>175</v>
      </c>
      <c r="D235" s="311">
        <v>0</v>
      </c>
      <c r="E235" s="313">
        <v>0</v>
      </c>
      <c r="F235" s="314">
        <f t="shared" si="63"/>
        <v>0</v>
      </c>
      <c r="G235" s="315">
        <f t="shared" si="64"/>
        <v>0</v>
      </c>
      <c r="H235" s="316"/>
      <c r="I235" s="317"/>
      <c r="J235" s="317"/>
      <c r="K235" s="317"/>
      <c r="L235" s="317"/>
      <c r="M235" s="315">
        <f t="shared" si="66"/>
        <v>0</v>
      </c>
      <c r="N235" s="315">
        <v>0</v>
      </c>
      <c r="O235" s="315">
        <f t="shared" si="65"/>
        <v>0</v>
      </c>
      <c r="P235" s="315">
        <f t="shared" si="71"/>
        <v>0</v>
      </c>
      <c r="Q235" s="317"/>
      <c r="R235" s="315">
        <f t="shared" si="72"/>
        <v>0</v>
      </c>
      <c r="S235" s="318"/>
      <c r="T235" s="315">
        <f t="shared" si="67"/>
        <v>0</v>
      </c>
      <c r="U235" s="315">
        <f t="shared" si="68"/>
        <v>0</v>
      </c>
      <c r="V235" s="315">
        <f t="shared" si="69"/>
        <v>0</v>
      </c>
      <c r="W235" s="315">
        <v>0</v>
      </c>
      <c r="X235" s="315">
        <f t="shared" si="70"/>
        <v>0</v>
      </c>
      <c r="Y235" s="319"/>
    </row>
    <row r="236" spans="1:34" hidden="1" x14ac:dyDescent="0.35">
      <c r="B236" s="311"/>
      <c r="C236" s="312" t="s">
        <v>175</v>
      </c>
      <c r="D236" s="311">
        <v>0</v>
      </c>
      <c r="E236" s="313">
        <v>0</v>
      </c>
      <c r="F236" s="314">
        <f t="shared" si="63"/>
        <v>0</v>
      </c>
      <c r="G236" s="315">
        <f t="shared" si="64"/>
        <v>0</v>
      </c>
      <c r="H236" s="316"/>
      <c r="I236" s="317"/>
      <c r="J236" s="317"/>
      <c r="K236" s="317"/>
      <c r="L236" s="317"/>
      <c r="M236" s="315">
        <f t="shared" si="66"/>
        <v>0</v>
      </c>
      <c r="N236" s="315">
        <v>0</v>
      </c>
      <c r="O236" s="315">
        <f t="shared" si="65"/>
        <v>0</v>
      </c>
      <c r="P236" s="315">
        <f t="shared" si="71"/>
        <v>0</v>
      </c>
      <c r="Q236" s="317"/>
      <c r="R236" s="315">
        <f t="shared" si="72"/>
        <v>0</v>
      </c>
      <c r="S236" s="318"/>
      <c r="T236" s="315">
        <f t="shared" si="67"/>
        <v>0</v>
      </c>
      <c r="U236" s="315">
        <f t="shared" si="68"/>
        <v>0</v>
      </c>
      <c r="V236" s="315">
        <f t="shared" si="69"/>
        <v>0</v>
      </c>
      <c r="W236" s="315">
        <v>0</v>
      </c>
      <c r="X236" s="315">
        <f t="shared" si="70"/>
        <v>0</v>
      </c>
      <c r="Y236" s="319"/>
    </row>
    <row r="237" spans="1:34" x14ac:dyDescent="0.35">
      <c r="B237" s="311"/>
      <c r="C237" s="312" t="s">
        <v>175</v>
      </c>
      <c r="D237" s="311">
        <v>0</v>
      </c>
      <c r="E237" s="313">
        <v>0</v>
      </c>
      <c r="F237" s="314">
        <f t="shared" si="63"/>
        <v>0</v>
      </c>
      <c r="G237" s="315">
        <f t="shared" si="64"/>
        <v>0</v>
      </c>
      <c r="H237" s="316"/>
      <c r="I237" s="317"/>
      <c r="J237" s="317"/>
      <c r="K237" s="317"/>
      <c r="L237" s="317"/>
      <c r="M237" s="315">
        <f t="shared" si="66"/>
        <v>0</v>
      </c>
      <c r="N237" s="315">
        <v>0</v>
      </c>
      <c r="O237" s="315">
        <f t="shared" si="65"/>
        <v>0</v>
      </c>
      <c r="P237" s="315">
        <f>+F237*$P$147</f>
        <v>0</v>
      </c>
      <c r="Q237" s="317"/>
      <c r="R237" s="315">
        <f t="shared" si="72"/>
        <v>0</v>
      </c>
      <c r="S237" s="318"/>
      <c r="T237" s="315">
        <f t="shared" si="67"/>
        <v>0</v>
      </c>
      <c r="U237" s="315">
        <f t="shared" si="68"/>
        <v>0</v>
      </c>
      <c r="V237" s="315">
        <f t="shared" si="69"/>
        <v>0</v>
      </c>
      <c r="W237" s="315">
        <v>0</v>
      </c>
      <c r="X237" s="315">
        <f t="shared" si="70"/>
        <v>0</v>
      </c>
      <c r="Y237" s="319"/>
    </row>
    <row r="238" spans="1:34" x14ac:dyDescent="0.35">
      <c r="B238" s="311"/>
      <c r="C238" s="312" t="s">
        <v>175</v>
      </c>
      <c r="D238" s="320">
        <f t="shared" ref="D238:S238" si="73">+SUM(D148:D237)</f>
        <v>85</v>
      </c>
      <c r="E238" s="320">
        <f t="shared" si="73"/>
        <v>41675.003263333361</v>
      </c>
      <c r="F238" s="321">
        <f t="shared" si="73"/>
        <v>1250250.0978999999</v>
      </c>
      <c r="G238" s="322">
        <f t="shared" si="73"/>
        <v>15003001.174800001</v>
      </c>
      <c r="H238" s="323">
        <f t="shared" si="73"/>
        <v>0</v>
      </c>
      <c r="I238" s="322">
        <f t="shared" si="73"/>
        <v>0</v>
      </c>
      <c r="J238" s="322">
        <f t="shared" si="73"/>
        <v>0</v>
      </c>
      <c r="K238" s="322">
        <f t="shared" si="73"/>
        <v>0</v>
      </c>
      <c r="L238" s="322">
        <f t="shared" si="73"/>
        <v>0</v>
      </c>
      <c r="M238" s="322">
        <f t="shared" si="73"/>
        <v>0</v>
      </c>
      <c r="N238" s="322">
        <f t="shared" si="73"/>
        <v>0</v>
      </c>
      <c r="O238" s="322">
        <f t="shared" si="73"/>
        <v>52093.754079166654</v>
      </c>
      <c r="P238" s="322">
        <f>+SUM(P148:P237)/12</f>
        <v>0</v>
      </c>
      <c r="Q238" s="322">
        <f t="shared" si="73"/>
        <v>0</v>
      </c>
      <c r="R238" s="322">
        <f>+SUM(R148:R237)/12</f>
        <v>10418.750815833333</v>
      </c>
      <c r="S238" s="322">
        <f t="shared" si="73"/>
        <v>0</v>
      </c>
      <c r="T238" s="322">
        <f>+SUM(T148:T237)</f>
        <v>14984.375</v>
      </c>
      <c r="U238" s="322">
        <f>+SUM(U148:U237)</f>
        <v>9989.5833333333358</v>
      </c>
      <c r="V238" s="322">
        <f>+SUM(V148:V237)</f>
        <v>15733.593749999995</v>
      </c>
      <c r="W238" s="322">
        <f>+SUM(W148:W237)</f>
        <v>0</v>
      </c>
      <c r="X238" s="322">
        <f>+SUM(X148:X237)</f>
        <v>24973.958333333328</v>
      </c>
      <c r="Y238" s="319"/>
    </row>
  </sheetData>
  <pageMargins left="0.75" right="0.75" top="0.57999999999999996" bottom="1" header="0.5" footer="0.5"/>
  <pageSetup scale="60" fitToWidth="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FD2B-BC78-4B67-AEA1-2D0F7BCFF672}">
  <dimension ref="A1:AH203"/>
  <sheetViews>
    <sheetView showGridLines="0" zoomScale="90" zoomScaleNormal="90" workbookViewId="0">
      <pane xSplit="3" ySplit="4" topLeftCell="L148" activePane="bottomRight" state="frozen"/>
      <selection activeCell="O30" sqref="O30"/>
      <selection pane="topRight" activeCell="O30" sqref="O30"/>
      <selection pane="bottomLeft" activeCell="O30" sqref="O30"/>
      <selection pane="bottomRight" activeCell="D32" sqref="D32"/>
    </sheetView>
  </sheetViews>
  <sheetFormatPr baseColWidth="10" defaultColWidth="9.1796875" defaultRowHeight="14.5" outlineLevelRow="1" outlineLevelCol="1" x14ac:dyDescent="0.35"/>
  <cols>
    <col min="1" max="1" width="9.1796875" style="45"/>
    <col min="2" max="2" width="14.54296875" style="91" customWidth="1"/>
    <col min="3" max="3" width="43.54296875" style="45" customWidth="1" collapsed="1"/>
    <col min="4" max="8" width="15.453125" style="45" customWidth="1" outlineLevel="1"/>
    <col min="9" max="12" width="18.1796875" style="45" customWidth="1" outlineLevel="1"/>
    <col min="13" max="15" width="15.453125" style="45" customWidth="1" outlineLevel="1"/>
    <col min="16" max="16" width="15.453125" style="45" customWidth="1"/>
    <col min="17" max="17" width="10" style="45" customWidth="1"/>
    <col min="18" max="18" width="12.54296875" style="135" customWidth="1"/>
    <col min="19" max="19" width="10.81640625" style="45" bestFit="1" customWidth="1"/>
    <col min="20" max="21" width="12" style="45" bestFit="1" customWidth="1"/>
    <col min="22" max="22" width="11.453125" style="45" bestFit="1" customWidth="1"/>
    <col min="23" max="23" width="17.54296875" style="45" customWidth="1"/>
    <col min="24" max="24" width="11" style="45" bestFit="1" customWidth="1"/>
    <col min="25" max="25" width="20.453125" style="45" bestFit="1" customWidth="1"/>
    <col min="26" max="27" width="9.1796875" style="45"/>
    <col min="28" max="28" width="10" style="45" bestFit="1" customWidth="1"/>
    <col min="29" max="16384" width="9.1796875" style="45"/>
  </cols>
  <sheetData>
    <row r="1" spans="1:25" s="1" customFormat="1" ht="13.5" thickBot="1" x14ac:dyDescent="0.35">
      <c r="B1" s="2"/>
      <c r="C1" s="3" t="s">
        <v>0</v>
      </c>
      <c r="D1" s="4" t="s">
        <v>1</v>
      </c>
      <c r="E1" s="5" t="s">
        <v>2</v>
      </c>
      <c r="F1" s="6" t="s">
        <v>3</v>
      </c>
      <c r="G1" s="6"/>
      <c r="H1" s="7"/>
      <c r="I1" s="8"/>
      <c r="R1" s="9"/>
      <c r="V1" s="10">
        <v>3.6799999999999999E-2</v>
      </c>
      <c r="W1" s="11" t="s">
        <v>4</v>
      </c>
      <c r="X1" s="11"/>
      <c r="Y1" s="11"/>
    </row>
    <row r="2" spans="1:25" s="12" customFormat="1" ht="7.5" customHeight="1" x14ac:dyDescent="0.2">
      <c r="C2" s="13"/>
      <c r="D2" s="14">
        <v>0</v>
      </c>
      <c r="E2" s="15">
        <f>+D2+1</f>
        <v>1</v>
      </c>
      <c r="F2" s="15">
        <f t="shared" ref="F2:P2" si="0">+E2+1</f>
        <v>2</v>
      </c>
      <c r="G2" s="15">
        <f t="shared" si="0"/>
        <v>3</v>
      </c>
      <c r="H2" s="16">
        <f t="shared" si="0"/>
        <v>4</v>
      </c>
      <c r="I2" s="17">
        <f t="shared" si="0"/>
        <v>5</v>
      </c>
      <c r="J2" s="17">
        <f t="shared" si="0"/>
        <v>6</v>
      </c>
      <c r="K2" s="17">
        <f t="shared" si="0"/>
        <v>7</v>
      </c>
      <c r="L2" s="17">
        <f t="shared" si="0"/>
        <v>8</v>
      </c>
      <c r="M2" s="17">
        <f t="shared" si="0"/>
        <v>9</v>
      </c>
      <c r="N2" s="17">
        <f t="shared" si="0"/>
        <v>10</v>
      </c>
      <c r="O2" s="17">
        <f t="shared" si="0"/>
        <v>11</v>
      </c>
      <c r="P2" s="18">
        <f t="shared" si="0"/>
        <v>12</v>
      </c>
      <c r="R2" s="19"/>
      <c r="T2" s="20"/>
      <c r="U2" s="20"/>
    </row>
    <row r="3" spans="1:25" s="1" customFormat="1" ht="13" x14ac:dyDescent="0.3">
      <c r="B3" s="2"/>
      <c r="C3" s="21" t="s">
        <v>5</v>
      </c>
      <c r="D3" s="22" t="s">
        <v>6</v>
      </c>
      <c r="E3" s="23" t="s">
        <v>7</v>
      </c>
      <c r="F3" s="22" t="s">
        <v>8</v>
      </c>
      <c r="G3" s="23" t="s">
        <v>9</v>
      </c>
      <c r="H3" s="22" t="s">
        <v>10</v>
      </c>
      <c r="I3" s="23" t="s">
        <v>11</v>
      </c>
      <c r="J3" s="22" t="s">
        <v>12</v>
      </c>
      <c r="K3" s="23" t="s">
        <v>13</v>
      </c>
      <c r="L3" s="22" t="s">
        <v>14</v>
      </c>
      <c r="M3" s="23" t="s">
        <v>15</v>
      </c>
      <c r="N3" s="22" t="s">
        <v>16</v>
      </c>
      <c r="O3" s="23" t="s">
        <v>17</v>
      </c>
      <c r="P3" s="24" t="s">
        <v>18</v>
      </c>
      <c r="R3" s="25" t="s">
        <v>19</v>
      </c>
      <c r="T3" s="24"/>
      <c r="U3" s="24"/>
    </row>
    <row r="4" spans="1:25" s="1" customFormat="1" ht="13" x14ac:dyDescent="0.3">
      <c r="B4" s="2"/>
      <c r="C4" s="26" t="s">
        <v>20</v>
      </c>
      <c r="D4" s="27" t="s">
        <v>21</v>
      </c>
      <c r="E4" s="27" t="s">
        <v>21</v>
      </c>
      <c r="F4" s="27" t="s">
        <v>21</v>
      </c>
      <c r="G4" s="27" t="s">
        <v>21</v>
      </c>
      <c r="H4" s="27" t="s">
        <v>21</v>
      </c>
      <c r="I4" s="27" t="s">
        <v>21</v>
      </c>
      <c r="J4" s="27" t="s">
        <v>21</v>
      </c>
      <c r="K4" s="27" t="s">
        <v>21</v>
      </c>
      <c r="L4" s="27" t="s">
        <v>21</v>
      </c>
      <c r="M4" s="27" t="s">
        <v>21</v>
      </c>
      <c r="N4" s="27" t="s">
        <v>21</v>
      </c>
      <c r="O4" s="27" t="s">
        <v>21</v>
      </c>
      <c r="P4" s="27" t="s">
        <v>21</v>
      </c>
      <c r="Q4" s="28"/>
      <c r="R4" s="29" t="s">
        <v>22</v>
      </c>
      <c r="T4" s="30"/>
      <c r="U4" s="30"/>
    </row>
    <row r="5" spans="1:25" s="1" customFormat="1" ht="5.25" customHeight="1" x14ac:dyDescent="0.3">
      <c r="B5" s="2"/>
      <c r="C5" s="31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8"/>
      <c r="R5" s="32"/>
      <c r="T5" s="23"/>
      <c r="U5" s="23"/>
    </row>
    <row r="6" spans="1:25" s="1" customFormat="1" ht="13.5" thickBot="1" x14ac:dyDescent="0.35">
      <c r="A6" s="33" t="s">
        <v>23</v>
      </c>
      <c r="B6" s="34" t="s">
        <v>24</v>
      </c>
      <c r="C6" s="35" t="s">
        <v>25</v>
      </c>
      <c r="D6" s="35">
        <f>$D$202</f>
        <v>30</v>
      </c>
      <c r="E6" s="35">
        <f t="shared" ref="E6:O6" si="1">$D$202</f>
        <v>30</v>
      </c>
      <c r="F6" s="35">
        <f t="shared" si="1"/>
        <v>30</v>
      </c>
      <c r="G6" s="35">
        <f t="shared" si="1"/>
        <v>30</v>
      </c>
      <c r="H6" s="35">
        <f t="shared" si="1"/>
        <v>30</v>
      </c>
      <c r="I6" s="35">
        <f t="shared" si="1"/>
        <v>30</v>
      </c>
      <c r="J6" s="35">
        <f t="shared" si="1"/>
        <v>30</v>
      </c>
      <c r="K6" s="35">
        <f t="shared" si="1"/>
        <v>30</v>
      </c>
      <c r="L6" s="35">
        <f t="shared" si="1"/>
        <v>30</v>
      </c>
      <c r="M6" s="35">
        <f t="shared" si="1"/>
        <v>30</v>
      </c>
      <c r="N6" s="35">
        <f t="shared" si="1"/>
        <v>30</v>
      </c>
      <c r="O6" s="35">
        <f t="shared" si="1"/>
        <v>30</v>
      </c>
      <c r="P6" s="36">
        <f>+O6</f>
        <v>30</v>
      </c>
      <c r="R6" s="37"/>
      <c r="T6" s="38"/>
      <c r="U6" s="38"/>
    </row>
    <row r="7" spans="1:25" s="1" customFormat="1" ht="5.25" customHeight="1" x14ac:dyDescent="0.3">
      <c r="B7" s="2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R7" s="40"/>
      <c r="T7" s="39"/>
      <c r="U7" s="39"/>
    </row>
    <row r="8" spans="1:25" x14ac:dyDescent="0.35">
      <c r="A8" s="41"/>
      <c r="B8" s="41"/>
      <c r="C8" s="38" t="s">
        <v>26</v>
      </c>
      <c r="D8" s="42">
        <f>+F202</f>
        <v>433608.61000999995</v>
      </c>
      <c r="E8" s="42">
        <f>+D8</f>
        <v>433608.61000999995</v>
      </c>
      <c r="F8" s="42">
        <f>+E8</f>
        <v>433608.61000999995</v>
      </c>
      <c r="G8" s="42">
        <f t="shared" ref="G8:O8" si="2">+$F$202</f>
        <v>433608.61000999995</v>
      </c>
      <c r="H8" s="42">
        <f t="shared" si="2"/>
        <v>433608.61000999995</v>
      </c>
      <c r="I8" s="42">
        <f t="shared" si="2"/>
        <v>433608.61000999995</v>
      </c>
      <c r="J8" s="42">
        <f t="shared" si="2"/>
        <v>433608.61000999995</v>
      </c>
      <c r="K8" s="42">
        <f t="shared" si="2"/>
        <v>433608.61000999995</v>
      </c>
      <c r="L8" s="42">
        <f t="shared" si="2"/>
        <v>433608.61000999995</v>
      </c>
      <c r="M8" s="42">
        <f t="shared" si="2"/>
        <v>433608.61000999995</v>
      </c>
      <c r="N8" s="42">
        <f t="shared" si="2"/>
        <v>433608.61000999995</v>
      </c>
      <c r="O8" s="42">
        <f t="shared" si="2"/>
        <v>433608.61000999995</v>
      </c>
      <c r="P8" s="43">
        <f>+SUM(D8:O8)</f>
        <v>5203303.3201199993</v>
      </c>
      <c r="Q8" s="44"/>
      <c r="R8" s="37">
        <f>+IF(P8=0,0,P8/$P$159)</f>
        <v>0.62780602650495854</v>
      </c>
      <c r="T8" s="46"/>
      <c r="U8" s="46"/>
    </row>
    <row r="9" spans="1:25" x14ac:dyDescent="0.35">
      <c r="A9" s="47"/>
      <c r="B9" s="48"/>
      <c r="C9" s="38" t="s">
        <v>27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39"/>
      <c r="Q9" s="44"/>
      <c r="R9" s="40"/>
      <c r="T9" s="44"/>
      <c r="U9" s="44"/>
    </row>
    <row r="10" spans="1:25" hidden="1" outlineLevel="1" x14ac:dyDescent="0.35">
      <c r="A10" s="41"/>
      <c r="B10" s="41"/>
      <c r="C10" s="49" t="s">
        <v>28</v>
      </c>
      <c r="D10" s="50">
        <f>+$S$202</f>
        <v>0</v>
      </c>
      <c r="E10" s="51">
        <f>+$S$202</f>
        <v>0</v>
      </c>
      <c r="F10" s="51">
        <f>+$S$202</f>
        <v>0</v>
      </c>
      <c r="G10" s="51">
        <f t="shared" ref="G10:O10" si="3">+$S$202*(IPC+1)</f>
        <v>0</v>
      </c>
      <c r="H10" s="51">
        <f t="shared" si="3"/>
        <v>0</v>
      </c>
      <c r="I10" s="51">
        <f t="shared" si="3"/>
        <v>0</v>
      </c>
      <c r="J10" s="51">
        <f t="shared" si="3"/>
        <v>0</v>
      </c>
      <c r="K10" s="51">
        <f t="shared" si="3"/>
        <v>0</v>
      </c>
      <c r="L10" s="51">
        <f t="shared" si="3"/>
        <v>0</v>
      </c>
      <c r="M10" s="51">
        <f t="shared" si="3"/>
        <v>0</v>
      </c>
      <c r="N10" s="51">
        <f t="shared" si="3"/>
        <v>0</v>
      </c>
      <c r="O10" s="51">
        <f t="shared" si="3"/>
        <v>0</v>
      </c>
      <c r="P10" s="52">
        <f t="shared" ref="P10:P30" si="4">+SUM(D10:O10)</f>
        <v>0</v>
      </c>
      <c r="Q10" s="44"/>
      <c r="R10" s="53">
        <f t="shared" ref="R10:R28" si="5">+IF(P10=0,0,P10/$P$159)</f>
        <v>0</v>
      </c>
      <c r="T10" s="54"/>
      <c r="U10" s="54"/>
    </row>
    <row r="11" spans="1:25" hidden="1" outlineLevel="1" x14ac:dyDescent="0.35">
      <c r="A11" s="41"/>
      <c r="B11" s="41"/>
      <c r="C11" s="55" t="s">
        <v>29</v>
      </c>
      <c r="D11" s="56">
        <f>+$O$202</f>
        <v>18067.025417083332</v>
      </c>
      <c r="E11" s="57">
        <f>+$O$202</f>
        <v>18067.025417083332</v>
      </c>
      <c r="F11" s="57">
        <f>+$O$202</f>
        <v>18067.025417083332</v>
      </c>
      <c r="G11" s="57">
        <f t="shared" ref="G11:O11" si="6">+$O$202*(IPC+1)</f>
        <v>18731.891952431997</v>
      </c>
      <c r="H11" s="57">
        <f t="shared" si="6"/>
        <v>18731.891952431997</v>
      </c>
      <c r="I11" s="57">
        <f t="shared" si="6"/>
        <v>18731.891952431997</v>
      </c>
      <c r="J11" s="57">
        <f t="shared" si="6"/>
        <v>18731.891952431997</v>
      </c>
      <c r="K11" s="57">
        <f t="shared" si="6"/>
        <v>18731.891952431997</v>
      </c>
      <c r="L11" s="57">
        <f t="shared" si="6"/>
        <v>18731.891952431997</v>
      </c>
      <c r="M11" s="57">
        <f t="shared" si="6"/>
        <v>18731.891952431997</v>
      </c>
      <c r="N11" s="57">
        <f t="shared" si="6"/>
        <v>18731.891952431997</v>
      </c>
      <c r="O11" s="57">
        <f t="shared" si="6"/>
        <v>18731.891952431997</v>
      </c>
      <c r="P11" s="58">
        <f t="shared" si="4"/>
        <v>222788.10382313794</v>
      </c>
      <c r="Q11" s="59"/>
      <c r="R11" s="60">
        <f t="shared" si="5"/>
        <v>2.6880561368187301E-2</v>
      </c>
      <c r="T11" s="61"/>
      <c r="U11" s="61"/>
    </row>
    <row r="12" spans="1:25" hidden="1" outlineLevel="1" x14ac:dyDescent="0.35">
      <c r="A12" s="41"/>
      <c r="B12" s="41"/>
      <c r="C12" s="55" t="s">
        <v>30</v>
      </c>
      <c r="D12" s="56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58">
        <f t="shared" si="4"/>
        <v>0</v>
      </c>
      <c r="Q12" s="59"/>
      <c r="R12" s="60">
        <f t="shared" si="5"/>
        <v>0</v>
      </c>
      <c r="T12" s="61"/>
      <c r="U12" s="61"/>
    </row>
    <row r="13" spans="1:25" hidden="1" outlineLevel="1" x14ac:dyDescent="0.35">
      <c r="A13" s="41"/>
      <c r="B13" s="41"/>
      <c r="C13" s="55" t="s">
        <v>31</v>
      </c>
      <c r="D13" s="56">
        <f>+$Q$202</f>
        <v>0</v>
      </c>
      <c r="E13" s="57">
        <f>+$Q$202</f>
        <v>0</v>
      </c>
      <c r="F13" s="57">
        <f>+$Q$202</f>
        <v>0</v>
      </c>
      <c r="G13" s="57">
        <f t="shared" ref="G13:O13" si="7">+$Q$202*(IPC+1)</f>
        <v>0</v>
      </c>
      <c r="H13" s="57">
        <f t="shared" si="7"/>
        <v>0</v>
      </c>
      <c r="I13" s="57">
        <f t="shared" si="7"/>
        <v>0</v>
      </c>
      <c r="J13" s="57">
        <f t="shared" si="7"/>
        <v>0</v>
      </c>
      <c r="K13" s="57">
        <f t="shared" si="7"/>
        <v>0</v>
      </c>
      <c r="L13" s="57">
        <f t="shared" si="7"/>
        <v>0</v>
      </c>
      <c r="M13" s="57">
        <f t="shared" si="7"/>
        <v>0</v>
      </c>
      <c r="N13" s="57">
        <f t="shared" si="7"/>
        <v>0</v>
      </c>
      <c r="O13" s="57">
        <f t="shared" si="7"/>
        <v>0</v>
      </c>
      <c r="P13" s="58">
        <f t="shared" si="4"/>
        <v>0</v>
      </c>
      <c r="Q13" s="44"/>
      <c r="R13" s="60">
        <f t="shared" si="5"/>
        <v>0</v>
      </c>
      <c r="T13" s="62"/>
      <c r="U13" s="62"/>
    </row>
    <row r="14" spans="1:25" hidden="1" outlineLevel="1" x14ac:dyDescent="0.35">
      <c r="A14" s="41"/>
      <c r="B14" s="41"/>
      <c r="C14" s="63" t="s">
        <v>32</v>
      </c>
      <c r="D14" s="56">
        <f>+$L$202</f>
        <v>0</v>
      </c>
      <c r="E14" s="57">
        <f>+$L$202</f>
        <v>0</v>
      </c>
      <c r="F14" s="57">
        <f>+$L$202</f>
        <v>0</v>
      </c>
      <c r="G14" s="57">
        <f t="shared" ref="G14:O14" si="8">+$L$202*(IPC+1)</f>
        <v>0</v>
      </c>
      <c r="H14" s="57">
        <f t="shared" si="8"/>
        <v>0</v>
      </c>
      <c r="I14" s="57">
        <f t="shared" si="8"/>
        <v>0</v>
      </c>
      <c r="J14" s="57">
        <f t="shared" si="8"/>
        <v>0</v>
      </c>
      <c r="K14" s="57">
        <f t="shared" si="8"/>
        <v>0</v>
      </c>
      <c r="L14" s="57">
        <f t="shared" si="8"/>
        <v>0</v>
      </c>
      <c r="M14" s="57">
        <f t="shared" si="8"/>
        <v>0</v>
      </c>
      <c r="N14" s="57">
        <f t="shared" si="8"/>
        <v>0</v>
      </c>
      <c r="O14" s="57">
        <f t="shared" si="8"/>
        <v>0</v>
      </c>
      <c r="P14" s="58">
        <f t="shared" si="4"/>
        <v>0</v>
      </c>
      <c r="Q14" s="44"/>
      <c r="R14" s="60">
        <f t="shared" si="5"/>
        <v>0</v>
      </c>
      <c r="T14" s="62"/>
      <c r="U14" s="62"/>
    </row>
    <row r="15" spans="1:25" hidden="1" outlineLevel="1" x14ac:dyDescent="0.35">
      <c r="A15" s="41"/>
      <c r="B15" s="41"/>
      <c r="C15" s="63" t="s">
        <v>33</v>
      </c>
      <c r="D15" s="56">
        <f>+$I$202</f>
        <v>0</v>
      </c>
      <c r="E15" s="57">
        <f>+$I$202</f>
        <v>0</v>
      </c>
      <c r="F15" s="57">
        <f>+$I$202</f>
        <v>0</v>
      </c>
      <c r="G15" s="57">
        <f t="shared" ref="G15:O15" si="9">+$I$202*(IPC+1)</f>
        <v>0</v>
      </c>
      <c r="H15" s="57">
        <f t="shared" si="9"/>
        <v>0</v>
      </c>
      <c r="I15" s="57">
        <f t="shared" si="9"/>
        <v>0</v>
      </c>
      <c r="J15" s="57">
        <f t="shared" si="9"/>
        <v>0</v>
      </c>
      <c r="K15" s="57">
        <f t="shared" si="9"/>
        <v>0</v>
      </c>
      <c r="L15" s="57">
        <f t="shared" si="9"/>
        <v>0</v>
      </c>
      <c r="M15" s="57">
        <f t="shared" si="9"/>
        <v>0</v>
      </c>
      <c r="N15" s="57">
        <f t="shared" si="9"/>
        <v>0</v>
      </c>
      <c r="O15" s="57">
        <f t="shared" si="9"/>
        <v>0</v>
      </c>
      <c r="P15" s="58">
        <f t="shared" si="4"/>
        <v>0</v>
      </c>
      <c r="Q15" s="44"/>
      <c r="R15" s="60">
        <f t="shared" si="5"/>
        <v>0</v>
      </c>
      <c r="T15" s="62"/>
      <c r="U15" s="62"/>
    </row>
    <row r="16" spans="1:25" hidden="1" outlineLevel="1" x14ac:dyDescent="0.35">
      <c r="A16" s="41"/>
      <c r="B16" s="41"/>
      <c r="C16" s="64" t="s">
        <v>34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8">
        <f t="shared" si="4"/>
        <v>0</v>
      </c>
      <c r="Q16" s="44"/>
      <c r="R16" s="60">
        <f t="shared" si="5"/>
        <v>0</v>
      </c>
      <c r="T16" s="62"/>
      <c r="U16" s="62"/>
    </row>
    <row r="17" spans="1:23" hidden="1" outlineLevel="1" x14ac:dyDescent="0.35">
      <c r="A17" s="41"/>
      <c r="B17" s="41"/>
      <c r="C17" s="64" t="s">
        <v>35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8">
        <f t="shared" si="4"/>
        <v>0</v>
      </c>
      <c r="Q17" s="44"/>
      <c r="R17" s="60">
        <f t="shared" si="5"/>
        <v>0</v>
      </c>
      <c r="T17" s="62"/>
      <c r="U17" s="62"/>
    </row>
    <row r="18" spans="1:23" hidden="1" outlineLevel="1" x14ac:dyDescent="0.35">
      <c r="A18" s="41"/>
      <c r="B18" s="41"/>
      <c r="C18" s="64" t="s">
        <v>36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8">
        <f t="shared" si="4"/>
        <v>0</v>
      </c>
      <c r="Q18" s="44"/>
      <c r="R18" s="60">
        <f t="shared" si="5"/>
        <v>0</v>
      </c>
      <c r="T18" s="62"/>
      <c r="U18" s="62"/>
    </row>
    <row r="19" spans="1:23" hidden="1" outlineLevel="1" x14ac:dyDescent="0.35">
      <c r="A19" s="41"/>
      <c r="B19" s="41"/>
      <c r="C19" s="55" t="s">
        <v>37</v>
      </c>
      <c r="D19" s="56">
        <f>+$R$202</f>
        <v>4215.6382917638894</v>
      </c>
      <c r="E19" s="57">
        <f t="shared" ref="E19:O19" si="10">+$R$202</f>
        <v>4215.6382917638894</v>
      </c>
      <c r="F19" s="57">
        <f t="shared" si="10"/>
        <v>4215.6382917638894</v>
      </c>
      <c r="G19" s="57">
        <f t="shared" si="10"/>
        <v>4215.6382917638894</v>
      </c>
      <c r="H19" s="57">
        <f t="shared" si="10"/>
        <v>4215.6382917638894</v>
      </c>
      <c r="I19" s="57">
        <f t="shared" si="10"/>
        <v>4215.6382917638894</v>
      </c>
      <c r="J19" s="57">
        <f t="shared" si="10"/>
        <v>4215.6382917638894</v>
      </c>
      <c r="K19" s="57">
        <f t="shared" si="10"/>
        <v>4215.6382917638894</v>
      </c>
      <c r="L19" s="57">
        <f t="shared" si="10"/>
        <v>4215.6382917638894</v>
      </c>
      <c r="M19" s="57">
        <f t="shared" si="10"/>
        <v>4215.6382917638894</v>
      </c>
      <c r="N19" s="57">
        <f t="shared" si="10"/>
        <v>4215.6382917638894</v>
      </c>
      <c r="O19" s="57">
        <f t="shared" si="10"/>
        <v>4215.6382917638894</v>
      </c>
      <c r="P19" s="58">
        <f t="shared" si="4"/>
        <v>50587.659501166687</v>
      </c>
      <c r="Q19" s="44"/>
      <c r="R19" s="60">
        <f t="shared" si="5"/>
        <v>6.1036682944865944E-3</v>
      </c>
      <c r="T19" s="61"/>
      <c r="U19" s="61"/>
      <c r="W19" s="45">
        <f>+O19*(IPC+1)</f>
        <v>4370.7737809008004</v>
      </c>
    </row>
    <row r="20" spans="1:23" hidden="1" outlineLevel="1" x14ac:dyDescent="0.35">
      <c r="A20" s="41"/>
      <c r="B20" s="41"/>
      <c r="C20" s="63" t="s">
        <v>38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8">
        <f t="shared" si="4"/>
        <v>0</v>
      </c>
      <c r="Q20" s="44"/>
      <c r="R20" s="60">
        <f t="shared" si="5"/>
        <v>0</v>
      </c>
      <c r="T20" s="61"/>
      <c r="U20" s="61"/>
    </row>
    <row r="21" spans="1:23" hidden="1" outlineLevel="1" x14ac:dyDescent="0.35">
      <c r="A21" s="41"/>
      <c r="B21" s="41"/>
      <c r="C21" s="63" t="s">
        <v>39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8">
        <f t="shared" si="4"/>
        <v>0</v>
      </c>
      <c r="Q21" s="44"/>
      <c r="R21" s="60">
        <f t="shared" si="5"/>
        <v>0</v>
      </c>
      <c r="T21" s="61"/>
      <c r="U21" s="61"/>
    </row>
    <row r="22" spans="1:23" hidden="1" outlineLevel="1" x14ac:dyDescent="0.35">
      <c r="A22" s="41"/>
      <c r="B22" s="41"/>
      <c r="C22" s="55" t="s">
        <v>40</v>
      </c>
      <c r="D22" s="56">
        <f t="shared" ref="D22:O22" si="11">+$P$202</f>
        <v>0</v>
      </c>
      <c r="E22" s="57">
        <f t="shared" si="11"/>
        <v>0</v>
      </c>
      <c r="F22" s="57">
        <f t="shared" si="11"/>
        <v>0</v>
      </c>
      <c r="G22" s="57">
        <f t="shared" si="11"/>
        <v>0</v>
      </c>
      <c r="H22" s="57">
        <f t="shared" si="11"/>
        <v>0</v>
      </c>
      <c r="I22" s="57">
        <f t="shared" si="11"/>
        <v>0</v>
      </c>
      <c r="J22" s="57">
        <f t="shared" si="11"/>
        <v>0</v>
      </c>
      <c r="K22" s="57">
        <f t="shared" si="11"/>
        <v>0</v>
      </c>
      <c r="L22" s="57">
        <f t="shared" si="11"/>
        <v>0</v>
      </c>
      <c r="M22" s="57">
        <f t="shared" si="11"/>
        <v>0</v>
      </c>
      <c r="N22" s="57">
        <f t="shared" si="11"/>
        <v>0</v>
      </c>
      <c r="O22" s="57">
        <f t="shared" si="11"/>
        <v>0</v>
      </c>
      <c r="P22" s="58">
        <f t="shared" si="4"/>
        <v>0</v>
      </c>
      <c r="Q22" s="44"/>
      <c r="R22" s="60">
        <f t="shared" si="5"/>
        <v>0</v>
      </c>
      <c r="T22" s="61"/>
      <c r="U22" s="61"/>
    </row>
    <row r="23" spans="1:23" hidden="1" outlineLevel="1" x14ac:dyDescent="0.35">
      <c r="A23" s="41"/>
      <c r="B23" s="41"/>
      <c r="C23" s="63" t="s">
        <v>41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8">
        <f t="shared" si="4"/>
        <v>0</v>
      </c>
      <c r="Q23" s="44"/>
      <c r="R23" s="60">
        <f t="shared" si="5"/>
        <v>0</v>
      </c>
      <c r="T23" s="62"/>
      <c r="U23" s="62"/>
    </row>
    <row r="24" spans="1:23" hidden="1" outlineLevel="1" x14ac:dyDescent="0.35">
      <c r="A24" s="41"/>
      <c r="B24" s="41"/>
      <c r="C24" s="63" t="s">
        <v>42</v>
      </c>
      <c r="D24" s="56">
        <f>+$J$202</f>
        <v>0</v>
      </c>
      <c r="E24" s="57">
        <f>+$J$202</f>
        <v>0</v>
      </c>
      <c r="F24" s="57">
        <f>+$J$202</f>
        <v>0</v>
      </c>
      <c r="G24" s="57">
        <f t="shared" ref="G24:O24" si="12">+$J$202*(IPC+1)</f>
        <v>0</v>
      </c>
      <c r="H24" s="57">
        <f t="shared" si="12"/>
        <v>0</v>
      </c>
      <c r="I24" s="57">
        <f t="shared" si="12"/>
        <v>0</v>
      </c>
      <c r="J24" s="57">
        <f t="shared" si="12"/>
        <v>0</v>
      </c>
      <c r="K24" s="57">
        <f t="shared" si="12"/>
        <v>0</v>
      </c>
      <c r="L24" s="57">
        <f t="shared" si="12"/>
        <v>0</v>
      </c>
      <c r="M24" s="57">
        <f t="shared" si="12"/>
        <v>0</v>
      </c>
      <c r="N24" s="57">
        <f t="shared" si="12"/>
        <v>0</v>
      </c>
      <c r="O24" s="57">
        <f t="shared" si="12"/>
        <v>0</v>
      </c>
      <c r="P24" s="58">
        <f t="shared" si="4"/>
        <v>0</v>
      </c>
      <c r="Q24" s="44"/>
      <c r="R24" s="60">
        <f t="shared" si="5"/>
        <v>0</v>
      </c>
      <c r="T24" s="62"/>
      <c r="U24" s="62"/>
    </row>
    <row r="25" spans="1:23" hidden="1" outlineLevel="1" x14ac:dyDescent="0.35">
      <c r="A25" s="41"/>
      <c r="B25" s="41"/>
      <c r="C25" s="63" t="s">
        <v>43</v>
      </c>
      <c r="D25" s="56">
        <f>+$M$202</f>
        <v>0</v>
      </c>
      <c r="E25" s="57">
        <f>+$M$202</f>
        <v>0</v>
      </c>
      <c r="F25" s="57">
        <f>+$M$202</f>
        <v>0</v>
      </c>
      <c r="G25" s="57">
        <f t="shared" ref="G25:O25" si="13">+$M$202*(IPC+1)</f>
        <v>0</v>
      </c>
      <c r="H25" s="57">
        <f t="shared" si="13"/>
        <v>0</v>
      </c>
      <c r="I25" s="57">
        <f t="shared" si="13"/>
        <v>0</v>
      </c>
      <c r="J25" s="57">
        <f t="shared" si="13"/>
        <v>0</v>
      </c>
      <c r="K25" s="57">
        <f t="shared" si="13"/>
        <v>0</v>
      </c>
      <c r="L25" s="57">
        <f t="shared" si="13"/>
        <v>0</v>
      </c>
      <c r="M25" s="57">
        <f t="shared" si="13"/>
        <v>0</v>
      </c>
      <c r="N25" s="57">
        <f t="shared" si="13"/>
        <v>0</v>
      </c>
      <c r="O25" s="57">
        <f t="shared" si="13"/>
        <v>0</v>
      </c>
      <c r="P25" s="58">
        <f t="shared" si="4"/>
        <v>0</v>
      </c>
      <c r="Q25" s="44"/>
      <c r="R25" s="60">
        <f t="shared" si="5"/>
        <v>0</v>
      </c>
      <c r="T25" s="62"/>
      <c r="U25" s="62"/>
    </row>
    <row r="26" spans="1:23" hidden="1" outlineLevel="1" x14ac:dyDescent="0.35">
      <c r="A26" s="41"/>
      <c r="B26" s="41"/>
      <c r="C26" s="55" t="s">
        <v>44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8">
        <f t="shared" si="4"/>
        <v>0</v>
      </c>
      <c r="Q26" s="44"/>
      <c r="R26" s="60">
        <f t="shared" si="5"/>
        <v>0</v>
      </c>
      <c r="T26" s="62"/>
      <c r="U26" s="62"/>
    </row>
    <row r="27" spans="1:23" hidden="1" outlineLevel="1" x14ac:dyDescent="0.35">
      <c r="A27" s="41"/>
      <c r="B27" s="41"/>
      <c r="C27" s="63" t="s">
        <v>45</v>
      </c>
      <c r="D27" s="56">
        <f>+$K$202</f>
        <v>0</v>
      </c>
      <c r="E27" s="57">
        <f>+$K$202</f>
        <v>0</v>
      </c>
      <c r="F27" s="57">
        <f>+$K$202</f>
        <v>0</v>
      </c>
      <c r="G27" s="57">
        <f t="shared" ref="G27:O27" si="14">+$K$202*(IPC+1)</f>
        <v>0</v>
      </c>
      <c r="H27" s="57">
        <f t="shared" si="14"/>
        <v>0</v>
      </c>
      <c r="I27" s="57">
        <f t="shared" si="14"/>
        <v>0</v>
      </c>
      <c r="J27" s="57">
        <f t="shared" si="14"/>
        <v>0</v>
      </c>
      <c r="K27" s="57">
        <f t="shared" si="14"/>
        <v>0</v>
      </c>
      <c r="L27" s="57">
        <f t="shared" si="14"/>
        <v>0</v>
      </c>
      <c r="M27" s="57">
        <f t="shared" si="14"/>
        <v>0</v>
      </c>
      <c r="N27" s="57">
        <f t="shared" si="14"/>
        <v>0</v>
      </c>
      <c r="O27" s="57">
        <f t="shared" si="14"/>
        <v>0</v>
      </c>
      <c r="P27" s="58">
        <f t="shared" si="4"/>
        <v>0</v>
      </c>
      <c r="Q27" s="44"/>
      <c r="R27" s="60">
        <f t="shared" si="5"/>
        <v>0</v>
      </c>
      <c r="T27" s="62"/>
      <c r="U27" s="62"/>
    </row>
    <row r="28" spans="1:23" hidden="1" outlineLevel="1" x14ac:dyDescent="0.35">
      <c r="A28" s="41"/>
      <c r="B28" s="41"/>
      <c r="C28" s="63" t="s">
        <v>46</v>
      </c>
      <c r="D28" s="56">
        <f>+$H$202</f>
        <v>0</v>
      </c>
      <c r="E28" s="57">
        <f>+$H$202</f>
        <v>0</v>
      </c>
      <c r="F28" s="57">
        <f>+$H$202</f>
        <v>0</v>
      </c>
      <c r="G28" s="57">
        <f t="shared" ref="G28:O28" si="15">+$H$202*(IPC+1)</f>
        <v>0</v>
      </c>
      <c r="H28" s="57">
        <f t="shared" si="15"/>
        <v>0</v>
      </c>
      <c r="I28" s="57">
        <f t="shared" si="15"/>
        <v>0</v>
      </c>
      <c r="J28" s="57">
        <f t="shared" si="15"/>
        <v>0</v>
      </c>
      <c r="K28" s="57">
        <f t="shared" si="15"/>
        <v>0</v>
      </c>
      <c r="L28" s="57">
        <f t="shared" si="15"/>
        <v>0</v>
      </c>
      <c r="M28" s="57">
        <f t="shared" si="15"/>
        <v>0</v>
      </c>
      <c r="N28" s="57">
        <f t="shared" si="15"/>
        <v>0</v>
      </c>
      <c r="O28" s="57">
        <f t="shared" si="15"/>
        <v>0</v>
      </c>
      <c r="P28" s="58">
        <f t="shared" si="4"/>
        <v>0</v>
      </c>
      <c r="Q28" s="44"/>
      <c r="R28" s="65">
        <f t="shared" si="5"/>
        <v>0</v>
      </c>
      <c r="T28" s="61"/>
      <c r="U28" s="61"/>
    </row>
    <row r="29" spans="1:23" hidden="1" outlineLevel="1" x14ac:dyDescent="0.35">
      <c r="A29" s="41"/>
      <c r="B29" s="41"/>
      <c r="C29" s="63" t="s">
        <v>47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8">
        <f t="shared" si="4"/>
        <v>0</v>
      </c>
      <c r="Q29" s="44"/>
      <c r="R29" s="65"/>
      <c r="T29" s="61"/>
      <c r="U29" s="61"/>
    </row>
    <row r="30" spans="1:23" hidden="1" outlineLevel="1" x14ac:dyDescent="0.35">
      <c r="A30" s="41"/>
      <c r="B30" s="41"/>
      <c r="C30" s="66" t="s">
        <v>48</v>
      </c>
      <c r="D30" s="67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f t="shared" si="4"/>
        <v>0</v>
      </c>
      <c r="Q30" s="44"/>
      <c r="R30" s="65"/>
      <c r="T30" s="58"/>
      <c r="U30" s="58"/>
    </row>
    <row r="31" spans="1:23" s="28" customFormat="1" ht="13" collapsed="1" x14ac:dyDescent="0.3">
      <c r="A31" s="70"/>
      <c r="B31" s="71"/>
      <c r="C31" s="46" t="s">
        <v>49</v>
      </c>
      <c r="D31" s="72">
        <f>SUM(D8:D30)-D22</f>
        <v>455891.27371884719</v>
      </c>
      <c r="E31" s="42">
        <f t="shared" ref="E31:P31" si="16">SUM(E8:E30)-E22</f>
        <v>455891.27371884719</v>
      </c>
      <c r="F31" s="42">
        <f t="shared" si="16"/>
        <v>455891.27371884719</v>
      </c>
      <c r="G31" s="42">
        <f t="shared" si="16"/>
        <v>456556.14025419584</v>
      </c>
      <c r="H31" s="42">
        <f t="shared" si="16"/>
        <v>456556.14025419584</v>
      </c>
      <c r="I31" s="42">
        <f t="shared" si="16"/>
        <v>456556.14025419584</v>
      </c>
      <c r="J31" s="42">
        <f t="shared" si="16"/>
        <v>456556.14025419584</v>
      </c>
      <c r="K31" s="42">
        <f t="shared" si="16"/>
        <v>456556.14025419584</v>
      </c>
      <c r="L31" s="42">
        <f t="shared" si="16"/>
        <v>456556.14025419584</v>
      </c>
      <c r="M31" s="42">
        <f t="shared" si="16"/>
        <v>456556.14025419584</v>
      </c>
      <c r="N31" s="42">
        <f t="shared" si="16"/>
        <v>456556.14025419584</v>
      </c>
      <c r="O31" s="42">
        <f t="shared" si="16"/>
        <v>456556.14025419584</v>
      </c>
      <c r="P31" s="42">
        <f t="shared" si="16"/>
        <v>5476679.0834443048</v>
      </c>
      <c r="Q31" s="39"/>
      <c r="R31" s="37">
        <f>+IF(P31=0,0,P31/$P$159)</f>
        <v>0.66079025616763254</v>
      </c>
      <c r="T31" s="43"/>
      <c r="U31" s="43"/>
    </row>
    <row r="32" spans="1:23" x14ac:dyDescent="0.35">
      <c r="A32" s="47"/>
      <c r="B32" s="48"/>
      <c r="C32" s="7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74"/>
      <c r="Q32" s="44"/>
      <c r="R32" s="40"/>
      <c r="T32" s="44"/>
      <c r="U32" s="44"/>
    </row>
    <row r="33" spans="1:21" x14ac:dyDescent="0.35">
      <c r="A33" s="47"/>
      <c r="B33" s="48"/>
      <c r="C33" s="75" t="s">
        <v>50</v>
      </c>
      <c r="P33" s="28"/>
      <c r="Q33" s="44"/>
      <c r="R33" s="76"/>
    </row>
    <row r="34" spans="1:21" hidden="1" outlineLevel="1" x14ac:dyDescent="0.35">
      <c r="A34" s="41"/>
      <c r="B34" s="41"/>
      <c r="C34" s="49" t="s">
        <v>51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1">
        <f t="shared" ref="P34:P42" si="17">+SUM(D34:O34)</f>
        <v>0</v>
      </c>
      <c r="Q34" s="44"/>
      <c r="R34" s="53">
        <f t="shared" ref="R34:R43" si="18">+IF(P34=0,0,P34/$P$159)</f>
        <v>0</v>
      </c>
      <c r="T34" s="54"/>
      <c r="U34" s="54"/>
    </row>
    <row r="35" spans="1:21" hidden="1" outlineLevel="1" x14ac:dyDescent="0.35">
      <c r="A35" s="41"/>
      <c r="B35" s="41"/>
      <c r="C35" s="63" t="s">
        <v>52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8">
        <f t="shared" si="17"/>
        <v>0</v>
      </c>
      <c r="Q35" s="44"/>
      <c r="R35" s="60">
        <f t="shared" si="18"/>
        <v>0</v>
      </c>
      <c r="T35" s="61"/>
      <c r="U35" s="61"/>
    </row>
    <row r="36" spans="1:21" hidden="1" outlineLevel="1" x14ac:dyDescent="0.35">
      <c r="A36" s="41"/>
      <c r="B36" s="41"/>
      <c r="C36" s="63" t="s">
        <v>53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8">
        <f t="shared" si="17"/>
        <v>0</v>
      </c>
      <c r="Q36" s="44"/>
      <c r="R36" s="60">
        <f t="shared" si="18"/>
        <v>0</v>
      </c>
      <c r="T36" s="61"/>
      <c r="U36" s="61"/>
    </row>
    <row r="37" spans="1:21" hidden="1" outlineLevel="1" x14ac:dyDescent="0.35">
      <c r="A37" s="41"/>
      <c r="B37" s="41"/>
      <c r="C37" s="63" t="s">
        <v>54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8">
        <f t="shared" si="17"/>
        <v>0</v>
      </c>
      <c r="Q37" s="44"/>
      <c r="R37" s="60">
        <f t="shared" si="18"/>
        <v>0</v>
      </c>
      <c r="T37" s="61"/>
      <c r="U37" s="61"/>
    </row>
    <row r="38" spans="1:21" hidden="1" outlineLevel="1" x14ac:dyDescent="0.35">
      <c r="A38" s="41"/>
      <c r="B38" s="41"/>
      <c r="C38" s="63" t="s">
        <v>55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58">
        <f t="shared" si="17"/>
        <v>0</v>
      </c>
      <c r="Q38" s="44"/>
      <c r="R38" s="60">
        <f t="shared" si="18"/>
        <v>0</v>
      </c>
      <c r="T38" s="61"/>
      <c r="U38" s="61"/>
    </row>
    <row r="39" spans="1:21" hidden="1" outlineLevel="1" x14ac:dyDescent="0.35">
      <c r="A39" s="41"/>
      <c r="B39" s="41"/>
      <c r="C39" s="63" t="s">
        <v>56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58">
        <f t="shared" si="17"/>
        <v>0</v>
      </c>
      <c r="Q39" s="44"/>
      <c r="R39" s="60">
        <f t="shared" si="18"/>
        <v>0</v>
      </c>
      <c r="T39" s="55"/>
      <c r="U39" s="55"/>
    </row>
    <row r="40" spans="1:21" hidden="1" outlineLevel="1" x14ac:dyDescent="0.35">
      <c r="A40" s="41"/>
      <c r="B40" s="41"/>
      <c r="C40" s="63" t="s">
        <v>57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58">
        <f t="shared" si="17"/>
        <v>0</v>
      </c>
      <c r="Q40" s="44"/>
      <c r="R40" s="60">
        <f t="shared" si="18"/>
        <v>0</v>
      </c>
      <c r="T40" s="55"/>
      <c r="U40" s="55"/>
    </row>
    <row r="41" spans="1:21" hidden="1" outlineLevel="1" x14ac:dyDescent="0.35">
      <c r="A41" s="41"/>
      <c r="B41" s="41"/>
      <c r="C41" s="63" t="s">
        <v>58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0</v>
      </c>
      <c r="N41" s="57">
        <v>0</v>
      </c>
      <c r="O41" s="57">
        <v>0</v>
      </c>
      <c r="P41" s="58">
        <f t="shared" si="17"/>
        <v>0</v>
      </c>
      <c r="Q41" s="44"/>
      <c r="R41" s="60">
        <f t="shared" si="18"/>
        <v>0</v>
      </c>
      <c r="T41" s="77"/>
      <c r="U41" s="77"/>
    </row>
    <row r="42" spans="1:21" hidden="1" outlineLevel="1" x14ac:dyDescent="0.35">
      <c r="A42" s="41"/>
      <c r="B42" s="41"/>
      <c r="C42" s="63" t="s">
        <v>59</v>
      </c>
      <c r="D42" s="57">
        <f t="shared" ref="D42:J42" si="19">+D31*0.05</f>
        <v>22794.563685942361</v>
      </c>
      <c r="E42" s="57">
        <f t="shared" si="19"/>
        <v>22794.563685942361</v>
      </c>
      <c r="F42" s="57">
        <f t="shared" si="19"/>
        <v>22794.563685942361</v>
      </c>
      <c r="G42" s="57">
        <f t="shared" si="19"/>
        <v>22827.807012709793</v>
      </c>
      <c r="H42" s="57">
        <f t="shared" si="19"/>
        <v>22827.807012709793</v>
      </c>
      <c r="I42" s="57">
        <f t="shared" si="19"/>
        <v>22827.807012709793</v>
      </c>
      <c r="J42" s="57">
        <f t="shared" si="19"/>
        <v>22827.807012709793</v>
      </c>
      <c r="K42" s="57">
        <f>+K31*0.05</f>
        <v>22827.807012709793</v>
      </c>
      <c r="L42" s="57">
        <f t="shared" ref="L42:O42" si="20">+L31*0.05</f>
        <v>22827.807012709793</v>
      </c>
      <c r="M42" s="57">
        <f t="shared" si="20"/>
        <v>22827.807012709793</v>
      </c>
      <c r="N42" s="57">
        <f t="shared" si="20"/>
        <v>22827.807012709793</v>
      </c>
      <c r="O42" s="57">
        <f t="shared" si="20"/>
        <v>22827.807012709793</v>
      </c>
      <c r="P42" s="58">
        <f t="shared" si="17"/>
        <v>273833.95417221519</v>
      </c>
      <c r="Q42" s="44"/>
      <c r="R42" s="60">
        <f t="shared" si="18"/>
        <v>3.3039512808381619E-2</v>
      </c>
      <c r="T42" s="77"/>
      <c r="U42" s="77"/>
    </row>
    <row r="43" spans="1:21" s="28" customFormat="1" ht="13" collapsed="1" x14ac:dyDescent="0.3">
      <c r="A43" s="70"/>
      <c r="B43" s="71"/>
      <c r="C43" s="54" t="s">
        <v>60</v>
      </c>
      <c r="D43" s="42">
        <f>SUM(D34:D42)</f>
        <v>22794.563685942361</v>
      </c>
      <c r="E43" s="42">
        <f t="shared" ref="E43:O43" si="21">SUM(E34:E42)</f>
        <v>22794.563685942361</v>
      </c>
      <c r="F43" s="42">
        <f t="shared" si="21"/>
        <v>22794.563685942361</v>
      </c>
      <c r="G43" s="42">
        <f t="shared" si="21"/>
        <v>22827.807012709793</v>
      </c>
      <c r="H43" s="42">
        <f t="shared" si="21"/>
        <v>22827.807012709793</v>
      </c>
      <c r="I43" s="42">
        <f t="shared" si="21"/>
        <v>22827.807012709793</v>
      </c>
      <c r="J43" s="42">
        <f t="shared" si="21"/>
        <v>22827.807012709793</v>
      </c>
      <c r="K43" s="42">
        <f t="shared" si="21"/>
        <v>22827.807012709793</v>
      </c>
      <c r="L43" s="42">
        <f t="shared" si="21"/>
        <v>22827.807012709793</v>
      </c>
      <c r="M43" s="42">
        <f t="shared" si="21"/>
        <v>22827.807012709793</v>
      </c>
      <c r="N43" s="42">
        <f t="shared" si="21"/>
        <v>22827.807012709793</v>
      </c>
      <c r="O43" s="42">
        <f t="shared" si="21"/>
        <v>22827.807012709793</v>
      </c>
      <c r="P43" s="43">
        <f>SUM(P34:P42)</f>
        <v>273833.95417221519</v>
      </c>
      <c r="Q43" s="40"/>
      <c r="R43" s="37">
        <f t="shared" si="18"/>
        <v>3.3039512808381619E-2</v>
      </c>
      <c r="T43" s="43"/>
      <c r="U43" s="43"/>
    </row>
    <row r="44" spans="1:21" ht="9" customHeight="1" x14ac:dyDescent="0.35">
      <c r="A44" s="47"/>
      <c r="B44" s="4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  <c r="Q44" s="44"/>
      <c r="R44" s="40"/>
      <c r="T44" s="79"/>
      <c r="U44" s="79"/>
    </row>
    <row r="45" spans="1:21" s="28" customFormat="1" ht="13" x14ac:dyDescent="0.3">
      <c r="A45" s="70"/>
      <c r="B45" s="71"/>
      <c r="C45" s="61" t="s">
        <v>61</v>
      </c>
      <c r="D45" s="68">
        <f t="shared" ref="D45:P45" si="22">+D31+D43</f>
        <v>478685.83740478958</v>
      </c>
      <c r="E45" s="68">
        <f t="shared" si="22"/>
        <v>478685.83740478958</v>
      </c>
      <c r="F45" s="68">
        <f t="shared" si="22"/>
        <v>478685.83740478958</v>
      </c>
      <c r="G45" s="68">
        <f t="shared" si="22"/>
        <v>479383.94726690563</v>
      </c>
      <c r="H45" s="68">
        <f t="shared" si="22"/>
        <v>479383.94726690563</v>
      </c>
      <c r="I45" s="68">
        <f t="shared" si="22"/>
        <v>479383.94726690563</v>
      </c>
      <c r="J45" s="68">
        <f t="shared" si="22"/>
        <v>479383.94726690563</v>
      </c>
      <c r="K45" s="68">
        <f>+K31+K43</f>
        <v>479383.94726690563</v>
      </c>
      <c r="L45" s="68">
        <f t="shared" si="22"/>
        <v>479383.94726690563</v>
      </c>
      <c r="M45" s="68">
        <f t="shared" si="22"/>
        <v>479383.94726690563</v>
      </c>
      <c r="N45" s="68">
        <f t="shared" si="22"/>
        <v>479383.94726690563</v>
      </c>
      <c r="O45" s="68">
        <f t="shared" si="22"/>
        <v>479383.94726690563</v>
      </c>
      <c r="P45" s="69">
        <f t="shared" si="22"/>
        <v>5750513.0376165202</v>
      </c>
      <c r="Q45" s="39"/>
      <c r="R45" s="37">
        <f>+IF(P45=0,0,P45/$P$159)</f>
        <v>0.69382976897601412</v>
      </c>
      <c r="T45" s="69"/>
      <c r="U45" s="69"/>
    </row>
    <row r="46" spans="1:21" x14ac:dyDescent="0.35">
      <c r="A46" s="47"/>
      <c r="B46" s="81"/>
      <c r="C46" s="82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74"/>
      <c r="Q46" s="44"/>
      <c r="R46" s="40"/>
      <c r="T46" s="44"/>
      <c r="U46" s="44"/>
    </row>
    <row r="47" spans="1:21" x14ac:dyDescent="0.35">
      <c r="A47" s="41"/>
      <c r="B47" s="41"/>
      <c r="C47" t="s">
        <v>62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84">
        <f>SUM(D47:O47)</f>
        <v>0</v>
      </c>
      <c r="Q47" s="44"/>
      <c r="R47" s="40"/>
      <c r="T47" s="44"/>
      <c r="U47" s="44"/>
    </row>
    <row r="48" spans="1:21" s="28" customFormat="1" ht="13" x14ac:dyDescent="0.3">
      <c r="A48" s="41"/>
      <c r="B48" s="41"/>
      <c r="C48" s="61" t="s">
        <v>63</v>
      </c>
      <c r="D48" s="68">
        <f>+D47</f>
        <v>0</v>
      </c>
      <c r="E48" s="68">
        <f t="shared" ref="E48:P48" si="23">+E47</f>
        <v>0</v>
      </c>
      <c r="F48" s="68">
        <f t="shared" si="23"/>
        <v>0</v>
      </c>
      <c r="G48" s="68">
        <f t="shared" si="23"/>
        <v>0</v>
      </c>
      <c r="H48" s="68">
        <f t="shared" si="23"/>
        <v>0</v>
      </c>
      <c r="I48" s="68">
        <f t="shared" si="23"/>
        <v>0</v>
      </c>
      <c r="J48" s="68">
        <f t="shared" si="23"/>
        <v>0</v>
      </c>
      <c r="K48" s="68">
        <f t="shared" si="23"/>
        <v>0</v>
      </c>
      <c r="L48" s="68">
        <f t="shared" si="23"/>
        <v>0</v>
      </c>
      <c r="M48" s="68">
        <f t="shared" si="23"/>
        <v>0</v>
      </c>
      <c r="N48" s="68">
        <f t="shared" si="23"/>
        <v>0</v>
      </c>
      <c r="O48" s="68">
        <f t="shared" si="23"/>
        <v>0</v>
      </c>
      <c r="P48" s="68">
        <f t="shared" si="23"/>
        <v>0</v>
      </c>
      <c r="Q48" s="39"/>
      <c r="R48" s="37">
        <f>+IF(P48=0,0,P48/$P$159)</f>
        <v>0</v>
      </c>
      <c r="T48" s="69"/>
      <c r="U48" s="69"/>
    </row>
    <row r="49" spans="1:21" x14ac:dyDescent="0.35">
      <c r="A49" s="41"/>
      <c r="B49" s="41"/>
      <c r="C49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74"/>
      <c r="Q49" s="44"/>
      <c r="R49" s="40"/>
      <c r="T49" s="44"/>
      <c r="U49" s="44"/>
    </row>
    <row r="50" spans="1:21" x14ac:dyDescent="0.35">
      <c r="A50" s="41"/>
      <c r="B50" s="41"/>
      <c r="C50" t="s">
        <v>64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84">
        <f>SUM(D50:O50)</f>
        <v>0</v>
      </c>
      <c r="Q50" s="44"/>
      <c r="R50" s="40"/>
      <c r="T50" s="44"/>
      <c r="U50" s="44"/>
    </row>
    <row r="51" spans="1:21" s="28" customFormat="1" ht="13" x14ac:dyDescent="0.3">
      <c r="A51" s="41"/>
      <c r="B51" s="41"/>
      <c r="C51" s="61" t="s">
        <v>65</v>
      </c>
      <c r="D51" s="68">
        <f>+D50</f>
        <v>0</v>
      </c>
      <c r="E51" s="68">
        <f t="shared" ref="E51:P51" si="24">+E50</f>
        <v>0</v>
      </c>
      <c r="F51" s="68">
        <f t="shared" si="24"/>
        <v>0</v>
      </c>
      <c r="G51" s="68">
        <f t="shared" si="24"/>
        <v>0</v>
      </c>
      <c r="H51" s="68">
        <f t="shared" si="24"/>
        <v>0</v>
      </c>
      <c r="I51" s="68">
        <f t="shared" si="24"/>
        <v>0</v>
      </c>
      <c r="J51" s="68">
        <f t="shared" si="24"/>
        <v>0</v>
      </c>
      <c r="K51" s="68">
        <f t="shared" si="24"/>
        <v>0</v>
      </c>
      <c r="L51" s="68">
        <f t="shared" si="24"/>
        <v>0</v>
      </c>
      <c r="M51" s="68">
        <f t="shared" si="24"/>
        <v>0</v>
      </c>
      <c r="N51" s="68">
        <f t="shared" si="24"/>
        <v>0</v>
      </c>
      <c r="O51" s="68">
        <f t="shared" si="24"/>
        <v>0</v>
      </c>
      <c r="P51" s="68">
        <f t="shared" si="24"/>
        <v>0</v>
      </c>
      <c r="Q51" s="39"/>
      <c r="R51" s="37">
        <f>+IF(P51=0,0,P51/$P$159)</f>
        <v>0</v>
      </c>
      <c r="T51" s="69"/>
      <c r="U51" s="69"/>
    </row>
    <row r="52" spans="1:21" x14ac:dyDescent="0.35">
      <c r="A52" s="41"/>
      <c r="B52" s="41"/>
      <c r="C52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4"/>
      <c r="Q52" s="44"/>
      <c r="R52" s="40"/>
      <c r="T52" s="44"/>
      <c r="U52" s="44"/>
    </row>
    <row r="53" spans="1:21" x14ac:dyDescent="0.35">
      <c r="A53" s="41"/>
      <c r="B53" s="41"/>
      <c r="C53" t="s">
        <v>252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84">
        <f>SUM(D53:O53)</f>
        <v>0</v>
      </c>
      <c r="Q53" s="44"/>
      <c r="R53" s="40"/>
      <c r="T53" s="44"/>
      <c r="U53" s="44"/>
    </row>
    <row r="54" spans="1:21" s="28" customFormat="1" ht="13" x14ac:dyDescent="0.3">
      <c r="A54" s="41"/>
      <c r="B54" s="41"/>
      <c r="C54" s="61" t="s">
        <v>67</v>
      </c>
      <c r="D54" s="68">
        <f>+D53</f>
        <v>0</v>
      </c>
      <c r="E54" s="68">
        <f t="shared" ref="E54:P54" si="25">+E53</f>
        <v>0</v>
      </c>
      <c r="F54" s="68">
        <f t="shared" si="25"/>
        <v>0</v>
      </c>
      <c r="G54" s="68">
        <f t="shared" si="25"/>
        <v>0</v>
      </c>
      <c r="H54" s="68">
        <f t="shared" si="25"/>
        <v>0</v>
      </c>
      <c r="I54" s="68">
        <f t="shared" si="25"/>
        <v>0</v>
      </c>
      <c r="J54" s="68">
        <f t="shared" si="25"/>
        <v>0</v>
      </c>
      <c r="K54" s="68">
        <f t="shared" si="25"/>
        <v>0</v>
      </c>
      <c r="L54" s="68">
        <f t="shared" si="25"/>
        <v>0</v>
      </c>
      <c r="M54" s="68">
        <f t="shared" si="25"/>
        <v>0</v>
      </c>
      <c r="N54" s="68">
        <f t="shared" si="25"/>
        <v>0</v>
      </c>
      <c r="O54" s="68">
        <f t="shared" si="25"/>
        <v>0</v>
      </c>
      <c r="P54" s="68">
        <f t="shared" si="25"/>
        <v>0</v>
      </c>
      <c r="Q54" s="39"/>
      <c r="R54" s="37">
        <f>+IF(P54=0,0,P54/$P$159)</f>
        <v>0</v>
      </c>
      <c r="T54" s="69"/>
      <c r="U54" s="69"/>
    </row>
    <row r="55" spans="1:21" x14ac:dyDescent="0.35">
      <c r="A55" s="41"/>
      <c r="B55" s="41"/>
      <c r="C55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74"/>
      <c r="Q55" s="44"/>
      <c r="R55" s="40"/>
      <c r="T55" s="44"/>
      <c r="U55" s="44"/>
    </row>
    <row r="56" spans="1:21" x14ac:dyDescent="0.35">
      <c r="A56" s="41"/>
      <c r="B56" s="41"/>
      <c r="C56" t="s">
        <v>68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85">
        <f t="shared" ref="P56:P60" si="26">SUM(D56:O56)</f>
        <v>0</v>
      </c>
      <c r="Q56" s="44"/>
      <c r="R56" s="40"/>
      <c r="T56" s="44"/>
      <c r="U56" s="44"/>
    </row>
    <row r="57" spans="1:21" x14ac:dyDescent="0.35">
      <c r="A57" s="41"/>
      <c r="B57" s="41"/>
      <c r="C57" t="s">
        <v>69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84">
        <f t="shared" si="26"/>
        <v>0</v>
      </c>
      <c r="Q57" s="44"/>
      <c r="R57" s="40"/>
      <c r="T57" s="44"/>
      <c r="U57" s="44"/>
    </row>
    <row r="58" spans="1:21" x14ac:dyDescent="0.35">
      <c r="A58" s="41"/>
      <c r="B58" s="41"/>
      <c r="C58" t="s">
        <v>70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84">
        <f t="shared" si="26"/>
        <v>0</v>
      </c>
      <c r="Q58" s="44"/>
      <c r="R58" s="40"/>
      <c r="T58" s="44"/>
      <c r="U58" s="44"/>
    </row>
    <row r="59" spans="1:21" x14ac:dyDescent="0.35">
      <c r="A59" s="41"/>
      <c r="B59" s="41"/>
      <c r="C59" t="s">
        <v>71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84">
        <f t="shared" si="26"/>
        <v>0</v>
      </c>
      <c r="Q59" s="44"/>
      <c r="R59" s="40"/>
      <c r="T59" s="44"/>
      <c r="U59" s="44"/>
    </row>
    <row r="60" spans="1:21" x14ac:dyDescent="0.35">
      <c r="A60" s="41"/>
      <c r="B60" s="41"/>
      <c r="C60" t="s">
        <v>72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84">
        <f t="shared" si="26"/>
        <v>0</v>
      </c>
      <c r="Q60" s="44"/>
      <c r="R60" s="40"/>
      <c r="T60" s="44"/>
      <c r="U60" s="44"/>
    </row>
    <row r="61" spans="1:21" s="28" customFormat="1" ht="13" x14ac:dyDescent="0.3">
      <c r="A61" s="41"/>
      <c r="B61" s="86" t="s">
        <v>73</v>
      </c>
      <c r="C61" s="61" t="s">
        <v>74</v>
      </c>
      <c r="D61" s="68">
        <f>SUM(D56:D60)</f>
        <v>0</v>
      </c>
      <c r="E61" s="68">
        <f t="shared" ref="E61:P61" si="27">SUM(E56:E60)</f>
        <v>0</v>
      </c>
      <c r="F61" s="68">
        <f t="shared" si="27"/>
        <v>0</v>
      </c>
      <c r="G61" s="68">
        <f t="shared" si="27"/>
        <v>0</v>
      </c>
      <c r="H61" s="68">
        <f t="shared" si="27"/>
        <v>0</v>
      </c>
      <c r="I61" s="68">
        <f t="shared" si="27"/>
        <v>0</v>
      </c>
      <c r="J61" s="68">
        <f t="shared" si="27"/>
        <v>0</v>
      </c>
      <c r="K61" s="68">
        <f t="shared" si="27"/>
        <v>0</v>
      </c>
      <c r="L61" s="68">
        <f t="shared" si="27"/>
        <v>0</v>
      </c>
      <c r="M61" s="68">
        <f t="shared" si="27"/>
        <v>0</v>
      </c>
      <c r="N61" s="68">
        <f t="shared" si="27"/>
        <v>0</v>
      </c>
      <c r="O61" s="68">
        <f t="shared" si="27"/>
        <v>0</v>
      </c>
      <c r="P61" s="68">
        <f t="shared" si="27"/>
        <v>0</v>
      </c>
      <c r="Q61" s="39"/>
      <c r="R61" s="37">
        <f>+IF(P61=0,0,P61/$P$159)</f>
        <v>0</v>
      </c>
      <c r="T61" s="69"/>
      <c r="U61" s="69"/>
    </row>
    <row r="62" spans="1:21" x14ac:dyDescent="0.35">
      <c r="A62" s="41"/>
      <c r="B62" s="41"/>
      <c r="C62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74"/>
      <c r="Q62" s="44"/>
      <c r="R62" s="40"/>
      <c r="T62" s="44"/>
      <c r="U62" s="44"/>
    </row>
    <row r="63" spans="1:21" x14ac:dyDescent="0.35">
      <c r="A63" s="41"/>
      <c r="B63" s="41"/>
      <c r="C63" t="s">
        <v>75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84">
        <f>SUM(D63:O63)</f>
        <v>0</v>
      </c>
      <c r="Q63" s="44"/>
      <c r="R63" s="40"/>
      <c r="T63" s="44"/>
      <c r="U63" s="44"/>
    </row>
    <row r="64" spans="1:21" s="28" customFormat="1" ht="13" x14ac:dyDescent="0.3">
      <c r="A64" s="41"/>
      <c r="B64" s="41"/>
      <c r="C64" s="61" t="s">
        <v>76</v>
      </c>
      <c r="D64" s="68">
        <f>+D63</f>
        <v>0</v>
      </c>
      <c r="E64" s="68">
        <f t="shared" ref="E64:P64" si="28">+E63</f>
        <v>0</v>
      </c>
      <c r="F64" s="68">
        <f t="shared" si="28"/>
        <v>0</v>
      </c>
      <c r="G64" s="68">
        <f t="shared" si="28"/>
        <v>0</v>
      </c>
      <c r="H64" s="68">
        <f t="shared" si="28"/>
        <v>0</v>
      </c>
      <c r="I64" s="68">
        <f t="shared" si="28"/>
        <v>0</v>
      </c>
      <c r="J64" s="68">
        <f t="shared" si="28"/>
        <v>0</v>
      </c>
      <c r="K64" s="68">
        <f t="shared" si="28"/>
        <v>0</v>
      </c>
      <c r="L64" s="68">
        <f t="shared" si="28"/>
        <v>0</v>
      </c>
      <c r="M64" s="68">
        <f t="shared" si="28"/>
        <v>0</v>
      </c>
      <c r="N64" s="68">
        <f t="shared" si="28"/>
        <v>0</v>
      </c>
      <c r="O64" s="68">
        <f t="shared" si="28"/>
        <v>0</v>
      </c>
      <c r="P64" s="68">
        <f t="shared" si="28"/>
        <v>0</v>
      </c>
      <c r="Q64" s="39"/>
      <c r="R64" s="37">
        <f>+IF(P64=0,0,P64/$P$159)</f>
        <v>0</v>
      </c>
      <c r="T64" s="69"/>
      <c r="U64" s="69"/>
    </row>
    <row r="65" spans="1:21" x14ac:dyDescent="0.35">
      <c r="A65" s="41"/>
      <c r="B65" s="41"/>
      <c r="C65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74"/>
      <c r="Q65" s="44"/>
      <c r="R65" s="40"/>
      <c r="T65" s="44"/>
      <c r="U65" s="44"/>
    </row>
    <row r="66" spans="1:21" x14ac:dyDescent="0.35">
      <c r="A66" s="41"/>
      <c r="B66" s="41"/>
      <c r="C66" t="s">
        <v>77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84">
        <f>SUM(D66:O66)</f>
        <v>0</v>
      </c>
      <c r="Q66" s="44"/>
      <c r="R66" s="40"/>
      <c r="T66" s="44"/>
      <c r="U66" s="44"/>
    </row>
    <row r="67" spans="1:21" s="28" customFormat="1" ht="13" x14ac:dyDescent="0.3">
      <c r="A67" s="41"/>
      <c r="B67" s="41"/>
      <c r="C67" s="61" t="s">
        <v>78</v>
      </c>
      <c r="D67" s="68">
        <f>+D66</f>
        <v>0</v>
      </c>
      <c r="E67" s="68">
        <f t="shared" ref="E67:P67" si="29">+E66</f>
        <v>0</v>
      </c>
      <c r="F67" s="68">
        <f t="shared" si="29"/>
        <v>0</v>
      </c>
      <c r="G67" s="68">
        <f t="shared" si="29"/>
        <v>0</v>
      </c>
      <c r="H67" s="68">
        <f t="shared" si="29"/>
        <v>0</v>
      </c>
      <c r="I67" s="68">
        <f t="shared" si="29"/>
        <v>0</v>
      </c>
      <c r="J67" s="68">
        <f t="shared" si="29"/>
        <v>0</v>
      </c>
      <c r="K67" s="68">
        <f t="shared" si="29"/>
        <v>0</v>
      </c>
      <c r="L67" s="68">
        <f t="shared" si="29"/>
        <v>0</v>
      </c>
      <c r="M67" s="68">
        <f t="shared" si="29"/>
        <v>0</v>
      </c>
      <c r="N67" s="68">
        <f t="shared" si="29"/>
        <v>0</v>
      </c>
      <c r="O67" s="68">
        <f t="shared" si="29"/>
        <v>0</v>
      </c>
      <c r="P67" s="68">
        <f t="shared" si="29"/>
        <v>0</v>
      </c>
      <c r="Q67" s="39"/>
      <c r="R67" s="37">
        <f>+IF(P67=0,0,P67/$P$159)</f>
        <v>0</v>
      </c>
      <c r="T67" s="69"/>
      <c r="U67" s="69"/>
    </row>
    <row r="68" spans="1:21" x14ac:dyDescent="0.35">
      <c r="A68" s="41"/>
      <c r="B68" s="41"/>
      <c r="C68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4"/>
      <c r="Q68" s="44"/>
      <c r="R68" s="40"/>
      <c r="T68" s="44"/>
      <c r="U68" s="44"/>
    </row>
    <row r="69" spans="1:21" x14ac:dyDescent="0.35">
      <c r="A69" s="41"/>
      <c r="B69" s="41"/>
      <c r="C69" t="s">
        <v>79</v>
      </c>
      <c r="D69" s="44">
        <v>58679</v>
      </c>
      <c r="E69" s="44">
        <v>41238</v>
      </c>
      <c r="F69" s="44">
        <v>45000</v>
      </c>
      <c r="G69" s="44">
        <v>45000</v>
      </c>
      <c r="H69" s="44">
        <v>31000</v>
      </c>
      <c r="I69" s="44">
        <v>29500</v>
      </c>
      <c r="J69" s="44">
        <v>25460</v>
      </c>
      <c r="K69" s="44">
        <v>35000</v>
      </c>
      <c r="L69" s="44">
        <v>30000</v>
      </c>
      <c r="M69" s="44">
        <v>40000</v>
      </c>
      <c r="N69" s="44">
        <v>35000</v>
      </c>
      <c r="O69" s="44">
        <v>16000</v>
      </c>
      <c r="P69" s="84">
        <f t="shared" ref="P69:P74" si="30">SUM(D69:O69)</f>
        <v>431877</v>
      </c>
      <c r="Q69" s="44"/>
      <c r="R69" s="40"/>
      <c r="T69" s="44"/>
      <c r="U69" s="44"/>
    </row>
    <row r="70" spans="1:21" x14ac:dyDescent="0.35">
      <c r="A70" s="367" t="s">
        <v>426</v>
      </c>
      <c r="B70" s="367"/>
      <c r="C70" t="s">
        <v>80</v>
      </c>
      <c r="D70" s="44">
        <f>41*200*10</f>
        <v>82000</v>
      </c>
      <c r="E70" s="44">
        <f>41*200*10</f>
        <v>82000</v>
      </c>
      <c r="F70" s="44">
        <f>41*200*13</f>
        <v>106600</v>
      </c>
      <c r="G70" s="44">
        <f>41*200*13</f>
        <v>106600</v>
      </c>
      <c r="H70" s="44">
        <f>41*200*12</f>
        <v>98400</v>
      </c>
      <c r="I70" s="44">
        <f>41*200*10</f>
        <v>82000</v>
      </c>
      <c r="J70" s="44">
        <f>41*200*10</f>
        <v>82000</v>
      </c>
      <c r="K70" s="44">
        <f>41*200*11</f>
        <v>90200</v>
      </c>
      <c r="L70" s="44">
        <f>41*200*8</f>
        <v>65600</v>
      </c>
      <c r="M70" s="44">
        <f>41*200*12</f>
        <v>98400</v>
      </c>
      <c r="N70" s="44">
        <f>41*200*13</f>
        <v>106600</v>
      </c>
      <c r="O70" s="44">
        <f>41*200*13</f>
        <v>106600</v>
      </c>
      <c r="P70" s="84">
        <f t="shared" si="30"/>
        <v>1107000</v>
      </c>
      <c r="Q70" s="44"/>
      <c r="R70" s="40"/>
      <c r="T70" s="44"/>
      <c r="U70" s="44"/>
    </row>
    <row r="71" spans="1:21" x14ac:dyDescent="0.35">
      <c r="A71" s="367"/>
      <c r="B71" s="367"/>
      <c r="C71" t="s">
        <v>81</v>
      </c>
      <c r="D71" s="44">
        <f>1350*20</f>
        <v>27000</v>
      </c>
      <c r="E71" s="44">
        <f>1350*15</f>
        <v>20250</v>
      </c>
      <c r="F71" s="44">
        <f>1350*21</f>
        <v>28350</v>
      </c>
      <c r="G71" s="44">
        <f t="shared" ref="G71:L71" si="31">1350*20</f>
        <v>27000</v>
      </c>
      <c r="H71" s="44">
        <f>1350*19</f>
        <v>25650</v>
      </c>
      <c r="I71" s="44">
        <f>1350*12</f>
        <v>16200</v>
      </c>
      <c r="J71" s="44">
        <f t="shared" si="31"/>
        <v>27000</v>
      </c>
      <c r="K71" s="44">
        <f>1350*11</f>
        <v>14850</v>
      </c>
      <c r="L71" s="44">
        <f t="shared" si="31"/>
        <v>27000</v>
      </c>
      <c r="M71" s="44">
        <f>1350*15</f>
        <v>20250</v>
      </c>
      <c r="N71" s="44">
        <f>1350*21</f>
        <v>28350</v>
      </c>
      <c r="O71" s="44">
        <f>1350*13</f>
        <v>17550</v>
      </c>
      <c r="P71" s="84">
        <f t="shared" si="30"/>
        <v>279450</v>
      </c>
      <c r="Q71" s="44"/>
      <c r="R71" s="40"/>
      <c r="T71" s="44"/>
      <c r="U71" s="44"/>
    </row>
    <row r="72" spans="1:21" x14ac:dyDescent="0.35">
      <c r="A72" s="367"/>
      <c r="B72" s="367"/>
      <c r="C72" t="s">
        <v>82</v>
      </c>
      <c r="D72" s="44">
        <v>6000</v>
      </c>
      <c r="E72" s="44">
        <v>5000</v>
      </c>
      <c r="F72" s="44">
        <v>4500</v>
      </c>
      <c r="G72" s="44">
        <v>6800</v>
      </c>
      <c r="H72" s="44">
        <v>5000</v>
      </c>
      <c r="I72" s="44">
        <v>7000</v>
      </c>
      <c r="J72" s="44">
        <v>4200</v>
      </c>
      <c r="K72" s="44">
        <v>3200</v>
      </c>
      <c r="L72" s="44">
        <v>4100</v>
      </c>
      <c r="M72" s="44">
        <v>6500</v>
      </c>
      <c r="N72" s="44">
        <v>3800</v>
      </c>
      <c r="O72" s="44">
        <v>8600</v>
      </c>
      <c r="P72" s="84">
        <f t="shared" si="30"/>
        <v>64700</v>
      </c>
      <c r="Q72" s="44"/>
      <c r="R72" s="40"/>
      <c r="T72" s="44"/>
      <c r="U72" s="44"/>
    </row>
    <row r="73" spans="1:21" x14ac:dyDescent="0.35">
      <c r="A73" s="41"/>
      <c r="B73" s="41"/>
      <c r="C73" t="s">
        <v>83</v>
      </c>
      <c r="D73" s="44">
        <f>2354.8*5</f>
        <v>11774</v>
      </c>
      <c r="E73" s="44">
        <f>2354.8*6</f>
        <v>14128.800000000001</v>
      </c>
      <c r="F73" s="44">
        <f>2354.8*9</f>
        <v>21193.200000000001</v>
      </c>
      <c r="G73" s="44">
        <f>2354.8*7</f>
        <v>16483.600000000002</v>
      </c>
      <c r="H73" s="44">
        <f>2354.8*4</f>
        <v>9419.2000000000007</v>
      </c>
      <c r="I73" s="44">
        <f>2354.8*3</f>
        <v>7064.4000000000005</v>
      </c>
      <c r="J73" s="44">
        <f>2354.8*8</f>
        <v>18838.400000000001</v>
      </c>
      <c r="K73" s="44">
        <f>2354.8*6</f>
        <v>14128.800000000001</v>
      </c>
      <c r="L73" s="44">
        <f>2354.8*5</f>
        <v>11774</v>
      </c>
      <c r="M73" s="44">
        <f>2354.8*4</f>
        <v>9419.2000000000007</v>
      </c>
      <c r="N73" s="44">
        <f t="shared" ref="N73" si="32">2354.8*5</f>
        <v>11774</v>
      </c>
      <c r="O73" s="44">
        <f>2354.8*8</f>
        <v>18838.400000000001</v>
      </c>
      <c r="P73" s="84">
        <f t="shared" si="30"/>
        <v>164836</v>
      </c>
      <c r="Q73" s="44"/>
      <c r="R73" s="40"/>
      <c r="T73" s="44"/>
      <c r="U73" s="44"/>
    </row>
    <row r="74" spans="1:21" x14ac:dyDescent="0.35">
      <c r="A74" s="41"/>
      <c r="B74" s="41"/>
      <c r="C74" t="s">
        <v>84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84">
        <f t="shared" si="30"/>
        <v>0</v>
      </c>
      <c r="Q74" s="44"/>
      <c r="R74" s="40"/>
      <c r="T74" s="44"/>
      <c r="U74" s="44"/>
    </row>
    <row r="75" spans="1:21" s="28" customFormat="1" ht="13" x14ac:dyDescent="0.3">
      <c r="A75" s="41"/>
      <c r="B75" s="41"/>
      <c r="C75" s="61" t="s">
        <v>85</v>
      </c>
      <c r="D75" s="68">
        <f t="shared" ref="D75:P75" si="33">SUM(D69:D74)</f>
        <v>185453</v>
      </c>
      <c r="E75" s="68">
        <f t="shared" si="33"/>
        <v>162616.79999999999</v>
      </c>
      <c r="F75" s="68">
        <f t="shared" si="33"/>
        <v>205643.2</v>
      </c>
      <c r="G75" s="68">
        <f t="shared" si="33"/>
        <v>201883.6</v>
      </c>
      <c r="H75" s="68">
        <f t="shared" si="33"/>
        <v>169469.2</v>
      </c>
      <c r="I75" s="68">
        <f t="shared" si="33"/>
        <v>141764.4</v>
      </c>
      <c r="J75" s="68">
        <f t="shared" si="33"/>
        <v>157498.4</v>
      </c>
      <c r="K75" s="68">
        <f t="shared" si="33"/>
        <v>157378.79999999999</v>
      </c>
      <c r="L75" s="68">
        <f t="shared" si="33"/>
        <v>138474</v>
      </c>
      <c r="M75" s="68">
        <f t="shared" si="33"/>
        <v>174569.2</v>
      </c>
      <c r="N75" s="68">
        <f t="shared" si="33"/>
        <v>185524</v>
      </c>
      <c r="O75" s="68">
        <f t="shared" si="33"/>
        <v>167588.4</v>
      </c>
      <c r="P75" s="68">
        <f t="shared" si="33"/>
        <v>2047863</v>
      </c>
      <c r="Q75" s="39"/>
      <c r="R75" s="37">
        <f>+IF(P75=0,0,P75/$P$159)</f>
        <v>0.24708548661485177</v>
      </c>
      <c r="T75" s="69"/>
      <c r="U75" s="69"/>
    </row>
    <row r="76" spans="1:21" x14ac:dyDescent="0.35">
      <c r="A76" s="41"/>
      <c r="B76" s="41"/>
      <c r="C76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74"/>
      <c r="Q76" s="44"/>
      <c r="R76" s="40"/>
      <c r="T76" s="44"/>
      <c r="U76" s="44"/>
    </row>
    <row r="77" spans="1:21" x14ac:dyDescent="0.35">
      <c r="A77" s="41"/>
      <c r="B77" s="41"/>
      <c r="C77" t="s">
        <v>86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84">
        <f t="shared" ref="P77:P80" si="34">SUM(D77:O77)</f>
        <v>0</v>
      </c>
      <c r="Q77" s="44"/>
      <c r="R77" s="40"/>
      <c r="T77" s="44"/>
      <c r="U77" s="44"/>
    </row>
    <row r="78" spans="1:21" x14ac:dyDescent="0.35">
      <c r="A78" s="41"/>
      <c r="B78" s="41"/>
      <c r="C78" t="s">
        <v>87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84">
        <f t="shared" si="34"/>
        <v>0</v>
      </c>
      <c r="Q78" s="44"/>
      <c r="R78" s="40"/>
      <c r="T78" s="44"/>
      <c r="U78" s="44"/>
    </row>
    <row r="79" spans="1:21" x14ac:dyDescent="0.35">
      <c r="A79" s="41"/>
      <c r="B79" s="41"/>
      <c r="C79" t="s">
        <v>88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84">
        <f t="shared" si="34"/>
        <v>0</v>
      </c>
      <c r="Q79" s="44"/>
      <c r="R79" s="40"/>
      <c r="T79" s="44"/>
      <c r="U79" s="44"/>
    </row>
    <row r="80" spans="1:21" x14ac:dyDescent="0.35">
      <c r="A80" s="41"/>
      <c r="B80" s="41"/>
      <c r="C80" t="s">
        <v>89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85">
        <f t="shared" si="34"/>
        <v>0</v>
      </c>
      <c r="Q80" s="44"/>
      <c r="R80" s="40"/>
      <c r="T80" s="44"/>
      <c r="U80" s="44"/>
    </row>
    <row r="81" spans="1:21" s="28" customFormat="1" ht="13" x14ac:dyDescent="0.3">
      <c r="A81" s="41"/>
      <c r="B81" s="41"/>
      <c r="C81" s="61" t="s">
        <v>90</v>
      </c>
      <c r="D81" s="68">
        <f>SUM(D77:D80)</f>
        <v>0</v>
      </c>
      <c r="E81" s="68">
        <f t="shared" ref="E81:P81" si="35">SUM(E77:E80)</f>
        <v>0</v>
      </c>
      <c r="F81" s="68">
        <f t="shared" si="35"/>
        <v>0</v>
      </c>
      <c r="G81" s="68">
        <f t="shared" si="35"/>
        <v>0</v>
      </c>
      <c r="H81" s="68">
        <f t="shared" si="35"/>
        <v>0</v>
      </c>
      <c r="I81" s="68">
        <f t="shared" si="35"/>
        <v>0</v>
      </c>
      <c r="J81" s="68">
        <f t="shared" si="35"/>
        <v>0</v>
      </c>
      <c r="K81" s="68">
        <f t="shared" si="35"/>
        <v>0</v>
      </c>
      <c r="L81" s="68">
        <f t="shared" si="35"/>
        <v>0</v>
      </c>
      <c r="M81" s="68">
        <f t="shared" si="35"/>
        <v>0</v>
      </c>
      <c r="N81" s="68">
        <f t="shared" si="35"/>
        <v>0</v>
      </c>
      <c r="O81" s="68">
        <f t="shared" si="35"/>
        <v>0</v>
      </c>
      <c r="P81" s="68">
        <f t="shared" si="35"/>
        <v>0</v>
      </c>
      <c r="Q81" s="39"/>
      <c r="R81" s="37">
        <f>+IF(P81=0,0,P81/$P$159)</f>
        <v>0</v>
      </c>
      <c r="T81" s="69"/>
      <c r="U81" s="69"/>
    </row>
    <row r="82" spans="1:21" x14ac:dyDescent="0.35">
      <c r="A82" s="41"/>
      <c r="B82" s="41"/>
      <c r="C82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74"/>
      <c r="Q82" s="44"/>
      <c r="R82" s="40"/>
      <c r="T82" s="44"/>
      <c r="U82" s="44"/>
    </row>
    <row r="83" spans="1:21" x14ac:dyDescent="0.35">
      <c r="A83" s="41"/>
      <c r="B83" s="41"/>
      <c r="C83" t="s">
        <v>427</v>
      </c>
      <c r="D83" s="44">
        <v>0</v>
      </c>
      <c r="E83" s="44">
        <v>0</v>
      </c>
      <c r="F83" s="44">
        <v>4000</v>
      </c>
      <c r="G83" s="44">
        <v>0</v>
      </c>
      <c r="H83" s="44">
        <v>0</v>
      </c>
      <c r="I83" s="44">
        <v>4000</v>
      </c>
      <c r="J83" s="44">
        <v>0</v>
      </c>
      <c r="K83" s="44">
        <v>0</v>
      </c>
      <c r="L83" s="44">
        <v>4000</v>
      </c>
      <c r="M83" s="44">
        <v>0</v>
      </c>
      <c r="N83" s="44">
        <v>0</v>
      </c>
      <c r="O83" s="44">
        <v>4000</v>
      </c>
      <c r="P83" s="84">
        <f>SUM(D83:O83)</f>
        <v>16000</v>
      </c>
      <c r="Q83" s="44"/>
      <c r="R83" s="40"/>
      <c r="T83" s="44"/>
      <c r="U83" s="44"/>
    </row>
    <row r="84" spans="1:21" s="28" customFormat="1" ht="13" x14ac:dyDescent="0.3">
      <c r="A84" s="41"/>
      <c r="B84" s="41"/>
      <c r="C84" s="61" t="s">
        <v>92</v>
      </c>
      <c r="D84" s="68">
        <f>+D83</f>
        <v>0</v>
      </c>
      <c r="E84" s="68">
        <f t="shared" ref="E84:P84" si="36">+E83</f>
        <v>0</v>
      </c>
      <c r="F84" s="68">
        <f t="shared" si="36"/>
        <v>4000</v>
      </c>
      <c r="G84" s="68">
        <f t="shared" si="36"/>
        <v>0</v>
      </c>
      <c r="H84" s="68">
        <f t="shared" si="36"/>
        <v>0</v>
      </c>
      <c r="I84" s="68">
        <f t="shared" si="36"/>
        <v>4000</v>
      </c>
      <c r="J84" s="68">
        <f t="shared" si="36"/>
        <v>0</v>
      </c>
      <c r="K84" s="68">
        <f t="shared" si="36"/>
        <v>0</v>
      </c>
      <c r="L84" s="68">
        <f t="shared" si="36"/>
        <v>4000</v>
      </c>
      <c r="M84" s="68">
        <f t="shared" si="36"/>
        <v>0</v>
      </c>
      <c r="N84" s="68">
        <f t="shared" si="36"/>
        <v>0</v>
      </c>
      <c r="O84" s="68">
        <f t="shared" si="36"/>
        <v>4000</v>
      </c>
      <c r="P84" s="68">
        <f t="shared" si="36"/>
        <v>16000</v>
      </c>
      <c r="Q84" s="39"/>
      <c r="R84" s="37">
        <f>+IF(P84=0,0,P84/$P$159)</f>
        <v>1.9304845030344454E-3</v>
      </c>
      <c r="T84" s="69"/>
      <c r="U84" s="69"/>
    </row>
    <row r="85" spans="1:21" x14ac:dyDescent="0.35">
      <c r="A85" s="41"/>
      <c r="B85" s="41"/>
      <c r="C85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74"/>
      <c r="Q85" s="44"/>
      <c r="R85" s="40"/>
      <c r="T85" s="44"/>
      <c r="U85" s="44"/>
    </row>
    <row r="86" spans="1:21" x14ac:dyDescent="0.35">
      <c r="A86" s="41"/>
      <c r="B86" s="41"/>
      <c r="C86" t="s">
        <v>93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84">
        <f t="shared" ref="P86:P91" si="37">SUM(D86:O86)</f>
        <v>0</v>
      </c>
      <c r="Q86" s="44"/>
      <c r="R86" s="40"/>
      <c r="T86" s="44"/>
      <c r="U86" s="44"/>
    </row>
    <row r="87" spans="1:21" x14ac:dyDescent="0.35">
      <c r="A87" s="41"/>
      <c r="B87" s="41"/>
      <c r="C87" t="s">
        <v>94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84">
        <f t="shared" si="37"/>
        <v>0</v>
      </c>
      <c r="Q87" s="44"/>
      <c r="R87" s="40"/>
      <c r="T87" s="44"/>
      <c r="U87" s="44"/>
    </row>
    <row r="88" spans="1:21" x14ac:dyDescent="0.35">
      <c r="A88" s="41"/>
      <c r="B88" s="41"/>
      <c r="C88" t="s">
        <v>95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84">
        <f t="shared" si="37"/>
        <v>0</v>
      </c>
      <c r="Q88" s="44"/>
      <c r="R88" s="40"/>
      <c r="T88" s="44"/>
      <c r="U88" s="44"/>
    </row>
    <row r="89" spans="1:21" x14ac:dyDescent="0.35">
      <c r="A89" s="41"/>
      <c r="B89" s="41"/>
      <c r="C89" t="s">
        <v>96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84">
        <f t="shared" si="37"/>
        <v>0</v>
      </c>
      <c r="Q89" s="44"/>
      <c r="R89" s="40"/>
      <c r="T89" s="44"/>
      <c r="U89" s="44"/>
    </row>
    <row r="90" spans="1:21" x14ac:dyDescent="0.35">
      <c r="A90" s="41"/>
      <c r="B90" s="41"/>
      <c r="C90" t="s">
        <v>97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84">
        <f t="shared" si="37"/>
        <v>0</v>
      </c>
      <c r="Q90" s="44"/>
      <c r="R90" s="40"/>
      <c r="T90" s="44"/>
      <c r="U90" s="44"/>
    </row>
    <row r="91" spans="1:21" x14ac:dyDescent="0.35">
      <c r="A91" s="41"/>
      <c r="B91" s="41"/>
      <c r="C91" t="s">
        <v>98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84">
        <f t="shared" si="37"/>
        <v>0</v>
      </c>
      <c r="Q91" s="44"/>
      <c r="R91" s="40"/>
      <c r="T91" s="44"/>
      <c r="U91" s="44"/>
    </row>
    <row r="92" spans="1:21" s="28" customFormat="1" ht="13" x14ac:dyDescent="0.3">
      <c r="A92" s="41"/>
      <c r="B92" s="41"/>
      <c r="C92" s="61" t="s">
        <v>99</v>
      </c>
      <c r="D92" s="68">
        <f>SUM(D86:D91)</f>
        <v>0</v>
      </c>
      <c r="E92" s="68">
        <f t="shared" ref="E92:P92" si="38">SUM(E86:E91)</f>
        <v>0</v>
      </c>
      <c r="F92" s="68">
        <f t="shared" si="38"/>
        <v>0</v>
      </c>
      <c r="G92" s="68">
        <f t="shared" si="38"/>
        <v>0</v>
      </c>
      <c r="H92" s="68">
        <f t="shared" si="38"/>
        <v>0</v>
      </c>
      <c r="I92" s="68">
        <f t="shared" si="38"/>
        <v>0</v>
      </c>
      <c r="J92" s="68">
        <f t="shared" si="38"/>
        <v>0</v>
      </c>
      <c r="K92" s="68">
        <f t="shared" si="38"/>
        <v>0</v>
      </c>
      <c r="L92" s="68">
        <f t="shared" si="38"/>
        <v>0</v>
      </c>
      <c r="M92" s="68">
        <f t="shared" si="38"/>
        <v>0</v>
      </c>
      <c r="N92" s="68">
        <f t="shared" si="38"/>
        <v>0</v>
      </c>
      <c r="O92" s="68">
        <f t="shared" si="38"/>
        <v>0</v>
      </c>
      <c r="P92" s="68">
        <f t="shared" si="38"/>
        <v>0</v>
      </c>
      <c r="Q92" s="39"/>
      <c r="R92" s="37">
        <f>+IF(P92=0,0,P92/$P$159)</f>
        <v>0</v>
      </c>
      <c r="T92" s="69"/>
      <c r="U92" s="69"/>
    </row>
    <row r="93" spans="1:21" x14ac:dyDescent="0.35">
      <c r="A93" s="41"/>
      <c r="B93" s="41"/>
      <c r="C93" t="s">
        <v>428</v>
      </c>
      <c r="D93" s="44"/>
      <c r="E93" s="44"/>
      <c r="F93" s="44"/>
      <c r="G93" s="44"/>
      <c r="H93" s="44"/>
      <c r="I93" s="44"/>
      <c r="J93" s="44">
        <v>8000</v>
      </c>
      <c r="K93" s="44"/>
      <c r="L93" s="44"/>
      <c r="M93" s="44"/>
      <c r="N93" s="44"/>
      <c r="O93" s="44"/>
      <c r="P93" s="84">
        <f t="shared" ref="P93:P122" si="39">SUM(D93:O93)</f>
        <v>8000</v>
      </c>
      <c r="Q93" s="44"/>
      <c r="R93" s="40"/>
      <c r="T93" s="44"/>
      <c r="U93" s="44"/>
    </row>
    <row r="94" spans="1:21" x14ac:dyDescent="0.35">
      <c r="A94" s="41"/>
      <c r="B94" s="41"/>
      <c r="C94" t="s">
        <v>429</v>
      </c>
      <c r="D94" s="44"/>
      <c r="E94" s="44"/>
      <c r="F94" s="44"/>
      <c r="G94" s="44"/>
      <c r="H94" s="44"/>
      <c r="I94" s="44"/>
      <c r="J94" s="44"/>
      <c r="K94" s="44"/>
      <c r="L94" s="44">
        <v>18000</v>
      </c>
      <c r="M94" s="44"/>
      <c r="N94" s="44"/>
      <c r="O94" s="44"/>
      <c r="P94" s="84">
        <f t="shared" si="39"/>
        <v>18000</v>
      </c>
      <c r="Q94" s="44"/>
      <c r="R94" s="40"/>
      <c r="T94" s="44"/>
      <c r="U94" s="44"/>
    </row>
    <row r="95" spans="1:21" x14ac:dyDescent="0.35">
      <c r="A95" s="41"/>
      <c r="B95" s="41"/>
      <c r="C95" t="s">
        <v>430</v>
      </c>
      <c r="D95" s="44"/>
      <c r="E95" s="44"/>
      <c r="F95" s="44"/>
      <c r="G95" s="44"/>
      <c r="H95" s="44"/>
      <c r="I95" s="44"/>
      <c r="J95" s="44"/>
      <c r="K95" s="44"/>
      <c r="L95" s="44">
        <v>10000</v>
      </c>
      <c r="M95" s="44"/>
      <c r="N95" s="44"/>
      <c r="O95" s="44"/>
      <c r="P95" s="84">
        <f t="shared" si="39"/>
        <v>10000</v>
      </c>
      <c r="Q95" s="44"/>
      <c r="R95" s="40"/>
      <c r="T95" s="44"/>
      <c r="U95" s="44"/>
    </row>
    <row r="96" spans="1:21" x14ac:dyDescent="0.35">
      <c r="A96" s="41"/>
      <c r="B96" s="41"/>
      <c r="C96" t="s">
        <v>431</v>
      </c>
      <c r="D96" s="44"/>
      <c r="E96" s="44"/>
      <c r="F96" s="44"/>
      <c r="G96" s="44"/>
      <c r="H96" s="44"/>
      <c r="I96" s="44"/>
      <c r="J96" s="44">
        <v>12500</v>
      </c>
      <c r="K96" s="44"/>
      <c r="L96" s="44"/>
      <c r="M96" s="44">
        <v>4200</v>
      </c>
      <c r="N96" s="44"/>
      <c r="O96" s="44"/>
      <c r="P96" s="84">
        <f t="shared" si="39"/>
        <v>16700</v>
      </c>
      <c r="Q96" s="44"/>
      <c r="R96" s="40"/>
      <c r="T96" s="44"/>
      <c r="U96" s="44"/>
    </row>
    <row r="97" spans="1:21" x14ac:dyDescent="0.35">
      <c r="A97" s="41"/>
      <c r="B97" s="41"/>
      <c r="C97" t="s">
        <v>432</v>
      </c>
      <c r="D97" s="44">
        <v>6900</v>
      </c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84">
        <f t="shared" si="39"/>
        <v>6900</v>
      </c>
      <c r="Q97" s="44"/>
      <c r="R97" s="40"/>
      <c r="T97" s="44"/>
      <c r="U97" s="44"/>
    </row>
    <row r="98" spans="1:21" x14ac:dyDescent="0.35">
      <c r="A98" s="41"/>
      <c r="B98" s="41"/>
      <c r="C98" t="s">
        <v>433</v>
      </c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>
        <v>11200</v>
      </c>
      <c r="P98" s="84">
        <f t="shared" si="39"/>
        <v>11200</v>
      </c>
      <c r="Q98" s="44"/>
      <c r="R98" s="40"/>
      <c r="T98" s="44"/>
      <c r="U98" s="44"/>
    </row>
    <row r="99" spans="1:21" x14ac:dyDescent="0.35">
      <c r="A99" s="41"/>
      <c r="B99" s="41"/>
      <c r="C99" t="s">
        <v>434</v>
      </c>
      <c r="D99" s="44"/>
      <c r="E99" s="44"/>
      <c r="F99" s="44"/>
      <c r="G99" s="44">
        <v>16250</v>
      </c>
      <c r="H99" s="44"/>
      <c r="I99" s="44"/>
      <c r="J99" s="44">
        <v>15000</v>
      </c>
      <c r="K99" s="44">
        <v>19590</v>
      </c>
      <c r="L99" s="44"/>
      <c r="M99" s="44"/>
      <c r="N99" s="44"/>
      <c r="O99" s="44">
        <v>20000</v>
      </c>
      <c r="P99" s="84">
        <f t="shared" si="39"/>
        <v>70840</v>
      </c>
      <c r="Q99" s="44"/>
      <c r="R99" s="40"/>
      <c r="T99" s="44"/>
      <c r="U99" s="44"/>
    </row>
    <row r="100" spans="1:21" x14ac:dyDescent="0.35">
      <c r="A100" s="41"/>
      <c r="B100" s="41"/>
      <c r="C100" s="45" t="s">
        <v>435</v>
      </c>
      <c r="D100" s="44"/>
      <c r="E100" s="44"/>
      <c r="F100" s="44">
        <v>7350</v>
      </c>
      <c r="G100" s="44">
        <v>27000</v>
      </c>
      <c r="H100" s="44">
        <v>7350</v>
      </c>
      <c r="I100" s="44">
        <v>7350</v>
      </c>
      <c r="J100" s="44">
        <v>7350</v>
      </c>
      <c r="K100" s="44">
        <v>7350</v>
      </c>
      <c r="L100" s="44">
        <v>7350</v>
      </c>
      <c r="M100" s="44">
        <v>7350</v>
      </c>
      <c r="N100" s="44">
        <v>7350</v>
      </c>
      <c r="O100" s="44">
        <v>12000</v>
      </c>
      <c r="P100" s="84">
        <f t="shared" si="39"/>
        <v>97800</v>
      </c>
      <c r="Q100" s="44"/>
      <c r="R100" s="40"/>
      <c r="T100" s="44"/>
      <c r="U100" s="44"/>
    </row>
    <row r="101" spans="1:21" x14ac:dyDescent="0.35">
      <c r="A101" s="41"/>
      <c r="B101" s="41"/>
      <c r="C101" t="s">
        <v>436</v>
      </c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>
        <v>9000</v>
      </c>
      <c r="P101" s="84">
        <f t="shared" si="39"/>
        <v>9000</v>
      </c>
      <c r="Q101" s="44"/>
      <c r="R101" s="40"/>
      <c r="T101" s="44"/>
      <c r="U101" s="44"/>
    </row>
    <row r="102" spans="1:21" x14ac:dyDescent="0.35">
      <c r="A102" s="41"/>
      <c r="B102" s="41"/>
      <c r="C102" t="s">
        <v>437</v>
      </c>
      <c r="D102" s="44"/>
      <c r="E102" s="44">
        <v>28000</v>
      </c>
      <c r="F102" s="44">
        <v>6000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84">
        <f t="shared" si="39"/>
        <v>34000</v>
      </c>
      <c r="Q102" s="44"/>
      <c r="R102" s="40"/>
      <c r="T102" s="44"/>
      <c r="U102" s="44"/>
    </row>
    <row r="103" spans="1:21" x14ac:dyDescent="0.35">
      <c r="A103" s="41"/>
      <c r="B103" s="41"/>
      <c r="C103" t="s">
        <v>438</v>
      </c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84">
        <f t="shared" si="39"/>
        <v>0</v>
      </c>
      <c r="Q103" s="44"/>
      <c r="R103" s="40"/>
      <c r="T103" s="44"/>
      <c r="U103" s="44"/>
    </row>
    <row r="104" spans="1:21" x14ac:dyDescent="0.35">
      <c r="A104" s="41"/>
      <c r="B104" s="41"/>
      <c r="C104" t="s">
        <v>439</v>
      </c>
      <c r="D104" s="44"/>
      <c r="E104" s="44"/>
      <c r="F104" s="44"/>
      <c r="G104" s="44">
        <v>4500</v>
      </c>
      <c r="H104" s="44"/>
      <c r="I104" s="44"/>
      <c r="J104" s="44"/>
      <c r="K104" s="44"/>
      <c r="L104" s="44">
        <v>7500</v>
      </c>
      <c r="M104" s="44">
        <v>18000</v>
      </c>
      <c r="N104" s="44"/>
      <c r="O104" s="44"/>
      <c r="P104" s="84">
        <f t="shared" si="39"/>
        <v>30000</v>
      </c>
      <c r="Q104" s="44"/>
      <c r="R104" s="40"/>
      <c r="T104" s="44"/>
      <c r="U104" s="44"/>
    </row>
    <row r="105" spans="1:21" x14ac:dyDescent="0.35">
      <c r="A105" s="41"/>
      <c r="B105" s="41"/>
      <c r="C105" t="s">
        <v>440</v>
      </c>
      <c r="D105" s="44"/>
      <c r="E105" s="44"/>
      <c r="F105" s="44"/>
      <c r="G105" s="44"/>
      <c r="H105" s="44">
        <v>41000</v>
      </c>
      <c r="I105" s="44"/>
      <c r="J105" s="44"/>
      <c r="K105" s="44"/>
      <c r="L105" s="44"/>
      <c r="M105" s="44">
        <f>5000*5</f>
        <v>25000</v>
      </c>
      <c r="N105" s="44"/>
      <c r="O105" s="44"/>
      <c r="P105" s="84">
        <f t="shared" si="39"/>
        <v>66000</v>
      </c>
      <c r="Q105" s="44"/>
      <c r="R105" s="40"/>
      <c r="T105" s="44"/>
      <c r="U105" s="44"/>
    </row>
    <row r="106" spans="1:21" x14ac:dyDescent="0.35">
      <c r="A106" s="41"/>
      <c r="B106" s="41"/>
      <c r="C106" t="s">
        <v>441</v>
      </c>
      <c r="D106" s="44"/>
      <c r="E106" s="44"/>
      <c r="F106" s="44">
        <v>28750</v>
      </c>
      <c r="G106" s="44"/>
      <c r="H106" s="44"/>
      <c r="I106" s="44"/>
      <c r="J106" s="44">
        <v>26000</v>
      </c>
      <c r="K106" s="44"/>
      <c r="L106" s="44"/>
      <c r="M106" s="44">
        <v>26000</v>
      </c>
      <c r="N106" s="44"/>
      <c r="O106" s="44">
        <v>20000</v>
      </c>
      <c r="P106" s="84">
        <f t="shared" si="39"/>
        <v>100750</v>
      </c>
      <c r="Q106" s="44"/>
      <c r="R106" s="40"/>
      <c r="T106" s="44"/>
      <c r="U106" s="44"/>
    </row>
    <row r="107" spans="1:21" x14ac:dyDescent="0.35">
      <c r="A107" s="41"/>
      <c r="B107" s="41"/>
      <c r="C107" t="s">
        <v>442</v>
      </c>
      <c r="D107" s="44"/>
      <c r="E107" s="44"/>
      <c r="F107" s="44">
        <v>4000</v>
      </c>
      <c r="G107" s="44">
        <v>62000</v>
      </c>
      <c r="H107" s="44"/>
      <c r="I107" s="44"/>
      <c r="J107" s="44"/>
      <c r="K107" s="44"/>
      <c r="L107" s="44"/>
      <c r="M107" s="44"/>
      <c r="N107" s="44"/>
      <c r="O107" s="44"/>
      <c r="P107" s="84">
        <f t="shared" si="39"/>
        <v>66000</v>
      </c>
      <c r="Q107" s="44"/>
      <c r="R107" s="40"/>
      <c r="T107" s="44"/>
      <c r="U107" s="44"/>
    </row>
    <row r="108" spans="1:21" x14ac:dyDescent="0.35">
      <c r="A108" s="41"/>
      <c r="B108" s="41"/>
      <c r="C108" t="s">
        <v>443</v>
      </c>
      <c r="D108" s="44">
        <v>10000</v>
      </c>
      <c r="E108" s="44">
        <v>2000</v>
      </c>
      <c r="F108" s="44">
        <f>1500+1300+1000</f>
        <v>3800</v>
      </c>
      <c r="G108" s="44">
        <v>5500</v>
      </c>
      <c r="H108" s="44">
        <v>7000</v>
      </c>
      <c r="I108" s="44">
        <v>6000</v>
      </c>
      <c r="J108" s="44">
        <v>7000</v>
      </c>
      <c r="K108" s="44">
        <v>5000</v>
      </c>
      <c r="L108" s="44">
        <v>6000</v>
      </c>
      <c r="M108" s="44">
        <v>5000</v>
      </c>
      <c r="N108" s="44">
        <v>4000</v>
      </c>
      <c r="O108" s="44">
        <v>10000</v>
      </c>
      <c r="P108" s="84">
        <f t="shared" si="39"/>
        <v>71300</v>
      </c>
      <c r="Q108" s="44"/>
      <c r="R108" s="40"/>
      <c r="T108" s="44"/>
      <c r="U108" s="44"/>
    </row>
    <row r="109" spans="1:21" x14ac:dyDescent="0.35">
      <c r="A109" s="41"/>
      <c r="B109" s="41"/>
      <c r="C109" t="s">
        <v>444</v>
      </c>
      <c r="D109" s="44"/>
      <c r="E109" s="44"/>
      <c r="F109" s="44"/>
      <c r="G109" s="44"/>
      <c r="H109" s="44">
        <v>250000</v>
      </c>
      <c r="I109" s="44"/>
      <c r="J109" s="44"/>
      <c r="K109" s="44"/>
      <c r="L109" s="44"/>
      <c r="M109" s="44"/>
      <c r="N109" s="44"/>
      <c r="O109" s="44"/>
      <c r="P109" s="84">
        <f t="shared" si="39"/>
        <v>250000</v>
      </c>
      <c r="Q109" s="44"/>
      <c r="R109" s="40"/>
      <c r="T109" s="44"/>
      <c r="U109" s="44"/>
    </row>
    <row r="110" spans="1:21" x14ac:dyDescent="0.35">
      <c r="A110" s="41"/>
      <c r="B110" s="41"/>
      <c r="C110" t="s">
        <v>445</v>
      </c>
      <c r="D110" s="44">
        <v>160000</v>
      </c>
      <c r="E110" s="44">
        <v>160000</v>
      </c>
      <c r="F110" s="44">
        <v>160000</v>
      </c>
      <c r="G110" s="44">
        <v>160000</v>
      </c>
      <c r="H110" s="44">
        <v>160000</v>
      </c>
      <c r="I110" s="44">
        <v>160000</v>
      </c>
      <c r="J110" s="44">
        <v>160000</v>
      </c>
      <c r="K110" s="44">
        <v>160000</v>
      </c>
      <c r="L110" s="44">
        <v>160000</v>
      </c>
      <c r="M110" s="44">
        <v>160000</v>
      </c>
      <c r="N110" s="44">
        <v>160000</v>
      </c>
      <c r="O110" s="44">
        <v>160000</v>
      </c>
      <c r="P110" s="84">
        <f t="shared" si="39"/>
        <v>1920000</v>
      </c>
      <c r="Q110" s="44"/>
      <c r="R110" s="40"/>
      <c r="T110" s="44"/>
      <c r="U110" s="44"/>
    </row>
    <row r="111" spans="1:21" x14ac:dyDescent="0.35">
      <c r="A111" s="41"/>
      <c r="B111" s="41"/>
      <c r="C111" t="s">
        <v>446</v>
      </c>
      <c r="D111" s="44">
        <v>3000</v>
      </c>
      <c r="E111" s="44">
        <v>3000</v>
      </c>
      <c r="F111" s="44">
        <v>3000</v>
      </c>
      <c r="G111" s="44">
        <f>29000+15000</f>
        <v>44000</v>
      </c>
      <c r="H111" s="44">
        <f>29000+4000</f>
        <v>33000</v>
      </c>
      <c r="I111" s="44">
        <f>29000+3000</f>
        <v>32000</v>
      </c>
      <c r="J111" s="44">
        <v>4000</v>
      </c>
      <c r="K111" s="44">
        <v>3000</v>
      </c>
      <c r="L111" s="44">
        <v>3000</v>
      </c>
      <c r="M111" s="44">
        <v>5000</v>
      </c>
      <c r="N111" s="44">
        <v>3000</v>
      </c>
      <c r="O111" s="44">
        <v>3000</v>
      </c>
      <c r="P111" s="84">
        <f t="shared" si="39"/>
        <v>139000</v>
      </c>
      <c r="Q111" s="44"/>
      <c r="R111" s="40"/>
      <c r="T111" s="44"/>
      <c r="U111" s="44"/>
    </row>
    <row r="112" spans="1:21" x14ac:dyDescent="0.35">
      <c r="A112" s="41"/>
      <c r="B112" s="41"/>
      <c r="C112" t="s">
        <v>447</v>
      </c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>
        <v>35000</v>
      </c>
      <c r="P112" s="84">
        <f t="shared" si="39"/>
        <v>35000</v>
      </c>
      <c r="Q112" s="44"/>
      <c r="R112" s="40"/>
      <c r="T112" s="44"/>
      <c r="U112" s="44"/>
    </row>
    <row r="113" spans="1:21" x14ac:dyDescent="0.35">
      <c r="A113" s="41"/>
      <c r="B113" s="41"/>
      <c r="C113" t="s">
        <v>448</v>
      </c>
      <c r="D113" s="44"/>
      <c r="E113" s="44"/>
      <c r="F113" s="44">
        <v>18650</v>
      </c>
      <c r="G113" s="44">
        <f>7000*8+(1500*10)</f>
        <v>71000</v>
      </c>
      <c r="H113" s="44"/>
      <c r="I113" s="44"/>
      <c r="J113" s="44"/>
      <c r="K113" s="44"/>
      <c r="L113" s="44"/>
      <c r="M113" s="44"/>
      <c r="N113" s="44"/>
      <c r="O113" s="44"/>
      <c r="P113" s="84">
        <f t="shared" si="39"/>
        <v>89650</v>
      </c>
      <c r="Q113" s="44"/>
      <c r="R113" s="40"/>
      <c r="T113" s="44"/>
      <c r="U113" s="44"/>
    </row>
    <row r="114" spans="1:21" x14ac:dyDescent="0.35">
      <c r="A114" s="41"/>
      <c r="B114" s="41"/>
      <c r="C114" t="s">
        <v>100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84">
        <f t="shared" si="39"/>
        <v>0</v>
      </c>
      <c r="Q114" s="44"/>
      <c r="R114" s="40"/>
      <c r="T114" s="44"/>
      <c r="U114" s="44"/>
    </row>
    <row r="115" spans="1:21" x14ac:dyDescent="0.35">
      <c r="A115" s="41"/>
      <c r="B115" s="41"/>
      <c r="C115" t="s">
        <v>101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84">
        <f t="shared" si="39"/>
        <v>0</v>
      </c>
      <c r="Q115" s="44"/>
      <c r="R115" s="40"/>
      <c r="T115" s="44"/>
      <c r="U115" s="44"/>
    </row>
    <row r="116" spans="1:21" x14ac:dyDescent="0.35">
      <c r="A116" s="41"/>
      <c r="B116" s="41"/>
      <c r="C116" t="s">
        <v>102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84">
        <f t="shared" si="39"/>
        <v>0</v>
      </c>
      <c r="Q116" s="44"/>
      <c r="R116" s="40"/>
      <c r="T116" s="44"/>
      <c r="U116" s="44"/>
    </row>
    <row r="117" spans="1:21" x14ac:dyDescent="0.35">
      <c r="A117" s="41"/>
      <c r="B117" s="41"/>
      <c r="C117" t="s">
        <v>103</v>
      </c>
      <c r="D117" s="44">
        <v>0</v>
      </c>
      <c r="E117" s="44">
        <v>0</v>
      </c>
      <c r="F117" s="44">
        <v>0</v>
      </c>
      <c r="G117" s="44">
        <v>1000</v>
      </c>
      <c r="H117" s="44">
        <v>1000</v>
      </c>
      <c r="I117" s="44">
        <v>1000</v>
      </c>
      <c r="J117" s="44">
        <v>1000</v>
      </c>
      <c r="K117" s="44">
        <v>1000</v>
      </c>
      <c r="L117" s="44">
        <v>1000</v>
      </c>
      <c r="M117" s="44">
        <v>1000</v>
      </c>
      <c r="N117" s="44">
        <v>1000</v>
      </c>
      <c r="O117" s="44">
        <v>1000</v>
      </c>
      <c r="P117" s="84">
        <f t="shared" si="39"/>
        <v>9000</v>
      </c>
      <c r="Q117" s="44"/>
      <c r="R117" s="40"/>
      <c r="T117" s="44"/>
      <c r="U117" s="44"/>
    </row>
    <row r="118" spans="1:21" x14ac:dyDescent="0.35">
      <c r="A118" s="41"/>
      <c r="B118" s="41"/>
      <c r="C118" t="s">
        <v>104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84">
        <f t="shared" si="39"/>
        <v>0</v>
      </c>
      <c r="Q118" s="44"/>
      <c r="R118" s="40"/>
      <c r="T118" s="44"/>
      <c r="U118" s="44"/>
    </row>
    <row r="119" spans="1:21" x14ac:dyDescent="0.35">
      <c r="A119" s="41"/>
      <c r="B119" s="41"/>
      <c r="C119" t="s">
        <v>449</v>
      </c>
      <c r="D119" s="44">
        <v>135950</v>
      </c>
      <c r="E119" s="44">
        <v>139560</v>
      </c>
      <c r="F119" s="44">
        <v>111000</v>
      </c>
      <c r="G119" s="44">
        <v>78000</v>
      </c>
      <c r="H119" s="44">
        <v>50000</v>
      </c>
      <c r="I119" s="44">
        <v>110000</v>
      </c>
      <c r="J119" s="44">
        <v>60000</v>
      </c>
      <c r="K119" s="44">
        <v>20000</v>
      </c>
      <c r="L119" s="44">
        <v>15000</v>
      </c>
      <c r="M119" s="44">
        <v>30000</v>
      </c>
      <c r="N119" s="44">
        <v>120000</v>
      </c>
      <c r="O119" s="44">
        <v>110000</v>
      </c>
      <c r="P119" s="84">
        <f t="shared" si="39"/>
        <v>979510</v>
      </c>
      <c r="Q119" s="44"/>
      <c r="R119" s="40"/>
      <c r="T119" s="44"/>
      <c r="U119" s="44"/>
    </row>
    <row r="120" spans="1:21" x14ac:dyDescent="0.35">
      <c r="A120" s="41"/>
      <c r="B120" s="41"/>
      <c r="C120" t="s">
        <v>450</v>
      </c>
      <c r="D120" s="44">
        <v>55700</v>
      </c>
      <c r="E120" s="44">
        <v>55700</v>
      </c>
      <c r="F120" s="44">
        <v>55700</v>
      </c>
      <c r="G120" s="44">
        <v>55700</v>
      </c>
      <c r="H120" s="44">
        <v>55700</v>
      </c>
      <c r="I120" s="44">
        <v>55700</v>
      </c>
      <c r="J120" s="44">
        <v>55700</v>
      </c>
      <c r="K120" s="44">
        <v>55700</v>
      </c>
      <c r="L120" s="44">
        <v>55700</v>
      </c>
      <c r="M120" s="44">
        <v>55700</v>
      </c>
      <c r="N120" s="44">
        <v>55700</v>
      </c>
      <c r="O120" s="44">
        <v>55700</v>
      </c>
      <c r="P120" s="84">
        <f t="shared" si="39"/>
        <v>668400</v>
      </c>
      <c r="Q120" s="44"/>
      <c r="R120" s="40"/>
      <c r="T120" s="44"/>
      <c r="U120" s="44"/>
    </row>
    <row r="121" spans="1:21" x14ac:dyDescent="0.35">
      <c r="A121" s="41"/>
      <c r="B121" s="41"/>
      <c r="C121" t="s">
        <v>451</v>
      </c>
      <c r="D121" s="44">
        <v>35000</v>
      </c>
      <c r="E121" s="44">
        <v>25000</v>
      </c>
      <c r="F121" s="44">
        <v>55000</v>
      </c>
      <c r="G121" s="44">
        <v>20000</v>
      </c>
      <c r="H121" s="44">
        <v>20000</v>
      </c>
      <c r="I121" s="44">
        <v>12000</v>
      </c>
      <c r="J121" s="44">
        <v>10000</v>
      </c>
      <c r="K121" s="44">
        <v>30000</v>
      </c>
      <c r="L121" s="44">
        <v>12000</v>
      </c>
      <c r="M121" s="44">
        <v>5000</v>
      </c>
      <c r="N121" s="44">
        <v>9000</v>
      </c>
      <c r="O121" s="44">
        <v>28000</v>
      </c>
      <c r="P121" s="84">
        <f t="shared" si="39"/>
        <v>261000</v>
      </c>
      <c r="Q121" s="44"/>
      <c r="R121" s="40"/>
      <c r="T121" s="44"/>
      <c r="U121" s="44"/>
    </row>
    <row r="122" spans="1:21" x14ac:dyDescent="0.35">
      <c r="A122" s="41"/>
      <c r="B122" s="41"/>
      <c r="C122" t="s">
        <v>452</v>
      </c>
      <c r="D122" s="44">
        <v>135500</v>
      </c>
      <c r="E122" s="44">
        <v>37000</v>
      </c>
      <c r="F122" s="44">
        <v>47000</v>
      </c>
      <c r="G122" s="44">
        <v>47000</v>
      </c>
      <c r="H122" s="44">
        <v>250000</v>
      </c>
      <c r="I122" s="44">
        <v>112000</v>
      </c>
      <c r="J122" s="44">
        <v>99000</v>
      </c>
      <c r="K122" s="44">
        <v>60000</v>
      </c>
      <c r="L122" s="44">
        <v>25000</v>
      </c>
      <c r="M122" s="44">
        <v>39000</v>
      </c>
      <c r="N122" s="44">
        <v>78000</v>
      </c>
      <c r="O122" s="44">
        <v>79000</v>
      </c>
      <c r="P122" s="84">
        <f t="shared" si="39"/>
        <v>1008500</v>
      </c>
      <c r="Q122" s="44"/>
      <c r="R122" s="40"/>
      <c r="T122" s="44"/>
      <c r="U122" s="44"/>
    </row>
    <row r="123" spans="1:21" s="28" customFormat="1" ht="13" x14ac:dyDescent="0.3">
      <c r="A123" s="41"/>
      <c r="B123" s="41"/>
      <c r="C123" s="61" t="s">
        <v>107</v>
      </c>
      <c r="D123" s="68">
        <f t="shared" ref="D123:O123" si="40">SUM(D93:D122)</f>
        <v>542050</v>
      </c>
      <c r="E123" s="68">
        <f t="shared" si="40"/>
        <v>450260</v>
      </c>
      <c r="F123" s="68">
        <f t="shared" si="40"/>
        <v>500250</v>
      </c>
      <c r="G123" s="68">
        <f t="shared" si="40"/>
        <v>591950</v>
      </c>
      <c r="H123" s="68">
        <f t="shared" si="40"/>
        <v>875050</v>
      </c>
      <c r="I123" s="68">
        <f t="shared" si="40"/>
        <v>496050</v>
      </c>
      <c r="J123" s="68">
        <f t="shared" si="40"/>
        <v>465550</v>
      </c>
      <c r="K123" s="68">
        <f t="shared" si="40"/>
        <v>361640</v>
      </c>
      <c r="L123" s="68">
        <f t="shared" si="40"/>
        <v>320550</v>
      </c>
      <c r="M123" s="68">
        <f t="shared" si="40"/>
        <v>381250</v>
      </c>
      <c r="N123" s="68">
        <f t="shared" si="40"/>
        <v>438050</v>
      </c>
      <c r="O123" s="68">
        <f t="shared" si="40"/>
        <v>553900</v>
      </c>
      <c r="P123" s="68">
        <f>SUM(P93:P122)</f>
        <v>5976550</v>
      </c>
      <c r="Q123" s="39"/>
      <c r="R123" s="37">
        <f>+IF(P123=0,0,P123/$P$159)</f>
        <v>0.72110232228815707</v>
      </c>
      <c r="T123" s="69"/>
      <c r="U123" s="69"/>
    </row>
    <row r="124" spans="1:21" x14ac:dyDescent="0.35">
      <c r="A124" s="41"/>
      <c r="B124" s="41"/>
      <c r="C12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74"/>
      <c r="Q124" s="44"/>
      <c r="R124" s="40"/>
      <c r="T124" s="44"/>
      <c r="U124" s="44"/>
    </row>
    <row r="125" spans="1:21" x14ac:dyDescent="0.35">
      <c r="A125" s="41"/>
      <c r="B125" s="41"/>
      <c r="C125" t="s">
        <v>108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84">
        <f t="shared" ref="P125" si="41">SUM(D125:O125)</f>
        <v>0</v>
      </c>
      <c r="Q125" s="44"/>
      <c r="R125" s="40"/>
      <c r="T125" s="44"/>
      <c r="U125" s="44"/>
    </row>
    <row r="126" spans="1:21" s="28" customFormat="1" ht="13" x14ac:dyDescent="0.3">
      <c r="A126" s="41"/>
      <c r="B126" s="41"/>
      <c r="C126" s="61" t="s">
        <v>109</v>
      </c>
      <c r="D126" s="68">
        <f>SUM(D125)</f>
        <v>0</v>
      </c>
      <c r="E126" s="68">
        <f t="shared" ref="E126:O126" si="42">SUM(E125)</f>
        <v>0</v>
      </c>
      <c r="F126" s="68">
        <f t="shared" si="42"/>
        <v>0</v>
      </c>
      <c r="G126" s="68">
        <f t="shared" si="42"/>
        <v>0</v>
      </c>
      <c r="H126" s="68">
        <f t="shared" si="42"/>
        <v>0</v>
      </c>
      <c r="I126" s="68">
        <f t="shared" si="42"/>
        <v>0</v>
      </c>
      <c r="J126" s="68">
        <f t="shared" si="42"/>
        <v>0</v>
      </c>
      <c r="K126" s="68">
        <f t="shared" si="42"/>
        <v>0</v>
      </c>
      <c r="L126" s="68">
        <f t="shared" si="42"/>
        <v>0</v>
      </c>
      <c r="M126" s="68">
        <f t="shared" si="42"/>
        <v>0</v>
      </c>
      <c r="N126" s="68">
        <f t="shared" si="42"/>
        <v>0</v>
      </c>
      <c r="O126" s="68">
        <f t="shared" si="42"/>
        <v>0</v>
      </c>
      <c r="P126" s="68">
        <f>+P125</f>
        <v>0</v>
      </c>
      <c r="Q126" s="39"/>
      <c r="R126" s="37">
        <f>+IF(P126=0,0,P126/$P$159)</f>
        <v>0</v>
      </c>
      <c r="T126" s="69"/>
      <c r="U126" s="69"/>
    </row>
    <row r="127" spans="1:21" x14ac:dyDescent="0.35">
      <c r="A127" s="41"/>
      <c r="B127" s="41"/>
      <c r="C127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74"/>
      <c r="Q127" s="44"/>
      <c r="R127" s="40"/>
      <c r="T127" s="44"/>
      <c r="U127" s="44"/>
    </row>
    <row r="128" spans="1:21" x14ac:dyDescent="0.35">
      <c r="A128" s="41"/>
      <c r="B128" s="41"/>
      <c r="C128" t="s">
        <v>110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84">
        <v>0</v>
      </c>
      <c r="Q128" s="44"/>
      <c r="R128" s="40"/>
      <c r="T128" s="44"/>
      <c r="U128" s="44"/>
    </row>
    <row r="129" spans="1:21" s="28" customFormat="1" ht="13" x14ac:dyDescent="0.3">
      <c r="A129" s="41"/>
      <c r="B129" s="41"/>
      <c r="C129" s="61" t="s">
        <v>111</v>
      </c>
      <c r="D129" s="68">
        <f>+D128</f>
        <v>0</v>
      </c>
      <c r="E129" s="68">
        <f t="shared" ref="E129:P129" si="43">+E128</f>
        <v>0</v>
      </c>
      <c r="F129" s="68">
        <f t="shared" si="43"/>
        <v>0</v>
      </c>
      <c r="G129" s="68">
        <f t="shared" si="43"/>
        <v>0</v>
      </c>
      <c r="H129" s="68">
        <f t="shared" si="43"/>
        <v>0</v>
      </c>
      <c r="I129" s="68">
        <f t="shared" si="43"/>
        <v>0</v>
      </c>
      <c r="J129" s="68">
        <f t="shared" si="43"/>
        <v>0</v>
      </c>
      <c r="K129" s="68">
        <f t="shared" si="43"/>
        <v>0</v>
      </c>
      <c r="L129" s="68">
        <f t="shared" si="43"/>
        <v>0</v>
      </c>
      <c r="M129" s="68">
        <f t="shared" si="43"/>
        <v>0</v>
      </c>
      <c r="N129" s="68">
        <f t="shared" si="43"/>
        <v>0</v>
      </c>
      <c r="O129" s="68">
        <f t="shared" si="43"/>
        <v>0</v>
      </c>
      <c r="P129" s="68">
        <f t="shared" si="43"/>
        <v>0</v>
      </c>
      <c r="Q129" s="39"/>
      <c r="R129" s="37">
        <f>+IF(P129=0,0,P129/$P$159)</f>
        <v>0</v>
      </c>
      <c r="T129" s="69"/>
      <c r="U129" s="69"/>
    </row>
    <row r="130" spans="1:21" x14ac:dyDescent="0.35">
      <c r="A130" s="41"/>
      <c r="B130" s="41"/>
      <c r="C130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74"/>
      <c r="Q130" s="44"/>
      <c r="R130" s="40"/>
      <c r="T130" s="44"/>
      <c r="U130" s="44"/>
    </row>
    <row r="131" spans="1:21" x14ac:dyDescent="0.35">
      <c r="A131" s="41"/>
      <c r="B131" s="41"/>
      <c r="C131" t="s">
        <v>96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84">
        <f t="shared" ref="P131:P136" si="44">SUM(D131:O131)</f>
        <v>0</v>
      </c>
      <c r="Q131" s="44"/>
      <c r="R131" s="40"/>
      <c r="T131" s="44"/>
      <c r="U131" s="44"/>
    </row>
    <row r="132" spans="1:21" x14ac:dyDescent="0.35">
      <c r="A132" s="41"/>
      <c r="B132" s="41"/>
      <c r="C132" t="s">
        <v>112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84">
        <f t="shared" si="44"/>
        <v>0</v>
      </c>
      <c r="Q132" s="44"/>
      <c r="R132" s="40"/>
      <c r="T132" s="44"/>
      <c r="U132" s="44"/>
    </row>
    <row r="133" spans="1:21" x14ac:dyDescent="0.35">
      <c r="A133" s="41"/>
      <c r="B133" s="41"/>
      <c r="C133" t="s">
        <v>113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84">
        <f t="shared" si="44"/>
        <v>0</v>
      </c>
      <c r="Q133" s="44"/>
      <c r="R133" s="40"/>
      <c r="T133" s="44"/>
      <c r="U133" s="44"/>
    </row>
    <row r="134" spans="1:21" x14ac:dyDescent="0.35">
      <c r="A134" s="41"/>
      <c r="B134" s="41" t="s">
        <v>114</v>
      </c>
      <c r="C134" t="s">
        <v>115</v>
      </c>
      <c r="D134" s="44">
        <v>10726.05</v>
      </c>
      <c r="E134" s="44">
        <v>10726.05</v>
      </c>
      <c r="F134" s="44">
        <v>10726.05</v>
      </c>
      <c r="G134" s="44">
        <f>10726.05+(715.07*4)</f>
        <v>13586.33</v>
      </c>
      <c r="H134" s="44">
        <f>10726.05+(715.07*4)</f>
        <v>13586.33</v>
      </c>
      <c r="I134" s="44">
        <f>10726.05+(715.07*4)</f>
        <v>13586.33</v>
      </c>
      <c r="J134" s="44">
        <f>10726.05+(715.07*4)</f>
        <v>13586.33</v>
      </c>
      <c r="K134" s="44">
        <f>10726.05+(715.07*6)</f>
        <v>15016.47</v>
      </c>
      <c r="L134" s="44">
        <f>10726.05+(715.07*6)</f>
        <v>15016.47</v>
      </c>
      <c r="M134" s="44">
        <f>10726.05+(715.07*6)</f>
        <v>15016.47</v>
      </c>
      <c r="N134" s="44">
        <f>10726.05+(715.07*6)</f>
        <v>15016.47</v>
      </c>
      <c r="O134" s="44">
        <f>10726.05+(715.07*6)</f>
        <v>15016.47</v>
      </c>
      <c r="P134" s="84">
        <f t="shared" si="44"/>
        <v>161605.82</v>
      </c>
      <c r="Q134" s="44"/>
      <c r="R134" s="40"/>
      <c r="T134" s="44"/>
      <c r="U134" s="44"/>
    </row>
    <row r="135" spans="1:21" x14ac:dyDescent="0.35">
      <c r="A135" s="41"/>
      <c r="B135" s="41" t="s">
        <v>73</v>
      </c>
      <c r="C135" t="s">
        <v>116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84">
        <f t="shared" si="44"/>
        <v>0</v>
      </c>
      <c r="Q135" s="44"/>
      <c r="R135" s="40"/>
      <c r="T135" s="44"/>
      <c r="U135" s="44"/>
    </row>
    <row r="136" spans="1:21" x14ac:dyDescent="0.35">
      <c r="A136" s="41"/>
      <c r="B136" s="41"/>
      <c r="C136" t="s">
        <v>117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84">
        <f t="shared" si="44"/>
        <v>0</v>
      </c>
      <c r="Q136" s="44"/>
      <c r="R136" s="40"/>
      <c r="T136" s="44"/>
      <c r="U136" s="44"/>
    </row>
    <row r="137" spans="1:21" s="28" customFormat="1" ht="13" x14ac:dyDescent="0.3">
      <c r="A137" s="41"/>
      <c r="B137" s="41"/>
      <c r="C137" s="61" t="s">
        <v>118</v>
      </c>
      <c r="D137" s="68">
        <f t="shared" ref="D137:P137" si="45">SUM(D131:D136)</f>
        <v>10726.05</v>
      </c>
      <c r="E137" s="68">
        <f t="shared" si="45"/>
        <v>10726.05</v>
      </c>
      <c r="F137" s="68">
        <f t="shared" si="45"/>
        <v>10726.05</v>
      </c>
      <c r="G137" s="68">
        <f t="shared" si="45"/>
        <v>13586.33</v>
      </c>
      <c r="H137" s="68">
        <f t="shared" si="45"/>
        <v>13586.33</v>
      </c>
      <c r="I137" s="68">
        <f t="shared" si="45"/>
        <v>13586.33</v>
      </c>
      <c r="J137" s="68">
        <f t="shared" si="45"/>
        <v>13586.33</v>
      </c>
      <c r="K137" s="68">
        <f t="shared" si="45"/>
        <v>15016.47</v>
      </c>
      <c r="L137" s="68">
        <f t="shared" si="45"/>
        <v>15016.47</v>
      </c>
      <c r="M137" s="68">
        <f t="shared" si="45"/>
        <v>15016.47</v>
      </c>
      <c r="N137" s="68">
        <f t="shared" si="45"/>
        <v>15016.47</v>
      </c>
      <c r="O137" s="68">
        <f t="shared" si="45"/>
        <v>15016.47</v>
      </c>
      <c r="P137" s="68">
        <f t="shared" si="45"/>
        <v>161605.82</v>
      </c>
      <c r="Q137" s="39"/>
      <c r="R137" s="37">
        <f>+IF(P137=0,0,P137/$P$159)</f>
        <v>1.9498595694385876E-2</v>
      </c>
      <c r="T137" s="69"/>
      <c r="U137" s="69"/>
    </row>
    <row r="138" spans="1:21" x14ac:dyDescent="0.35">
      <c r="A138" s="41"/>
      <c r="B138" s="41"/>
      <c r="C138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74"/>
      <c r="Q138" s="44"/>
      <c r="R138" s="40"/>
      <c r="T138" s="44"/>
      <c r="U138" s="44"/>
    </row>
    <row r="139" spans="1:21" x14ac:dyDescent="0.35">
      <c r="A139" s="41"/>
      <c r="B139" s="41"/>
      <c r="C139" t="s">
        <v>119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84">
        <f t="shared" ref="P139:P144" si="46">SUM(D139:O139)</f>
        <v>0</v>
      </c>
      <c r="Q139" s="44"/>
      <c r="R139" s="40"/>
      <c r="T139" s="44"/>
      <c r="U139" s="44"/>
    </row>
    <row r="140" spans="1:21" x14ac:dyDescent="0.35">
      <c r="A140" s="41"/>
      <c r="B140" s="41"/>
      <c r="C140" t="s">
        <v>120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84">
        <f t="shared" si="46"/>
        <v>0</v>
      </c>
      <c r="Q140" s="44"/>
      <c r="R140" s="40"/>
      <c r="T140" s="44"/>
      <c r="U140" s="44"/>
    </row>
    <row r="141" spans="1:21" x14ac:dyDescent="0.35">
      <c r="A141" s="41"/>
      <c r="B141" s="41"/>
      <c r="C141" t="s">
        <v>121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84">
        <f t="shared" si="46"/>
        <v>0</v>
      </c>
      <c r="Q141" s="44"/>
      <c r="R141" s="40"/>
      <c r="T141" s="44"/>
      <c r="U141" s="44"/>
    </row>
    <row r="142" spans="1:21" x14ac:dyDescent="0.35">
      <c r="A142" s="41"/>
      <c r="B142" s="41"/>
      <c r="C142" t="s">
        <v>122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84">
        <f t="shared" si="46"/>
        <v>0</v>
      </c>
      <c r="Q142" s="44"/>
      <c r="R142" s="40"/>
      <c r="T142" s="44"/>
      <c r="U142" s="44"/>
    </row>
    <row r="143" spans="1:21" x14ac:dyDescent="0.35">
      <c r="A143" s="41"/>
      <c r="B143" s="41"/>
      <c r="C143" t="s">
        <v>123</v>
      </c>
      <c r="D143" s="44">
        <v>0</v>
      </c>
      <c r="E143" s="44">
        <v>0</v>
      </c>
      <c r="F143" s="44">
        <v>0</v>
      </c>
      <c r="G143" s="44">
        <v>0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0</v>
      </c>
      <c r="N143" s="44">
        <v>0</v>
      </c>
      <c r="O143" s="44">
        <v>0</v>
      </c>
      <c r="P143" s="84">
        <f t="shared" si="46"/>
        <v>0</v>
      </c>
      <c r="Q143" s="44"/>
      <c r="R143" s="40"/>
      <c r="T143" s="44"/>
      <c r="U143" s="44"/>
    </row>
    <row r="144" spans="1:21" x14ac:dyDescent="0.35">
      <c r="A144" s="41"/>
      <c r="B144" s="41"/>
      <c r="C144" t="s">
        <v>124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84">
        <f t="shared" si="46"/>
        <v>0</v>
      </c>
      <c r="Q144" s="44"/>
      <c r="R144" s="40"/>
      <c r="T144" s="44"/>
      <c r="U144" s="44"/>
    </row>
    <row r="145" spans="1:21" s="28" customFormat="1" ht="13" x14ac:dyDescent="0.3">
      <c r="A145" s="41"/>
      <c r="B145" s="41"/>
      <c r="C145" s="61" t="s">
        <v>125</v>
      </c>
      <c r="D145" s="68">
        <f>SUM(D139:D144)</f>
        <v>0</v>
      </c>
      <c r="E145" s="68">
        <f t="shared" ref="E145:P145" si="47">SUM(E139:E144)</f>
        <v>0</v>
      </c>
      <c r="F145" s="68">
        <f t="shared" si="47"/>
        <v>0</v>
      </c>
      <c r="G145" s="68">
        <f t="shared" si="47"/>
        <v>0</v>
      </c>
      <c r="H145" s="68">
        <f t="shared" si="47"/>
        <v>0</v>
      </c>
      <c r="I145" s="68">
        <f t="shared" si="47"/>
        <v>0</v>
      </c>
      <c r="J145" s="68">
        <f t="shared" si="47"/>
        <v>0</v>
      </c>
      <c r="K145" s="68">
        <f t="shared" si="47"/>
        <v>0</v>
      </c>
      <c r="L145" s="68">
        <f t="shared" si="47"/>
        <v>0</v>
      </c>
      <c r="M145" s="68">
        <f t="shared" si="47"/>
        <v>0</v>
      </c>
      <c r="N145" s="68">
        <f t="shared" si="47"/>
        <v>0</v>
      </c>
      <c r="O145" s="68">
        <f t="shared" si="47"/>
        <v>0</v>
      </c>
      <c r="P145" s="68">
        <f t="shared" si="47"/>
        <v>0</v>
      </c>
      <c r="Q145" s="39"/>
      <c r="R145" s="37">
        <f>+IF(P145=0,0,P145/$P$159)</f>
        <v>0</v>
      </c>
      <c r="T145" s="69"/>
      <c r="U145" s="69"/>
    </row>
    <row r="146" spans="1:21" x14ac:dyDescent="0.35">
      <c r="A146" s="41"/>
      <c r="B146" s="41"/>
      <c r="C146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74"/>
      <c r="Q146" s="44"/>
      <c r="R146" s="40"/>
      <c r="T146" s="44"/>
      <c r="U146" s="44"/>
    </row>
    <row r="147" spans="1:21" x14ac:dyDescent="0.35">
      <c r="A147" s="41"/>
      <c r="B147" s="41"/>
      <c r="C147" t="s">
        <v>126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84">
        <f t="shared" ref="P147:P150" si="48">SUM(D147:O147)</f>
        <v>0</v>
      </c>
      <c r="Q147" s="44"/>
      <c r="R147" s="40"/>
      <c r="T147" s="44"/>
      <c r="U147" s="44"/>
    </row>
    <row r="148" spans="1:21" x14ac:dyDescent="0.35">
      <c r="A148" s="41"/>
      <c r="B148" s="41"/>
      <c r="C148" t="s">
        <v>127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84">
        <f t="shared" si="48"/>
        <v>0</v>
      </c>
      <c r="Q148" s="44"/>
      <c r="R148" s="40"/>
      <c r="T148" s="44"/>
      <c r="U148" s="44"/>
    </row>
    <row r="149" spans="1:21" x14ac:dyDescent="0.35">
      <c r="A149" s="41"/>
      <c r="B149" s="41"/>
      <c r="C149" t="s">
        <v>128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84">
        <f t="shared" si="48"/>
        <v>0</v>
      </c>
      <c r="Q149" s="44"/>
      <c r="R149" s="40"/>
      <c r="T149" s="44"/>
      <c r="U149" s="44"/>
    </row>
    <row r="150" spans="1:21" x14ac:dyDescent="0.35">
      <c r="A150" s="41"/>
      <c r="B150" s="41"/>
      <c r="C150" t="s">
        <v>129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84">
        <f t="shared" si="48"/>
        <v>0</v>
      </c>
      <c r="Q150" s="44"/>
      <c r="R150" s="40"/>
      <c r="T150" s="44"/>
      <c r="U150" s="44"/>
    </row>
    <row r="151" spans="1:21" s="28" customFormat="1" ht="13" x14ac:dyDescent="0.3">
      <c r="A151" s="41"/>
      <c r="B151" s="41"/>
      <c r="C151" s="61" t="s">
        <v>130</v>
      </c>
      <c r="D151" s="68">
        <f>SUM(D147:D150)</f>
        <v>0</v>
      </c>
      <c r="E151" s="68">
        <f t="shared" ref="E151:P151" si="49">SUM(E147:E150)</f>
        <v>0</v>
      </c>
      <c r="F151" s="68">
        <f t="shared" si="49"/>
        <v>0</v>
      </c>
      <c r="G151" s="68">
        <f t="shared" si="49"/>
        <v>0</v>
      </c>
      <c r="H151" s="68">
        <f t="shared" si="49"/>
        <v>0</v>
      </c>
      <c r="I151" s="68">
        <f t="shared" si="49"/>
        <v>0</v>
      </c>
      <c r="J151" s="68">
        <f t="shared" si="49"/>
        <v>0</v>
      </c>
      <c r="K151" s="68">
        <f t="shared" si="49"/>
        <v>0</v>
      </c>
      <c r="L151" s="68">
        <f t="shared" si="49"/>
        <v>0</v>
      </c>
      <c r="M151" s="68">
        <f t="shared" si="49"/>
        <v>0</v>
      </c>
      <c r="N151" s="68">
        <f t="shared" si="49"/>
        <v>0</v>
      </c>
      <c r="O151" s="68">
        <f t="shared" si="49"/>
        <v>0</v>
      </c>
      <c r="P151" s="68">
        <f t="shared" si="49"/>
        <v>0</v>
      </c>
      <c r="Q151" s="39"/>
      <c r="R151" s="37">
        <f>+IF(P151=0,0,P151/$P$159)</f>
        <v>0</v>
      </c>
      <c r="T151" s="69"/>
      <c r="U151" s="69"/>
    </row>
    <row r="152" spans="1:21" x14ac:dyDescent="0.35">
      <c r="A152" s="41"/>
      <c r="B152" s="41"/>
      <c r="C152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74"/>
      <c r="Q152" s="44"/>
      <c r="R152" s="40"/>
      <c r="T152" s="44"/>
      <c r="U152" s="44"/>
    </row>
    <row r="153" spans="1:21" x14ac:dyDescent="0.35">
      <c r="A153" s="41"/>
      <c r="B153" s="41" t="s">
        <v>114</v>
      </c>
      <c r="C153" t="s">
        <v>131</v>
      </c>
      <c r="D153" s="44">
        <f>2810</f>
        <v>2810</v>
      </c>
      <c r="E153" s="44">
        <f>2810</f>
        <v>2810</v>
      </c>
      <c r="F153" s="44">
        <f>2810</f>
        <v>2810</v>
      </c>
      <c r="G153" s="44">
        <f>4126+1316</f>
        <v>5442</v>
      </c>
      <c r="H153" s="44">
        <f>4126+1316</f>
        <v>5442</v>
      </c>
      <c r="I153" s="44">
        <f>4126+1316</f>
        <v>5442</v>
      </c>
      <c r="J153" s="44">
        <f t="shared" ref="J153:O153" si="50">4126+1316+658</f>
        <v>6100</v>
      </c>
      <c r="K153" s="44">
        <f t="shared" si="50"/>
        <v>6100</v>
      </c>
      <c r="L153" s="44">
        <f t="shared" si="50"/>
        <v>6100</v>
      </c>
      <c r="M153" s="44">
        <f t="shared" si="50"/>
        <v>6100</v>
      </c>
      <c r="N153" s="44">
        <f t="shared" si="50"/>
        <v>6100</v>
      </c>
      <c r="O153" s="44">
        <f t="shared" si="50"/>
        <v>6100</v>
      </c>
      <c r="P153" s="84">
        <f>SUM(D153:O153)</f>
        <v>61356</v>
      </c>
      <c r="Q153" s="44"/>
      <c r="R153" s="40"/>
      <c r="T153" s="44"/>
      <c r="U153" s="44"/>
    </row>
    <row r="154" spans="1:21" s="28" customFormat="1" ht="13" x14ac:dyDescent="0.3">
      <c r="A154" s="41"/>
      <c r="B154" s="41"/>
      <c r="C154" s="61" t="s">
        <v>132</v>
      </c>
      <c r="D154" s="68">
        <f>+D153</f>
        <v>2810</v>
      </c>
      <c r="E154" s="68">
        <f t="shared" ref="E154:P154" si="51">+E153</f>
        <v>2810</v>
      </c>
      <c r="F154" s="68">
        <f t="shared" si="51"/>
        <v>2810</v>
      </c>
      <c r="G154" s="68">
        <f t="shared" si="51"/>
        <v>5442</v>
      </c>
      <c r="H154" s="68">
        <f t="shared" si="51"/>
        <v>5442</v>
      </c>
      <c r="I154" s="68">
        <f t="shared" si="51"/>
        <v>5442</v>
      </c>
      <c r="J154" s="68">
        <f t="shared" si="51"/>
        <v>6100</v>
      </c>
      <c r="K154" s="68">
        <f t="shared" si="51"/>
        <v>6100</v>
      </c>
      <c r="L154" s="68">
        <f t="shared" si="51"/>
        <v>6100</v>
      </c>
      <c r="M154" s="68">
        <f t="shared" si="51"/>
        <v>6100</v>
      </c>
      <c r="N154" s="68">
        <f t="shared" si="51"/>
        <v>6100</v>
      </c>
      <c r="O154" s="68">
        <f t="shared" si="51"/>
        <v>6100</v>
      </c>
      <c r="P154" s="68">
        <f t="shared" si="51"/>
        <v>61356</v>
      </c>
      <c r="Q154" s="39"/>
      <c r="R154" s="37">
        <f>+IF(P154=0,0,P154/$P$159)</f>
        <v>7.4029254480113393E-3</v>
      </c>
      <c r="T154" s="69"/>
      <c r="U154" s="69"/>
    </row>
    <row r="155" spans="1:21" x14ac:dyDescent="0.35">
      <c r="A155" s="41"/>
      <c r="B155" s="41"/>
      <c r="C1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74"/>
      <c r="Q155" s="44"/>
      <c r="R155" s="40"/>
      <c r="T155" s="44"/>
      <c r="U155" s="44"/>
    </row>
    <row r="156" spans="1:21" x14ac:dyDescent="0.35">
      <c r="A156" s="41"/>
      <c r="B156" s="41" t="s">
        <v>133</v>
      </c>
      <c r="C156" t="s">
        <v>134</v>
      </c>
      <c r="D156" s="44">
        <v>0</v>
      </c>
      <c r="E156" s="44">
        <v>0</v>
      </c>
      <c r="F156" s="44">
        <v>0</v>
      </c>
      <c r="G156" s="44">
        <v>0</v>
      </c>
      <c r="H156" s="44">
        <v>12350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12350</v>
      </c>
      <c r="P156" s="84">
        <f t="shared" ref="P156" si="52">SUM(D156:O156)</f>
        <v>24700</v>
      </c>
      <c r="Q156" s="44"/>
      <c r="R156" s="40"/>
      <c r="T156" s="44"/>
      <c r="U156" s="44"/>
    </row>
    <row r="157" spans="1:21" s="28" customFormat="1" ht="13" x14ac:dyDescent="0.3">
      <c r="A157" s="70"/>
      <c r="B157" s="71"/>
      <c r="C157" s="61" t="s">
        <v>135</v>
      </c>
      <c r="D157" s="68">
        <f>+D156</f>
        <v>0</v>
      </c>
      <c r="E157" s="68">
        <f t="shared" ref="E157:P157" si="53">+E156</f>
        <v>0</v>
      </c>
      <c r="F157" s="68">
        <f t="shared" si="53"/>
        <v>0</v>
      </c>
      <c r="G157" s="68">
        <f t="shared" si="53"/>
        <v>0</v>
      </c>
      <c r="H157" s="68">
        <f t="shared" si="53"/>
        <v>12350</v>
      </c>
      <c r="I157" s="68">
        <f t="shared" si="53"/>
        <v>0</v>
      </c>
      <c r="J157" s="68">
        <f t="shared" si="53"/>
        <v>0</v>
      </c>
      <c r="K157" s="68">
        <f t="shared" si="53"/>
        <v>0</v>
      </c>
      <c r="L157" s="68">
        <f t="shared" si="53"/>
        <v>0</v>
      </c>
      <c r="M157" s="68">
        <f t="shared" si="53"/>
        <v>0</v>
      </c>
      <c r="N157" s="68">
        <f t="shared" si="53"/>
        <v>0</v>
      </c>
      <c r="O157" s="68">
        <f t="shared" si="53"/>
        <v>12350</v>
      </c>
      <c r="P157" s="68">
        <f t="shared" si="53"/>
        <v>24700</v>
      </c>
      <c r="Q157" s="39"/>
      <c r="R157" s="37">
        <f>+IF(P157=0,0,P157/$P$159)</f>
        <v>2.980185451559425E-3</v>
      </c>
      <c r="T157" s="69"/>
      <c r="U157" s="69"/>
    </row>
    <row r="158" spans="1:21" ht="15" thickBot="1" x14ac:dyDescent="0.4">
      <c r="B158" s="87"/>
      <c r="C158" s="88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39"/>
      <c r="Q158" s="44"/>
      <c r="R158" s="40"/>
      <c r="T158" s="44"/>
      <c r="U158" s="44"/>
    </row>
    <row r="159" spans="1:21" s="28" customFormat="1" ht="13" x14ac:dyDescent="0.3">
      <c r="B159" s="89"/>
      <c r="C159" s="61" t="s">
        <v>136</v>
      </c>
      <c r="D159" s="42">
        <f>+D48+D51+D54+D61+D64+D67+D75+D81+D84+D92+D123+D126+D129+D137+D145+D151+D154+D157</f>
        <v>741039.05</v>
      </c>
      <c r="E159" s="42">
        <f t="shared" ref="E159:P159" si="54">+E48+E51+E54+E61+E64+E67+E75+E81+E84+E92+E123+E126+E129+E137+E145+E151+E154+E157</f>
        <v>626412.85000000009</v>
      </c>
      <c r="F159" s="42">
        <f t="shared" si="54"/>
        <v>723429.25</v>
      </c>
      <c r="G159" s="42">
        <f t="shared" si="54"/>
        <v>812861.92999999993</v>
      </c>
      <c r="H159" s="42">
        <f t="shared" si="54"/>
        <v>1075897.53</v>
      </c>
      <c r="I159" s="42">
        <f t="shared" si="54"/>
        <v>660842.73</v>
      </c>
      <c r="J159" s="42">
        <f t="shared" si="54"/>
        <v>642734.73</v>
      </c>
      <c r="K159" s="42">
        <f t="shared" si="54"/>
        <v>540135.27</v>
      </c>
      <c r="L159" s="42">
        <f t="shared" si="54"/>
        <v>484140.47</v>
      </c>
      <c r="M159" s="42">
        <f t="shared" si="54"/>
        <v>576935.66999999993</v>
      </c>
      <c r="N159" s="42">
        <f t="shared" si="54"/>
        <v>644690.47</v>
      </c>
      <c r="O159" s="42">
        <f t="shared" si="54"/>
        <v>758954.87</v>
      </c>
      <c r="P159" s="42">
        <f t="shared" si="54"/>
        <v>8288074.8200000003</v>
      </c>
      <c r="Q159" s="39"/>
      <c r="R159" s="37">
        <f>+IF(P159=0,0,P159/$P$159)</f>
        <v>1</v>
      </c>
      <c r="T159" s="43"/>
      <c r="U159" s="43"/>
    </row>
    <row r="160" spans="1:21" x14ac:dyDescent="0.35">
      <c r="B160" s="87"/>
      <c r="C160" s="90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39"/>
      <c r="Q160" s="44"/>
      <c r="R160" s="40"/>
    </row>
    <row r="161" spans="1:34" x14ac:dyDescent="0.35">
      <c r="C161" s="46" t="s">
        <v>137</v>
      </c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39"/>
      <c r="Q161" s="44"/>
      <c r="R161" s="40"/>
    </row>
    <row r="162" spans="1:34" x14ac:dyDescent="0.35">
      <c r="C162" s="93"/>
      <c r="D162" s="93"/>
      <c r="E162" s="93"/>
      <c r="F162" s="93"/>
      <c r="G162" s="93"/>
      <c r="H162" s="44"/>
      <c r="I162" s="93"/>
      <c r="J162" s="93"/>
      <c r="K162" s="93"/>
      <c r="L162" s="93"/>
      <c r="M162" s="93"/>
      <c r="N162" s="93"/>
      <c r="O162" s="93"/>
      <c r="P162" s="93"/>
      <c r="Q162" s="93"/>
      <c r="R162" s="94"/>
    </row>
    <row r="163" spans="1:34" x14ac:dyDescent="0.35">
      <c r="C163" s="95"/>
      <c r="D163" s="96"/>
      <c r="E163" s="96"/>
      <c r="F163" s="96"/>
      <c r="G163" s="96"/>
      <c r="H163" s="44"/>
      <c r="I163" s="96"/>
      <c r="J163" s="96"/>
      <c r="K163" s="96"/>
      <c r="L163" s="96"/>
      <c r="M163" s="96"/>
      <c r="N163" s="96"/>
      <c r="O163" s="96"/>
      <c r="P163" s="97"/>
      <c r="Q163" s="96"/>
      <c r="R163" s="98"/>
    </row>
    <row r="164" spans="1:34" x14ac:dyDescent="0.35">
      <c r="C164" s="99"/>
      <c r="D164" s="99"/>
      <c r="E164" s="99"/>
      <c r="F164" s="100"/>
      <c r="G164" s="99"/>
      <c r="H164" s="101"/>
      <c r="I164" s="99"/>
      <c r="J164" s="101"/>
      <c r="K164" s="99"/>
      <c r="L164" s="99"/>
      <c r="M164" s="99"/>
      <c r="N164" s="99"/>
      <c r="O164" s="99"/>
      <c r="P164" s="99"/>
      <c r="Q164" s="99"/>
      <c r="R164" s="98"/>
    </row>
    <row r="165" spans="1:34" s="91" customFormat="1" ht="13.5" customHeight="1" x14ac:dyDescent="0.35">
      <c r="B165" s="102"/>
      <c r="C165" s="102"/>
      <c r="D165" s="102"/>
      <c r="E165" s="102"/>
      <c r="F165" s="100"/>
      <c r="G165" s="99"/>
      <c r="H165" s="101"/>
      <c r="I165" s="99"/>
      <c r="J165" s="101"/>
      <c r="K165" s="99"/>
      <c r="L165" s="99"/>
      <c r="M165" s="99"/>
      <c r="N165" s="99"/>
      <c r="O165" s="99"/>
      <c r="P165" s="99"/>
      <c r="Q165" s="99"/>
      <c r="R165" s="98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</row>
    <row r="166" spans="1:34" s="91" customFormat="1" ht="24" x14ac:dyDescent="0.35">
      <c r="B166" s="368" t="s">
        <v>138</v>
      </c>
      <c r="C166" s="104" t="s">
        <v>139</v>
      </c>
      <c r="D166" s="104" t="s">
        <v>140</v>
      </c>
      <c r="E166" s="104" t="s">
        <v>141</v>
      </c>
      <c r="F166" s="104" t="s">
        <v>142</v>
      </c>
      <c r="G166" s="105" t="s">
        <v>143</v>
      </c>
      <c r="H166" s="104" t="s">
        <v>144</v>
      </c>
      <c r="I166" s="106" t="s">
        <v>145</v>
      </c>
      <c r="J166" s="106" t="s">
        <v>146</v>
      </c>
      <c r="K166" s="106" t="s">
        <v>147</v>
      </c>
      <c r="L166" s="106" t="s">
        <v>148</v>
      </c>
      <c r="M166" s="107">
        <v>0</v>
      </c>
      <c r="N166" s="107"/>
      <c r="O166" s="108">
        <v>15</v>
      </c>
      <c r="P166" s="106" t="s">
        <v>149</v>
      </c>
      <c r="Q166" s="109" t="s">
        <v>150</v>
      </c>
      <c r="R166" s="109" t="s">
        <v>151</v>
      </c>
      <c r="S166" s="104" t="s">
        <v>152</v>
      </c>
      <c r="T166" s="110">
        <v>0.03</v>
      </c>
      <c r="U166" s="104" t="s">
        <v>53</v>
      </c>
      <c r="V166" s="104" t="s">
        <v>153</v>
      </c>
      <c r="W166" s="104" t="s">
        <v>154</v>
      </c>
      <c r="X166" s="104" t="s">
        <v>155</v>
      </c>
      <c r="Y166" s="111"/>
      <c r="Z166" s="45"/>
      <c r="AA166" s="45"/>
      <c r="AB166" s="45"/>
      <c r="AC166" s="45"/>
      <c r="AF166" s="45"/>
    </row>
    <row r="167" spans="1:34" x14ac:dyDescent="0.35">
      <c r="B167" s="369"/>
      <c r="C167" s="112"/>
      <c r="D167" s="112"/>
      <c r="E167" s="113"/>
      <c r="F167" s="113"/>
      <c r="G167" s="114" t="s">
        <v>156</v>
      </c>
      <c r="H167" s="115" t="s">
        <v>157</v>
      </c>
      <c r="I167" s="116" t="s">
        <v>158</v>
      </c>
      <c r="J167" s="116" t="s">
        <v>158</v>
      </c>
      <c r="K167" s="116" t="s">
        <v>158</v>
      </c>
      <c r="L167" s="116" t="s">
        <v>158</v>
      </c>
      <c r="M167" s="116" t="s">
        <v>159</v>
      </c>
      <c r="N167" s="116" t="s">
        <v>160</v>
      </c>
      <c r="O167" s="117" t="s">
        <v>161</v>
      </c>
      <c r="P167" s="118">
        <v>1.9E-2</v>
      </c>
      <c r="Q167" s="119" t="s">
        <v>158</v>
      </c>
      <c r="R167" s="120" t="s">
        <v>162</v>
      </c>
      <c r="S167" s="116" t="s">
        <v>163</v>
      </c>
      <c r="T167" s="121" t="s">
        <v>164</v>
      </c>
      <c r="U167" s="115">
        <v>0.02</v>
      </c>
      <c r="V167" s="121">
        <v>3.15E-2</v>
      </c>
      <c r="W167" s="115" t="s">
        <v>165</v>
      </c>
      <c r="X167" s="115">
        <v>0.05</v>
      </c>
      <c r="Y167" s="111"/>
    </row>
    <row r="168" spans="1:34" x14ac:dyDescent="0.35">
      <c r="B168" s="122" t="s">
        <v>453</v>
      </c>
      <c r="C168" s="123" t="s">
        <v>454</v>
      </c>
      <c r="D168" s="122">
        <v>1</v>
      </c>
      <c r="E168" s="124">
        <v>666.66666666666663</v>
      </c>
      <c r="F168" s="125">
        <f t="shared" ref="F168:F201" si="55">+E168*D168*30</f>
        <v>20000</v>
      </c>
      <c r="G168" s="126">
        <f>+F168*12</f>
        <v>240000</v>
      </c>
      <c r="H168" s="127">
        <v>0</v>
      </c>
      <c r="I168" s="128"/>
      <c r="J168" s="128"/>
      <c r="K168" s="128"/>
      <c r="L168" s="128"/>
      <c r="M168" s="126">
        <f>+F168*$M$166</f>
        <v>0</v>
      </c>
      <c r="N168" s="126">
        <v>0</v>
      </c>
      <c r="O168" s="126">
        <f>+(F168/30)*$O$166/12</f>
        <v>833.33333333333337</v>
      </c>
      <c r="P168" s="126">
        <v>0</v>
      </c>
      <c r="Q168" s="128"/>
      <c r="R168" s="126">
        <f>(E168*14)*0.25</f>
        <v>2333.333333333333</v>
      </c>
      <c r="S168" s="129">
        <v>0</v>
      </c>
      <c r="T168" s="126">
        <f>(+F168+J168+K168+L168+N168+P168+O168+Q168+R168)*$T$166</f>
        <v>694.99999999999989</v>
      </c>
      <c r="U168" s="126">
        <f>IF((+F168+J168+K168+L168+N168+O168+P168+Q168+R168)&gt;56617.5,1132.35,(+F168+J168+K168+L168+N168+O168+P168+Q168+R168)*$U$167)</f>
        <v>463.33333333333331</v>
      </c>
      <c r="V168" s="126">
        <f>IF((+F168+J168+K168+L168+N168+O168+P168+Q168+R168)&gt;56617.5,1783.45,(+F168+J168+K168+L168+N168+O168+P168+Q168+R168)*$V$167)</f>
        <v>729.74999999999989</v>
      </c>
      <c r="W168" s="126">
        <v>0</v>
      </c>
      <c r="X168" s="126">
        <f>IF((+F168+J168+K168+L168+N168+O168+P168+Q168+R168)&gt;56617.5,2830.88,(+F168+J168+K168+L168+N168+O168+P168+Q168+R168)*$X$167)</f>
        <v>1158.3333333333333</v>
      </c>
      <c r="Y168" s="130"/>
    </row>
    <row r="169" spans="1:34" x14ac:dyDescent="0.35">
      <c r="A169" s="45">
        <v>1</v>
      </c>
      <c r="B169" s="122" t="s">
        <v>455</v>
      </c>
      <c r="C169" s="123" t="s">
        <v>456</v>
      </c>
      <c r="D169" s="122">
        <v>1</v>
      </c>
      <c r="E169" s="124">
        <v>666.66666666666663</v>
      </c>
      <c r="F169" s="125">
        <f t="shared" si="55"/>
        <v>20000</v>
      </c>
      <c r="G169" s="126">
        <f t="shared" ref="G169:G201" si="56">+F169*12</f>
        <v>240000</v>
      </c>
      <c r="H169" s="127">
        <v>0</v>
      </c>
      <c r="I169" s="128"/>
      <c r="J169" s="128"/>
      <c r="K169" s="128"/>
      <c r="L169" s="128"/>
      <c r="M169" s="126">
        <f t="shared" ref="M169:M201" si="57">+F169*$M$166</f>
        <v>0</v>
      </c>
      <c r="N169" s="126">
        <v>0</v>
      </c>
      <c r="O169" s="126">
        <f>+(F169/30)*$O$166/12</f>
        <v>833.33333333333337</v>
      </c>
      <c r="P169" s="126">
        <v>0</v>
      </c>
      <c r="Q169" s="128"/>
      <c r="R169" s="126">
        <v>2333.333333333333</v>
      </c>
      <c r="S169" s="129">
        <v>0</v>
      </c>
      <c r="T169" s="126">
        <f t="shared" ref="T169:T201" si="58">(+F169+J169+K169+L169+N169+P169+O169+Q169+R169)*$T$166</f>
        <v>694.99999999999989</v>
      </c>
      <c r="U169" s="126">
        <f t="shared" ref="U169:U201" si="59">IF((+F169+J169+K169+L169+N169+O169+P169+Q169+R169)&gt;56617.5,1132.35,(+F169+J169+K169+L169+N169+O169+P169+Q169+R169)*$U$167)</f>
        <v>463.33333333333331</v>
      </c>
      <c r="V169" s="126">
        <f t="shared" ref="V169:V201" si="60">IF((+F169+J169+K169+L169+N169+O169+P169+Q169+R169)&gt;56617.5,1783.45,(+F169+J169+K169+L169+N169+O169+P169+Q169+R169)*$V$167)</f>
        <v>729.74999999999989</v>
      </c>
      <c r="W169" s="126">
        <v>0</v>
      </c>
      <c r="X169" s="126">
        <f t="shared" ref="X169:X201" si="61">IF((+F169+J169+K169+L169+N169+O169+P169+Q169+R169)&gt;56617.5,2830.88,(+F169+J169+K169+L169+N169+O169+P169+Q169+R169)*$X$167)</f>
        <v>1158.3333333333333</v>
      </c>
      <c r="Y169" s="130"/>
    </row>
    <row r="170" spans="1:34" x14ac:dyDescent="0.35">
      <c r="B170" s="122" t="s">
        <v>453</v>
      </c>
      <c r="C170" s="123" t="s">
        <v>457</v>
      </c>
      <c r="D170" s="122">
        <v>1</v>
      </c>
      <c r="E170" s="124">
        <v>466.66666700000002</v>
      </c>
      <c r="F170" s="125">
        <f t="shared" si="55"/>
        <v>14000.00001</v>
      </c>
      <c r="G170" s="126">
        <f t="shared" si="56"/>
        <v>168000.00011999998</v>
      </c>
      <c r="H170" s="127">
        <v>0</v>
      </c>
      <c r="I170" s="128"/>
      <c r="J170" s="128"/>
      <c r="K170" s="128"/>
      <c r="L170" s="128"/>
      <c r="M170" s="126">
        <f t="shared" si="57"/>
        <v>0</v>
      </c>
      <c r="N170" s="126">
        <v>0</v>
      </c>
      <c r="O170" s="126">
        <f t="shared" ref="O170:O201" si="62">+(F170/30)*$O$166/12</f>
        <v>583.33333374999995</v>
      </c>
      <c r="P170" s="126">
        <v>0</v>
      </c>
      <c r="Q170" s="128"/>
      <c r="R170" s="126">
        <v>1633.3333345000001</v>
      </c>
      <c r="S170" s="129"/>
      <c r="T170" s="126">
        <f t="shared" si="58"/>
        <v>486.50000034749996</v>
      </c>
      <c r="U170" s="126">
        <f t="shared" si="59"/>
        <v>324.33333356499998</v>
      </c>
      <c r="V170" s="126">
        <f t="shared" si="60"/>
        <v>510.825000364875</v>
      </c>
      <c r="W170" s="126">
        <v>0</v>
      </c>
      <c r="X170" s="126">
        <f t="shared" si="61"/>
        <v>810.83333391250005</v>
      </c>
      <c r="Y170" s="130"/>
    </row>
    <row r="171" spans="1:34" x14ac:dyDescent="0.35">
      <c r="B171" s="122" t="s">
        <v>453</v>
      </c>
      <c r="C171" s="123" t="s">
        <v>458</v>
      </c>
      <c r="D171" s="122">
        <v>1</v>
      </c>
      <c r="E171" s="124">
        <v>466.66666666666669</v>
      </c>
      <c r="F171" s="125">
        <f t="shared" si="55"/>
        <v>14000</v>
      </c>
      <c r="G171" s="126">
        <f t="shared" si="56"/>
        <v>168000</v>
      </c>
      <c r="H171" s="127">
        <v>0</v>
      </c>
      <c r="I171" s="128"/>
      <c r="J171" s="128"/>
      <c r="K171" s="128"/>
      <c r="L171" s="128"/>
      <c r="M171" s="126">
        <f t="shared" si="57"/>
        <v>0</v>
      </c>
      <c r="N171" s="126">
        <v>0</v>
      </c>
      <c r="O171" s="126">
        <f t="shared" si="62"/>
        <v>583.33333333333337</v>
      </c>
      <c r="P171" s="126">
        <v>0</v>
      </c>
      <c r="Q171" s="128"/>
      <c r="R171" s="126">
        <v>1633.3333333333335</v>
      </c>
      <c r="S171" s="129"/>
      <c r="T171" s="126">
        <f t="shared" si="58"/>
        <v>486.5</v>
      </c>
      <c r="U171" s="126">
        <f t="shared" si="59"/>
        <v>324.33333333333337</v>
      </c>
      <c r="V171" s="126">
        <f t="shared" si="60"/>
        <v>510.82500000000005</v>
      </c>
      <c r="W171" s="126">
        <v>0</v>
      </c>
      <c r="X171" s="126">
        <f t="shared" si="61"/>
        <v>810.83333333333348</v>
      </c>
      <c r="Y171" s="130"/>
    </row>
    <row r="172" spans="1:34" x14ac:dyDescent="0.35">
      <c r="A172" s="45">
        <v>1</v>
      </c>
      <c r="B172" s="122" t="s">
        <v>455</v>
      </c>
      <c r="C172" s="123" t="s">
        <v>459</v>
      </c>
      <c r="D172" s="122">
        <v>1</v>
      </c>
      <c r="E172" s="124">
        <v>533.33333333333337</v>
      </c>
      <c r="F172" s="125">
        <f t="shared" si="55"/>
        <v>16000.000000000002</v>
      </c>
      <c r="G172" s="126">
        <f t="shared" si="56"/>
        <v>192000.00000000003</v>
      </c>
      <c r="H172" s="127">
        <v>0</v>
      </c>
      <c r="I172" s="128"/>
      <c r="J172" s="128"/>
      <c r="K172" s="128"/>
      <c r="L172" s="128"/>
      <c r="M172" s="126">
        <f t="shared" si="57"/>
        <v>0</v>
      </c>
      <c r="N172" s="126">
        <v>0</v>
      </c>
      <c r="O172" s="126">
        <f t="shared" si="62"/>
        <v>666.66666666666674</v>
      </c>
      <c r="P172" s="126">
        <v>0</v>
      </c>
      <c r="Q172" s="128"/>
      <c r="R172" s="126">
        <v>1866.6666666666667</v>
      </c>
      <c r="S172" s="129"/>
      <c r="T172" s="126">
        <f t="shared" si="58"/>
        <v>556</v>
      </c>
      <c r="U172" s="126">
        <f t="shared" si="59"/>
        <v>370.66666666666674</v>
      </c>
      <c r="V172" s="126">
        <f t="shared" si="60"/>
        <v>583.80000000000007</v>
      </c>
      <c r="W172" s="126">
        <v>0</v>
      </c>
      <c r="X172" s="126">
        <f t="shared" si="61"/>
        <v>926.66666666666686</v>
      </c>
      <c r="Y172" s="130"/>
    </row>
    <row r="173" spans="1:34" x14ac:dyDescent="0.35">
      <c r="B173" s="122" t="s">
        <v>460</v>
      </c>
      <c r="C173" s="123" t="s">
        <v>461</v>
      </c>
      <c r="D173" s="122">
        <v>1</v>
      </c>
      <c r="E173" s="124">
        <v>566.66700000000003</v>
      </c>
      <c r="F173" s="125">
        <f t="shared" si="55"/>
        <v>17000.010000000002</v>
      </c>
      <c r="G173" s="126">
        <f t="shared" si="56"/>
        <v>204000.12000000002</v>
      </c>
      <c r="H173" s="127"/>
      <c r="I173" s="128"/>
      <c r="J173" s="128"/>
      <c r="K173" s="128"/>
      <c r="L173" s="128"/>
      <c r="M173" s="126">
        <f t="shared" si="57"/>
        <v>0</v>
      </c>
      <c r="N173" s="126">
        <v>0</v>
      </c>
      <c r="O173" s="126">
        <f t="shared" si="62"/>
        <v>708.33375000000012</v>
      </c>
      <c r="P173" s="126">
        <v>0</v>
      </c>
      <c r="Q173" s="128"/>
      <c r="R173" s="126">
        <v>1983.3345000000002</v>
      </c>
      <c r="S173" s="129"/>
      <c r="T173" s="126">
        <f t="shared" si="58"/>
        <v>590.75034750000009</v>
      </c>
      <c r="U173" s="126">
        <f t="shared" si="59"/>
        <v>393.83356500000008</v>
      </c>
      <c r="V173" s="126">
        <f t="shared" si="60"/>
        <v>620.2878648750002</v>
      </c>
      <c r="W173" s="126">
        <v>0</v>
      </c>
      <c r="X173" s="126">
        <f t="shared" si="61"/>
        <v>984.58391250000022</v>
      </c>
      <c r="Y173" s="130"/>
    </row>
    <row r="174" spans="1:34" x14ac:dyDescent="0.35">
      <c r="B174" s="122" t="s">
        <v>462</v>
      </c>
      <c r="C174" s="123" t="s">
        <v>463</v>
      </c>
      <c r="D174" s="122">
        <v>1</v>
      </c>
      <c r="E174" s="124">
        <v>315.04000000000002</v>
      </c>
      <c r="F174" s="125">
        <f t="shared" si="55"/>
        <v>9451.2000000000007</v>
      </c>
      <c r="G174" s="126">
        <f t="shared" si="56"/>
        <v>113414.40000000001</v>
      </c>
      <c r="H174" s="127"/>
      <c r="I174" s="128"/>
      <c r="J174" s="128"/>
      <c r="K174" s="128"/>
      <c r="L174" s="128"/>
      <c r="M174" s="126">
        <f t="shared" si="57"/>
        <v>0</v>
      </c>
      <c r="N174" s="126">
        <v>0</v>
      </c>
      <c r="O174" s="126">
        <f t="shared" si="62"/>
        <v>393.8</v>
      </c>
      <c r="P174" s="126">
        <v>0</v>
      </c>
      <c r="Q174" s="128"/>
      <c r="R174" s="126">
        <v>1102.6400000000001</v>
      </c>
      <c r="S174" s="129"/>
      <c r="T174" s="126">
        <f t="shared" si="58"/>
        <v>328.42919999999998</v>
      </c>
      <c r="U174" s="126">
        <f t="shared" si="59"/>
        <v>218.9528</v>
      </c>
      <c r="V174" s="126">
        <f t="shared" si="60"/>
        <v>344.85066</v>
      </c>
      <c r="W174" s="126">
        <v>0</v>
      </c>
      <c r="X174" s="126">
        <f t="shared" si="61"/>
        <v>547.38199999999995</v>
      </c>
      <c r="Y174" s="130"/>
    </row>
    <row r="175" spans="1:34" x14ac:dyDescent="0.35">
      <c r="B175" s="122" t="s">
        <v>464</v>
      </c>
      <c r="C175" s="123" t="s">
        <v>465</v>
      </c>
      <c r="D175" s="122">
        <v>1</v>
      </c>
      <c r="E175" s="124">
        <v>566.66666666666663</v>
      </c>
      <c r="F175" s="125">
        <f t="shared" si="55"/>
        <v>17000</v>
      </c>
      <c r="G175" s="126">
        <f t="shared" si="56"/>
        <v>204000</v>
      </c>
      <c r="H175" s="127"/>
      <c r="I175" s="128"/>
      <c r="J175" s="128"/>
      <c r="K175" s="128"/>
      <c r="L175" s="128"/>
      <c r="M175" s="126">
        <f t="shared" si="57"/>
        <v>0</v>
      </c>
      <c r="N175" s="126">
        <v>0</v>
      </c>
      <c r="O175" s="126">
        <f t="shared" si="62"/>
        <v>708.33333333333337</v>
      </c>
      <c r="P175" s="126">
        <v>0</v>
      </c>
      <c r="Q175" s="128"/>
      <c r="R175" s="126">
        <v>1983.3333333333333</v>
      </c>
      <c r="S175" s="129"/>
      <c r="T175" s="126">
        <f t="shared" si="58"/>
        <v>590.74999999999989</v>
      </c>
      <c r="U175" s="126">
        <f t="shared" si="59"/>
        <v>393.83333333333331</v>
      </c>
      <c r="V175" s="126">
        <f t="shared" si="60"/>
        <v>620.28749999999991</v>
      </c>
      <c r="W175" s="126">
        <v>0</v>
      </c>
      <c r="X175" s="126">
        <f t="shared" si="61"/>
        <v>984.58333333333326</v>
      </c>
      <c r="Y175" s="130"/>
    </row>
    <row r="176" spans="1:34" x14ac:dyDescent="0.35">
      <c r="B176" s="122" t="s">
        <v>462</v>
      </c>
      <c r="C176" s="123" t="s">
        <v>466</v>
      </c>
      <c r="D176" s="122">
        <v>1</v>
      </c>
      <c r="E176" s="124">
        <v>315.03333333333336</v>
      </c>
      <c r="F176" s="125">
        <f t="shared" si="55"/>
        <v>9451</v>
      </c>
      <c r="G176" s="126">
        <f t="shared" si="56"/>
        <v>113412</v>
      </c>
      <c r="H176" s="127"/>
      <c r="I176" s="128"/>
      <c r="J176" s="128"/>
      <c r="K176" s="128"/>
      <c r="L176" s="128"/>
      <c r="M176" s="126">
        <f t="shared" si="57"/>
        <v>0</v>
      </c>
      <c r="N176" s="126">
        <v>0</v>
      </c>
      <c r="O176" s="126">
        <f t="shared" si="62"/>
        <v>393.79166666666669</v>
      </c>
      <c r="P176" s="126">
        <v>0</v>
      </c>
      <c r="Q176" s="128"/>
      <c r="R176" s="126">
        <v>1102.6166666666668</v>
      </c>
      <c r="S176" s="129"/>
      <c r="T176" s="126">
        <f t="shared" si="58"/>
        <v>328.42224999999996</v>
      </c>
      <c r="U176" s="126">
        <f t="shared" si="59"/>
        <v>218.94816666666665</v>
      </c>
      <c r="V176" s="126">
        <f t="shared" si="60"/>
        <v>344.84336250000001</v>
      </c>
      <c r="W176" s="126">
        <v>0</v>
      </c>
      <c r="X176" s="126">
        <f t="shared" si="61"/>
        <v>547.37041666666664</v>
      </c>
      <c r="Y176" s="130"/>
    </row>
    <row r="177" spans="1:25" x14ac:dyDescent="0.35">
      <c r="A177" s="45">
        <v>1</v>
      </c>
      <c r="B177" s="122" t="s">
        <v>467</v>
      </c>
      <c r="C177" s="123" t="s">
        <v>468</v>
      </c>
      <c r="D177" s="122">
        <v>1</v>
      </c>
      <c r="E177" s="124">
        <v>1166.6666666666667</v>
      </c>
      <c r="F177" s="125">
        <f t="shared" si="55"/>
        <v>35000</v>
      </c>
      <c r="G177" s="126">
        <f t="shared" si="56"/>
        <v>420000</v>
      </c>
      <c r="H177" s="127"/>
      <c r="I177" s="128"/>
      <c r="J177" s="128"/>
      <c r="K177" s="128"/>
      <c r="L177" s="128"/>
      <c r="M177" s="126">
        <f t="shared" si="57"/>
        <v>0</v>
      </c>
      <c r="N177" s="126">
        <v>0</v>
      </c>
      <c r="O177" s="126">
        <f t="shared" si="62"/>
        <v>1458.3333333333333</v>
      </c>
      <c r="P177" s="126">
        <v>0</v>
      </c>
      <c r="Q177" s="128"/>
      <c r="R177" s="126">
        <v>4083.3333333333335</v>
      </c>
      <c r="S177" s="129"/>
      <c r="T177" s="126">
        <f t="shared" si="58"/>
        <v>1216.25</v>
      </c>
      <c r="U177" s="126">
        <f t="shared" si="59"/>
        <v>810.83333333333348</v>
      </c>
      <c r="V177" s="126">
        <f t="shared" si="60"/>
        <v>1277.0625000000002</v>
      </c>
      <c r="W177" s="126">
        <v>0</v>
      </c>
      <c r="X177" s="126">
        <f t="shared" si="61"/>
        <v>2027.0833333333337</v>
      </c>
      <c r="Y177" s="130"/>
    </row>
    <row r="178" spans="1:25" x14ac:dyDescent="0.35">
      <c r="B178" s="122" t="s">
        <v>453</v>
      </c>
      <c r="C178" s="123" t="s">
        <v>469</v>
      </c>
      <c r="D178" s="122">
        <v>1</v>
      </c>
      <c r="E178" s="124">
        <v>315.04000000000002</v>
      </c>
      <c r="F178" s="125">
        <f t="shared" si="55"/>
        <v>9451.2000000000007</v>
      </c>
      <c r="G178" s="126">
        <f t="shared" si="56"/>
        <v>113414.40000000001</v>
      </c>
      <c r="H178" s="127"/>
      <c r="I178" s="128"/>
      <c r="J178" s="128"/>
      <c r="K178" s="128"/>
      <c r="L178" s="128"/>
      <c r="M178" s="126">
        <f t="shared" si="57"/>
        <v>0</v>
      </c>
      <c r="N178" s="126">
        <v>0</v>
      </c>
      <c r="O178" s="126">
        <f t="shared" si="62"/>
        <v>393.8</v>
      </c>
      <c r="P178" s="126">
        <v>0</v>
      </c>
      <c r="Q178" s="128"/>
      <c r="R178" s="126">
        <v>1102.6400000000001</v>
      </c>
      <c r="S178" s="129"/>
      <c r="T178" s="126">
        <f t="shared" si="58"/>
        <v>328.42919999999998</v>
      </c>
      <c r="U178" s="126">
        <f t="shared" si="59"/>
        <v>218.9528</v>
      </c>
      <c r="V178" s="126">
        <f t="shared" si="60"/>
        <v>344.85066</v>
      </c>
      <c r="W178" s="126">
        <v>0</v>
      </c>
      <c r="X178" s="126">
        <f t="shared" si="61"/>
        <v>547.38199999999995</v>
      </c>
      <c r="Y178" s="130"/>
    </row>
    <row r="179" spans="1:25" x14ac:dyDescent="0.35">
      <c r="A179" s="45">
        <v>1</v>
      </c>
      <c r="B179" s="122" t="s">
        <v>470</v>
      </c>
      <c r="C179" s="123" t="s">
        <v>471</v>
      </c>
      <c r="D179" s="122">
        <v>1</v>
      </c>
      <c r="E179" s="124">
        <v>766.66666666666663</v>
      </c>
      <c r="F179" s="125">
        <f t="shared" si="55"/>
        <v>23000</v>
      </c>
      <c r="G179" s="126">
        <f t="shared" si="56"/>
        <v>276000</v>
      </c>
      <c r="H179" s="127"/>
      <c r="I179" s="128"/>
      <c r="J179" s="128"/>
      <c r="K179" s="128"/>
      <c r="L179" s="128"/>
      <c r="M179" s="126">
        <f t="shared" si="57"/>
        <v>0</v>
      </c>
      <c r="N179" s="126">
        <v>0</v>
      </c>
      <c r="O179" s="126">
        <f t="shared" si="62"/>
        <v>958.33333333333337</v>
      </c>
      <c r="P179" s="126">
        <v>0</v>
      </c>
      <c r="Q179" s="128"/>
      <c r="R179" s="126">
        <v>2683.333333333333</v>
      </c>
      <c r="S179" s="129"/>
      <c r="T179" s="126">
        <f t="shared" si="58"/>
        <v>799.24999999999989</v>
      </c>
      <c r="U179" s="126">
        <f t="shared" si="59"/>
        <v>532.83333333333326</v>
      </c>
      <c r="V179" s="126">
        <f t="shared" si="60"/>
        <v>839.21249999999998</v>
      </c>
      <c r="W179" s="126">
        <v>0</v>
      </c>
      <c r="X179" s="126">
        <f t="shared" si="61"/>
        <v>1332.0833333333333</v>
      </c>
      <c r="Y179" s="130"/>
    </row>
    <row r="180" spans="1:25" x14ac:dyDescent="0.35">
      <c r="B180" s="122" t="s">
        <v>472</v>
      </c>
      <c r="C180" s="123" t="s">
        <v>473</v>
      </c>
      <c r="D180" s="122">
        <v>1</v>
      </c>
      <c r="E180" s="124">
        <v>315.04000000000002</v>
      </c>
      <c r="F180" s="125">
        <f t="shared" si="55"/>
        <v>9451.2000000000007</v>
      </c>
      <c r="G180" s="126">
        <f t="shared" si="56"/>
        <v>113414.40000000001</v>
      </c>
      <c r="H180" s="127"/>
      <c r="I180" s="128"/>
      <c r="J180" s="128"/>
      <c r="K180" s="128"/>
      <c r="L180" s="128"/>
      <c r="M180" s="126">
        <f t="shared" si="57"/>
        <v>0</v>
      </c>
      <c r="N180" s="126">
        <v>0</v>
      </c>
      <c r="O180" s="126">
        <f t="shared" si="62"/>
        <v>393.8</v>
      </c>
      <c r="P180" s="126">
        <v>0</v>
      </c>
      <c r="Q180" s="128"/>
      <c r="R180" s="126">
        <v>1102.6400000000001</v>
      </c>
      <c r="S180" s="129"/>
      <c r="T180" s="126">
        <f t="shared" si="58"/>
        <v>328.42919999999998</v>
      </c>
      <c r="U180" s="126">
        <f t="shared" si="59"/>
        <v>218.9528</v>
      </c>
      <c r="V180" s="126">
        <f t="shared" si="60"/>
        <v>344.85066</v>
      </c>
      <c r="W180" s="126">
        <v>0</v>
      </c>
      <c r="X180" s="126">
        <f t="shared" si="61"/>
        <v>547.38199999999995</v>
      </c>
      <c r="Y180" s="130"/>
    </row>
    <row r="181" spans="1:25" x14ac:dyDescent="0.35">
      <c r="A181" s="45">
        <v>1</v>
      </c>
      <c r="B181" s="122" t="s">
        <v>474</v>
      </c>
      <c r="C181" s="123" t="s">
        <v>475</v>
      </c>
      <c r="D181" s="122">
        <v>1</v>
      </c>
      <c r="E181" s="124">
        <v>400</v>
      </c>
      <c r="F181" s="125">
        <f t="shared" si="55"/>
        <v>12000</v>
      </c>
      <c r="G181" s="126">
        <f t="shared" si="56"/>
        <v>144000</v>
      </c>
      <c r="H181" s="127"/>
      <c r="I181" s="128"/>
      <c r="J181" s="128"/>
      <c r="K181" s="128"/>
      <c r="L181" s="128"/>
      <c r="M181" s="126">
        <f t="shared" si="57"/>
        <v>0</v>
      </c>
      <c r="N181" s="126">
        <v>0</v>
      </c>
      <c r="O181" s="126">
        <f t="shared" si="62"/>
        <v>500</v>
      </c>
      <c r="P181" s="126">
        <v>0</v>
      </c>
      <c r="Q181" s="128"/>
      <c r="R181" s="126">
        <v>1400</v>
      </c>
      <c r="S181" s="129"/>
      <c r="T181" s="126">
        <f t="shared" si="58"/>
        <v>417</v>
      </c>
      <c r="U181" s="126">
        <f t="shared" si="59"/>
        <v>278</v>
      </c>
      <c r="V181" s="126">
        <f t="shared" si="60"/>
        <v>437.85</v>
      </c>
      <c r="W181" s="126">
        <v>0</v>
      </c>
      <c r="X181" s="126">
        <f t="shared" si="61"/>
        <v>695</v>
      </c>
      <c r="Y181" s="130"/>
    </row>
    <row r="182" spans="1:25" x14ac:dyDescent="0.35">
      <c r="B182" s="122" t="s">
        <v>472</v>
      </c>
      <c r="C182" s="123" t="s">
        <v>476</v>
      </c>
      <c r="D182" s="122">
        <v>1</v>
      </c>
      <c r="E182" s="124">
        <v>315.03333333333336</v>
      </c>
      <c r="F182" s="125">
        <f t="shared" si="55"/>
        <v>9451</v>
      </c>
      <c r="G182" s="126">
        <f t="shared" si="56"/>
        <v>113412</v>
      </c>
      <c r="H182" s="127"/>
      <c r="I182" s="128"/>
      <c r="J182" s="128"/>
      <c r="K182" s="128"/>
      <c r="L182" s="128"/>
      <c r="M182" s="126">
        <f t="shared" si="57"/>
        <v>0</v>
      </c>
      <c r="N182" s="126">
        <v>0</v>
      </c>
      <c r="O182" s="126">
        <f t="shared" si="62"/>
        <v>393.79166666666669</v>
      </c>
      <c r="P182" s="126">
        <v>0</v>
      </c>
      <c r="Q182" s="128"/>
      <c r="R182" s="126">
        <v>1102.6166666666668</v>
      </c>
      <c r="S182" s="129"/>
      <c r="T182" s="126">
        <f t="shared" si="58"/>
        <v>328.42224999999996</v>
      </c>
      <c r="U182" s="126">
        <f t="shared" si="59"/>
        <v>218.94816666666665</v>
      </c>
      <c r="V182" s="126">
        <f t="shared" si="60"/>
        <v>344.84336250000001</v>
      </c>
      <c r="W182" s="126">
        <v>0</v>
      </c>
      <c r="X182" s="126">
        <f t="shared" si="61"/>
        <v>547.37041666666664</v>
      </c>
      <c r="Y182" s="130"/>
    </row>
    <row r="183" spans="1:25" x14ac:dyDescent="0.35">
      <c r="A183" s="45">
        <v>1</v>
      </c>
      <c r="B183" s="122" t="s">
        <v>477</v>
      </c>
      <c r="C183" s="123" t="s">
        <v>478</v>
      </c>
      <c r="D183" s="122">
        <v>1</v>
      </c>
      <c r="E183" s="124">
        <v>466.666666666666</v>
      </c>
      <c r="F183" s="125">
        <f t="shared" si="55"/>
        <v>13999.99999999998</v>
      </c>
      <c r="G183" s="126">
        <f t="shared" si="56"/>
        <v>167999.99999999977</v>
      </c>
      <c r="H183" s="127"/>
      <c r="I183" s="128"/>
      <c r="J183" s="128"/>
      <c r="K183" s="128"/>
      <c r="L183" s="128"/>
      <c r="M183" s="126">
        <f t="shared" si="57"/>
        <v>0</v>
      </c>
      <c r="N183" s="126">
        <v>0</v>
      </c>
      <c r="O183" s="126">
        <f t="shared" si="62"/>
        <v>583.33333333333246</v>
      </c>
      <c r="P183" s="126">
        <v>0</v>
      </c>
      <c r="Q183" s="128"/>
      <c r="R183" s="126">
        <v>1633.333333333331</v>
      </c>
      <c r="S183" s="129"/>
      <c r="T183" s="126">
        <f t="shared" si="58"/>
        <v>486.49999999999926</v>
      </c>
      <c r="U183" s="126">
        <f t="shared" si="59"/>
        <v>324.33333333333286</v>
      </c>
      <c r="V183" s="126">
        <f t="shared" si="60"/>
        <v>510.82499999999925</v>
      </c>
      <c r="W183" s="126">
        <v>0</v>
      </c>
      <c r="X183" s="126">
        <f t="shared" si="61"/>
        <v>810.83333333333212</v>
      </c>
      <c r="Y183" s="130"/>
    </row>
    <row r="184" spans="1:25" x14ac:dyDescent="0.35">
      <c r="A184" s="45">
        <v>1</v>
      </c>
      <c r="B184" s="122" t="s">
        <v>477</v>
      </c>
      <c r="C184" s="123" t="s">
        <v>479</v>
      </c>
      <c r="D184" s="122">
        <v>1</v>
      </c>
      <c r="E184" s="124">
        <v>566.66666666666663</v>
      </c>
      <c r="F184" s="125">
        <f t="shared" si="55"/>
        <v>17000</v>
      </c>
      <c r="G184" s="126">
        <f t="shared" si="56"/>
        <v>204000</v>
      </c>
      <c r="H184" s="127"/>
      <c r="I184" s="128"/>
      <c r="J184" s="128"/>
      <c r="K184" s="128"/>
      <c r="L184" s="128"/>
      <c r="M184" s="126">
        <f t="shared" si="57"/>
        <v>0</v>
      </c>
      <c r="N184" s="126">
        <v>0</v>
      </c>
      <c r="O184" s="126">
        <f t="shared" si="62"/>
        <v>708.33333333333337</v>
      </c>
      <c r="P184" s="126">
        <v>0</v>
      </c>
      <c r="Q184" s="128"/>
      <c r="R184" s="126">
        <v>1983.3333333333333</v>
      </c>
      <c r="S184" s="129"/>
      <c r="T184" s="126">
        <f t="shared" si="58"/>
        <v>590.74999999999989</v>
      </c>
      <c r="U184" s="126">
        <f t="shared" si="59"/>
        <v>393.83333333333331</v>
      </c>
      <c r="V184" s="126">
        <f t="shared" si="60"/>
        <v>620.28749999999991</v>
      </c>
      <c r="W184" s="126">
        <v>0</v>
      </c>
      <c r="X184" s="126">
        <f t="shared" si="61"/>
        <v>984.58333333333326</v>
      </c>
      <c r="Y184" s="130"/>
    </row>
    <row r="185" spans="1:25" x14ac:dyDescent="0.35">
      <c r="B185" s="122" t="s">
        <v>472</v>
      </c>
      <c r="C185" s="123" t="s">
        <v>480</v>
      </c>
      <c r="D185" s="122">
        <v>1</v>
      </c>
      <c r="E185" s="124">
        <v>233.33333333333334</v>
      </c>
      <c r="F185" s="125">
        <f t="shared" si="55"/>
        <v>7000</v>
      </c>
      <c r="G185" s="126">
        <f t="shared" si="56"/>
        <v>84000</v>
      </c>
      <c r="H185" s="127"/>
      <c r="I185" s="128"/>
      <c r="J185" s="128"/>
      <c r="K185" s="128"/>
      <c r="L185" s="128"/>
      <c r="M185" s="126">
        <f t="shared" si="57"/>
        <v>0</v>
      </c>
      <c r="N185" s="126">
        <v>0</v>
      </c>
      <c r="O185" s="126">
        <f t="shared" si="62"/>
        <v>291.66666666666669</v>
      </c>
      <c r="P185" s="126">
        <v>0</v>
      </c>
      <c r="Q185" s="128"/>
      <c r="R185" s="126">
        <v>816.66666666666674</v>
      </c>
      <c r="S185" s="129"/>
      <c r="T185" s="126">
        <f t="shared" si="58"/>
        <v>243.25</v>
      </c>
      <c r="U185" s="126">
        <f t="shared" si="59"/>
        <v>162.16666666666669</v>
      </c>
      <c r="V185" s="126">
        <f t="shared" si="60"/>
        <v>255.41250000000002</v>
      </c>
      <c r="W185" s="126">
        <v>0</v>
      </c>
      <c r="X185" s="126">
        <f t="shared" si="61"/>
        <v>405.41666666666674</v>
      </c>
      <c r="Y185" s="130"/>
    </row>
    <row r="186" spans="1:25" x14ac:dyDescent="0.35">
      <c r="A186" s="45">
        <v>1</v>
      </c>
      <c r="B186" s="122" t="s">
        <v>481</v>
      </c>
      <c r="C186" s="123" t="s">
        <v>482</v>
      </c>
      <c r="D186" s="122">
        <v>1</v>
      </c>
      <c r="E186" s="124">
        <v>400</v>
      </c>
      <c r="F186" s="125">
        <f t="shared" si="55"/>
        <v>12000</v>
      </c>
      <c r="G186" s="126">
        <f t="shared" si="56"/>
        <v>144000</v>
      </c>
      <c r="H186" s="127"/>
      <c r="I186" s="128"/>
      <c r="J186" s="128"/>
      <c r="K186" s="128"/>
      <c r="L186" s="128"/>
      <c r="M186" s="126">
        <f t="shared" si="57"/>
        <v>0</v>
      </c>
      <c r="N186" s="126">
        <v>0</v>
      </c>
      <c r="O186" s="126">
        <f t="shared" si="62"/>
        <v>500</v>
      </c>
      <c r="P186" s="126">
        <v>0</v>
      </c>
      <c r="Q186" s="128"/>
      <c r="R186" s="126">
        <v>1400</v>
      </c>
      <c r="S186" s="129"/>
      <c r="T186" s="126">
        <f t="shared" si="58"/>
        <v>417</v>
      </c>
      <c r="U186" s="126">
        <f t="shared" si="59"/>
        <v>278</v>
      </c>
      <c r="V186" s="126">
        <f t="shared" si="60"/>
        <v>437.85</v>
      </c>
      <c r="W186" s="126">
        <v>0</v>
      </c>
      <c r="X186" s="126">
        <f t="shared" si="61"/>
        <v>695</v>
      </c>
      <c r="Y186" s="130"/>
    </row>
    <row r="187" spans="1:25" x14ac:dyDescent="0.35">
      <c r="B187" s="122" t="s">
        <v>472</v>
      </c>
      <c r="C187" s="123" t="s">
        <v>483</v>
      </c>
      <c r="D187" s="122">
        <v>1</v>
      </c>
      <c r="E187" s="124">
        <v>315.03333333333336</v>
      </c>
      <c r="F187" s="125">
        <f t="shared" si="55"/>
        <v>9451</v>
      </c>
      <c r="G187" s="126">
        <f t="shared" si="56"/>
        <v>113412</v>
      </c>
      <c r="H187" s="127"/>
      <c r="I187" s="128"/>
      <c r="J187" s="128"/>
      <c r="K187" s="128"/>
      <c r="L187" s="128"/>
      <c r="M187" s="126">
        <f t="shared" si="57"/>
        <v>0</v>
      </c>
      <c r="N187" s="126">
        <v>0</v>
      </c>
      <c r="O187" s="126">
        <f t="shared" si="62"/>
        <v>393.79166666666669</v>
      </c>
      <c r="P187" s="126">
        <v>0</v>
      </c>
      <c r="Q187" s="128"/>
      <c r="R187" s="126">
        <v>1102.6166666666668</v>
      </c>
      <c r="S187" s="129"/>
      <c r="T187" s="126">
        <f t="shared" si="58"/>
        <v>328.42224999999996</v>
      </c>
      <c r="U187" s="126">
        <f t="shared" si="59"/>
        <v>218.94816666666665</v>
      </c>
      <c r="V187" s="126">
        <f t="shared" si="60"/>
        <v>344.84336250000001</v>
      </c>
      <c r="W187" s="126">
        <v>0</v>
      </c>
      <c r="X187" s="126">
        <f t="shared" si="61"/>
        <v>547.37041666666664</v>
      </c>
      <c r="Y187" s="130"/>
    </row>
    <row r="188" spans="1:25" x14ac:dyDescent="0.35">
      <c r="B188" s="122" t="s">
        <v>484</v>
      </c>
      <c r="C188" s="123" t="s">
        <v>485</v>
      </c>
      <c r="D188" s="122">
        <v>1</v>
      </c>
      <c r="E188" s="124">
        <v>315.03333333333336</v>
      </c>
      <c r="F188" s="125">
        <f t="shared" si="55"/>
        <v>9451</v>
      </c>
      <c r="G188" s="126">
        <f t="shared" si="56"/>
        <v>113412</v>
      </c>
      <c r="H188" s="127"/>
      <c r="I188" s="128"/>
      <c r="J188" s="128"/>
      <c r="K188" s="128"/>
      <c r="L188" s="128"/>
      <c r="M188" s="126">
        <f t="shared" si="57"/>
        <v>0</v>
      </c>
      <c r="N188" s="126">
        <v>0</v>
      </c>
      <c r="O188" s="126">
        <f t="shared" si="62"/>
        <v>393.79166666666669</v>
      </c>
      <c r="P188" s="126">
        <v>0</v>
      </c>
      <c r="Q188" s="128"/>
      <c r="R188" s="126">
        <v>1102.6166666666668</v>
      </c>
      <c r="S188" s="129"/>
      <c r="T188" s="126">
        <f t="shared" si="58"/>
        <v>328.42224999999996</v>
      </c>
      <c r="U188" s="126">
        <f t="shared" si="59"/>
        <v>218.94816666666665</v>
      </c>
      <c r="V188" s="126">
        <f t="shared" si="60"/>
        <v>344.84336250000001</v>
      </c>
      <c r="W188" s="126">
        <v>0</v>
      </c>
      <c r="X188" s="126">
        <f t="shared" si="61"/>
        <v>547.37041666666664</v>
      </c>
      <c r="Y188" s="130"/>
    </row>
    <row r="189" spans="1:25" x14ac:dyDescent="0.35">
      <c r="A189" s="45">
        <v>1</v>
      </c>
      <c r="B189" s="122" t="s">
        <v>486</v>
      </c>
      <c r="C189" s="123" t="s">
        <v>487</v>
      </c>
      <c r="D189" s="122">
        <v>1</v>
      </c>
      <c r="E189" s="124">
        <v>400</v>
      </c>
      <c r="F189" s="125">
        <f t="shared" si="55"/>
        <v>12000</v>
      </c>
      <c r="G189" s="126">
        <f t="shared" si="56"/>
        <v>144000</v>
      </c>
      <c r="H189" s="127"/>
      <c r="I189" s="128"/>
      <c r="J189" s="128"/>
      <c r="K189" s="128"/>
      <c r="L189" s="128"/>
      <c r="M189" s="126">
        <f t="shared" si="57"/>
        <v>0</v>
      </c>
      <c r="N189" s="126">
        <v>0</v>
      </c>
      <c r="O189" s="126">
        <f t="shared" si="62"/>
        <v>500</v>
      </c>
      <c r="P189" s="126">
        <v>0</v>
      </c>
      <c r="Q189" s="128"/>
      <c r="R189" s="126">
        <v>1400</v>
      </c>
      <c r="S189" s="129"/>
      <c r="T189" s="126">
        <f t="shared" si="58"/>
        <v>417</v>
      </c>
      <c r="U189" s="126">
        <f t="shared" si="59"/>
        <v>278</v>
      </c>
      <c r="V189" s="126">
        <f t="shared" si="60"/>
        <v>437.85</v>
      </c>
      <c r="W189" s="126">
        <v>0</v>
      </c>
      <c r="X189" s="126">
        <f t="shared" si="61"/>
        <v>695</v>
      </c>
      <c r="Y189" s="130"/>
    </row>
    <row r="190" spans="1:25" x14ac:dyDescent="0.35">
      <c r="B190" s="122" t="s">
        <v>488</v>
      </c>
      <c r="C190" s="123" t="s">
        <v>489</v>
      </c>
      <c r="D190" s="122">
        <v>1</v>
      </c>
      <c r="E190" s="124">
        <v>566.66666666666663</v>
      </c>
      <c r="F190" s="125">
        <f t="shared" si="55"/>
        <v>17000</v>
      </c>
      <c r="G190" s="126">
        <f t="shared" si="56"/>
        <v>204000</v>
      </c>
      <c r="H190" s="127"/>
      <c r="I190" s="128"/>
      <c r="J190" s="128"/>
      <c r="K190" s="128"/>
      <c r="L190" s="128"/>
      <c r="M190" s="126">
        <f t="shared" si="57"/>
        <v>0</v>
      </c>
      <c r="N190" s="126">
        <v>0</v>
      </c>
      <c r="O190" s="126">
        <f t="shared" si="62"/>
        <v>708.33333333333337</v>
      </c>
      <c r="P190" s="126">
        <v>0</v>
      </c>
      <c r="Q190" s="128"/>
      <c r="R190" s="126">
        <v>1983.3333333333333</v>
      </c>
      <c r="S190" s="129"/>
      <c r="T190" s="126">
        <f t="shared" si="58"/>
        <v>590.74999999999989</v>
      </c>
      <c r="U190" s="126">
        <f t="shared" si="59"/>
        <v>393.83333333333331</v>
      </c>
      <c r="V190" s="126">
        <f t="shared" si="60"/>
        <v>620.28749999999991</v>
      </c>
      <c r="W190" s="126">
        <v>0</v>
      </c>
      <c r="X190" s="126">
        <f t="shared" si="61"/>
        <v>984.58333333333326</v>
      </c>
      <c r="Y190" s="130"/>
    </row>
    <row r="191" spans="1:25" x14ac:dyDescent="0.35">
      <c r="B191" s="122" t="s">
        <v>490</v>
      </c>
      <c r="C191" s="123" t="s">
        <v>491</v>
      </c>
      <c r="D191" s="122">
        <v>1</v>
      </c>
      <c r="E191" s="124">
        <v>315.03333333333336</v>
      </c>
      <c r="F191" s="125">
        <f t="shared" si="55"/>
        <v>9451</v>
      </c>
      <c r="G191" s="126">
        <f t="shared" si="56"/>
        <v>113412</v>
      </c>
      <c r="H191" s="127"/>
      <c r="I191" s="128"/>
      <c r="J191" s="128"/>
      <c r="K191" s="128"/>
      <c r="L191" s="128"/>
      <c r="M191" s="126">
        <f t="shared" si="57"/>
        <v>0</v>
      </c>
      <c r="N191" s="126">
        <v>0</v>
      </c>
      <c r="O191" s="126">
        <f t="shared" si="62"/>
        <v>393.79166666666669</v>
      </c>
      <c r="P191" s="126">
        <v>0</v>
      </c>
      <c r="Q191" s="128"/>
      <c r="R191" s="126">
        <v>1102.6166666666668</v>
      </c>
      <c r="S191" s="129"/>
      <c r="T191" s="126">
        <f t="shared" si="58"/>
        <v>328.42224999999996</v>
      </c>
      <c r="U191" s="126">
        <f t="shared" si="59"/>
        <v>218.94816666666665</v>
      </c>
      <c r="V191" s="126">
        <f t="shared" si="60"/>
        <v>344.84336250000001</v>
      </c>
      <c r="W191" s="126">
        <v>0</v>
      </c>
      <c r="X191" s="126">
        <f t="shared" si="61"/>
        <v>547.37041666666664</v>
      </c>
      <c r="Y191" s="130"/>
    </row>
    <row r="192" spans="1:25" x14ac:dyDescent="0.35">
      <c r="A192" s="45">
        <v>1</v>
      </c>
      <c r="B192" s="122" t="s">
        <v>477</v>
      </c>
      <c r="C192" s="123" t="s">
        <v>174</v>
      </c>
      <c r="D192" s="122">
        <v>1</v>
      </c>
      <c r="E192" s="124">
        <v>500</v>
      </c>
      <c r="F192" s="125">
        <f t="shared" si="55"/>
        <v>15000</v>
      </c>
      <c r="G192" s="126">
        <f t="shared" si="56"/>
        <v>180000</v>
      </c>
      <c r="H192" s="127"/>
      <c r="I192" s="128"/>
      <c r="J192" s="128"/>
      <c r="K192" s="128"/>
      <c r="L192" s="128"/>
      <c r="M192" s="126">
        <f t="shared" si="57"/>
        <v>0</v>
      </c>
      <c r="N192" s="126">
        <v>0</v>
      </c>
      <c r="O192" s="126">
        <f t="shared" si="62"/>
        <v>625</v>
      </c>
      <c r="P192" s="126">
        <v>0</v>
      </c>
      <c r="Q192" s="128"/>
      <c r="R192" s="126">
        <v>1750</v>
      </c>
      <c r="S192" s="129"/>
      <c r="T192" s="126">
        <f t="shared" si="58"/>
        <v>521.25</v>
      </c>
      <c r="U192" s="126">
        <f t="shared" si="59"/>
        <v>347.5</v>
      </c>
      <c r="V192" s="126">
        <f t="shared" si="60"/>
        <v>547.3125</v>
      </c>
      <c r="W192" s="126">
        <v>0</v>
      </c>
      <c r="X192" s="126">
        <f t="shared" si="61"/>
        <v>868.75</v>
      </c>
      <c r="Y192" s="130"/>
    </row>
    <row r="193" spans="1:32" s="91" customFormat="1" x14ac:dyDescent="0.35">
      <c r="B193" s="122" t="s">
        <v>477</v>
      </c>
      <c r="C193" s="123" t="s">
        <v>174</v>
      </c>
      <c r="D193" s="122">
        <v>1</v>
      </c>
      <c r="E193" s="124">
        <v>500</v>
      </c>
      <c r="F193" s="125">
        <f t="shared" si="55"/>
        <v>15000</v>
      </c>
      <c r="G193" s="126">
        <f t="shared" si="56"/>
        <v>180000</v>
      </c>
      <c r="H193" s="127"/>
      <c r="I193" s="128"/>
      <c r="J193" s="128"/>
      <c r="K193" s="128"/>
      <c r="L193" s="128"/>
      <c r="M193" s="126">
        <f t="shared" si="57"/>
        <v>0</v>
      </c>
      <c r="N193" s="126">
        <v>0</v>
      </c>
      <c r="O193" s="126">
        <f t="shared" si="62"/>
        <v>625</v>
      </c>
      <c r="P193" s="126">
        <v>0</v>
      </c>
      <c r="Q193" s="128"/>
      <c r="R193" s="126">
        <v>1750</v>
      </c>
      <c r="S193" s="129"/>
      <c r="T193" s="126">
        <f t="shared" si="58"/>
        <v>521.25</v>
      </c>
      <c r="U193" s="126">
        <f t="shared" si="59"/>
        <v>347.5</v>
      </c>
      <c r="V193" s="126">
        <f t="shared" si="60"/>
        <v>547.3125</v>
      </c>
      <c r="W193" s="126">
        <v>0</v>
      </c>
      <c r="X193" s="126">
        <f t="shared" si="61"/>
        <v>868.75</v>
      </c>
      <c r="Y193" s="130"/>
      <c r="Z193" s="45"/>
      <c r="AA193" s="45"/>
      <c r="AB193" s="45"/>
      <c r="AC193" s="45"/>
      <c r="AF193" s="45"/>
    </row>
    <row r="194" spans="1:32" x14ac:dyDescent="0.35">
      <c r="B194" s="122"/>
      <c r="C194" s="123"/>
      <c r="D194" s="122"/>
      <c r="E194" s="124"/>
      <c r="F194" s="125"/>
      <c r="G194" s="126"/>
      <c r="H194" s="127"/>
      <c r="I194" s="128"/>
      <c r="J194" s="128"/>
      <c r="K194" s="128"/>
      <c r="L194" s="128"/>
      <c r="M194" s="126">
        <f t="shared" si="57"/>
        <v>0</v>
      </c>
      <c r="N194" s="126">
        <v>0</v>
      </c>
      <c r="O194" s="126">
        <f t="shared" si="62"/>
        <v>0</v>
      </c>
      <c r="P194" s="126">
        <v>0</v>
      </c>
      <c r="Q194" s="128"/>
      <c r="R194" s="126">
        <v>0</v>
      </c>
      <c r="S194" s="129"/>
      <c r="T194" s="126">
        <f t="shared" si="58"/>
        <v>0</v>
      </c>
      <c r="U194" s="126">
        <f t="shared" si="59"/>
        <v>0</v>
      </c>
      <c r="V194" s="126">
        <f t="shared" si="60"/>
        <v>0</v>
      </c>
      <c r="W194" s="126">
        <v>0</v>
      </c>
      <c r="X194" s="126">
        <f t="shared" si="61"/>
        <v>0</v>
      </c>
      <c r="Y194" s="130"/>
    </row>
    <row r="195" spans="1:32" x14ac:dyDescent="0.35">
      <c r="B195" s="122"/>
      <c r="C195" s="123"/>
      <c r="D195" s="122"/>
      <c r="E195" s="124"/>
      <c r="F195" s="125"/>
      <c r="G195" s="126">
        <f t="shared" si="56"/>
        <v>0</v>
      </c>
      <c r="H195" s="127"/>
      <c r="I195" s="128"/>
      <c r="J195" s="128"/>
      <c r="K195" s="128"/>
      <c r="L195" s="128"/>
      <c r="M195" s="126">
        <f t="shared" si="57"/>
        <v>0</v>
      </c>
      <c r="N195" s="126">
        <v>0</v>
      </c>
      <c r="O195" s="126">
        <f t="shared" si="62"/>
        <v>0</v>
      </c>
      <c r="P195" s="126">
        <v>0</v>
      </c>
      <c r="Q195" s="128"/>
      <c r="R195" s="126">
        <v>0</v>
      </c>
      <c r="S195" s="129"/>
      <c r="T195" s="126">
        <f t="shared" si="58"/>
        <v>0</v>
      </c>
      <c r="U195" s="126">
        <f t="shared" si="59"/>
        <v>0</v>
      </c>
      <c r="V195" s="126">
        <f t="shared" si="60"/>
        <v>0</v>
      </c>
      <c r="W195" s="126">
        <v>0</v>
      </c>
      <c r="X195" s="126">
        <f t="shared" si="61"/>
        <v>0</v>
      </c>
      <c r="Y195" s="130"/>
    </row>
    <row r="196" spans="1:32" x14ac:dyDescent="0.35">
      <c r="A196" s="45">
        <v>1</v>
      </c>
      <c r="B196" s="122" t="s">
        <v>474</v>
      </c>
      <c r="C196" s="123" t="s">
        <v>174</v>
      </c>
      <c r="D196" s="122">
        <v>1</v>
      </c>
      <c r="E196" s="124">
        <v>500</v>
      </c>
      <c r="F196" s="125">
        <f t="shared" si="55"/>
        <v>15000</v>
      </c>
      <c r="G196" s="126">
        <f t="shared" si="56"/>
        <v>180000</v>
      </c>
      <c r="H196" s="127"/>
      <c r="I196" s="128"/>
      <c r="J196" s="128"/>
      <c r="K196" s="128"/>
      <c r="L196" s="128"/>
      <c r="M196" s="126">
        <f t="shared" si="57"/>
        <v>0</v>
      </c>
      <c r="N196" s="126">
        <v>0</v>
      </c>
      <c r="O196" s="126">
        <f t="shared" si="62"/>
        <v>625</v>
      </c>
      <c r="P196" s="126">
        <v>0</v>
      </c>
      <c r="Q196" s="128"/>
      <c r="R196" s="126">
        <v>1750</v>
      </c>
      <c r="S196" s="129"/>
      <c r="T196" s="126">
        <f t="shared" si="58"/>
        <v>521.25</v>
      </c>
      <c r="U196" s="126">
        <f t="shared" si="59"/>
        <v>347.5</v>
      </c>
      <c r="V196" s="126">
        <f t="shared" si="60"/>
        <v>547.3125</v>
      </c>
      <c r="W196" s="126">
        <v>0</v>
      </c>
      <c r="X196" s="126">
        <f t="shared" si="61"/>
        <v>868.75</v>
      </c>
      <c r="Y196" s="130"/>
    </row>
    <row r="197" spans="1:32" x14ac:dyDescent="0.35">
      <c r="A197" s="45">
        <v>1</v>
      </c>
      <c r="B197" s="122" t="s">
        <v>492</v>
      </c>
      <c r="C197" s="123" t="s">
        <v>174</v>
      </c>
      <c r="D197" s="122">
        <v>1</v>
      </c>
      <c r="E197" s="124">
        <v>500</v>
      </c>
      <c r="F197" s="125">
        <f t="shared" si="55"/>
        <v>15000</v>
      </c>
      <c r="G197" s="126">
        <f t="shared" si="56"/>
        <v>180000</v>
      </c>
      <c r="H197" s="127"/>
      <c r="I197" s="128"/>
      <c r="J197" s="128"/>
      <c r="K197" s="128"/>
      <c r="L197" s="128"/>
      <c r="M197" s="126">
        <f t="shared" si="57"/>
        <v>0</v>
      </c>
      <c r="N197" s="126">
        <v>0</v>
      </c>
      <c r="O197" s="126">
        <f t="shared" si="62"/>
        <v>625</v>
      </c>
      <c r="P197" s="126">
        <v>0</v>
      </c>
      <c r="Q197" s="128"/>
      <c r="R197" s="126">
        <v>1750</v>
      </c>
      <c r="S197" s="129"/>
      <c r="T197" s="126">
        <f t="shared" si="58"/>
        <v>521.25</v>
      </c>
      <c r="U197" s="126">
        <f t="shared" si="59"/>
        <v>347.5</v>
      </c>
      <c r="V197" s="126">
        <f t="shared" si="60"/>
        <v>547.3125</v>
      </c>
      <c r="W197" s="126">
        <v>0</v>
      </c>
      <c r="X197" s="126">
        <f t="shared" si="61"/>
        <v>868.75</v>
      </c>
      <c r="Y197" s="130"/>
    </row>
    <row r="198" spans="1:32" x14ac:dyDescent="0.35">
      <c r="A198" s="45">
        <v>1</v>
      </c>
      <c r="B198" s="122" t="s">
        <v>492</v>
      </c>
      <c r="C198" s="123" t="s">
        <v>174</v>
      </c>
      <c r="D198" s="122">
        <v>1</v>
      </c>
      <c r="E198" s="124">
        <v>500</v>
      </c>
      <c r="F198" s="125">
        <f t="shared" si="55"/>
        <v>15000</v>
      </c>
      <c r="G198" s="126">
        <f t="shared" si="56"/>
        <v>180000</v>
      </c>
      <c r="H198" s="127"/>
      <c r="I198" s="128"/>
      <c r="J198" s="128"/>
      <c r="K198" s="128"/>
      <c r="L198" s="128"/>
      <c r="M198" s="126">
        <f t="shared" si="57"/>
        <v>0</v>
      </c>
      <c r="N198" s="126">
        <v>0</v>
      </c>
      <c r="O198" s="126">
        <f t="shared" si="62"/>
        <v>625</v>
      </c>
      <c r="P198" s="126">
        <v>0</v>
      </c>
      <c r="Q198" s="128"/>
      <c r="R198" s="126">
        <v>1750</v>
      </c>
      <c r="S198" s="129"/>
      <c r="T198" s="126">
        <f t="shared" si="58"/>
        <v>521.25</v>
      </c>
      <c r="U198" s="126">
        <f t="shared" si="59"/>
        <v>347.5</v>
      </c>
      <c r="V198" s="126">
        <f t="shared" si="60"/>
        <v>547.3125</v>
      </c>
      <c r="W198" s="126">
        <v>0</v>
      </c>
      <c r="X198" s="126">
        <f t="shared" si="61"/>
        <v>868.75</v>
      </c>
      <c r="Y198" s="130"/>
    </row>
    <row r="199" spans="1:32" x14ac:dyDescent="0.35">
      <c r="B199" s="122" t="s">
        <v>493</v>
      </c>
      <c r="C199" s="123" t="s">
        <v>494</v>
      </c>
      <c r="D199" s="122">
        <v>1</v>
      </c>
      <c r="E199" s="124">
        <v>533.33000000000004</v>
      </c>
      <c r="F199" s="125">
        <v>16000</v>
      </c>
      <c r="G199" s="126">
        <f t="shared" si="56"/>
        <v>192000</v>
      </c>
      <c r="H199" s="127"/>
      <c r="I199" s="128"/>
      <c r="J199" s="128"/>
      <c r="K199" s="128"/>
      <c r="L199" s="128"/>
      <c r="M199" s="126">
        <f t="shared" si="57"/>
        <v>0</v>
      </c>
      <c r="N199" s="126">
        <v>0</v>
      </c>
      <c r="O199" s="126">
        <f t="shared" si="62"/>
        <v>666.66666666666674</v>
      </c>
      <c r="P199" s="126">
        <v>0</v>
      </c>
      <c r="Q199" s="128"/>
      <c r="R199" s="126">
        <v>1866.6550000000002</v>
      </c>
      <c r="S199" s="129"/>
      <c r="T199" s="126">
        <f t="shared" si="58"/>
        <v>555.99964999999997</v>
      </c>
      <c r="U199" s="126">
        <f t="shared" si="59"/>
        <v>370.66643333333332</v>
      </c>
      <c r="V199" s="126">
        <f t="shared" si="60"/>
        <v>583.79963250000003</v>
      </c>
      <c r="W199" s="126">
        <v>0</v>
      </c>
      <c r="X199" s="126">
        <f t="shared" si="61"/>
        <v>926.6660833333334</v>
      </c>
      <c r="Y199" s="130"/>
    </row>
    <row r="200" spans="1:32" x14ac:dyDescent="0.35">
      <c r="B200" s="122"/>
      <c r="C200" s="123" t="s">
        <v>175</v>
      </c>
      <c r="D200" s="122">
        <v>0</v>
      </c>
      <c r="E200" s="124">
        <v>0</v>
      </c>
      <c r="F200" s="125">
        <f t="shared" si="55"/>
        <v>0</v>
      </c>
      <c r="G200" s="126">
        <f t="shared" si="56"/>
        <v>0</v>
      </c>
      <c r="H200" s="127"/>
      <c r="I200" s="128"/>
      <c r="J200" s="128"/>
      <c r="K200" s="128"/>
      <c r="L200" s="128"/>
      <c r="M200" s="126">
        <f t="shared" si="57"/>
        <v>0</v>
      </c>
      <c r="N200" s="126">
        <v>0</v>
      </c>
      <c r="O200" s="126">
        <f t="shared" si="62"/>
        <v>0</v>
      </c>
      <c r="P200" s="126">
        <v>0</v>
      </c>
      <c r="Q200" s="128"/>
      <c r="R200" s="126">
        <f t="shared" ref="R200:R201" si="63">+P200*25%</f>
        <v>0</v>
      </c>
      <c r="S200" s="129"/>
      <c r="T200" s="126">
        <f t="shared" si="58"/>
        <v>0</v>
      </c>
      <c r="U200" s="126">
        <f t="shared" si="59"/>
        <v>0</v>
      </c>
      <c r="V200" s="126">
        <f t="shared" si="60"/>
        <v>0</v>
      </c>
      <c r="W200" s="126">
        <v>0</v>
      </c>
      <c r="X200" s="126">
        <f t="shared" si="61"/>
        <v>0</v>
      </c>
      <c r="Y200" s="130"/>
    </row>
    <row r="201" spans="1:32" x14ac:dyDescent="0.35">
      <c r="B201" s="122"/>
      <c r="C201" s="123" t="s">
        <v>175</v>
      </c>
      <c r="D201" s="122">
        <v>0</v>
      </c>
      <c r="E201" s="124">
        <v>0</v>
      </c>
      <c r="F201" s="125">
        <f t="shared" si="55"/>
        <v>0</v>
      </c>
      <c r="G201" s="126">
        <f t="shared" si="56"/>
        <v>0</v>
      </c>
      <c r="H201" s="127"/>
      <c r="I201" s="128"/>
      <c r="J201" s="128"/>
      <c r="K201" s="128"/>
      <c r="L201" s="128"/>
      <c r="M201" s="126">
        <f t="shared" si="57"/>
        <v>0</v>
      </c>
      <c r="N201" s="126">
        <v>0</v>
      </c>
      <c r="O201" s="126">
        <f t="shared" si="62"/>
        <v>0</v>
      </c>
      <c r="P201" s="126">
        <f t="shared" ref="P201" si="64">+E201*14</f>
        <v>0</v>
      </c>
      <c r="Q201" s="128"/>
      <c r="R201" s="126">
        <f t="shared" si="63"/>
        <v>0</v>
      </c>
      <c r="S201" s="129"/>
      <c r="T201" s="126">
        <f t="shared" si="58"/>
        <v>0</v>
      </c>
      <c r="U201" s="126">
        <f t="shared" si="59"/>
        <v>0</v>
      </c>
      <c r="V201" s="126">
        <f t="shared" si="60"/>
        <v>0</v>
      </c>
      <c r="W201" s="126">
        <v>0</v>
      </c>
      <c r="X201" s="126">
        <f t="shared" si="61"/>
        <v>0</v>
      </c>
      <c r="Y201" s="130"/>
    </row>
    <row r="202" spans="1:32" x14ac:dyDescent="0.35">
      <c r="B202" s="122"/>
      <c r="C202" s="123"/>
      <c r="D202" s="131">
        <f>+SUM(D168:D201)</f>
        <v>30</v>
      </c>
      <c r="E202" s="131">
        <f t="shared" ref="E202:X202" si="65">+SUM(E168:E201)</f>
        <v>14453.617000333332</v>
      </c>
      <c r="F202" s="132">
        <f>+SUM(F168:F201)</f>
        <v>433608.61000999995</v>
      </c>
      <c r="G202" s="133">
        <f>+SUM(G168:G201)</f>
        <v>5203303.3201199993</v>
      </c>
      <c r="H202" s="134">
        <f>+SUM(H168:H201)</f>
        <v>0</v>
      </c>
      <c r="I202" s="133">
        <f t="shared" si="65"/>
        <v>0</v>
      </c>
      <c r="J202" s="133">
        <f t="shared" si="65"/>
        <v>0</v>
      </c>
      <c r="K202" s="133">
        <f t="shared" si="65"/>
        <v>0</v>
      </c>
      <c r="L202" s="133">
        <f t="shared" si="65"/>
        <v>0</v>
      </c>
      <c r="M202" s="133">
        <f t="shared" si="65"/>
        <v>0</v>
      </c>
      <c r="N202" s="133">
        <f t="shared" si="65"/>
        <v>0</v>
      </c>
      <c r="O202" s="133">
        <f t="shared" si="65"/>
        <v>18067.025417083332</v>
      </c>
      <c r="P202" s="133">
        <f>+SUM(P168:P201)/12</f>
        <v>0</v>
      </c>
      <c r="Q202" s="133">
        <f t="shared" si="65"/>
        <v>0</v>
      </c>
      <c r="R202" s="133">
        <f>+SUM(R168:R201)/12</f>
        <v>4215.6382917638894</v>
      </c>
      <c r="S202" s="133">
        <f t="shared" si="65"/>
        <v>0</v>
      </c>
      <c r="T202" s="133">
        <f>+SUM(T168:T201)</f>
        <v>15067.898847847497</v>
      </c>
      <c r="U202" s="133">
        <f>+SUM(U168:U201)</f>
        <v>10045.265898565001</v>
      </c>
      <c r="V202" s="133">
        <f>+SUM(V168:V201)</f>
        <v>15821.293790239875</v>
      </c>
      <c r="W202" s="133">
        <f t="shared" si="65"/>
        <v>0</v>
      </c>
      <c r="X202" s="133">
        <f t="shared" si="65"/>
        <v>25113.164746412494</v>
      </c>
      <c r="Y202" s="130"/>
    </row>
    <row r="203" spans="1:32" x14ac:dyDescent="0.35">
      <c r="A203" s="45">
        <f>SUM(A168:A201)</f>
        <v>13</v>
      </c>
    </row>
  </sheetData>
  <mergeCells count="2">
    <mergeCell ref="A70:B72"/>
    <mergeCell ref="B166:B167"/>
  </mergeCells>
  <pageMargins left="0.75" right="0.75" top="0.57999999999999996" bottom="1" header="0.5" footer="0.5"/>
  <pageSetup scale="60" fitToWidth="3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687E-A9CD-4C4A-A2A8-602AFA348885}">
  <dimension ref="A1:U14"/>
  <sheetViews>
    <sheetView topLeftCell="C1" zoomScale="70" zoomScaleNormal="70" workbookViewId="0">
      <selection activeCell="H12" sqref="H12"/>
    </sheetView>
  </sheetViews>
  <sheetFormatPr baseColWidth="10" defaultColWidth="8.7265625" defaultRowHeight="14.5" x14ac:dyDescent="0.35"/>
  <cols>
    <col min="1" max="1" width="5.453125" bestFit="1" customWidth="1"/>
    <col min="2" max="2" width="19.1796875" bestFit="1" customWidth="1"/>
    <col min="3" max="3" width="12.7265625" bestFit="1" customWidth="1"/>
    <col min="4" max="4" width="12.26953125" bestFit="1" customWidth="1"/>
    <col min="5" max="5" width="22" bestFit="1" customWidth="1"/>
    <col min="6" max="6" width="11.54296875" bestFit="1" customWidth="1"/>
    <col min="7" max="7" width="32.54296875" bestFit="1" customWidth="1"/>
    <col min="8" max="9" width="12.54296875" bestFit="1" customWidth="1"/>
    <col min="10" max="10" width="12.54296875" customWidth="1"/>
    <col min="11" max="11" width="12.54296875" bestFit="1" customWidth="1"/>
    <col min="12" max="12" width="12.54296875" customWidth="1"/>
    <col min="13" max="13" width="5.453125" bestFit="1" customWidth="1"/>
    <col min="14" max="14" width="12.1796875" bestFit="1" customWidth="1"/>
    <col min="15" max="16" width="5.453125" bestFit="1" customWidth="1"/>
    <col min="17" max="17" width="11" bestFit="1" customWidth="1"/>
    <col min="18" max="18" width="12.1796875" bestFit="1" customWidth="1"/>
    <col min="19" max="19" width="11.453125" bestFit="1" customWidth="1"/>
    <col min="20" max="20" width="12.1796875" bestFit="1" customWidth="1"/>
    <col min="21" max="21" width="14" bestFit="1" customWidth="1"/>
  </cols>
  <sheetData>
    <row r="1" spans="1:21" ht="116.25" customHeight="1" x14ac:dyDescent="0.35">
      <c r="A1" s="159" t="s">
        <v>200</v>
      </c>
      <c r="B1" s="159" t="s">
        <v>201</v>
      </c>
      <c r="C1" s="159" t="s">
        <v>202</v>
      </c>
      <c r="D1" s="159" t="s">
        <v>203</v>
      </c>
      <c r="E1" s="159" t="s">
        <v>204</v>
      </c>
      <c r="F1" s="159" t="s">
        <v>205</v>
      </c>
      <c r="G1" s="159" t="s">
        <v>206</v>
      </c>
      <c r="H1" s="160" t="s">
        <v>207</v>
      </c>
      <c r="I1" s="159" t="s">
        <v>161</v>
      </c>
      <c r="J1" s="159" t="s">
        <v>425</v>
      </c>
      <c r="K1" s="159" t="s">
        <v>208</v>
      </c>
      <c r="L1" s="326" t="s">
        <v>149</v>
      </c>
      <c r="M1" s="159" t="s">
        <v>209</v>
      </c>
      <c r="N1" s="159" t="s">
        <v>210</v>
      </c>
      <c r="O1" s="159" t="s">
        <v>211</v>
      </c>
      <c r="P1" s="159" t="s">
        <v>212</v>
      </c>
      <c r="Q1" s="159" t="s">
        <v>213</v>
      </c>
      <c r="R1" s="159" t="s">
        <v>214</v>
      </c>
      <c r="S1" s="159" t="s">
        <v>215</v>
      </c>
      <c r="T1" s="159" t="s">
        <v>216</v>
      </c>
      <c r="U1" s="159" t="s">
        <v>217</v>
      </c>
    </row>
    <row r="2" spans="1:21" ht="16" x14ac:dyDescent="0.35">
      <c r="A2" s="161" t="s">
        <v>218</v>
      </c>
      <c r="B2" s="161" t="s">
        <v>219</v>
      </c>
      <c r="C2" s="161" t="s">
        <v>220</v>
      </c>
      <c r="D2" s="161" t="s">
        <v>221</v>
      </c>
      <c r="E2" s="162" t="s">
        <v>222</v>
      </c>
      <c r="F2" s="162" t="s">
        <v>223</v>
      </c>
      <c r="G2" s="162" t="s">
        <v>224</v>
      </c>
      <c r="H2" s="163">
        <v>70000</v>
      </c>
      <c r="I2" s="164">
        <f>+H2/2</f>
        <v>35000</v>
      </c>
      <c r="J2" s="164">
        <v>7000</v>
      </c>
      <c r="K2" s="164">
        <f t="shared" ref="K2:K7" si="0">H2/12</f>
        <v>5833.333333333333</v>
      </c>
      <c r="L2" s="164">
        <f>+(H2/30)*12</f>
        <v>28000</v>
      </c>
      <c r="M2" s="164"/>
      <c r="N2" s="164">
        <v>10000</v>
      </c>
      <c r="O2" s="164"/>
      <c r="P2" s="164"/>
      <c r="Q2" s="164">
        <v>10000</v>
      </c>
      <c r="R2" s="164">
        <f t="shared" ref="R2:R7" si="1">H2+I2+Q2</f>
        <v>115000</v>
      </c>
      <c r="S2" s="164">
        <f t="shared" ref="S2:S7" si="2">K2+M2+N2+O2+P2</f>
        <v>15833.333333333332</v>
      </c>
      <c r="T2" s="164">
        <f t="shared" ref="T2:T7" si="3">R2+S2</f>
        <v>130833.33333333333</v>
      </c>
      <c r="U2" s="164">
        <f t="shared" ref="U2:U7" si="4">T2*12</f>
        <v>1570000</v>
      </c>
    </row>
    <row r="3" spans="1:21" ht="16" x14ac:dyDescent="0.35">
      <c r="A3" s="161" t="s">
        <v>218</v>
      </c>
      <c r="B3" s="161" t="s">
        <v>225</v>
      </c>
      <c r="C3" s="161" t="s">
        <v>226</v>
      </c>
      <c r="D3" s="161" t="s">
        <v>227</v>
      </c>
      <c r="E3" s="162" t="s">
        <v>228</v>
      </c>
      <c r="F3" s="162" t="s">
        <v>223</v>
      </c>
      <c r="G3" s="162" t="s">
        <v>229</v>
      </c>
      <c r="H3" s="163">
        <v>70000</v>
      </c>
      <c r="I3" s="164">
        <f t="shared" ref="I3:I7" si="5">+H3/2</f>
        <v>35000</v>
      </c>
      <c r="J3" s="164">
        <v>8166.666666666667</v>
      </c>
      <c r="K3" s="164">
        <f t="shared" si="0"/>
        <v>5833.333333333333</v>
      </c>
      <c r="L3" s="164">
        <f>+(H3/30)*14</f>
        <v>32666.666666666668</v>
      </c>
      <c r="M3" s="164"/>
      <c r="N3" s="164">
        <v>10000</v>
      </c>
      <c r="O3" s="164"/>
      <c r="P3" s="164"/>
      <c r="Q3" s="164">
        <v>10000</v>
      </c>
      <c r="R3" s="164">
        <f t="shared" si="1"/>
        <v>115000</v>
      </c>
      <c r="S3" s="164">
        <f t="shared" si="2"/>
        <v>15833.333333333332</v>
      </c>
      <c r="T3" s="164">
        <f t="shared" si="3"/>
        <v>130833.33333333333</v>
      </c>
      <c r="U3" s="164">
        <f t="shared" si="4"/>
        <v>1570000</v>
      </c>
    </row>
    <row r="4" spans="1:21" ht="16" x14ac:dyDescent="0.35">
      <c r="A4" s="165" t="s">
        <v>218</v>
      </c>
      <c r="B4" s="161" t="s">
        <v>230</v>
      </c>
      <c r="C4" s="161" t="s">
        <v>231</v>
      </c>
      <c r="D4" s="161" t="s">
        <v>232</v>
      </c>
      <c r="E4" s="162" t="s">
        <v>223</v>
      </c>
      <c r="F4" s="162" t="s">
        <v>223</v>
      </c>
      <c r="G4" s="162" t="s">
        <v>233</v>
      </c>
      <c r="H4" s="163">
        <v>80000</v>
      </c>
      <c r="I4" s="164">
        <f t="shared" si="5"/>
        <v>40000</v>
      </c>
      <c r="J4" s="164">
        <v>9333.3333333333321</v>
      </c>
      <c r="K4" s="164">
        <f t="shared" si="0"/>
        <v>6666.666666666667</v>
      </c>
      <c r="L4" s="164">
        <f>+(H4/30)*14</f>
        <v>37333.333333333328</v>
      </c>
      <c r="M4" s="164"/>
      <c r="N4" s="166">
        <f>40000000*0.02/12</f>
        <v>66666.666666666672</v>
      </c>
      <c r="O4" s="164"/>
      <c r="P4" s="164"/>
      <c r="Q4" s="164">
        <v>18000</v>
      </c>
      <c r="R4" s="164">
        <f t="shared" si="1"/>
        <v>138000</v>
      </c>
      <c r="S4" s="164">
        <f t="shared" si="2"/>
        <v>73333.333333333343</v>
      </c>
      <c r="T4" s="164">
        <f t="shared" si="3"/>
        <v>211333.33333333334</v>
      </c>
      <c r="U4" s="164">
        <f t="shared" si="4"/>
        <v>2536000</v>
      </c>
    </row>
    <row r="5" spans="1:21" ht="16" x14ac:dyDescent="0.35">
      <c r="A5" s="161" t="s">
        <v>218</v>
      </c>
      <c r="B5" s="161" t="s">
        <v>234</v>
      </c>
      <c r="C5" s="161" t="s">
        <v>235</v>
      </c>
      <c r="D5" s="161" t="s">
        <v>236</v>
      </c>
      <c r="E5" s="162" t="s">
        <v>237</v>
      </c>
      <c r="F5" s="162" t="s">
        <v>223</v>
      </c>
      <c r="G5" s="162" t="s">
        <v>238</v>
      </c>
      <c r="H5" s="163">
        <v>60000</v>
      </c>
      <c r="I5" s="164">
        <f t="shared" si="5"/>
        <v>30000</v>
      </c>
      <c r="J5" s="164">
        <v>7000</v>
      </c>
      <c r="K5" s="164">
        <f t="shared" si="0"/>
        <v>5000</v>
      </c>
      <c r="L5" s="164">
        <f>+(H5/30)*14</f>
        <v>28000</v>
      </c>
      <c r="M5" s="164"/>
      <c r="N5" s="164">
        <v>5000</v>
      </c>
      <c r="O5" s="164"/>
      <c r="P5" s="164"/>
      <c r="Q5" s="164">
        <v>5000</v>
      </c>
      <c r="R5" s="164">
        <f t="shared" si="1"/>
        <v>95000</v>
      </c>
      <c r="S5" s="164">
        <f t="shared" si="2"/>
        <v>10000</v>
      </c>
      <c r="T5" s="164">
        <f t="shared" si="3"/>
        <v>105000</v>
      </c>
      <c r="U5" s="164">
        <f t="shared" si="4"/>
        <v>1260000</v>
      </c>
    </row>
    <row r="6" spans="1:21" ht="16" x14ac:dyDescent="0.35">
      <c r="A6" s="161" t="s">
        <v>218</v>
      </c>
      <c r="B6" s="161" t="s">
        <v>239</v>
      </c>
      <c r="C6" s="161" t="s">
        <v>240</v>
      </c>
      <c r="D6" s="161" t="s">
        <v>241</v>
      </c>
      <c r="E6" s="162" t="s">
        <v>242</v>
      </c>
      <c r="F6" s="162" t="s">
        <v>223</v>
      </c>
      <c r="G6" s="162" t="s">
        <v>243</v>
      </c>
      <c r="H6" s="163">
        <v>60000</v>
      </c>
      <c r="I6" s="164">
        <f t="shared" si="5"/>
        <v>30000</v>
      </c>
      <c r="J6" s="164">
        <v>6000</v>
      </c>
      <c r="K6" s="164">
        <f t="shared" si="0"/>
        <v>5000</v>
      </c>
      <c r="L6" s="164">
        <f>+(H6/30)*12</f>
        <v>24000</v>
      </c>
      <c r="M6" s="164"/>
      <c r="N6" s="164">
        <v>10000</v>
      </c>
      <c r="O6" s="164"/>
      <c r="P6" s="164"/>
      <c r="Q6" s="164">
        <v>10000</v>
      </c>
      <c r="R6" s="164">
        <f t="shared" si="1"/>
        <v>100000</v>
      </c>
      <c r="S6" s="164">
        <f t="shared" si="2"/>
        <v>15000</v>
      </c>
      <c r="T6" s="164">
        <f t="shared" si="3"/>
        <v>115000</v>
      </c>
      <c r="U6" s="164">
        <f t="shared" si="4"/>
        <v>1380000</v>
      </c>
    </row>
    <row r="7" spans="1:21" ht="16" x14ac:dyDescent="0.35">
      <c r="A7" s="161" t="s">
        <v>218</v>
      </c>
      <c r="B7" s="161" t="s">
        <v>244</v>
      </c>
      <c r="C7" s="161" t="s">
        <v>245</v>
      </c>
      <c r="D7" s="161" t="s">
        <v>246</v>
      </c>
      <c r="E7" s="162" t="s">
        <v>247</v>
      </c>
      <c r="F7" s="162" t="s">
        <v>223</v>
      </c>
      <c r="G7" s="162" t="s">
        <v>248</v>
      </c>
      <c r="H7" s="163">
        <v>39500</v>
      </c>
      <c r="I7" s="164">
        <f t="shared" si="5"/>
        <v>19750</v>
      </c>
      <c r="J7" s="164">
        <v>7241.666666666667</v>
      </c>
      <c r="K7" s="164">
        <f t="shared" si="0"/>
        <v>3291.6666666666665</v>
      </c>
      <c r="L7" s="164">
        <f>+(H7/30)*22</f>
        <v>28966.666666666668</v>
      </c>
      <c r="M7" s="164"/>
      <c r="N7" s="164">
        <v>5000</v>
      </c>
      <c r="O7" s="164"/>
      <c r="P7" s="164"/>
      <c r="Q7" s="164">
        <v>5000</v>
      </c>
      <c r="R7" s="164">
        <f t="shared" si="1"/>
        <v>64250</v>
      </c>
      <c r="S7" s="164">
        <f t="shared" si="2"/>
        <v>8291.6666666666661</v>
      </c>
      <c r="T7" s="164">
        <f t="shared" si="3"/>
        <v>72541.666666666672</v>
      </c>
      <c r="U7" s="164">
        <f t="shared" si="4"/>
        <v>870500</v>
      </c>
    </row>
    <row r="8" spans="1:21" ht="15.5" x14ac:dyDescent="0.35">
      <c r="B8" s="161"/>
      <c r="C8" s="161"/>
      <c r="D8" s="161"/>
      <c r="H8" s="325">
        <f>SUM(H2:H7)</f>
        <v>379500</v>
      </c>
      <c r="I8" s="164">
        <f>SUM(I2:I7)</f>
        <v>189750</v>
      </c>
      <c r="J8" s="164">
        <f>SUM(J2:J7)</f>
        <v>44741.666666666664</v>
      </c>
      <c r="K8" s="325">
        <f>SUM(K2:K7)</f>
        <v>31625</v>
      </c>
      <c r="L8" s="164">
        <f t="shared" ref="L8" si="6">SUM(L2:L7)</f>
        <v>178966.66666666666</v>
      </c>
      <c r="N8" s="164">
        <f>SUM(N2:N7)</f>
        <v>106666.66666666667</v>
      </c>
    </row>
    <row r="9" spans="1:21" x14ac:dyDescent="0.35">
      <c r="I9" s="325">
        <f>+I8/12</f>
        <v>15812.5</v>
      </c>
      <c r="J9" s="325">
        <f>+J8/12</f>
        <v>3728.4722222222222</v>
      </c>
      <c r="K9" s="164"/>
      <c r="L9" s="164"/>
      <c r="N9" s="325">
        <f>+N8/3</f>
        <v>35555.555555555555</v>
      </c>
    </row>
    <row r="10" spans="1:21" ht="15" thickBot="1" x14ac:dyDescent="0.4">
      <c r="H10" s="327">
        <f>+H8+I9+J9+K8+N9</f>
        <v>466221.52777777781</v>
      </c>
      <c r="I10" s="164"/>
      <c r="J10" s="164"/>
      <c r="L10" s="164"/>
    </row>
    <row r="11" spans="1:21" ht="16" thickTop="1" x14ac:dyDescent="0.35">
      <c r="G11" s="167" t="s">
        <v>249</v>
      </c>
      <c r="H11" s="164">
        <f>+H10*1.05</f>
        <v>489532.60416666674</v>
      </c>
      <c r="I11" s="164"/>
      <c r="J11" s="164"/>
      <c r="L11" s="164"/>
      <c r="M11" s="167"/>
      <c r="N11" s="164"/>
    </row>
    <row r="12" spans="1:21" ht="15.5" x14ac:dyDescent="0.35">
      <c r="G12" s="167" t="s">
        <v>250</v>
      </c>
      <c r="H12" s="164">
        <f>+H11</f>
        <v>489532.60416666674</v>
      </c>
      <c r="M12" s="167"/>
      <c r="N12" s="164"/>
    </row>
    <row r="14" spans="1:21" x14ac:dyDescent="0.35">
      <c r="I14" s="164"/>
      <c r="J14" s="164"/>
      <c r="L14" s="16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6E07-F143-41C1-ADA6-6D45A5411D9C}">
  <dimension ref="A1:O17"/>
  <sheetViews>
    <sheetView topLeftCell="A7" workbookViewId="0">
      <selection activeCell="C18" sqref="C18"/>
    </sheetView>
  </sheetViews>
  <sheetFormatPr baseColWidth="10" defaultColWidth="9.1796875" defaultRowHeight="14.5" x14ac:dyDescent="0.35"/>
  <cols>
    <col min="1" max="1" width="12.81640625" bestFit="1" customWidth="1"/>
    <col min="2" max="2" width="10.81640625" bestFit="1" customWidth="1"/>
    <col min="3" max="3" width="10.54296875" customWidth="1"/>
    <col min="5" max="5" width="10.7265625" customWidth="1"/>
    <col min="6" max="6" width="10.54296875" bestFit="1" customWidth="1"/>
    <col min="7" max="8" width="11.54296875" bestFit="1" customWidth="1"/>
    <col min="9" max="9" width="10.54296875" bestFit="1" customWidth="1"/>
    <col min="10" max="11" width="6.81640625" bestFit="1" customWidth="1"/>
    <col min="12" max="12" width="10.54296875" bestFit="1" customWidth="1"/>
    <col min="13" max="15" width="11.54296875" bestFit="1" customWidth="1"/>
  </cols>
  <sheetData>
    <row r="1" spans="1:15" ht="15" thickBot="1" x14ac:dyDescent="0.4">
      <c r="C1" s="333">
        <v>46023</v>
      </c>
      <c r="D1" s="333">
        <v>46054</v>
      </c>
      <c r="E1" s="333">
        <v>46082</v>
      </c>
      <c r="F1" s="333">
        <v>46113</v>
      </c>
      <c r="G1" s="333">
        <v>46143</v>
      </c>
      <c r="H1" s="333">
        <v>46174</v>
      </c>
      <c r="I1" s="333">
        <v>46204</v>
      </c>
      <c r="J1" s="333">
        <v>46235</v>
      </c>
      <c r="K1" s="333">
        <v>46266</v>
      </c>
      <c r="L1" s="333">
        <v>46296</v>
      </c>
      <c r="M1" s="333">
        <v>46327</v>
      </c>
      <c r="N1" s="333">
        <v>46357</v>
      </c>
      <c r="O1" t="s">
        <v>605</v>
      </c>
    </row>
    <row r="2" spans="1:15" x14ac:dyDescent="0.35">
      <c r="A2" s="370" t="s">
        <v>218</v>
      </c>
      <c r="B2" s="338" t="s">
        <v>606</v>
      </c>
      <c r="C2" s="339">
        <v>3000</v>
      </c>
      <c r="D2" s="339"/>
      <c r="E2" s="339"/>
      <c r="F2" s="339">
        <v>3000</v>
      </c>
      <c r="G2" s="339">
        <v>3000</v>
      </c>
      <c r="H2" s="339"/>
      <c r="I2" s="339">
        <v>3000</v>
      </c>
      <c r="J2" s="339"/>
      <c r="K2" s="339"/>
      <c r="L2" s="339">
        <v>3000</v>
      </c>
      <c r="M2" s="339"/>
      <c r="N2" s="340"/>
      <c r="O2" s="341">
        <f>SUM(C2:N2)</f>
        <v>15000</v>
      </c>
    </row>
    <row r="3" spans="1:15" x14ac:dyDescent="0.35">
      <c r="A3" s="371"/>
      <c r="B3" s="342" t="s">
        <v>607</v>
      </c>
      <c r="C3" s="343"/>
      <c r="D3" s="343"/>
      <c r="E3" s="343"/>
      <c r="F3" s="343"/>
      <c r="G3" s="343">
        <v>2000</v>
      </c>
      <c r="H3" s="343"/>
      <c r="I3" s="343"/>
      <c r="J3" s="343"/>
      <c r="K3" s="343"/>
      <c r="L3" s="343"/>
      <c r="M3" s="343"/>
      <c r="N3" s="344"/>
      <c r="O3" s="341">
        <f t="shared" ref="O3:O16" si="0">SUM(C3:N3)</f>
        <v>2000</v>
      </c>
    </row>
    <row r="4" spans="1:15" x14ac:dyDescent="0.35">
      <c r="A4" s="371"/>
      <c r="B4" s="342" t="s">
        <v>608</v>
      </c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4"/>
      <c r="O4" s="341">
        <f t="shared" si="0"/>
        <v>0</v>
      </c>
    </row>
    <row r="5" spans="1:15" x14ac:dyDescent="0.35">
      <c r="A5" s="371"/>
      <c r="B5" s="342" t="s">
        <v>609</v>
      </c>
      <c r="C5" s="343"/>
      <c r="D5" s="343"/>
      <c r="E5" s="343"/>
      <c r="F5" s="343"/>
      <c r="G5" s="343">
        <v>1000</v>
      </c>
      <c r="H5" s="343"/>
      <c r="I5" s="343"/>
      <c r="J5" s="343"/>
      <c r="K5" s="343"/>
      <c r="L5" s="343"/>
      <c r="M5" s="343"/>
      <c r="N5" s="344"/>
      <c r="O5" s="341">
        <f t="shared" si="0"/>
        <v>1000</v>
      </c>
    </row>
    <row r="6" spans="1:15" ht="15" thickBot="1" x14ac:dyDescent="0.4">
      <c r="A6" s="372"/>
      <c r="B6" s="345" t="s">
        <v>610</v>
      </c>
      <c r="C6" s="346"/>
      <c r="D6" s="346"/>
      <c r="E6" s="346"/>
      <c r="F6" s="346"/>
      <c r="G6" s="346"/>
      <c r="H6" s="346"/>
      <c r="I6" s="346"/>
      <c r="J6" s="346"/>
      <c r="K6" s="346"/>
      <c r="L6" s="346"/>
      <c r="M6" s="346"/>
      <c r="N6" s="347"/>
      <c r="O6" s="341">
        <f t="shared" si="0"/>
        <v>0</v>
      </c>
    </row>
    <row r="7" spans="1:15" x14ac:dyDescent="0.35">
      <c r="A7" s="370" t="s">
        <v>611</v>
      </c>
      <c r="B7" s="338" t="s">
        <v>606</v>
      </c>
      <c r="C7" s="339">
        <v>4000</v>
      </c>
      <c r="D7" s="339"/>
      <c r="E7" s="339"/>
      <c r="F7" s="339">
        <v>4000</v>
      </c>
      <c r="G7" s="339"/>
      <c r="H7" s="339"/>
      <c r="I7" s="339">
        <v>4000</v>
      </c>
      <c r="J7" s="339"/>
      <c r="K7" s="339"/>
      <c r="L7" s="339">
        <v>4000</v>
      </c>
      <c r="M7" s="339"/>
      <c r="N7" s="340"/>
      <c r="O7" s="341">
        <f t="shared" si="0"/>
        <v>16000</v>
      </c>
    </row>
    <row r="8" spans="1:15" x14ac:dyDescent="0.35">
      <c r="A8" s="371"/>
      <c r="B8" s="342" t="s">
        <v>607</v>
      </c>
      <c r="C8" s="343"/>
      <c r="D8" s="343"/>
      <c r="E8" s="343"/>
      <c r="F8" s="343"/>
      <c r="G8" s="343"/>
      <c r="H8" s="343"/>
      <c r="I8" s="343"/>
      <c r="J8" s="343"/>
      <c r="K8" s="343"/>
      <c r="L8" s="343"/>
      <c r="M8" s="343"/>
      <c r="N8" s="344"/>
      <c r="O8" s="341">
        <f t="shared" si="0"/>
        <v>0</v>
      </c>
    </row>
    <row r="9" spans="1:15" x14ac:dyDescent="0.35">
      <c r="A9" s="371"/>
      <c r="B9" s="342" t="s">
        <v>608</v>
      </c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4"/>
      <c r="O9" s="341">
        <f t="shared" si="0"/>
        <v>0</v>
      </c>
    </row>
    <row r="10" spans="1:15" x14ac:dyDescent="0.35">
      <c r="A10" s="371"/>
      <c r="B10" s="342" t="s">
        <v>609</v>
      </c>
      <c r="C10" s="343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44"/>
      <c r="O10" s="341">
        <f t="shared" si="0"/>
        <v>0</v>
      </c>
    </row>
    <row r="11" spans="1:15" ht="15" thickBot="1" x14ac:dyDescent="0.4">
      <c r="A11" s="372"/>
      <c r="B11" s="345" t="s">
        <v>610</v>
      </c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7"/>
      <c r="O11" s="341">
        <f t="shared" si="0"/>
        <v>0</v>
      </c>
    </row>
    <row r="12" spans="1:15" x14ac:dyDescent="0.35">
      <c r="A12" s="370" t="s">
        <v>612</v>
      </c>
      <c r="B12" s="338" t="s">
        <v>606</v>
      </c>
      <c r="C12" s="339"/>
      <c r="D12" s="339"/>
      <c r="E12" s="339"/>
      <c r="F12" s="339"/>
      <c r="G12" s="339"/>
      <c r="H12" s="339">
        <v>10000</v>
      </c>
      <c r="I12" s="339"/>
      <c r="J12" s="339"/>
      <c r="K12" s="339"/>
      <c r="L12" s="339"/>
      <c r="M12" s="339"/>
      <c r="N12" s="340">
        <v>10000</v>
      </c>
      <c r="O12" s="341">
        <f t="shared" si="0"/>
        <v>20000</v>
      </c>
    </row>
    <row r="13" spans="1:15" x14ac:dyDescent="0.35">
      <c r="A13" s="371"/>
      <c r="B13" s="342" t="s">
        <v>607</v>
      </c>
      <c r="C13" s="343"/>
      <c r="D13" s="343"/>
      <c r="E13" s="343"/>
      <c r="F13" s="343"/>
      <c r="G13" s="343"/>
      <c r="H13" s="343">
        <v>10000</v>
      </c>
      <c r="I13" s="343"/>
      <c r="J13" s="343"/>
      <c r="K13" s="343"/>
      <c r="L13" s="343"/>
      <c r="M13" s="343"/>
      <c r="N13" s="344">
        <v>10000</v>
      </c>
      <c r="O13" s="341">
        <f t="shared" si="0"/>
        <v>20000</v>
      </c>
    </row>
    <row r="14" spans="1:15" x14ac:dyDescent="0.35">
      <c r="A14" s="371"/>
      <c r="B14" s="342" t="s">
        <v>608</v>
      </c>
      <c r="C14" s="343"/>
      <c r="D14" s="343"/>
      <c r="E14" s="343"/>
      <c r="F14" s="343"/>
      <c r="G14" s="343"/>
      <c r="H14" s="343"/>
      <c r="I14" s="343"/>
      <c r="J14" s="343"/>
      <c r="K14" s="343"/>
      <c r="L14" s="343"/>
      <c r="M14" s="343"/>
      <c r="N14" s="344"/>
      <c r="O14" s="341">
        <f t="shared" si="0"/>
        <v>0</v>
      </c>
    </row>
    <row r="15" spans="1:15" x14ac:dyDescent="0.35">
      <c r="A15" s="371"/>
      <c r="B15" s="342" t="s">
        <v>609</v>
      </c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4"/>
      <c r="O15" s="341">
        <f t="shared" si="0"/>
        <v>0</v>
      </c>
    </row>
    <row r="16" spans="1:15" ht="15" thickBot="1" x14ac:dyDescent="0.4">
      <c r="A16" s="372"/>
      <c r="B16" s="345" t="s">
        <v>610</v>
      </c>
      <c r="C16" s="346"/>
      <c r="D16" s="346"/>
      <c r="E16" s="346"/>
      <c r="F16" s="346"/>
      <c r="G16" s="346"/>
      <c r="H16" s="346"/>
      <c r="I16" s="346"/>
      <c r="J16" s="346"/>
      <c r="K16" s="346"/>
      <c r="L16" s="346"/>
      <c r="M16" s="346"/>
      <c r="N16" s="347"/>
      <c r="O16" s="341">
        <f t="shared" si="0"/>
        <v>0</v>
      </c>
    </row>
    <row r="17" spans="1:15" x14ac:dyDescent="0.35">
      <c r="A17" s="373" t="s">
        <v>613</v>
      </c>
      <c r="B17" s="374"/>
      <c r="C17" s="348">
        <f>SUM(C2:C16)</f>
        <v>7000</v>
      </c>
      <c r="D17" s="348">
        <f t="shared" ref="D17:O17" si="1">SUM(D2:D16)</f>
        <v>0</v>
      </c>
      <c r="E17" s="348">
        <f t="shared" si="1"/>
        <v>0</v>
      </c>
      <c r="F17" s="348">
        <f t="shared" si="1"/>
        <v>7000</v>
      </c>
      <c r="G17" s="348">
        <f t="shared" si="1"/>
        <v>6000</v>
      </c>
      <c r="H17" s="348">
        <f t="shared" si="1"/>
        <v>20000</v>
      </c>
      <c r="I17" s="348">
        <f t="shared" si="1"/>
        <v>7000</v>
      </c>
      <c r="J17" s="348">
        <f t="shared" si="1"/>
        <v>0</v>
      </c>
      <c r="K17" s="348">
        <f t="shared" si="1"/>
        <v>0</v>
      </c>
      <c r="L17" s="348">
        <f t="shared" si="1"/>
        <v>7000</v>
      </c>
      <c r="M17" s="348">
        <f t="shared" si="1"/>
        <v>0</v>
      </c>
      <c r="N17" s="348">
        <f t="shared" si="1"/>
        <v>20000</v>
      </c>
      <c r="O17" s="348">
        <f t="shared" si="1"/>
        <v>74000</v>
      </c>
    </row>
  </sheetData>
  <mergeCells count="4">
    <mergeCell ref="A2:A6"/>
    <mergeCell ref="A7:A11"/>
    <mergeCell ref="A12:A16"/>
    <mergeCell ref="A17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9145-0767-4032-AE30-4902F19FD954}">
  <dimension ref="A1:AH180"/>
  <sheetViews>
    <sheetView showGridLines="0" zoomScale="80" zoomScaleNormal="80" workbookViewId="0">
      <pane xSplit="3" ySplit="4" topLeftCell="D5" activePane="bottomRight" state="frozen"/>
      <selection activeCell="O30" sqref="O30"/>
      <selection pane="topRight" activeCell="O30" sqref="O30"/>
      <selection pane="bottomLeft" activeCell="O30" sqref="O30"/>
      <selection pane="bottomRight" activeCell="C26" sqref="C26"/>
    </sheetView>
  </sheetViews>
  <sheetFormatPr baseColWidth="10" defaultColWidth="9.1796875" defaultRowHeight="14.5" outlineLevelRow="1" outlineLevelCol="1" x14ac:dyDescent="0.35"/>
  <cols>
    <col min="1" max="1" width="9.1796875" style="45"/>
    <col min="2" max="2" width="14.54296875" style="91" customWidth="1"/>
    <col min="3" max="3" width="43.54296875" style="45" customWidth="1" collapsed="1"/>
    <col min="4" max="6" width="15.453125" style="45" customWidth="1" outlineLevel="1"/>
    <col min="7" max="7" width="16" style="45" bestFit="1" customWidth="1" outlineLevel="1"/>
    <col min="8" max="8" width="15.453125" style="45" customWidth="1" outlineLevel="1"/>
    <col min="9" max="12" width="18.1796875" style="45" customWidth="1" outlineLevel="1"/>
    <col min="13" max="15" width="15.453125" style="45" customWidth="1" outlineLevel="1"/>
    <col min="16" max="16" width="15.453125" style="45" customWidth="1"/>
    <col min="17" max="17" width="10" style="45" customWidth="1"/>
    <col min="18" max="18" width="12.7265625" style="135" customWidth="1"/>
    <col min="19" max="19" width="10.81640625" style="45" bestFit="1" customWidth="1"/>
    <col min="20" max="21" width="12" style="45" bestFit="1" customWidth="1"/>
    <col min="22" max="22" width="11.26953125" style="45" bestFit="1" customWidth="1"/>
    <col min="23" max="23" width="17.7265625" style="45" customWidth="1"/>
    <col min="24" max="24" width="11" style="45" bestFit="1" customWidth="1"/>
    <col min="25" max="25" width="20.453125" style="45" bestFit="1" customWidth="1"/>
    <col min="26" max="27" width="9.1796875" style="45"/>
    <col min="28" max="28" width="10" style="45" bestFit="1" customWidth="1"/>
    <col min="29" max="16384" width="9.1796875" style="45"/>
  </cols>
  <sheetData>
    <row r="1" spans="1:25" s="1" customFormat="1" ht="13.5" thickBot="1" x14ac:dyDescent="0.35">
      <c r="B1" s="2"/>
      <c r="C1" s="3" t="s">
        <v>0</v>
      </c>
      <c r="D1" s="4" t="s">
        <v>1</v>
      </c>
      <c r="E1" s="5" t="s">
        <v>2</v>
      </c>
      <c r="F1" s="6" t="s">
        <v>3</v>
      </c>
      <c r="G1" s="6"/>
      <c r="H1" s="7"/>
      <c r="I1" s="8"/>
      <c r="R1" s="9"/>
      <c r="V1" s="10">
        <v>3.6799999999999999E-2</v>
      </c>
      <c r="W1" s="11" t="s">
        <v>4</v>
      </c>
      <c r="X1" s="11"/>
      <c r="Y1" s="11"/>
    </row>
    <row r="2" spans="1:25" s="12" customFormat="1" ht="7.5" customHeight="1" x14ac:dyDescent="0.2">
      <c r="C2" s="13"/>
      <c r="D2" s="14">
        <v>0</v>
      </c>
      <c r="E2" s="15">
        <f>+D2+1</f>
        <v>1</v>
      </c>
      <c r="F2" s="15">
        <f t="shared" ref="F2:P2" si="0">+E2+1</f>
        <v>2</v>
      </c>
      <c r="G2" s="15">
        <f t="shared" si="0"/>
        <v>3</v>
      </c>
      <c r="H2" s="16">
        <f t="shared" si="0"/>
        <v>4</v>
      </c>
      <c r="I2" s="17">
        <f t="shared" si="0"/>
        <v>5</v>
      </c>
      <c r="J2" s="17">
        <f t="shared" si="0"/>
        <v>6</v>
      </c>
      <c r="K2" s="17">
        <f t="shared" si="0"/>
        <v>7</v>
      </c>
      <c r="L2" s="17">
        <f t="shared" si="0"/>
        <v>8</v>
      </c>
      <c r="M2" s="17">
        <f t="shared" si="0"/>
        <v>9</v>
      </c>
      <c r="N2" s="17">
        <f t="shared" si="0"/>
        <v>10</v>
      </c>
      <c r="O2" s="17">
        <f t="shared" si="0"/>
        <v>11</v>
      </c>
      <c r="P2" s="18">
        <f t="shared" si="0"/>
        <v>12</v>
      </c>
      <c r="R2" s="19"/>
      <c r="T2" s="20"/>
      <c r="U2" s="20"/>
    </row>
    <row r="3" spans="1:25" s="1" customFormat="1" ht="13" x14ac:dyDescent="0.3">
      <c r="B3" s="2"/>
      <c r="C3" s="21" t="s">
        <v>5</v>
      </c>
      <c r="D3" s="22" t="s">
        <v>6</v>
      </c>
      <c r="E3" s="23" t="s">
        <v>7</v>
      </c>
      <c r="F3" s="22" t="s">
        <v>8</v>
      </c>
      <c r="G3" s="23" t="s">
        <v>9</v>
      </c>
      <c r="H3" s="22" t="s">
        <v>10</v>
      </c>
      <c r="I3" s="23" t="s">
        <v>11</v>
      </c>
      <c r="J3" s="22" t="s">
        <v>12</v>
      </c>
      <c r="K3" s="23" t="s">
        <v>13</v>
      </c>
      <c r="L3" s="22" t="s">
        <v>14</v>
      </c>
      <c r="M3" s="23" t="s">
        <v>15</v>
      </c>
      <c r="N3" s="22" t="s">
        <v>16</v>
      </c>
      <c r="O3" s="23" t="s">
        <v>17</v>
      </c>
      <c r="P3" s="24" t="s">
        <v>18</v>
      </c>
      <c r="R3" s="25" t="s">
        <v>19</v>
      </c>
      <c r="T3" s="24"/>
      <c r="U3" s="24"/>
    </row>
    <row r="4" spans="1:25" s="1" customFormat="1" ht="13" x14ac:dyDescent="0.3">
      <c r="B4" s="2"/>
      <c r="C4" s="26" t="s">
        <v>20</v>
      </c>
      <c r="D4" s="27" t="s">
        <v>21</v>
      </c>
      <c r="E4" s="27" t="s">
        <v>21</v>
      </c>
      <c r="F4" s="27" t="s">
        <v>21</v>
      </c>
      <c r="G4" s="27" t="s">
        <v>21</v>
      </c>
      <c r="H4" s="27" t="s">
        <v>21</v>
      </c>
      <c r="I4" s="27" t="s">
        <v>21</v>
      </c>
      <c r="J4" s="27" t="s">
        <v>21</v>
      </c>
      <c r="K4" s="27" t="s">
        <v>21</v>
      </c>
      <c r="L4" s="27" t="s">
        <v>21</v>
      </c>
      <c r="M4" s="27" t="s">
        <v>21</v>
      </c>
      <c r="N4" s="27" t="s">
        <v>21</v>
      </c>
      <c r="O4" s="27" t="s">
        <v>21</v>
      </c>
      <c r="P4" s="27" t="s">
        <v>21</v>
      </c>
      <c r="Q4" s="28"/>
      <c r="R4" s="29" t="s">
        <v>22</v>
      </c>
      <c r="T4" s="30"/>
      <c r="U4" s="30"/>
    </row>
    <row r="5" spans="1:25" s="1" customFormat="1" ht="5.25" customHeight="1" x14ac:dyDescent="0.3">
      <c r="B5" s="2"/>
      <c r="C5" s="31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8"/>
      <c r="R5" s="32"/>
      <c r="T5" s="23"/>
      <c r="U5" s="23"/>
    </row>
    <row r="6" spans="1:25" s="1" customFormat="1" ht="13.5" thickBot="1" x14ac:dyDescent="0.35">
      <c r="A6" s="33" t="s">
        <v>23</v>
      </c>
      <c r="B6" s="34" t="s">
        <v>24</v>
      </c>
      <c r="C6" s="35" t="s">
        <v>25</v>
      </c>
      <c r="D6" s="35">
        <f>$D$180</f>
        <v>6</v>
      </c>
      <c r="E6" s="35">
        <f t="shared" ref="E6:O6" si="1">$D$180</f>
        <v>6</v>
      </c>
      <c r="F6" s="35">
        <f t="shared" si="1"/>
        <v>6</v>
      </c>
      <c r="G6" s="35">
        <f t="shared" si="1"/>
        <v>6</v>
      </c>
      <c r="H6" s="35">
        <f t="shared" si="1"/>
        <v>6</v>
      </c>
      <c r="I6" s="35">
        <f t="shared" si="1"/>
        <v>6</v>
      </c>
      <c r="J6" s="35">
        <f t="shared" si="1"/>
        <v>6</v>
      </c>
      <c r="K6" s="35">
        <f t="shared" si="1"/>
        <v>6</v>
      </c>
      <c r="L6" s="35">
        <f t="shared" si="1"/>
        <v>6</v>
      </c>
      <c r="M6" s="35">
        <f t="shared" si="1"/>
        <v>6</v>
      </c>
      <c r="N6" s="35">
        <f t="shared" si="1"/>
        <v>6</v>
      </c>
      <c r="O6" s="35">
        <f t="shared" si="1"/>
        <v>6</v>
      </c>
      <c r="P6" s="36">
        <f>+O6</f>
        <v>6</v>
      </c>
      <c r="R6" s="37"/>
      <c r="T6" s="38"/>
      <c r="U6" s="38"/>
    </row>
    <row r="7" spans="1:25" s="1" customFormat="1" ht="5.25" customHeight="1" x14ac:dyDescent="0.3">
      <c r="B7" s="2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R7" s="40"/>
      <c r="T7" s="39"/>
      <c r="U7" s="39"/>
    </row>
    <row r="8" spans="1:25" x14ac:dyDescent="0.35">
      <c r="A8" s="41"/>
      <c r="B8" s="41"/>
      <c r="C8" s="38" t="s">
        <v>26</v>
      </c>
      <c r="D8" s="42">
        <v>63902.400000000001</v>
      </c>
      <c r="E8" s="42">
        <f>+D8</f>
        <v>63902.400000000001</v>
      </c>
      <c r="F8" s="42">
        <f>+E8</f>
        <v>63902.400000000001</v>
      </c>
      <c r="G8" s="42">
        <f t="shared" ref="G8:O8" si="2">+$F$180</f>
        <v>87999.998000099993</v>
      </c>
      <c r="H8" s="42">
        <f t="shared" si="2"/>
        <v>87999.998000099993</v>
      </c>
      <c r="I8" s="42">
        <f t="shared" si="2"/>
        <v>87999.998000099993</v>
      </c>
      <c r="J8" s="42">
        <f t="shared" si="2"/>
        <v>87999.998000099993</v>
      </c>
      <c r="K8" s="42">
        <f t="shared" si="2"/>
        <v>87999.998000099993</v>
      </c>
      <c r="L8" s="42">
        <f t="shared" si="2"/>
        <v>87999.998000099993</v>
      </c>
      <c r="M8" s="42">
        <f t="shared" si="2"/>
        <v>87999.998000099993</v>
      </c>
      <c r="N8" s="42">
        <f t="shared" si="2"/>
        <v>87999.998000099993</v>
      </c>
      <c r="O8" s="42">
        <f t="shared" si="2"/>
        <v>87999.998000099993</v>
      </c>
      <c r="P8" s="43">
        <f>+SUM(D8:O8)</f>
        <v>983707.18200090015</v>
      </c>
      <c r="Q8" s="44"/>
      <c r="R8" s="37">
        <f>+IF(P8=0,0,P8/$P$137)</f>
        <v>0.4497935693173522</v>
      </c>
      <c r="T8" s="46"/>
      <c r="U8" s="46"/>
    </row>
    <row r="9" spans="1:25" x14ac:dyDescent="0.35">
      <c r="A9" s="47"/>
      <c r="B9" s="48"/>
      <c r="C9" s="38" t="s">
        <v>27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39"/>
      <c r="Q9" s="44"/>
      <c r="R9" s="40"/>
      <c r="T9" s="44"/>
      <c r="U9" s="44"/>
    </row>
    <row r="10" spans="1:25" hidden="1" outlineLevel="1" x14ac:dyDescent="0.35">
      <c r="A10" s="41"/>
      <c r="B10" s="41"/>
      <c r="C10" s="49" t="s">
        <v>28</v>
      </c>
      <c r="D10" s="50">
        <f>+$S$180</f>
        <v>0</v>
      </c>
      <c r="E10" s="51">
        <f>+$S$180</f>
        <v>0</v>
      </c>
      <c r="F10" s="51">
        <f>+$S$180</f>
        <v>0</v>
      </c>
      <c r="G10" s="51">
        <f t="shared" ref="G10:O10" si="3">+$S$180*(IPC+1)</f>
        <v>0</v>
      </c>
      <c r="H10" s="51">
        <f t="shared" si="3"/>
        <v>0</v>
      </c>
      <c r="I10" s="51">
        <f t="shared" si="3"/>
        <v>0</v>
      </c>
      <c r="J10" s="51">
        <f t="shared" si="3"/>
        <v>0</v>
      </c>
      <c r="K10" s="51">
        <f t="shared" si="3"/>
        <v>0</v>
      </c>
      <c r="L10" s="51">
        <f t="shared" si="3"/>
        <v>0</v>
      </c>
      <c r="M10" s="51">
        <f t="shared" si="3"/>
        <v>0</v>
      </c>
      <c r="N10" s="51">
        <f t="shared" si="3"/>
        <v>0</v>
      </c>
      <c r="O10" s="51">
        <f t="shared" si="3"/>
        <v>0</v>
      </c>
      <c r="P10" s="52">
        <f t="shared" ref="P10:P30" si="4">+SUM(D10:O10)</f>
        <v>0</v>
      </c>
      <c r="Q10" s="44"/>
      <c r="R10" s="53">
        <f t="shared" ref="R10:R28" si="5">+IF(P10=0,0,P10/$P$137)</f>
        <v>0</v>
      </c>
      <c r="T10" s="54"/>
      <c r="U10" s="54"/>
    </row>
    <row r="11" spans="1:25" hidden="1" outlineLevel="1" x14ac:dyDescent="0.35">
      <c r="A11" s="41"/>
      <c r="B11" s="41"/>
      <c r="C11" s="55" t="s">
        <v>29</v>
      </c>
      <c r="D11" s="56">
        <v>2662.5999583374996</v>
      </c>
      <c r="E11" s="57">
        <v>2662.5999583374996</v>
      </c>
      <c r="F11" s="57">
        <v>2662.5999583374996</v>
      </c>
      <c r="G11" s="57">
        <f>+$O$180</f>
        <v>3666.6665833374996</v>
      </c>
      <c r="H11" s="57">
        <f>+$O$180</f>
        <v>3666.6665833374996</v>
      </c>
      <c r="I11" s="57">
        <f>+$O$180</f>
        <v>3666.6665833374996</v>
      </c>
      <c r="J11" s="57">
        <f>+$O$180</f>
        <v>3666.6665833374996</v>
      </c>
      <c r="K11" s="57">
        <f>+$O$180</f>
        <v>3666.6665833374996</v>
      </c>
      <c r="L11" s="57">
        <f t="shared" ref="L11:O11" si="6">+$O$180</f>
        <v>3666.6665833374996</v>
      </c>
      <c r="M11" s="57">
        <f t="shared" si="6"/>
        <v>3666.6665833374996</v>
      </c>
      <c r="N11" s="57">
        <f t="shared" si="6"/>
        <v>3666.6665833374996</v>
      </c>
      <c r="O11" s="57">
        <f t="shared" si="6"/>
        <v>3666.6665833374996</v>
      </c>
      <c r="P11" s="58">
        <f t="shared" si="4"/>
        <v>40987.799125049998</v>
      </c>
      <c r="Q11" s="59"/>
      <c r="R11" s="60">
        <f t="shared" si="5"/>
        <v>1.8741398664406633E-2</v>
      </c>
      <c r="T11" s="61"/>
      <c r="U11" s="61"/>
    </row>
    <row r="12" spans="1:25" hidden="1" outlineLevel="1" x14ac:dyDescent="0.35">
      <c r="A12" s="41"/>
      <c r="B12" s="41"/>
      <c r="C12" s="55" t="s">
        <v>495</v>
      </c>
      <c r="D12" s="56">
        <f>+F146/12</f>
        <v>1750</v>
      </c>
      <c r="E12" s="57">
        <f>+D12</f>
        <v>1750</v>
      </c>
      <c r="F12" s="57">
        <f t="shared" ref="F12:O12" si="7">+E12</f>
        <v>1750</v>
      </c>
      <c r="G12" s="57">
        <f t="shared" si="7"/>
        <v>1750</v>
      </c>
      <c r="H12" s="57">
        <f t="shared" si="7"/>
        <v>1750</v>
      </c>
      <c r="I12" s="57">
        <f t="shared" si="7"/>
        <v>1750</v>
      </c>
      <c r="J12" s="57">
        <f t="shared" si="7"/>
        <v>1750</v>
      </c>
      <c r="K12" s="57">
        <f t="shared" si="7"/>
        <v>1750</v>
      </c>
      <c r="L12" s="57">
        <f t="shared" si="7"/>
        <v>1750</v>
      </c>
      <c r="M12" s="57">
        <f t="shared" si="7"/>
        <v>1750</v>
      </c>
      <c r="N12" s="57">
        <f t="shared" si="7"/>
        <v>1750</v>
      </c>
      <c r="O12" s="57">
        <f t="shared" si="7"/>
        <v>1750</v>
      </c>
      <c r="P12" s="58">
        <f t="shared" si="4"/>
        <v>21000</v>
      </c>
      <c r="Q12" s="59"/>
      <c r="R12" s="60">
        <f t="shared" si="5"/>
        <v>9.6021103926999217E-3</v>
      </c>
      <c r="T12" s="61"/>
      <c r="U12" s="61"/>
    </row>
    <row r="13" spans="1:25" hidden="1" outlineLevel="1" x14ac:dyDescent="0.35">
      <c r="A13" s="41"/>
      <c r="B13" s="41"/>
      <c r="C13" s="62" t="s">
        <v>31</v>
      </c>
      <c r="D13" s="56">
        <f>+$Q$180</f>
        <v>0</v>
      </c>
      <c r="E13" s="57">
        <f>+$Q$180</f>
        <v>0</v>
      </c>
      <c r="F13" s="57">
        <f>+$Q$180</f>
        <v>0</v>
      </c>
      <c r="G13" s="57">
        <f t="shared" ref="G13:O13" si="8">+$Q$180*(IPC+1)</f>
        <v>0</v>
      </c>
      <c r="H13" s="57">
        <f t="shared" si="8"/>
        <v>0</v>
      </c>
      <c r="I13" s="57">
        <f t="shared" si="8"/>
        <v>0</v>
      </c>
      <c r="J13" s="57">
        <f t="shared" si="8"/>
        <v>0</v>
      </c>
      <c r="K13" s="57">
        <f t="shared" si="8"/>
        <v>0</v>
      </c>
      <c r="L13" s="57">
        <f t="shared" si="8"/>
        <v>0</v>
      </c>
      <c r="M13" s="57">
        <f t="shared" si="8"/>
        <v>0</v>
      </c>
      <c r="N13" s="57">
        <f t="shared" si="8"/>
        <v>0</v>
      </c>
      <c r="O13" s="57">
        <f t="shared" si="8"/>
        <v>0</v>
      </c>
      <c r="P13" s="58">
        <f t="shared" si="4"/>
        <v>0</v>
      </c>
      <c r="Q13" s="44"/>
      <c r="R13" s="60">
        <f t="shared" si="5"/>
        <v>0</v>
      </c>
      <c r="T13" s="62"/>
      <c r="U13" s="62"/>
    </row>
    <row r="14" spans="1:25" hidden="1" outlineLevel="1" x14ac:dyDescent="0.35">
      <c r="A14" s="41"/>
      <c r="B14" s="41"/>
      <c r="C14" s="63" t="s">
        <v>32</v>
      </c>
      <c r="D14" s="56">
        <f>+$L$180</f>
        <v>0</v>
      </c>
      <c r="E14" s="57">
        <f>+$L$180</f>
        <v>0</v>
      </c>
      <c r="F14" s="57">
        <f>+$L$180</f>
        <v>0</v>
      </c>
      <c r="G14" s="57">
        <f t="shared" ref="G14:O14" si="9">+$L$180*(IPC+1)</f>
        <v>0</v>
      </c>
      <c r="H14" s="57">
        <f t="shared" si="9"/>
        <v>0</v>
      </c>
      <c r="I14" s="57">
        <f t="shared" si="9"/>
        <v>0</v>
      </c>
      <c r="J14" s="57">
        <f t="shared" si="9"/>
        <v>0</v>
      </c>
      <c r="K14" s="57">
        <f t="shared" si="9"/>
        <v>0</v>
      </c>
      <c r="L14" s="57">
        <f t="shared" si="9"/>
        <v>0</v>
      </c>
      <c r="M14" s="57">
        <f t="shared" si="9"/>
        <v>0</v>
      </c>
      <c r="N14" s="57">
        <f t="shared" si="9"/>
        <v>0</v>
      </c>
      <c r="O14" s="57">
        <f t="shared" si="9"/>
        <v>0</v>
      </c>
      <c r="P14" s="58">
        <f t="shared" si="4"/>
        <v>0</v>
      </c>
      <c r="Q14" s="44"/>
      <c r="R14" s="60">
        <f t="shared" si="5"/>
        <v>0</v>
      </c>
      <c r="T14" s="62"/>
      <c r="U14" s="62"/>
    </row>
    <row r="15" spans="1:25" hidden="1" outlineLevel="1" x14ac:dyDescent="0.35">
      <c r="A15" s="41"/>
      <c r="B15" s="41"/>
      <c r="C15" s="63" t="s">
        <v>33</v>
      </c>
      <c r="D15" s="56">
        <f>+$I$180</f>
        <v>0</v>
      </c>
      <c r="E15" s="57">
        <f>+$I$180</f>
        <v>0</v>
      </c>
      <c r="F15" s="57">
        <f>+$I$180</f>
        <v>0</v>
      </c>
      <c r="G15" s="57">
        <f t="shared" ref="G15:O15" si="10">+$I$180*(IPC+1)</f>
        <v>0</v>
      </c>
      <c r="H15" s="57">
        <f t="shared" si="10"/>
        <v>0</v>
      </c>
      <c r="I15" s="57">
        <f t="shared" si="10"/>
        <v>0</v>
      </c>
      <c r="J15" s="57">
        <f t="shared" si="10"/>
        <v>0</v>
      </c>
      <c r="K15" s="57">
        <f t="shared" si="10"/>
        <v>0</v>
      </c>
      <c r="L15" s="57">
        <f t="shared" si="10"/>
        <v>0</v>
      </c>
      <c r="M15" s="57">
        <f t="shared" si="10"/>
        <v>0</v>
      </c>
      <c r="N15" s="57">
        <f t="shared" si="10"/>
        <v>0</v>
      </c>
      <c r="O15" s="57">
        <f t="shared" si="10"/>
        <v>0</v>
      </c>
      <c r="P15" s="58">
        <f t="shared" si="4"/>
        <v>0</v>
      </c>
      <c r="Q15" s="44"/>
      <c r="R15" s="60">
        <f t="shared" si="5"/>
        <v>0</v>
      </c>
      <c r="T15" s="62"/>
      <c r="U15" s="62"/>
    </row>
    <row r="16" spans="1:25" hidden="1" outlineLevel="1" x14ac:dyDescent="0.35">
      <c r="A16" s="41"/>
      <c r="B16" s="41"/>
      <c r="C16" s="64" t="s">
        <v>34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8">
        <f t="shared" si="4"/>
        <v>0</v>
      </c>
      <c r="Q16" s="44"/>
      <c r="R16" s="60">
        <f t="shared" si="5"/>
        <v>0</v>
      </c>
      <c r="T16" s="62"/>
      <c r="U16" s="62"/>
    </row>
    <row r="17" spans="1:23" hidden="1" outlineLevel="1" x14ac:dyDescent="0.35">
      <c r="A17" s="41"/>
      <c r="B17" s="41"/>
      <c r="C17" s="64" t="s">
        <v>35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8">
        <f t="shared" si="4"/>
        <v>0</v>
      </c>
      <c r="Q17" s="44"/>
      <c r="R17" s="60">
        <f t="shared" si="5"/>
        <v>0</v>
      </c>
      <c r="T17" s="62"/>
      <c r="U17" s="62"/>
    </row>
    <row r="18" spans="1:23" hidden="1" outlineLevel="1" x14ac:dyDescent="0.35">
      <c r="A18" s="41"/>
      <c r="B18" s="41"/>
      <c r="C18" s="64" t="s">
        <v>36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8">
        <f t="shared" si="4"/>
        <v>0</v>
      </c>
      <c r="Q18" s="44"/>
      <c r="R18" s="60">
        <f t="shared" si="5"/>
        <v>0</v>
      </c>
      <c r="T18" s="62"/>
      <c r="U18" s="62"/>
    </row>
    <row r="19" spans="1:23" hidden="1" outlineLevel="1" x14ac:dyDescent="0.35">
      <c r="A19" s="41"/>
      <c r="B19" s="41"/>
      <c r="C19" s="55" t="s">
        <v>37</v>
      </c>
      <c r="D19" s="56">
        <v>574.18665555625</v>
      </c>
      <c r="E19" s="57">
        <v>574.18665555625</v>
      </c>
      <c r="F19" s="57">
        <v>574.18665555625</v>
      </c>
      <c r="G19" s="57">
        <f t="shared" ref="G19:O19" si="11">+$R$180</f>
        <v>689.47220555625006</v>
      </c>
      <c r="H19" s="57">
        <f t="shared" si="11"/>
        <v>689.47220555625006</v>
      </c>
      <c r="I19" s="57">
        <f t="shared" si="11"/>
        <v>689.47220555625006</v>
      </c>
      <c r="J19" s="57">
        <f t="shared" si="11"/>
        <v>689.47220555625006</v>
      </c>
      <c r="K19" s="57">
        <f t="shared" si="11"/>
        <v>689.47220555625006</v>
      </c>
      <c r="L19" s="57">
        <f t="shared" si="11"/>
        <v>689.47220555625006</v>
      </c>
      <c r="M19" s="57">
        <f t="shared" si="11"/>
        <v>689.47220555625006</v>
      </c>
      <c r="N19" s="57">
        <f t="shared" si="11"/>
        <v>689.47220555625006</v>
      </c>
      <c r="O19" s="57">
        <f t="shared" si="11"/>
        <v>689.47220555625006</v>
      </c>
      <c r="P19" s="58">
        <f t="shared" si="4"/>
        <v>7927.8098166749987</v>
      </c>
      <c r="Q19" s="44"/>
      <c r="R19" s="60">
        <f t="shared" si="5"/>
        <v>3.6249383348592123E-3</v>
      </c>
      <c r="T19" s="61"/>
      <c r="U19" s="61"/>
      <c r="W19" s="45">
        <f>+O19*(IPC+1)</f>
        <v>714.84478272071999</v>
      </c>
    </row>
    <row r="20" spans="1:23" hidden="1" outlineLevel="1" x14ac:dyDescent="0.35">
      <c r="A20" s="41"/>
      <c r="B20" s="41"/>
      <c r="C20" s="63" t="s">
        <v>38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8">
        <f t="shared" si="4"/>
        <v>0</v>
      </c>
      <c r="Q20" s="44"/>
      <c r="R20" s="60">
        <f t="shared" si="5"/>
        <v>0</v>
      </c>
      <c r="T20" s="61"/>
      <c r="U20" s="61"/>
    </row>
    <row r="21" spans="1:23" hidden="1" outlineLevel="1" x14ac:dyDescent="0.35">
      <c r="A21" s="41"/>
      <c r="B21" s="41"/>
      <c r="C21" s="63" t="s">
        <v>39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8">
        <f t="shared" si="4"/>
        <v>0</v>
      </c>
      <c r="Q21" s="44"/>
      <c r="R21" s="60">
        <f t="shared" si="5"/>
        <v>0</v>
      </c>
      <c r="T21" s="61"/>
      <c r="U21" s="61"/>
    </row>
    <row r="22" spans="1:23" hidden="1" outlineLevel="1" x14ac:dyDescent="0.35">
      <c r="A22" s="41"/>
      <c r="B22" s="41"/>
      <c r="C22" s="62" t="s">
        <v>40</v>
      </c>
      <c r="D22" s="56">
        <v>0</v>
      </c>
      <c r="E22" s="57">
        <v>0</v>
      </c>
      <c r="F22" s="57">
        <v>0</v>
      </c>
      <c r="G22" s="57">
        <v>0</v>
      </c>
      <c r="H22" s="57">
        <f t="shared" ref="H22:O22" si="12">+$P$180</f>
        <v>0</v>
      </c>
      <c r="I22" s="57">
        <f t="shared" si="12"/>
        <v>0</v>
      </c>
      <c r="J22" s="57">
        <f t="shared" si="12"/>
        <v>0</v>
      </c>
      <c r="K22" s="57">
        <f t="shared" si="12"/>
        <v>0</v>
      </c>
      <c r="L22" s="57">
        <f t="shared" si="12"/>
        <v>0</v>
      </c>
      <c r="M22" s="57">
        <f t="shared" si="12"/>
        <v>0</v>
      </c>
      <c r="N22" s="57">
        <f t="shared" si="12"/>
        <v>0</v>
      </c>
      <c r="O22" s="57">
        <f t="shared" si="12"/>
        <v>0</v>
      </c>
      <c r="P22" s="58">
        <f t="shared" si="4"/>
        <v>0</v>
      </c>
      <c r="Q22" s="44"/>
      <c r="R22" s="60">
        <f t="shared" si="5"/>
        <v>0</v>
      </c>
      <c r="T22" s="61"/>
      <c r="U22" s="61"/>
    </row>
    <row r="23" spans="1:23" hidden="1" outlineLevel="1" x14ac:dyDescent="0.35">
      <c r="A23" s="41"/>
      <c r="B23" s="41"/>
      <c r="C23" s="63" t="s">
        <v>41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8">
        <f t="shared" si="4"/>
        <v>0</v>
      </c>
      <c r="Q23" s="44"/>
      <c r="R23" s="60">
        <f t="shared" si="5"/>
        <v>0</v>
      </c>
      <c r="T23" s="62"/>
      <c r="U23" s="62"/>
    </row>
    <row r="24" spans="1:23" hidden="1" outlineLevel="1" x14ac:dyDescent="0.35">
      <c r="A24" s="41"/>
      <c r="B24" s="41"/>
      <c r="C24" s="63" t="s">
        <v>42</v>
      </c>
      <c r="D24" s="56">
        <f>+$J$180</f>
        <v>0</v>
      </c>
      <c r="E24" s="57">
        <f>+$J$180</f>
        <v>0</v>
      </c>
      <c r="F24" s="57">
        <f>+$J$180</f>
        <v>0</v>
      </c>
      <c r="G24" s="57">
        <f t="shared" ref="G24:O24" si="13">+$J$180*(IPC+1)</f>
        <v>0</v>
      </c>
      <c r="H24" s="57">
        <f t="shared" si="13"/>
        <v>0</v>
      </c>
      <c r="I24" s="57">
        <f t="shared" si="13"/>
        <v>0</v>
      </c>
      <c r="J24" s="57">
        <f t="shared" si="13"/>
        <v>0</v>
      </c>
      <c r="K24" s="57">
        <f t="shared" si="13"/>
        <v>0</v>
      </c>
      <c r="L24" s="57">
        <f t="shared" si="13"/>
        <v>0</v>
      </c>
      <c r="M24" s="57">
        <f t="shared" si="13"/>
        <v>0</v>
      </c>
      <c r="N24" s="57">
        <f t="shared" si="13"/>
        <v>0</v>
      </c>
      <c r="O24" s="57">
        <f t="shared" si="13"/>
        <v>0</v>
      </c>
      <c r="P24" s="58">
        <f t="shared" si="4"/>
        <v>0</v>
      </c>
      <c r="Q24" s="44"/>
      <c r="R24" s="60">
        <f t="shared" si="5"/>
        <v>0</v>
      </c>
      <c r="T24" s="62"/>
      <c r="U24" s="62"/>
    </row>
    <row r="25" spans="1:23" hidden="1" outlineLevel="1" x14ac:dyDescent="0.35">
      <c r="A25" s="41"/>
      <c r="B25" s="41"/>
      <c r="C25" s="63" t="s">
        <v>43</v>
      </c>
      <c r="D25" s="56">
        <f>+$M$180</f>
        <v>0</v>
      </c>
      <c r="E25" s="57">
        <f>+$M$180</f>
        <v>0</v>
      </c>
      <c r="F25" s="57">
        <f>+$M$180</f>
        <v>0</v>
      </c>
      <c r="G25" s="57">
        <f t="shared" ref="G25:O25" si="14">+$M$180*(IPC+1)</f>
        <v>0</v>
      </c>
      <c r="H25" s="57">
        <f t="shared" si="14"/>
        <v>0</v>
      </c>
      <c r="I25" s="57">
        <f t="shared" si="14"/>
        <v>0</v>
      </c>
      <c r="J25" s="57">
        <f t="shared" si="14"/>
        <v>0</v>
      </c>
      <c r="K25" s="57">
        <f t="shared" si="14"/>
        <v>0</v>
      </c>
      <c r="L25" s="57">
        <f t="shared" si="14"/>
        <v>0</v>
      </c>
      <c r="M25" s="57">
        <f t="shared" si="14"/>
        <v>0</v>
      </c>
      <c r="N25" s="57">
        <f t="shared" si="14"/>
        <v>0</v>
      </c>
      <c r="O25" s="57">
        <f t="shared" si="14"/>
        <v>0</v>
      </c>
      <c r="P25" s="58">
        <f t="shared" si="4"/>
        <v>0</v>
      </c>
      <c r="Q25" s="44"/>
      <c r="R25" s="60">
        <f t="shared" si="5"/>
        <v>0</v>
      </c>
      <c r="T25" s="62"/>
      <c r="U25" s="62"/>
    </row>
    <row r="26" spans="1:23" hidden="1" outlineLevel="1" x14ac:dyDescent="0.35">
      <c r="A26" s="41"/>
      <c r="B26" s="41"/>
      <c r="C26" s="62" t="s">
        <v>44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8">
        <f t="shared" si="4"/>
        <v>0</v>
      </c>
      <c r="Q26" s="44"/>
      <c r="R26" s="60">
        <f t="shared" si="5"/>
        <v>0</v>
      </c>
      <c r="T26" s="62"/>
      <c r="U26" s="62"/>
    </row>
    <row r="27" spans="1:23" hidden="1" outlineLevel="1" x14ac:dyDescent="0.35">
      <c r="A27" s="41"/>
      <c r="B27" s="41"/>
      <c r="C27" s="63" t="s">
        <v>45</v>
      </c>
      <c r="D27" s="56">
        <f>+$K$180</f>
        <v>0</v>
      </c>
      <c r="E27" s="57">
        <f>+$K$180</f>
        <v>0</v>
      </c>
      <c r="F27" s="57">
        <f>+$K$180</f>
        <v>0</v>
      </c>
      <c r="G27" s="57">
        <f t="shared" ref="G27:O27" si="15">+$K$180*(IPC+1)</f>
        <v>0</v>
      </c>
      <c r="H27" s="57">
        <f t="shared" si="15"/>
        <v>0</v>
      </c>
      <c r="I27" s="57">
        <f t="shared" si="15"/>
        <v>0</v>
      </c>
      <c r="J27" s="57">
        <f t="shared" si="15"/>
        <v>0</v>
      </c>
      <c r="K27" s="57">
        <f t="shared" si="15"/>
        <v>0</v>
      </c>
      <c r="L27" s="57">
        <f t="shared" si="15"/>
        <v>0</v>
      </c>
      <c r="M27" s="57">
        <f t="shared" si="15"/>
        <v>0</v>
      </c>
      <c r="N27" s="57">
        <f t="shared" si="15"/>
        <v>0</v>
      </c>
      <c r="O27" s="57">
        <f t="shared" si="15"/>
        <v>0</v>
      </c>
      <c r="P27" s="58">
        <f t="shared" si="4"/>
        <v>0</v>
      </c>
      <c r="Q27" s="44"/>
      <c r="R27" s="60">
        <f t="shared" si="5"/>
        <v>0</v>
      </c>
      <c r="T27" s="62"/>
      <c r="U27" s="62"/>
    </row>
    <row r="28" spans="1:23" hidden="1" outlineLevel="1" x14ac:dyDescent="0.35">
      <c r="A28" s="41"/>
      <c r="B28" s="41"/>
      <c r="C28" s="63" t="s">
        <v>46</v>
      </c>
      <c r="D28" s="56">
        <f>+$H$180</f>
        <v>0</v>
      </c>
      <c r="E28" s="57">
        <f>+$H$180</f>
        <v>0</v>
      </c>
      <c r="F28" s="57">
        <f>+$H$180</f>
        <v>0</v>
      </c>
      <c r="G28" s="57">
        <f t="shared" ref="G28:O28" si="16">+$H$180*(IPC+1)</f>
        <v>0</v>
      </c>
      <c r="H28" s="57">
        <f t="shared" si="16"/>
        <v>0</v>
      </c>
      <c r="I28" s="57">
        <f t="shared" si="16"/>
        <v>0</v>
      </c>
      <c r="J28" s="57">
        <f t="shared" si="16"/>
        <v>0</v>
      </c>
      <c r="K28" s="57">
        <f t="shared" si="16"/>
        <v>0</v>
      </c>
      <c r="L28" s="57">
        <f t="shared" si="16"/>
        <v>0</v>
      </c>
      <c r="M28" s="57">
        <f t="shared" si="16"/>
        <v>0</v>
      </c>
      <c r="N28" s="57">
        <f t="shared" si="16"/>
        <v>0</v>
      </c>
      <c r="O28" s="57">
        <f t="shared" si="16"/>
        <v>0</v>
      </c>
      <c r="P28" s="58">
        <f t="shared" si="4"/>
        <v>0</v>
      </c>
      <c r="Q28" s="44"/>
      <c r="R28" s="65">
        <f t="shared" si="5"/>
        <v>0</v>
      </c>
      <c r="T28" s="61"/>
      <c r="U28" s="61"/>
    </row>
    <row r="29" spans="1:23" hidden="1" outlineLevel="1" x14ac:dyDescent="0.35">
      <c r="A29" s="41"/>
      <c r="B29" s="41"/>
      <c r="C29" s="63" t="s">
        <v>47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8">
        <f t="shared" si="4"/>
        <v>0</v>
      </c>
      <c r="Q29" s="44"/>
      <c r="R29" s="65"/>
      <c r="T29" s="61"/>
      <c r="U29" s="61"/>
    </row>
    <row r="30" spans="1:23" hidden="1" outlineLevel="1" x14ac:dyDescent="0.35">
      <c r="A30" s="41"/>
      <c r="B30" s="41"/>
      <c r="C30" s="66" t="s">
        <v>48</v>
      </c>
      <c r="D30" s="67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f t="shared" si="4"/>
        <v>0</v>
      </c>
      <c r="Q30" s="44"/>
      <c r="R30" s="65"/>
      <c r="T30" s="58"/>
      <c r="U30" s="58"/>
    </row>
    <row r="31" spans="1:23" s="28" customFormat="1" ht="13" collapsed="1" x14ac:dyDescent="0.3">
      <c r="A31" s="70"/>
      <c r="B31" s="71"/>
      <c r="C31" s="46" t="s">
        <v>49</v>
      </c>
      <c r="D31" s="72">
        <f>SUM(D8:D30)-D22</f>
        <v>68889.186613893748</v>
      </c>
      <c r="E31" s="42">
        <f t="shared" ref="E31:P31" si="17">SUM(E8:E30)-E22</f>
        <v>68889.186613893748</v>
      </c>
      <c r="F31" s="42">
        <f t="shared" si="17"/>
        <v>68889.186613893748</v>
      </c>
      <c r="G31" s="42">
        <f t="shared" si="17"/>
        <v>94106.136788993739</v>
      </c>
      <c r="H31" s="42">
        <f t="shared" si="17"/>
        <v>94106.136788993739</v>
      </c>
      <c r="I31" s="42">
        <f t="shared" si="17"/>
        <v>94106.136788993739</v>
      </c>
      <c r="J31" s="42">
        <f t="shared" si="17"/>
        <v>94106.136788993739</v>
      </c>
      <c r="K31" s="42">
        <f t="shared" si="17"/>
        <v>94106.136788993739</v>
      </c>
      <c r="L31" s="42">
        <f t="shared" si="17"/>
        <v>94106.136788993739</v>
      </c>
      <c r="M31" s="42">
        <f t="shared" si="17"/>
        <v>94106.136788993739</v>
      </c>
      <c r="N31" s="42">
        <f t="shared" si="17"/>
        <v>94106.136788993739</v>
      </c>
      <c r="O31" s="42">
        <f t="shared" si="17"/>
        <v>94106.136788993739</v>
      </c>
      <c r="P31" s="42">
        <f t="shared" si="17"/>
        <v>1053622.7909426251</v>
      </c>
      <c r="Q31" s="39"/>
      <c r="R31" s="37">
        <f>+IF(P31=0,0,P31/$P$137)</f>
        <v>0.48176201670931795</v>
      </c>
      <c r="T31" s="43"/>
      <c r="U31" s="43"/>
    </row>
    <row r="32" spans="1:23" x14ac:dyDescent="0.35">
      <c r="A32" s="47"/>
      <c r="B32" s="48"/>
      <c r="C32" s="7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74"/>
      <c r="Q32" s="44"/>
      <c r="R32" s="40"/>
      <c r="T32" s="44"/>
      <c r="U32" s="44"/>
    </row>
    <row r="33" spans="1:21" x14ac:dyDescent="0.35">
      <c r="A33" s="47"/>
      <c r="B33" s="48"/>
      <c r="C33" s="75" t="s">
        <v>50</v>
      </c>
      <c r="P33" s="28"/>
      <c r="Q33" s="44"/>
      <c r="R33" s="76"/>
    </row>
    <row r="34" spans="1:21" hidden="1" outlineLevel="1" x14ac:dyDescent="0.35">
      <c r="A34" s="41"/>
      <c r="B34" s="41"/>
      <c r="C34" s="49" t="s">
        <v>51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1">
        <f t="shared" ref="P34:P42" si="18">+SUM(D34:O34)</f>
        <v>0</v>
      </c>
      <c r="Q34" s="44"/>
      <c r="R34" s="53">
        <f t="shared" ref="R34:R43" si="19">+IF(P34=0,0,P34/$P$137)</f>
        <v>0</v>
      </c>
      <c r="T34" s="54"/>
      <c r="U34" s="54"/>
    </row>
    <row r="35" spans="1:21" hidden="1" outlineLevel="1" x14ac:dyDescent="0.35">
      <c r="A35" s="41"/>
      <c r="B35" s="41"/>
      <c r="C35" s="63" t="s">
        <v>52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8">
        <f t="shared" si="18"/>
        <v>0</v>
      </c>
      <c r="Q35" s="44"/>
      <c r="R35" s="60">
        <f t="shared" si="19"/>
        <v>0</v>
      </c>
      <c r="T35" s="61"/>
      <c r="U35" s="61"/>
    </row>
    <row r="36" spans="1:21" hidden="1" outlineLevel="1" x14ac:dyDescent="0.35">
      <c r="A36" s="41"/>
      <c r="B36" s="41"/>
      <c r="C36" s="63" t="s">
        <v>53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8">
        <f t="shared" si="18"/>
        <v>0</v>
      </c>
      <c r="Q36" s="44"/>
      <c r="R36" s="60">
        <f t="shared" si="19"/>
        <v>0</v>
      </c>
      <c r="T36" s="61"/>
      <c r="U36" s="61"/>
    </row>
    <row r="37" spans="1:21" hidden="1" outlineLevel="1" x14ac:dyDescent="0.35">
      <c r="A37" s="41"/>
      <c r="B37" s="41"/>
      <c r="C37" s="63" t="s">
        <v>54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8">
        <f t="shared" si="18"/>
        <v>0</v>
      </c>
      <c r="Q37" s="44"/>
      <c r="R37" s="60">
        <f t="shared" si="19"/>
        <v>0</v>
      </c>
      <c r="T37" s="61"/>
      <c r="U37" s="61"/>
    </row>
    <row r="38" spans="1:21" hidden="1" outlineLevel="1" x14ac:dyDescent="0.35">
      <c r="A38" s="41"/>
      <c r="B38" s="41"/>
      <c r="C38" s="63" t="s">
        <v>55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58">
        <f t="shared" si="18"/>
        <v>0</v>
      </c>
      <c r="Q38" s="44"/>
      <c r="R38" s="60">
        <f t="shared" si="19"/>
        <v>0</v>
      </c>
      <c r="T38" s="61"/>
      <c r="U38" s="61"/>
    </row>
    <row r="39" spans="1:21" hidden="1" outlineLevel="1" x14ac:dyDescent="0.35">
      <c r="A39" s="41"/>
      <c r="B39" s="41"/>
      <c r="C39" s="63" t="s">
        <v>56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58">
        <f t="shared" si="18"/>
        <v>0</v>
      </c>
      <c r="Q39" s="44"/>
      <c r="R39" s="60">
        <f t="shared" si="19"/>
        <v>0</v>
      </c>
      <c r="T39" s="55"/>
      <c r="U39" s="55"/>
    </row>
    <row r="40" spans="1:21" hidden="1" outlineLevel="1" x14ac:dyDescent="0.35">
      <c r="A40" s="41"/>
      <c r="B40" s="41"/>
      <c r="C40" s="63" t="s">
        <v>57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58">
        <f t="shared" si="18"/>
        <v>0</v>
      </c>
      <c r="Q40" s="44"/>
      <c r="R40" s="60">
        <f t="shared" si="19"/>
        <v>0</v>
      </c>
      <c r="T40" s="55"/>
      <c r="U40" s="55"/>
    </row>
    <row r="41" spans="1:21" hidden="1" outlineLevel="1" x14ac:dyDescent="0.35">
      <c r="A41" s="41"/>
      <c r="B41" s="41"/>
      <c r="C41" s="63" t="s">
        <v>58</v>
      </c>
      <c r="D41" s="57">
        <f>SUM(+D8+D42)*0.16</f>
        <v>10775.49749291115</v>
      </c>
      <c r="E41" s="57">
        <f t="shared" ref="E41:O41" si="20">SUM(+E8+E42)*0.16</f>
        <v>10775.49749291115</v>
      </c>
      <c r="F41" s="57">
        <f t="shared" si="20"/>
        <v>10775.49749291115</v>
      </c>
      <c r="G41" s="57">
        <f t="shared" si="20"/>
        <v>14832.848774327947</v>
      </c>
      <c r="H41" s="57">
        <f t="shared" si="20"/>
        <v>14832.848774327947</v>
      </c>
      <c r="I41" s="57">
        <f t="shared" si="20"/>
        <v>14832.848774327947</v>
      </c>
      <c r="J41" s="57">
        <f t="shared" si="20"/>
        <v>14832.848774327947</v>
      </c>
      <c r="K41" s="57">
        <f t="shared" si="20"/>
        <v>14832.848774327947</v>
      </c>
      <c r="L41" s="57">
        <f t="shared" si="20"/>
        <v>14832.848774327947</v>
      </c>
      <c r="M41" s="57">
        <f t="shared" si="20"/>
        <v>14832.848774327947</v>
      </c>
      <c r="N41" s="57">
        <f t="shared" si="20"/>
        <v>14832.848774327947</v>
      </c>
      <c r="O41" s="57">
        <f t="shared" si="20"/>
        <v>14832.848774327947</v>
      </c>
      <c r="P41" s="58">
        <f t="shared" si="18"/>
        <v>165822.13144768501</v>
      </c>
      <c r="Q41" s="44"/>
      <c r="R41" s="60">
        <f t="shared" si="19"/>
        <v>7.5821067224450894E-2</v>
      </c>
      <c r="T41" s="77"/>
      <c r="U41" s="77"/>
    </row>
    <row r="42" spans="1:21" hidden="1" outlineLevel="1" x14ac:dyDescent="0.35">
      <c r="A42" s="41"/>
      <c r="B42" s="41"/>
      <c r="C42" s="63" t="s">
        <v>59</v>
      </c>
      <c r="D42" s="57">
        <f t="shared" ref="D42:J42" si="21">+D31*0.05</f>
        <v>3444.4593306946877</v>
      </c>
      <c r="E42" s="57">
        <f t="shared" si="21"/>
        <v>3444.4593306946877</v>
      </c>
      <c r="F42" s="57">
        <f t="shared" si="21"/>
        <v>3444.4593306946877</v>
      </c>
      <c r="G42" s="57">
        <f t="shared" si="21"/>
        <v>4705.3068394496868</v>
      </c>
      <c r="H42" s="57">
        <f t="shared" si="21"/>
        <v>4705.3068394496868</v>
      </c>
      <c r="I42" s="57">
        <f t="shared" si="21"/>
        <v>4705.3068394496868</v>
      </c>
      <c r="J42" s="57">
        <f t="shared" si="21"/>
        <v>4705.3068394496868</v>
      </c>
      <c r="K42" s="57">
        <f>+K31*0.05</f>
        <v>4705.3068394496868</v>
      </c>
      <c r="L42" s="57">
        <f t="shared" ref="L42:O42" si="22">+L31*0.05</f>
        <v>4705.3068394496868</v>
      </c>
      <c r="M42" s="57">
        <f t="shared" si="22"/>
        <v>4705.3068394496868</v>
      </c>
      <c r="N42" s="57">
        <f t="shared" si="22"/>
        <v>4705.3068394496868</v>
      </c>
      <c r="O42" s="57">
        <f t="shared" si="22"/>
        <v>4705.3068394496868</v>
      </c>
      <c r="P42" s="58">
        <f t="shared" si="18"/>
        <v>52681.13954713125</v>
      </c>
      <c r="Q42" s="44"/>
      <c r="R42" s="60">
        <f t="shared" si="19"/>
        <v>2.4088100835465896E-2</v>
      </c>
      <c r="T42" s="77"/>
      <c r="U42" s="77"/>
    </row>
    <row r="43" spans="1:21" s="28" customFormat="1" ht="13" collapsed="1" x14ac:dyDescent="0.3">
      <c r="A43" s="70"/>
      <c r="B43" s="71"/>
      <c r="C43" s="54" t="s">
        <v>60</v>
      </c>
      <c r="D43" s="42">
        <f>SUM(D34:D42)</f>
        <v>14219.956823605839</v>
      </c>
      <c r="E43" s="42">
        <f t="shared" ref="E43:O43" si="23">SUM(E34:E42)</f>
        <v>14219.956823605839</v>
      </c>
      <c r="F43" s="42">
        <f t="shared" si="23"/>
        <v>14219.956823605839</v>
      </c>
      <c r="G43" s="42">
        <f t="shared" si="23"/>
        <v>19538.155613777635</v>
      </c>
      <c r="H43" s="42">
        <f t="shared" si="23"/>
        <v>19538.155613777635</v>
      </c>
      <c r="I43" s="42">
        <f t="shared" si="23"/>
        <v>19538.155613777635</v>
      </c>
      <c r="J43" s="42">
        <f t="shared" si="23"/>
        <v>19538.155613777635</v>
      </c>
      <c r="K43" s="42">
        <f t="shared" si="23"/>
        <v>19538.155613777635</v>
      </c>
      <c r="L43" s="42">
        <f t="shared" si="23"/>
        <v>19538.155613777635</v>
      </c>
      <c r="M43" s="42">
        <f t="shared" si="23"/>
        <v>19538.155613777635</v>
      </c>
      <c r="N43" s="42">
        <f t="shared" si="23"/>
        <v>19538.155613777635</v>
      </c>
      <c r="O43" s="42">
        <f t="shared" si="23"/>
        <v>19538.155613777635</v>
      </c>
      <c r="P43" s="43">
        <f>SUM(P34:P42)</f>
        <v>218503.27099481627</v>
      </c>
      <c r="Q43" s="40"/>
      <c r="R43" s="37">
        <f t="shared" si="19"/>
        <v>9.9909168059916786E-2</v>
      </c>
      <c r="T43" s="43"/>
      <c r="U43" s="43"/>
    </row>
    <row r="44" spans="1:21" ht="9" customHeight="1" x14ac:dyDescent="0.35">
      <c r="A44" s="47"/>
      <c r="B44" s="4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  <c r="Q44" s="44"/>
      <c r="R44" s="40"/>
      <c r="T44" s="79"/>
      <c r="U44" s="79"/>
    </row>
    <row r="45" spans="1:21" s="28" customFormat="1" ht="13" x14ac:dyDescent="0.3">
      <c r="A45" s="70"/>
      <c r="B45" s="71"/>
      <c r="C45" s="61" t="s">
        <v>61</v>
      </c>
      <c r="D45" s="68">
        <f t="shared" ref="D45:P45" si="24">+D31+D43</f>
        <v>83109.143437499588</v>
      </c>
      <c r="E45" s="68">
        <f t="shared" si="24"/>
        <v>83109.143437499588</v>
      </c>
      <c r="F45" s="68">
        <f t="shared" si="24"/>
        <v>83109.143437499588</v>
      </c>
      <c r="G45" s="68">
        <f t="shared" si="24"/>
        <v>113644.29240277137</v>
      </c>
      <c r="H45" s="68">
        <f t="shared" si="24"/>
        <v>113644.29240277137</v>
      </c>
      <c r="I45" s="68">
        <f t="shared" si="24"/>
        <v>113644.29240277137</v>
      </c>
      <c r="J45" s="68">
        <f t="shared" si="24"/>
        <v>113644.29240277137</v>
      </c>
      <c r="K45" s="68">
        <f>+K31+K43</f>
        <v>113644.29240277137</v>
      </c>
      <c r="L45" s="68">
        <f t="shared" si="24"/>
        <v>113644.29240277137</v>
      </c>
      <c r="M45" s="68">
        <f t="shared" si="24"/>
        <v>113644.29240277137</v>
      </c>
      <c r="N45" s="68">
        <f t="shared" si="24"/>
        <v>113644.29240277137</v>
      </c>
      <c r="O45" s="68">
        <f t="shared" si="24"/>
        <v>113644.29240277137</v>
      </c>
      <c r="P45" s="69">
        <f t="shared" si="24"/>
        <v>1272126.0619374414</v>
      </c>
      <c r="Q45" s="39"/>
      <c r="R45" s="37">
        <f>+IF(P45=0,0,P45/$P$137)</f>
        <v>0.58167118476923474</v>
      </c>
      <c r="T45" s="69"/>
      <c r="U45" s="69"/>
    </row>
    <row r="46" spans="1:21" x14ac:dyDescent="0.35">
      <c r="A46" s="47"/>
      <c r="B46" s="81"/>
      <c r="C46" s="82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74"/>
      <c r="Q46" s="44"/>
      <c r="R46" s="40"/>
      <c r="T46" s="44"/>
      <c r="U46" s="44"/>
    </row>
    <row r="47" spans="1:21" x14ac:dyDescent="0.35">
      <c r="A47" s="41"/>
      <c r="B47" s="41"/>
      <c r="C47" t="s">
        <v>62</v>
      </c>
      <c r="D47" s="44">
        <v>7500</v>
      </c>
      <c r="E47" s="44">
        <v>7500</v>
      </c>
      <c r="F47" s="44">
        <v>7500</v>
      </c>
      <c r="G47" s="44">
        <v>7500</v>
      </c>
      <c r="H47" s="44">
        <v>7500</v>
      </c>
      <c r="I47" s="44">
        <v>7500</v>
      </c>
      <c r="J47" s="44">
        <v>7500</v>
      </c>
      <c r="K47" s="44">
        <v>7500</v>
      </c>
      <c r="L47" s="44">
        <v>7500</v>
      </c>
      <c r="M47" s="44">
        <v>7500</v>
      </c>
      <c r="N47" s="44">
        <v>7500</v>
      </c>
      <c r="O47" s="44">
        <v>7500</v>
      </c>
      <c r="P47" s="83">
        <f>SUM(D47:O47)</f>
        <v>90000</v>
      </c>
      <c r="Q47" s="44"/>
      <c r="R47" s="40"/>
      <c r="T47" s="44"/>
      <c r="U47" s="44"/>
    </row>
    <row r="48" spans="1:21" s="28" customFormat="1" ht="13" x14ac:dyDescent="0.3">
      <c r="A48" s="41"/>
      <c r="B48" s="41"/>
      <c r="C48" s="61" t="s">
        <v>63</v>
      </c>
      <c r="D48" s="68">
        <f>+D47</f>
        <v>7500</v>
      </c>
      <c r="E48" s="68">
        <f t="shared" ref="E48:P48" si="25">+E47</f>
        <v>7500</v>
      </c>
      <c r="F48" s="68">
        <f t="shared" si="25"/>
        <v>7500</v>
      </c>
      <c r="G48" s="68">
        <f t="shared" si="25"/>
        <v>7500</v>
      </c>
      <c r="H48" s="68">
        <f t="shared" si="25"/>
        <v>7500</v>
      </c>
      <c r="I48" s="68">
        <f t="shared" si="25"/>
        <v>7500</v>
      </c>
      <c r="J48" s="68">
        <f t="shared" si="25"/>
        <v>7500</v>
      </c>
      <c r="K48" s="68">
        <f t="shared" si="25"/>
        <v>7500</v>
      </c>
      <c r="L48" s="68">
        <f t="shared" si="25"/>
        <v>7500</v>
      </c>
      <c r="M48" s="68">
        <f t="shared" si="25"/>
        <v>7500</v>
      </c>
      <c r="N48" s="68">
        <f t="shared" si="25"/>
        <v>7500</v>
      </c>
      <c r="O48" s="68">
        <f t="shared" si="25"/>
        <v>7500</v>
      </c>
      <c r="P48" s="68">
        <f t="shared" si="25"/>
        <v>90000</v>
      </c>
      <c r="Q48" s="39"/>
      <c r="R48" s="37">
        <f>+IF(P48=0,0,P48/$P$137)</f>
        <v>4.1151901682999661E-2</v>
      </c>
      <c r="T48" s="69"/>
      <c r="U48" s="69"/>
    </row>
    <row r="49" spans="1:21" x14ac:dyDescent="0.35">
      <c r="A49" s="41"/>
      <c r="B49" s="41"/>
      <c r="C49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74"/>
      <c r="Q49" s="44"/>
      <c r="R49" s="40"/>
      <c r="T49" s="44"/>
      <c r="U49" s="44"/>
    </row>
    <row r="50" spans="1:21" x14ac:dyDescent="0.35">
      <c r="A50" s="41"/>
      <c r="B50" s="41"/>
      <c r="C50" t="s">
        <v>64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84">
        <f>SUM(D50:O50)</f>
        <v>0</v>
      </c>
      <c r="Q50" s="44"/>
      <c r="R50" s="40"/>
      <c r="T50" s="44"/>
      <c r="U50" s="44"/>
    </row>
    <row r="51" spans="1:21" s="28" customFormat="1" ht="13" x14ac:dyDescent="0.3">
      <c r="A51" s="41"/>
      <c r="B51" s="41"/>
      <c r="C51" s="61" t="s">
        <v>65</v>
      </c>
      <c r="D51" s="68">
        <f>+D50</f>
        <v>0</v>
      </c>
      <c r="E51" s="68">
        <f t="shared" ref="E51:P51" si="26">+E50</f>
        <v>0</v>
      </c>
      <c r="F51" s="68">
        <f t="shared" si="26"/>
        <v>0</v>
      </c>
      <c r="G51" s="68">
        <f t="shared" si="26"/>
        <v>0</v>
      </c>
      <c r="H51" s="68">
        <f t="shared" si="26"/>
        <v>0</v>
      </c>
      <c r="I51" s="68">
        <f t="shared" si="26"/>
        <v>0</v>
      </c>
      <c r="J51" s="68">
        <f t="shared" si="26"/>
        <v>0</v>
      </c>
      <c r="K51" s="68">
        <f t="shared" si="26"/>
        <v>0</v>
      </c>
      <c r="L51" s="68">
        <f t="shared" si="26"/>
        <v>0</v>
      </c>
      <c r="M51" s="68">
        <f t="shared" si="26"/>
        <v>0</v>
      </c>
      <c r="N51" s="68">
        <f t="shared" si="26"/>
        <v>0</v>
      </c>
      <c r="O51" s="68">
        <f t="shared" si="26"/>
        <v>0</v>
      </c>
      <c r="P51" s="68">
        <f t="shared" si="26"/>
        <v>0</v>
      </c>
      <c r="Q51" s="39"/>
      <c r="R51" s="37">
        <f>+IF(P51=0,0,P51/$P$137)</f>
        <v>0</v>
      </c>
      <c r="T51" s="69"/>
      <c r="U51" s="69"/>
    </row>
    <row r="52" spans="1:21" x14ac:dyDescent="0.35">
      <c r="A52" s="41"/>
      <c r="B52" s="41"/>
      <c r="C52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4"/>
      <c r="Q52" s="44"/>
      <c r="R52" s="40"/>
      <c r="T52" s="44"/>
      <c r="U52" s="44"/>
    </row>
    <row r="53" spans="1:21" x14ac:dyDescent="0.35">
      <c r="A53" s="41"/>
      <c r="B53" s="41"/>
      <c r="C53" t="s">
        <v>66</v>
      </c>
      <c r="D53" s="44">
        <v>59108.4</v>
      </c>
      <c r="E53" s="44">
        <v>113137.54</v>
      </c>
      <c r="F53" s="44">
        <v>113137.54</v>
      </c>
      <c r="G53" s="44">
        <v>113137.54</v>
      </c>
      <c r="H53" s="44">
        <v>0</v>
      </c>
      <c r="I53" s="44">
        <v>152185.95000000001</v>
      </c>
      <c r="J53" s="44">
        <v>0</v>
      </c>
      <c r="K53" s="44">
        <v>93077.55</v>
      </c>
      <c r="L53" s="44">
        <v>59108.4</v>
      </c>
      <c r="M53" s="44">
        <v>0</v>
      </c>
      <c r="N53" s="44">
        <v>0</v>
      </c>
      <c r="O53" s="44">
        <v>59108.4</v>
      </c>
      <c r="P53" s="84">
        <f>SUM(D53:O53)</f>
        <v>762001.32000000007</v>
      </c>
      <c r="Q53" s="44"/>
      <c r="R53" s="40"/>
      <c r="T53" s="44"/>
      <c r="U53" s="44"/>
    </row>
    <row r="54" spans="1:21" s="28" customFormat="1" ht="13" x14ac:dyDescent="0.3">
      <c r="A54" s="41"/>
      <c r="B54" s="41"/>
      <c r="C54" s="61" t="s">
        <v>67</v>
      </c>
      <c r="D54" s="68">
        <f>+D53</f>
        <v>59108.4</v>
      </c>
      <c r="E54" s="68">
        <f t="shared" ref="E54:P54" si="27">+E53</f>
        <v>113137.54</v>
      </c>
      <c r="F54" s="68">
        <f t="shared" si="27"/>
        <v>113137.54</v>
      </c>
      <c r="G54" s="68">
        <f t="shared" si="27"/>
        <v>113137.54</v>
      </c>
      <c r="H54" s="68">
        <f t="shared" si="27"/>
        <v>0</v>
      </c>
      <c r="I54" s="68">
        <f t="shared" si="27"/>
        <v>152185.95000000001</v>
      </c>
      <c r="J54" s="68">
        <f t="shared" si="27"/>
        <v>0</v>
      </c>
      <c r="K54" s="68">
        <f t="shared" si="27"/>
        <v>93077.55</v>
      </c>
      <c r="L54" s="68">
        <f t="shared" si="27"/>
        <v>59108.4</v>
      </c>
      <c r="M54" s="68">
        <f t="shared" si="27"/>
        <v>0</v>
      </c>
      <c r="N54" s="68">
        <f t="shared" si="27"/>
        <v>0</v>
      </c>
      <c r="O54" s="68">
        <f t="shared" si="27"/>
        <v>59108.4</v>
      </c>
      <c r="P54" s="68">
        <f t="shared" si="27"/>
        <v>762001.32000000007</v>
      </c>
      <c r="Q54" s="39"/>
      <c r="R54" s="37">
        <f>+IF(P54=0,0,P54/$P$137)</f>
        <v>0.34842003781062186</v>
      </c>
      <c r="T54" s="69"/>
      <c r="U54" s="69"/>
    </row>
    <row r="55" spans="1:21" x14ac:dyDescent="0.35">
      <c r="A55" s="41"/>
      <c r="B55" s="41"/>
      <c r="C55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74"/>
      <c r="Q55" s="44"/>
      <c r="R55" s="40"/>
      <c r="T55" s="44"/>
      <c r="U55" s="44"/>
    </row>
    <row r="56" spans="1:21" x14ac:dyDescent="0.35">
      <c r="A56" s="41"/>
      <c r="B56" s="41"/>
      <c r="C56" t="s">
        <v>68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85">
        <f t="shared" ref="P56:P60" si="28">SUM(D56:O56)</f>
        <v>0</v>
      </c>
      <c r="Q56" s="44"/>
      <c r="R56" s="40"/>
      <c r="T56" s="44"/>
      <c r="U56" s="44"/>
    </row>
    <row r="57" spans="1:21" x14ac:dyDescent="0.35">
      <c r="A57" s="41"/>
      <c r="B57" s="41"/>
      <c r="C57" t="s">
        <v>69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84">
        <f t="shared" si="28"/>
        <v>0</v>
      </c>
      <c r="Q57" s="44"/>
      <c r="R57" s="40"/>
      <c r="T57" s="44"/>
      <c r="U57" s="44"/>
    </row>
    <row r="58" spans="1:21" x14ac:dyDescent="0.35">
      <c r="A58" s="41"/>
      <c r="B58" s="41"/>
      <c r="C58" t="s">
        <v>70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84">
        <f t="shared" si="28"/>
        <v>0</v>
      </c>
      <c r="Q58" s="44"/>
      <c r="R58" s="40"/>
      <c r="T58" s="44"/>
      <c r="U58" s="44"/>
    </row>
    <row r="59" spans="1:21" x14ac:dyDescent="0.35">
      <c r="A59" s="41"/>
      <c r="B59" s="41"/>
      <c r="C59" t="s">
        <v>71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84">
        <f t="shared" si="28"/>
        <v>0</v>
      </c>
      <c r="Q59" s="44"/>
      <c r="R59" s="40"/>
      <c r="T59" s="44"/>
      <c r="U59" s="44"/>
    </row>
    <row r="60" spans="1:21" x14ac:dyDescent="0.35">
      <c r="A60" s="41"/>
      <c r="B60" s="41"/>
      <c r="C60" t="s">
        <v>72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84">
        <f t="shared" si="28"/>
        <v>0</v>
      </c>
      <c r="Q60" s="44"/>
      <c r="R60" s="40"/>
      <c r="T60" s="44"/>
      <c r="U60" s="44"/>
    </row>
    <row r="61" spans="1:21" s="28" customFormat="1" ht="13" x14ac:dyDescent="0.3">
      <c r="A61" s="41"/>
      <c r="B61" s="86" t="s">
        <v>73</v>
      </c>
      <c r="C61" s="61" t="s">
        <v>74</v>
      </c>
      <c r="D61" s="68">
        <f>SUM(D56:D60)</f>
        <v>0</v>
      </c>
      <c r="E61" s="68">
        <f t="shared" ref="E61:P61" si="29">SUM(E56:E60)</f>
        <v>0</v>
      </c>
      <c r="F61" s="68">
        <f t="shared" si="29"/>
        <v>0</v>
      </c>
      <c r="G61" s="68">
        <f t="shared" si="29"/>
        <v>0</v>
      </c>
      <c r="H61" s="68">
        <f t="shared" si="29"/>
        <v>0</v>
      </c>
      <c r="I61" s="68">
        <f t="shared" si="29"/>
        <v>0</v>
      </c>
      <c r="J61" s="68">
        <f t="shared" si="29"/>
        <v>0</v>
      </c>
      <c r="K61" s="68">
        <f t="shared" si="29"/>
        <v>0</v>
      </c>
      <c r="L61" s="68">
        <f t="shared" si="29"/>
        <v>0</v>
      </c>
      <c r="M61" s="68">
        <f t="shared" si="29"/>
        <v>0</v>
      </c>
      <c r="N61" s="68">
        <f t="shared" si="29"/>
        <v>0</v>
      </c>
      <c r="O61" s="68">
        <f t="shared" si="29"/>
        <v>0</v>
      </c>
      <c r="P61" s="68">
        <f t="shared" si="29"/>
        <v>0</v>
      </c>
      <c r="Q61" s="39"/>
      <c r="R61" s="37">
        <f>+IF(P61=0,0,P61/$P$137)</f>
        <v>0</v>
      </c>
      <c r="T61" s="69"/>
      <c r="U61" s="69"/>
    </row>
    <row r="62" spans="1:21" x14ac:dyDescent="0.35">
      <c r="A62" s="41"/>
      <c r="B62" s="41"/>
      <c r="C62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74"/>
      <c r="Q62" s="44"/>
      <c r="R62" s="40"/>
      <c r="T62" s="44"/>
      <c r="U62" s="44"/>
    </row>
    <row r="63" spans="1:21" x14ac:dyDescent="0.35">
      <c r="A63" s="41"/>
      <c r="B63" s="41"/>
      <c r="C63" t="s">
        <v>75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84">
        <f>SUM(D63:O63)</f>
        <v>0</v>
      </c>
      <c r="Q63" s="44"/>
      <c r="R63" s="40"/>
      <c r="T63" s="44"/>
      <c r="U63" s="44"/>
    </row>
    <row r="64" spans="1:21" s="28" customFormat="1" ht="13" x14ac:dyDescent="0.3">
      <c r="A64" s="41"/>
      <c r="B64" s="41"/>
      <c r="C64" s="61" t="s">
        <v>76</v>
      </c>
      <c r="D64" s="68">
        <f>+D63</f>
        <v>0</v>
      </c>
      <c r="E64" s="68">
        <f t="shared" ref="E64:P64" si="30">+E63</f>
        <v>0</v>
      </c>
      <c r="F64" s="68">
        <f t="shared" si="30"/>
        <v>0</v>
      </c>
      <c r="G64" s="68">
        <f t="shared" si="30"/>
        <v>0</v>
      </c>
      <c r="H64" s="68">
        <f t="shared" si="30"/>
        <v>0</v>
      </c>
      <c r="I64" s="68">
        <f t="shared" si="30"/>
        <v>0</v>
      </c>
      <c r="J64" s="68">
        <f t="shared" si="30"/>
        <v>0</v>
      </c>
      <c r="K64" s="68">
        <f t="shared" si="30"/>
        <v>0</v>
      </c>
      <c r="L64" s="68">
        <f t="shared" si="30"/>
        <v>0</v>
      </c>
      <c r="M64" s="68">
        <f t="shared" si="30"/>
        <v>0</v>
      </c>
      <c r="N64" s="68">
        <f t="shared" si="30"/>
        <v>0</v>
      </c>
      <c r="O64" s="68">
        <f t="shared" si="30"/>
        <v>0</v>
      </c>
      <c r="P64" s="68">
        <f t="shared" si="30"/>
        <v>0</v>
      </c>
      <c r="Q64" s="39"/>
      <c r="R64" s="37">
        <f>+IF(P64=0,0,P64/$P$137)</f>
        <v>0</v>
      </c>
      <c r="T64" s="69"/>
      <c r="U64" s="69"/>
    </row>
    <row r="65" spans="1:21" x14ac:dyDescent="0.35">
      <c r="A65" s="41"/>
      <c r="B65" s="41"/>
      <c r="C65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74"/>
      <c r="Q65" s="44"/>
      <c r="R65" s="40"/>
      <c r="T65" s="44"/>
      <c r="U65" s="44"/>
    </row>
    <row r="66" spans="1:21" x14ac:dyDescent="0.35">
      <c r="A66" s="41"/>
      <c r="B66" s="41"/>
      <c r="C66" t="s">
        <v>77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84">
        <f>SUM(D66:O66)</f>
        <v>0</v>
      </c>
      <c r="Q66" s="44"/>
      <c r="R66" s="40"/>
      <c r="T66" s="44"/>
      <c r="U66" s="44"/>
    </row>
    <row r="67" spans="1:21" s="28" customFormat="1" ht="13" x14ac:dyDescent="0.3">
      <c r="A67" s="41"/>
      <c r="B67" s="41"/>
      <c r="C67" s="61" t="s">
        <v>78</v>
      </c>
      <c r="D67" s="68">
        <f>+D66</f>
        <v>0</v>
      </c>
      <c r="E67" s="68">
        <f t="shared" ref="E67:P67" si="31">+E66</f>
        <v>0</v>
      </c>
      <c r="F67" s="68">
        <f t="shared" si="31"/>
        <v>0</v>
      </c>
      <c r="G67" s="68">
        <f t="shared" si="31"/>
        <v>0</v>
      </c>
      <c r="H67" s="68">
        <f t="shared" si="31"/>
        <v>0</v>
      </c>
      <c r="I67" s="68">
        <f t="shared" si="31"/>
        <v>0</v>
      </c>
      <c r="J67" s="68">
        <f t="shared" si="31"/>
        <v>0</v>
      </c>
      <c r="K67" s="68">
        <f t="shared" si="31"/>
        <v>0</v>
      </c>
      <c r="L67" s="68">
        <f t="shared" si="31"/>
        <v>0</v>
      </c>
      <c r="M67" s="68">
        <f t="shared" si="31"/>
        <v>0</v>
      </c>
      <c r="N67" s="68">
        <f t="shared" si="31"/>
        <v>0</v>
      </c>
      <c r="O67" s="68">
        <f t="shared" si="31"/>
        <v>0</v>
      </c>
      <c r="P67" s="68">
        <f t="shared" si="31"/>
        <v>0</v>
      </c>
      <c r="Q67" s="39"/>
      <c r="R67" s="37">
        <f>+IF(P67=0,0,P67/$P$137)</f>
        <v>0</v>
      </c>
      <c r="T67" s="69"/>
      <c r="U67" s="69"/>
    </row>
    <row r="68" spans="1:21" x14ac:dyDescent="0.35">
      <c r="A68" s="41"/>
      <c r="B68" s="41"/>
      <c r="C68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4"/>
      <c r="Q68" s="44"/>
      <c r="R68" s="40"/>
      <c r="T68" s="44"/>
      <c r="U68" s="44"/>
    </row>
    <row r="69" spans="1:21" x14ac:dyDescent="0.35">
      <c r="A69" s="41"/>
      <c r="B69" s="41"/>
      <c r="C69" t="s">
        <v>79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84">
        <f t="shared" ref="P69:P74" si="32">SUM(D69:O69)</f>
        <v>0</v>
      </c>
      <c r="Q69" s="44"/>
      <c r="R69" s="40"/>
      <c r="T69" s="44"/>
      <c r="U69" s="44"/>
    </row>
    <row r="70" spans="1:21" x14ac:dyDescent="0.35">
      <c r="A70" s="41"/>
      <c r="B70" s="41"/>
      <c r="C70" t="s">
        <v>80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84">
        <f t="shared" si="32"/>
        <v>0</v>
      </c>
      <c r="Q70" s="44"/>
      <c r="R70" s="40"/>
      <c r="T70" s="44"/>
      <c r="U70" s="44"/>
    </row>
    <row r="71" spans="1:21" x14ac:dyDescent="0.35">
      <c r="A71" s="41"/>
      <c r="B71" s="41"/>
      <c r="C71" t="s">
        <v>81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84">
        <f t="shared" si="32"/>
        <v>0</v>
      </c>
      <c r="Q71" s="44"/>
      <c r="R71" s="40"/>
      <c r="T71" s="44"/>
      <c r="U71" s="44"/>
    </row>
    <row r="72" spans="1:21" x14ac:dyDescent="0.35">
      <c r="A72" s="41"/>
      <c r="B72" s="41"/>
      <c r="C72" t="s">
        <v>82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84">
        <f t="shared" si="32"/>
        <v>0</v>
      </c>
      <c r="Q72" s="44"/>
      <c r="R72" s="40"/>
      <c r="T72" s="44"/>
      <c r="U72" s="44"/>
    </row>
    <row r="73" spans="1:21" x14ac:dyDescent="0.35">
      <c r="A73" s="41"/>
      <c r="B73" s="41"/>
      <c r="C73" t="s">
        <v>83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84">
        <f t="shared" si="32"/>
        <v>0</v>
      </c>
      <c r="Q73" s="44"/>
      <c r="R73" s="40"/>
      <c r="T73" s="44"/>
      <c r="U73" s="44"/>
    </row>
    <row r="74" spans="1:21" x14ac:dyDescent="0.35">
      <c r="A74" s="41"/>
      <c r="B74" s="41"/>
      <c r="C74" t="s">
        <v>84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84">
        <f t="shared" si="32"/>
        <v>0</v>
      </c>
      <c r="Q74" s="44"/>
      <c r="R74" s="40"/>
      <c r="T74" s="44"/>
      <c r="U74" s="44"/>
    </row>
    <row r="75" spans="1:21" s="28" customFormat="1" ht="13" x14ac:dyDescent="0.3">
      <c r="A75" s="41"/>
      <c r="B75" s="41"/>
      <c r="C75" s="61" t="s">
        <v>85</v>
      </c>
      <c r="D75" s="68">
        <f t="shared" ref="D75:P75" si="33">SUM(D69:D74)</f>
        <v>0</v>
      </c>
      <c r="E75" s="68">
        <f t="shared" si="33"/>
        <v>0</v>
      </c>
      <c r="F75" s="68">
        <f t="shared" si="33"/>
        <v>0</v>
      </c>
      <c r="G75" s="68">
        <f t="shared" si="33"/>
        <v>0</v>
      </c>
      <c r="H75" s="68">
        <f t="shared" si="33"/>
        <v>0</v>
      </c>
      <c r="I75" s="68">
        <f t="shared" si="33"/>
        <v>0</v>
      </c>
      <c r="J75" s="68">
        <f t="shared" si="33"/>
        <v>0</v>
      </c>
      <c r="K75" s="68">
        <f t="shared" si="33"/>
        <v>0</v>
      </c>
      <c r="L75" s="68">
        <f t="shared" si="33"/>
        <v>0</v>
      </c>
      <c r="M75" s="68">
        <f t="shared" si="33"/>
        <v>0</v>
      </c>
      <c r="N75" s="68">
        <f t="shared" si="33"/>
        <v>0</v>
      </c>
      <c r="O75" s="68">
        <f t="shared" si="33"/>
        <v>0</v>
      </c>
      <c r="P75" s="68">
        <f t="shared" si="33"/>
        <v>0</v>
      </c>
      <c r="Q75" s="39"/>
      <c r="R75" s="37">
        <f>+IF(P75=0,0,P75/$P$137)</f>
        <v>0</v>
      </c>
      <c r="T75" s="69"/>
      <c r="U75" s="69"/>
    </row>
    <row r="76" spans="1:21" x14ac:dyDescent="0.35">
      <c r="A76" s="41"/>
      <c r="B76" s="41"/>
      <c r="C76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74"/>
      <c r="Q76" s="44"/>
      <c r="R76" s="40"/>
      <c r="T76" s="44"/>
      <c r="U76" s="44"/>
    </row>
    <row r="77" spans="1:21" x14ac:dyDescent="0.35">
      <c r="A77" s="41"/>
      <c r="B77" s="41"/>
      <c r="C77" t="s">
        <v>86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84">
        <f t="shared" ref="P77:P80" si="34">SUM(D77:O77)</f>
        <v>0</v>
      </c>
      <c r="Q77" s="44"/>
      <c r="R77" s="40"/>
      <c r="T77" s="44"/>
      <c r="U77" s="44"/>
    </row>
    <row r="78" spans="1:21" x14ac:dyDescent="0.35">
      <c r="A78" s="41"/>
      <c r="B78" s="41"/>
      <c r="C78" t="s">
        <v>87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84">
        <f t="shared" si="34"/>
        <v>0</v>
      </c>
      <c r="Q78" s="44"/>
      <c r="R78" s="40"/>
      <c r="T78" s="44"/>
      <c r="U78" s="44"/>
    </row>
    <row r="79" spans="1:21" x14ac:dyDescent="0.35">
      <c r="A79" s="41"/>
      <c r="B79" s="41"/>
      <c r="C79" t="s">
        <v>88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84">
        <f t="shared" si="34"/>
        <v>0</v>
      </c>
      <c r="Q79" s="44"/>
      <c r="R79" s="40"/>
      <c r="T79" s="44"/>
      <c r="U79" s="44"/>
    </row>
    <row r="80" spans="1:21" x14ac:dyDescent="0.35">
      <c r="A80" s="41"/>
      <c r="B80" s="41"/>
      <c r="C80" t="s">
        <v>89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85">
        <f t="shared" si="34"/>
        <v>0</v>
      </c>
      <c r="Q80" s="44"/>
      <c r="R80" s="40"/>
      <c r="T80" s="44"/>
      <c r="U80" s="44"/>
    </row>
    <row r="81" spans="1:21" s="28" customFormat="1" ht="13" x14ac:dyDescent="0.3">
      <c r="A81" s="41"/>
      <c r="B81" s="41"/>
      <c r="C81" s="61" t="s">
        <v>90</v>
      </c>
      <c r="D81" s="68">
        <f>SUM(D77:D80)</f>
        <v>0</v>
      </c>
      <c r="E81" s="68">
        <f t="shared" ref="E81:P81" si="35">SUM(E77:E80)</f>
        <v>0</v>
      </c>
      <c r="F81" s="68">
        <f t="shared" si="35"/>
        <v>0</v>
      </c>
      <c r="G81" s="68">
        <f t="shared" si="35"/>
        <v>0</v>
      </c>
      <c r="H81" s="68">
        <f t="shared" si="35"/>
        <v>0</v>
      </c>
      <c r="I81" s="68">
        <f t="shared" si="35"/>
        <v>0</v>
      </c>
      <c r="J81" s="68">
        <f t="shared" si="35"/>
        <v>0</v>
      </c>
      <c r="K81" s="68">
        <f t="shared" si="35"/>
        <v>0</v>
      </c>
      <c r="L81" s="68">
        <f t="shared" si="35"/>
        <v>0</v>
      </c>
      <c r="M81" s="68">
        <f t="shared" si="35"/>
        <v>0</v>
      </c>
      <c r="N81" s="68">
        <f t="shared" si="35"/>
        <v>0</v>
      </c>
      <c r="O81" s="68">
        <f t="shared" si="35"/>
        <v>0</v>
      </c>
      <c r="P81" s="68">
        <f t="shared" si="35"/>
        <v>0</v>
      </c>
      <c r="Q81" s="39"/>
      <c r="R81" s="37">
        <f>+IF(P81=0,0,P81/$P$137)</f>
        <v>0</v>
      </c>
      <c r="T81" s="69"/>
      <c r="U81" s="69"/>
    </row>
    <row r="82" spans="1:21" x14ac:dyDescent="0.35">
      <c r="A82" s="41"/>
      <c r="B82" s="41"/>
      <c r="C82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74"/>
      <c r="Q82" s="44"/>
      <c r="R82" s="40"/>
      <c r="T82" s="44"/>
      <c r="U82" s="44"/>
    </row>
    <row r="83" spans="1:21" x14ac:dyDescent="0.35">
      <c r="A83" s="41"/>
      <c r="B83" s="41"/>
      <c r="C83" t="s">
        <v>91</v>
      </c>
      <c r="D83" s="44">
        <v>0</v>
      </c>
      <c r="E83" s="44">
        <v>0</v>
      </c>
      <c r="F83" s="44">
        <v>3500</v>
      </c>
      <c r="G83" s="44">
        <v>0</v>
      </c>
      <c r="H83" s="44">
        <v>0</v>
      </c>
      <c r="I83" s="44">
        <v>3500</v>
      </c>
      <c r="J83" s="44">
        <v>0</v>
      </c>
      <c r="K83" s="44">
        <v>0</v>
      </c>
      <c r="L83" s="44">
        <v>3500</v>
      </c>
      <c r="M83" s="44">
        <v>0</v>
      </c>
      <c r="N83" s="44">
        <v>0</v>
      </c>
      <c r="O83" s="44">
        <v>3500</v>
      </c>
      <c r="P83" s="84">
        <f>SUM(D83:O83)</f>
        <v>14000</v>
      </c>
      <c r="Q83" s="44"/>
      <c r="R83" s="40"/>
      <c r="T83" s="44"/>
      <c r="U83" s="44"/>
    </row>
    <row r="84" spans="1:21" s="28" customFormat="1" ht="13" x14ac:dyDescent="0.3">
      <c r="A84" s="41"/>
      <c r="B84" s="41"/>
      <c r="C84" s="61" t="s">
        <v>92</v>
      </c>
      <c r="D84" s="68">
        <f>+D83</f>
        <v>0</v>
      </c>
      <c r="E84" s="68">
        <f t="shared" ref="E84:P84" si="36">+E83</f>
        <v>0</v>
      </c>
      <c r="F84" s="68">
        <f t="shared" si="36"/>
        <v>3500</v>
      </c>
      <c r="G84" s="68">
        <f t="shared" si="36"/>
        <v>0</v>
      </c>
      <c r="H84" s="68">
        <f t="shared" si="36"/>
        <v>0</v>
      </c>
      <c r="I84" s="68">
        <f t="shared" si="36"/>
        <v>3500</v>
      </c>
      <c r="J84" s="68">
        <f t="shared" si="36"/>
        <v>0</v>
      </c>
      <c r="K84" s="68">
        <f t="shared" si="36"/>
        <v>0</v>
      </c>
      <c r="L84" s="68">
        <f t="shared" si="36"/>
        <v>3500</v>
      </c>
      <c r="M84" s="68">
        <f t="shared" si="36"/>
        <v>0</v>
      </c>
      <c r="N84" s="68">
        <f t="shared" si="36"/>
        <v>0</v>
      </c>
      <c r="O84" s="68">
        <f t="shared" si="36"/>
        <v>3500</v>
      </c>
      <c r="P84" s="68">
        <f t="shared" si="36"/>
        <v>14000</v>
      </c>
      <c r="Q84" s="39"/>
      <c r="R84" s="37">
        <f>+IF(P84=0,0,P84/$P$137)</f>
        <v>6.4014069284666145E-3</v>
      </c>
      <c r="T84" s="69"/>
      <c r="U84" s="69"/>
    </row>
    <row r="85" spans="1:21" x14ac:dyDescent="0.35">
      <c r="A85" s="41"/>
      <c r="B85" s="41"/>
      <c r="C85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74"/>
      <c r="Q85" s="44"/>
      <c r="R85" s="40"/>
      <c r="T85" s="44"/>
      <c r="U85" s="44"/>
    </row>
    <row r="86" spans="1:21" x14ac:dyDescent="0.35">
      <c r="A86" s="41"/>
      <c r="B86" s="41"/>
      <c r="C86" t="s">
        <v>93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84">
        <f t="shared" ref="P86:P91" si="37">SUM(D86:O86)</f>
        <v>0</v>
      </c>
      <c r="Q86" s="44"/>
      <c r="R86" s="40"/>
      <c r="T86" s="44"/>
      <c r="U86" s="44"/>
    </row>
    <row r="87" spans="1:21" x14ac:dyDescent="0.35">
      <c r="A87" s="41"/>
      <c r="B87" s="41"/>
      <c r="C87" t="s">
        <v>94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84">
        <f t="shared" si="37"/>
        <v>0</v>
      </c>
      <c r="Q87" s="44"/>
      <c r="R87" s="40"/>
      <c r="T87" s="44"/>
      <c r="U87" s="44"/>
    </row>
    <row r="88" spans="1:21" x14ac:dyDescent="0.35">
      <c r="A88" s="41"/>
      <c r="B88" s="41"/>
      <c r="C88" t="s">
        <v>95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84">
        <f t="shared" si="37"/>
        <v>0</v>
      </c>
      <c r="Q88" s="44"/>
      <c r="R88" s="40"/>
      <c r="T88" s="44"/>
      <c r="U88" s="44"/>
    </row>
    <row r="89" spans="1:21" x14ac:dyDescent="0.35">
      <c r="A89" s="41"/>
      <c r="B89" s="41"/>
      <c r="C89" t="s">
        <v>96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84">
        <f t="shared" si="37"/>
        <v>0</v>
      </c>
      <c r="Q89" s="44"/>
      <c r="R89" s="40"/>
      <c r="T89" s="44"/>
      <c r="U89" s="44"/>
    </row>
    <row r="90" spans="1:21" x14ac:dyDescent="0.35">
      <c r="A90" s="41"/>
      <c r="B90" s="41"/>
      <c r="C90" t="s">
        <v>97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84">
        <f t="shared" si="37"/>
        <v>0</v>
      </c>
      <c r="Q90" s="44"/>
      <c r="R90" s="40"/>
      <c r="T90" s="44"/>
      <c r="U90" s="44"/>
    </row>
    <row r="91" spans="1:21" x14ac:dyDescent="0.35">
      <c r="A91" s="41"/>
      <c r="B91" s="41"/>
      <c r="C91" t="s">
        <v>98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84">
        <f t="shared" si="37"/>
        <v>0</v>
      </c>
      <c r="Q91" s="44"/>
      <c r="R91" s="40"/>
      <c r="T91" s="44"/>
      <c r="U91" s="44"/>
    </row>
    <row r="92" spans="1:21" s="28" customFormat="1" ht="13" x14ac:dyDescent="0.3">
      <c r="A92" s="41"/>
      <c r="B92" s="41"/>
      <c r="C92" s="61" t="s">
        <v>99</v>
      </c>
      <c r="D92" s="68">
        <f>SUM(D86:D91)</f>
        <v>0</v>
      </c>
      <c r="E92" s="68">
        <f t="shared" ref="E92:P92" si="38">SUM(E86:E91)</f>
        <v>0</v>
      </c>
      <c r="F92" s="68">
        <f t="shared" si="38"/>
        <v>0</v>
      </c>
      <c r="G92" s="68">
        <f t="shared" si="38"/>
        <v>0</v>
      </c>
      <c r="H92" s="68">
        <f t="shared" si="38"/>
        <v>0</v>
      </c>
      <c r="I92" s="68">
        <f t="shared" si="38"/>
        <v>0</v>
      </c>
      <c r="J92" s="68">
        <f t="shared" si="38"/>
        <v>0</v>
      </c>
      <c r="K92" s="68">
        <f t="shared" si="38"/>
        <v>0</v>
      </c>
      <c r="L92" s="68">
        <f t="shared" si="38"/>
        <v>0</v>
      </c>
      <c r="M92" s="68">
        <f t="shared" si="38"/>
        <v>0</v>
      </c>
      <c r="N92" s="68">
        <f t="shared" si="38"/>
        <v>0</v>
      </c>
      <c r="O92" s="68">
        <f t="shared" si="38"/>
        <v>0</v>
      </c>
      <c r="P92" s="68">
        <f t="shared" si="38"/>
        <v>0</v>
      </c>
      <c r="Q92" s="39"/>
      <c r="R92" s="37">
        <f>+IF(P92=0,0,P92/$P$137)</f>
        <v>0</v>
      </c>
      <c r="T92" s="69"/>
      <c r="U92" s="69"/>
    </row>
    <row r="93" spans="1:21" x14ac:dyDescent="0.35">
      <c r="A93" s="41"/>
      <c r="B93" s="41"/>
      <c r="C93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74"/>
      <c r="Q93" s="44"/>
      <c r="R93" s="40"/>
      <c r="T93" s="44"/>
      <c r="U93" s="44"/>
    </row>
    <row r="94" spans="1:21" x14ac:dyDescent="0.35">
      <c r="A94" s="41"/>
      <c r="B94" s="41"/>
      <c r="C94" t="s">
        <v>100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84">
        <f t="shared" ref="P94:P100" si="39">SUM(D94:O94)</f>
        <v>0</v>
      </c>
      <c r="Q94" s="44"/>
      <c r="R94" s="40"/>
      <c r="T94" s="44"/>
      <c r="U94" s="44"/>
    </row>
    <row r="95" spans="1:21" x14ac:dyDescent="0.35">
      <c r="A95" s="41"/>
      <c r="B95" s="41"/>
      <c r="C95" t="s">
        <v>101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84">
        <f t="shared" si="39"/>
        <v>0</v>
      </c>
      <c r="Q95" s="44"/>
      <c r="R95" s="40"/>
      <c r="T95" s="44"/>
      <c r="U95" s="44"/>
    </row>
    <row r="96" spans="1:21" x14ac:dyDescent="0.35">
      <c r="A96" s="41"/>
      <c r="B96" s="41"/>
      <c r="C96" t="s">
        <v>102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84">
        <f t="shared" si="39"/>
        <v>0</v>
      </c>
      <c r="Q96" s="44"/>
      <c r="R96" s="40"/>
      <c r="T96" s="44"/>
      <c r="U96" s="44"/>
    </row>
    <row r="97" spans="1:21" x14ac:dyDescent="0.35">
      <c r="A97" s="41"/>
      <c r="B97" s="41"/>
      <c r="C97" t="s">
        <v>103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84">
        <f t="shared" si="39"/>
        <v>0</v>
      </c>
      <c r="Q97" s="44"/>
      <c r="R97" s="40"/>
      <c r="T97" s="44"/>
      <c r="U97" s="44"/>
    </row>
    <row r="98" spans="1:21" x14ac:dyDescent="0.35">
      <c r="A98" s="41"/>
      <c r="B98" s="41"/>
      <c r="C98" t="s">
        <v>104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84">
        <f t="shared" si="39"/>
        <v>0</v>
      </c>
      <c r="Q98" s="44"/>
      <c r="R98" s="40"/>
      <c r="T98" s="44"/>
      <c r="U98" s="44"/>
    </row>
    <row r="99" spans="1:21" x14ac:dyDescent="0.35">
      <c r="A99" s="41"/>
      <c r="B99" s="41"/>
      <c r="C99" t="s">
        <v>105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84">
        <f t="shared" si="39"/>
        <v>0</v>
      </c>
      <c r="Q99" s="44"/>
      <c r="R99" s="40"/>
      <c r="T99" s="44"/>
      <c r="U99" s="44"/>
    </row>
    <row r="100" spans="1:21" x14ac:dyDescent="0.35">
      <c r="A100" s="41"/>
      <c r="B100" s="41"/>
      <c r="C100" t="s">
        <v>106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84">
        <f t="shared" si="39"/>
        <v>0</v>
      </c>
      <c r="Q100" s="44"/>
      <c r="R100" s="40"/>
      <c r="T100" s="44"/>
      <c r="U100" s="44"/>
    </row>
    <row r="101" spans="1:21" s="28" customFormat="1" ht="13" x14ac:dyDescent="0.3">
      <c r="A101" s="41"/>
      <c r="B101" s="41"/>
      <c r="C101" s="61" t="s">
        <v>107</v>
      </c>
      <c r="D101" s="68">
        <f t="shared" ref="D101:P101" si="40">SUM(D94:D100)</f>
        <v>0</v>
      </c>
      <c r="E101" s="68">
        <f t="shared" si="40"/>
        <v>0</v>
      </c>
      <c r="F101" s="68">
        <f t="shared" si="40"/>
        <v>0</v>
      </c>
      <c r="G101" s="68">
        <f t="shared" si="40"/>
        <v>0</v>
      </c>
      <c r="H101" s="68">
        <f t="shared" si="40"/>
        <v>0</v>
      </c>
      <c r="I101" s="68">
        <f t="shared" si="40"/>
        <v>0</v>
      </c>
      <c r="J101" s="68">
        <f t="shared" si="40"/>
        <v>0</v>
      </c>
      <c r="K101" s="68">
        <f t="shared" si="40"/>
        <v>0</v>
      </c>
      <c r="L101" s="68">
        <f t="shared" si="40"/>
        <v>0</v>
      </c>
      <c r="M101" s="68">
        <f t="shared" si="40"/>
        <v>0</v>
      </c>
      <c r="N101" s="68">
        <f t="shared" si="40"/>
        <v>0</v>
      </c>
      <c r="O101" s="68">
        <f t="shared" si="40"/>
        <v>0</v>
      </c>
      <c r="P101" s="68">
        <f t="shared" si="40"/>
        <v>0</v>
      </c>
      <c r="Q101" s="39"/>
      <c r="R101" s="37">
        <f>+IF(P101=0,0,P101/$P$137)</f>
        <v>0</v>
      </c>
      <c r="T101" s="69"/>
      <c r="U101" s="69"/>
    </row>
    <row r="102" spans="1:21" x14ac:dyDescent="0.35">
      <c r="A102" s="41"/>
      <c r="B102" s="41"/>
      <c r="C102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74"/>
      <c r="Q102" s="44"/>
      <c r="R102" s="40"/>
      <c r="T102" s="44"/>
      <c r="U102" s="44"/>
    </row>
    <row r="103" spans="1:21" x14ac:dyDescent="0.35">
      <c r="A103" s="41"/>
      <c r="B103" s="41"/>
      <c r="C103" t="s">
        <v>108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84">
        <f t="shared" ref="P103" si="41">SUM(D103:O103)</f>
        <v>0</v>
      </c>
      <c r="Q103" s="44"/>
      <c r="R103" s="40"/>
      <c r="T103" s="44"/>
      <c r="U103" s="44"/>
    </row>
    <row r="104" spans="1:21" s="28" customFormat="1" ht="13" x14ac:dyDescent="0.3">
      <c r="A104" s="41"/>
      <c r="B104" s="41"/>
      <c r="C104" s="61" t="s">
        <v>109</v>
      </c>
      <c r="D104" s="68">
        <f>SUM(D103)</f>
        <v>0</v>
      </c>
      <c r="E104" s="68">
        <f t="shared" ref="E104:O104" si="42">SUM(E103)</f>
        <v>0</v>
      </c>
      <c r="F104" s="68">
        <f t="shared" si="42"/>
        <v>0</v>
      </c>
      <c r="G104" s="68">
        <f t="shared" si="42"/>
        <v>0</v>
      </c>
      <c r="H104" s="68">
        <f t="shared" si="42"/>
        <v>0</v>
      </c>
      <c r="I104" s="68">
        <f t="shared" si="42"/>
        <v>0</v>
      </c>
      <c r="J104" s="68">
        <f t="shared" si="42"/>
        <v>0</v>
      </c>
      <c r="K104" s="68">
        <f t="shared" si="42"/>
        <v>0</v>
      </c>
      <c r="L104" s="68">
        <f t="shared" si="42"/>
        <v>0</v>
      </c>
      <c r="M104" s="68">
        <f t="shared" si="42"/>
        <v>0</v>
      </c>
      <c r="N104" s="68">
        <f t="shared" si="42"/>
        <v>0</v>
      </c>
      <c r="O104" s="68">
        <f t="shared" si="42"/>
        <v>0</v>
      </c>
      <c r="P104" s="68">
        <f>+P103</f>
        <v>0</v>
      </c>
      <c r="Q104" s="39"/>
      <c r="R104" s="37">
        <f>+IF(P104=0,0,P104/$P$137)</f>
        <v>0</v>
      </c>
      <c r="T104" s="69"/>
      <c r="U104" s="69"/>
    </row>
    <row r="105" spans="1:21" x14ac:dyDescent="0.35">
      <c r="A105" s="41"/>
      <c r="B105" s="41"/>
      <c r="C105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74"/>
      <c r="Q105" s="44"/>
      <c r="R105" s="40"/>
      <c r="T105" s="44"/>
      <c r="U105" s="44"/>
    </row>
    <row r="106" spans="1:21" x14ac:dyDescent="0.35">
      <c r="A106" s="41"/>
      <c r="B106" s="41"/>
      <c r="C106" t="s">
        <v>110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84">
        <v>0</v>
      </c>
      <c r="Q106" s="44"/>
      <c r="R106" s="40"/>
      <c r="T106" s="44"/>
      <c r="U106" s="44"/>
    </row>
    <row r="107" spans="1:21" s="28" customFormat="1" ht="13" x14ac:dyDescent="0.3">
      <c r="A107" s="41"/>
      <c r="B107" s="41"/>
      <c r="C107" s="61" t="s">
        <v>111</v>
      </c>
      <c r="D107" s="68">
        <f>+D106</f>
        <v>0</v>
      </c>
      <c r="E107" s="68">
        <f t="shared" ref="E107:P107" si="43">+E106</f>
        <v>0</v>
      </c>
      <c r="F107" s="68">
        <f t="shared" si="43"/>
        <v>0</v>
      </c>
      <c r="G107" s="68">
        <f t="shared" si="43"/>
        <v>0</v>
      </c>
      <c r="H107" s="68">
        <f t="shared" si="43"/>
        <v>0</v>
      </c>
      <c r="I107" s="68">
        <f t="shared" si="43"/>
        <v>0</v>
      </c>
      <c r="J107" s="68">
        <f t="shared" si="43"/>
        <v>0</v>
      </c>
      <c r="K107" s="68">
        <f t="shared" si="43"/>
        <v>0</v>
      </c>
      <c r="L107" s="68">
        <f t="shared" si="43"/>
        <v>0</v>
      </c>
      <c r="M107" s="68">
        <f t="shared" si="43"/>
        <v>0</v>
      </c>
      <c r="N107" s="68">
        <f t="shared" si="43"/>
        <v>0</v>
      </c>
      <c r="O107" s="68">
        <f t="shared" si="43"/>
        <v>0</v>
      </c>
      <c r="P107" s="68">
        <f t="shared" si="43"/>
        <v>0</v>
      </c>
      <c r="Q107" s="39"/>
      <c r="R107" s="37">
        <f>+IF(P107=0,0,P107/$P$137)</f>
        <v>0</v>
      </c>
      <c r="T107" s="69"/>
      <c r="U107" s="69"/>
    </row>
    <row r="108" spans="1:21" x14ac:dyDescent="0.35">
      <c r="A108" s="41"/>
      <c r="B108" s="41"/>
      <c r="C108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74"/>
      <c r="Q108" s="44"/>
      <c r="R108" s="40"/>
      <c r="T108" s="44"/>
      <c r="U108" s="44"/>
    </row>
    <row r="109" spans="1:21" x14ac:dyDescent="0.35">
      <c r="A109" s="41"/>
      <c r="B109" s="41"/>
      <c r="C109" t="s">
        <v>96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84">
        <f t="shared" ref="P109:P114" si="44">SUM(D109:O109)</f>
        <v>0</v>
      </c>
      <c r="Q109" s="44"/>
      <c r="R109" s="40"/>
      <c r="T109" s="44"/>
      <c r="U109" s="44"/>
    </row>
    <row r="110" spans="1:21" x14ac:dyDescent="0.35">
      <c r="A110" s="41"/>
      <c r="B110" s="41"/>
      <c r="C110" t="s">
        <v>112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84">
        <f t="shared" si="44"/>
        <v>0</v>
      </c>
      <c r="Q110" s="44"/>
      <c r="R110" s="40"/>
      <c r="T110" s="44"/>
      <c r="U110" s="44"/>
    </row>
    <row r="111" spans="1:21" x14ac:dyDescent="0.35">
      <c r="A111" s="41"/>
      <c r="B111" s="41"/>
      <c r="C111" t="s">
        <v>113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84">
        <f t="shared" si="44"/>
        <v>0</v>
      </c>
      <c r="Q111" s="44"/>
      <c r="R111" s="40"/>
      <c r="T111" s="44"/>
      <c r="U111" s="44"/>
    </row>
    <row r="112" spans="1:21" x14ac:dyDescent="0.35">
      <c r="A112" s="41"/>
      <c r="B112" s="41" t="s">
        <v>114</v>
      </c>
      <c r="C112" t="s">
        <v>115</v>
      </c>
      <c r="D112" s="44">
        <f>466.76*7</f>
        <v>3267.3199999999997</v>
      </c>
      <c r="E112" s="44">
        <f t="shared" ref="E112:O112" si="45">466.76*7</f>
        <v>3267.3199999999997</v>
      </c>
      <c r="F112" s="44">
        <f t="shared" si="45"/>
        <v>3267.3199999999997</v>
      </c>
      <c r="G112" s="44">
        <f t="shared" si="45"/>
        <v>3267.3199999999997</v>
      </c>
      <c r="H112" s="44">
        <f t="shared" si="45"/>
        <v>3267.3199999999997</v>
      </c>
      <c r="I112" s="44">
        <f t="shared" si="45"/>
        <v>3267.3199999999997</v>
      </c>
      <c r="J112" s="44">
        <f t="shared" si="45"/>
        <v>3267.3199999999997</v>
      </c>
      <c r="K112" s="44">
        <f t="shared" si="45"/>
        <v>3267.3199999999997</v>
      </c>
      <c r="L112" s="44">
        <f t="shared" si="45"/>
        <v>3267.3199999999997</v>
      </c>
      <c r="M112" s="44">
        <f t="shared" si="45"/>
        <v>3267.3199999999997</v>
      </c>
      <c r="N112" s="44">
        <f t="shared" si="45"/>
        <v>3267.3199999999997</v>
      </c>
      <c r="O112" s="44">
        <f t="shared" si="45"/>
        <v>3267.3199999999997</v>
      </c>
      <c r="P112" s="84">
        <f t="shared" si="44"/>
        <v>39207.839999999997</v>
      </c>
      <c r="Q112" s="44"/>
      <c r="R112" s="40"/>
      <c r="T112" s="44"/>
      <c r="U112" s="44"/>
    </row>
    <row r="113" spans="1:21" x14ac:dyDescent="0.35">
      <c r="A113" s="41"/>
      <c r="B113" s="41" t="s">
        <v>73</v>
      </c>
      <c r="C113" t="s">
        <v>116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84">
        <f t="shared" si="44"/>
        <v>0</v>
      </c>
      <c r="Q113" s="44"/>
      <c r="R113" s="40"/>
      <c r="T113" s="44"/>
      <c r="U113" s="44"/>
    </row>
    <row r="114" spans="1:21" x14ac:dyDescent="0.35">
      <c r="A114" s="41"/>
      <c r="B114" s="41"/>
      <c r="C114" t="s">
        <v>117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84">
        <f t="shared" si="44"/>
        <v>0</v>
      </c>
      <c r="Q114" s="44"/>
      <c r="R114" s="40"/>
      <c r="T114" s="44"/>
      <c r="U114" s="44"/>
    </row>
    <row r="115" spans="1:21" s="28" customFormat="1" ht="13" x14ac:dyDescent="0.3">
      <c r="A115" s="41"/>
      <c r="B115" s="41"/>
      <c r="C115" s="61" t="s">
        <v>118</v>
      </c>
      <c r="D115" s="68">
        <f t="shared" ref="D115:P115" si="46">SUM(D109:D114)</f>
        <v>3267.3199999999997</v>
      </c>
      <c r="E115" s="68">
        <f t="shared" si="46"/>
        <v>3267.3199999999997</v>
      </c>
      <c r="F115" s="68">
        <f t="shared" si="46"/>
        <v>3267.3199999999997</v>
      </c>
      <c r="G115" s="68">
        <f t="shared" si="46"/>
        <v>3267.3199999999997</v>
      </c>
      <c r="H115" s="68">
        <f t="shared" si="46"/>
        <v>3267.3199999999997</v>
      </c>
      <c r="I115" s="68">
        <f t="shared" si="46"/>
        <v>3267.3199999999997</v>
      </c>
      <c r="J115" s="68">
        <f t="shared" si="46"/>
        <v>3267.3199999999997</v>
      </c>
      <c r="K115" s="68">
        <f t="shared" si="46"/>
        <v>3267.3199999999997</v>
      </c>
      <c r="L115" s="68">
        <f t="shared" si="46"/>
        <v>3267.3199999999997</v>
      </c>
      <c r="M115" s="68">
        <f t="shared" si="46"/>
        <v>3267.3199999999997</v>
      </c>
      <c r="N115" s="68">
        <f t="shared" si="46"/>
        <v>3267.3199999999997</v>
      </c>
      <c r="O115" s="68">
        <f t="shared" si="46"/>
        <v>3267.3199999999997</v>
      </c>
      <c r="P115" s="68">
        <f t="shared" si="46"/>
        <v>39207.839999999997</v>
      </c>
      <c r="Q115" s="39"/>
      <c r="R115" s="37">
        <f>+IF(P115=0,0,P115/$P$137)</f>
        <v>1.792752418758646E-2</v>
      </c>
      <c r="T115" s="69"/>
      <c r="U115" s="69"/>
    </row>
    <row r="116" spans="1:21" x14ac:dyDescent="0.35">
      <c r="A116" s="41"/>
      <c r="B116" s="41"/>
      <c r="C116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74"/>
      <c r="Q116" s="44"/>
      <c r="R116" s="40"/>
      <c r="T116" s="44"/>
      <c r="U116" s="44"/>
    </row>
    <row r="117" spans="1:21" x14ac:dyDescent="0.35">
      <c r="A117" s="41"/>
      <c r="B117" s="41"/>
      <c r="C117" t="s">
        <v>119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84">
        <f t="shared" ref="P117:P122" si="47">SUM(D117:O117)</f>
        <v>0</v>
      </c>
      <c r="Q117" s="44"/>
      <c r="R117" s="40"/>
      <c r="T117" s="44"/>
      <c r="U117" s="44"/>
    </row>
    <row r="118" spans="1:21" x14ac:dyDescent="0.35">
      <c r="A118" s="41"/>
      <c r="B118" s="41"/>
      <c r="C118" t="s">
        <v>120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84">
        <f t="shared" si="47"/>
        <v>0</v>
      </c>
      <c r="Q118" s="44"/>
      <c r="R118" s="40"/>
      <c r="T118" s="44"/>
      <c r="U118" s="44"/>
    </row>
    <row r="119" spans="1:21" x14ac:dyDescent="0.35">
      <c r="A119" s="41"/>
      <c r="B119" s="41"/>
      <c r="C119" t="s">
        <v>121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84">
        <f t="shared" si="47"/>
        <v>0</v>
      </c>
      <c r="Q119" s="44"/>
      <c r="R119" s="40"/>
      <c r="T119" s="44"/>
      <c r="U119" s="44"/>
    </row>
    <row r="120" spans="1:21" x14ac:dyDescent="0.35">
      <c r="A120" s="41"/>
      <c r="B120" s="41"/>
      <c r="C120" t="s">
        <v>122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84">
        <f t="shared" si="47"/>
        <v>0</v>
      </c>
      <c r="Q120" s="44"/>
      <c r="R120" s="40"/>
      <c r="T120" s="44"/>
      <c r="U120" s="44"/>
    </row>
    <row r="121" spans="1:21" x14ac:dyDescent="0.35">
      <c r="A121" s="41"/>
      <c r="B121" s="41"/>
      <c r="C121" t="s">
        <v>123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84">
        <f t="shared" si="47"/>
        <v>0</v>
      </c>
      <c r="Q121" s="44"/>
      <c r="R121" s="40"/>
      <c r="T121" s="44"/>
      <c r="U121" s="44"/>
    </row>
    <row r="122" spans="1:21" x14ac:dyDescent="0.35">
      <c r="A122" s="41"/>
      <c r="B122" s="41"/>
      <c r="C122" t="s">
        <v>124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84">
        <f t="shared" si="47"/>
        <v>0</v>
      </c>
      <c r="Q122" s="44"/>
      <c r="R122" s="40"/>
      <c r="T122" s="44"/>
      <c r="U122" s="44"/>
    </row>
    <row r="123" spans="1:21" s="28" customFormat="1" ht="13" x14ac:dyDescent="0.3">
      <c r="A123" s="41"/>
      <c r="B123" s="41"/>
      <c r="C123" s="61" t="s">
        <v>125</v>
      </c>
      <c r="D123" s="68">
        <f>SUM(D117:D122)</f>
        <v>0</v>
      </c>
      <c r="E123" s="68">
        <f t="shared" ref="E123:P123" si="48">SUM(E117:E122)</f>
        <v>0</v>
      </c>
      <c r="F123" s="68">
        <f t="shared" si="48"/>
        <v>0</v>
      </c>
      <c r="G123" s="68">
        <f t="shared" si="48"/>
        <v>0</v>
      </c>
      <c r="H123" s="68">
        <f t="shared" si="48"/>
        <v>0</v>
      </c>
      <c r="I123" s="68">
        <f t="shared" si="48"/>
        <v>0</v>
      </c>
      <c r="J123" s="68">
        <f t="shared" si="48"/>
        <v>0</v>
      </c>
      <c r="K123" s="68">
        <f t="shared" si="48"/>
        <v>0</v>
      </c>
      <c r="L123" s="68">
        <f t="shared" si="48"/>
        <v>0</v>
      </c>
      <c r="M123" s="68">
        <f t="shared" si="48"/>
        <v>0</v>
      </c>
      <c r="N123" s="68">
        <f t="shared" si="48"/>
        <v>0</v>
      </c>
      <c r="O123" s="68">
        <f t="shared" si="48"/>
        <v>0</v>
      </c>
      <c r="P123" s="68">
        <f t="shared" si="48"/>
        <v>0</v>
      </c>
      <c r="Q123" s="39"/>
      <c r="R123" s="37">
        <f>+IF(P123=0,0,P123/$P$137)</f>
        <v>0</v>
      </c>
      <c r="T123" s="69"/>
      <c r="U123" s="69"/>
    </row>
    <row r="124" spans="1:21" x14ac:dyDescent="0.35">
      <c r="A124" s="41"/>
      <c r="B124" s="41"/>
      <c r="C12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74"/>
      <c r="Q124" s="44"/>
      <c r="R124" s="40"/>
      <c r="T124" s="44"/>
      <c r="U124" s="44"/>
    </row>
    <row r="125" spans="1:21" x14ac:dyDescent="0.35">
      <c r="A125" s="41"/>
      <c r="B125" s="41"/>
      <c r="C125" t="s">
        <v>126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84">
        <f t="shared" ref="P125:P128" si="49">SUM(D125:O125)</f>
        <v>0</v>
      </c>
      <c r="Q125" s="44"/>
      <c r="R125" s="40"/>
      <c r="T125" s="44"/>
      <c r="U125" s="44"/>
    </row>
    <row r="126" spans="1:21" x14ac:dyDescent="0.35">
      <c r="A126" s="41"/>
      <c r="B126" s="41"/>
      <c r="C126" t="s">
        <v>127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84">
        <f t="shared" si="49"/>
        <v>0</v>
      </c>
      <c r="Q126" s="44"/>
      <c r="R126" s="40"/>
      <c r="T126" s="44"/>
      <c r="U126" s="44"/>
    </row>
    <row r="127" spans="1:21" x14ac:dyDescent="0.35">
      <c r="A127" s="41"/>
      <c r="B127" s="41"/>
      <c r="C127" t="s">
        <v>128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84">
        <f t="shared" si="49"/>
        <v>0</v>
      </c>
      <c r="Q127" s="44"/>
      <c r="R127" s="40"/>
      <c r="T127" s="44"/>
      <c r="U127" s="44"/>
    </row>
    <row r="128" spans="1:21" x14ac:dyDescent="0.35">
      <c r="A128" s="41"/>
      <c r="B128" s="41"/>
      <c r="C128" t="s">
        <v>129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84">
        <f t="shared" si="49"/>
        <v>0</v>
      </c>
      <c r="Q128" s="44"/>
      <c r="R128" s="40"/>
      <c r="T128" s="44"/>
      <c r="U128" s="44"/>
    </row>
    <row r="129" spans="1:34" s="28" customFormat="1" ht="13" x14ac:dyDescent="0.3">
      <c r="A129" s="41"/>
      <c r="B129" s="41"/>
      <c r="C129" s="61" t="s">
        <v>130</v>
      </c>
      <c r="D129" s="68">
        <f>SUM(D125:D128)</f>
        <v>0</v>
      </c>
      <c r="E129" s="68">
        <f t="shared" ref="E129:P129" si="50">SUM(E125:E128)</f>
        <v>0</v>
      </c>
      <c r="F129" s="68">
        <f t="shared" si="50"/>
        <v>0</v>
      </c>
      <c r="G129" s="68">
        <f t="shared" si="50"/>
        <v>0</v>
      </c>
      <c r="H129" s="68">
        <f t="shared" si="50"/>
        <v>0</v>
      </c>
      <c r="I129" s="68">
        <f t="shared" si="50"/>
        <v>0</v>
      </c>
      <c r="J129" s="68">
        <f t="shared" si="50"/>
        <v>0</v>
      </c>
      <c r="K129" s="68">
        <f t="shared" si="50"/>
        <v>0</v>
      </c>
      <c r="L129" s="68">
        <f t="shared" si="50"/>
        <v>0</v>
      </c>
      <c r="M129" s="68">
        <f t="shared" si="50"/>
        <v>0</v>
      </c>
      <c r="N129" s="68">
        <f t="shared" si="50"/>
        <v>0</v>
      </c>
      <c r="O129" s="68">
        <f t="shared" si="50"/>
        <v>0</v>
      </c>
      <c r="P129" s="68">
        <f t="shared" si="50"/>
        <v>0</v>
      </c>
      <c r="Q129" s="39"/>
      <c r="R129" s="37">
        <f>+IF(P129=0,0,P129/$P$137)</f>
        <v>0</v>
      </c>
      <c r="T129" s="69"/>
      <c r="U129" s="69"/>
    </row>
    <row r="130" spans="1:34" x14ac:dyDescent="0.35">
      <c r="A130" s="41"/>
      <c r="B130" s="41"/>
      <c r="C130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74"/>
      <c r="Q130" s="44"/>
      <c r="R130" s="40"/>
      <c r="T130" s="44"/>
      <c r="U130" s="44"/>
    </row>
    <row r="131" spans="1:34" x14ac:dyDescent="0.35">
      <c r="A131" s="41"/>
      <c r="B131" s="41" t="s">
        <v>114</v>
      </c>
      <c r="C131" t="s">
        <v>131</v>
      </c>
      <c r="D131" s="44">
        <f>269*3</f>
        <v>807</v>
      </c>
      <c r="E131" s="44">
        <f>+D131</f>
        <v>807</v>
      </c>
      <c r="F131" s="44">
        <f>+E131</f>
        <v>807</v>
      </c>
      <c r="G131" s="44">
        <f t="shared" ref="G131:O131" si="51">+F131</f>
        <v>807</v>
      </c>
      <c r="H131" s="44">
        <f t="shared" si="51"/>
        <v>807</v>
      </c>
      <c r="I131" s="44">
        <f t="shared" si="51"/>
        <v>807</v>
      </c>
      <c r="J131" s="44">
        <f t="shared" si="51"/>
        <v>807</v>
      </c>
      <c r="K131" s="44">
        <f t="shared" si="51"/>
        <v>807</v>
      </c>
      <c r="L131" s="44">
        <f t="shared" si="51"/>
        <v>807</v>
      </c>
      <c r="M131" s="44">
        <f t="shared" si="51"/>
        <v>807</v>
      </c>
      <c r="N131" s="44">
        <f t="shared" si="51"/>
        <v>807</v>
      </c>
      <c r="O131" s="44">
        <f t="shared" si="51"/>
        <v>807</v>
      </c>
      <c r="P131" s="84">
        <f>SUM(D131:O131)</f>
        <v>9684</v>
      </c>
      <c r="Q131" s="44"/>
      <c r="R131" s="40"/>
      <c r="T131" s="44"/>
      <c r="U131" s="44"/>
    </row>
    <row r="132" spans="1:34" s="28" customFormat="1" ht="13" x14ac:dyDescent="0.3">
      <c r="A132" s="41"/>
      <c r="B132" s="41"/>
      <c r="C132" s="61" t="s">
        <v>132</v>
      </c>
      <c r="D132" s="68">
        <f>+D131</f>
        <v>807</v>
      </c>
      <c r="E132" s="68">
        <f t="shared" ref="E132:P132" si="52">+E131</f>
        <v>807</v>
      </c>
      <c r="F132" s="68">
        <f t="shared" si="52"/>
        <v>807</v>
      </c>
      <c r="G132" s="68">
        <f t="shared" si="52"/>
        <v>807</v>
      </c>
      <c r="H132" s="68">
        <f t="shared" si="52"/>
        <v>807</v>
      </c>
      <c r="I132" s="68">
        <f t="shared" si="52"/>
        <v>807</v>
      </c>
      <c r="J132" s="68">
        <f t="shared" si="52"/>
        <v>807</v>
      </c>
      <c r="K132" s="68">
        <f t="shared" si="52"/>
        <v>807</v>
      </c>
      <c r="L132" s="68">
        <f t="shared" si="52"/>
        <v>807</v>
      </c>
      <c r="M132" s="68">
        <f t="shared" si="52"/>
        <v>807</v>
      </c>
      <c r="N132" s="68">
        <f t="shared" si="52"/>
        <v>807</v>
      </c>
      <c r="O132" s="68">
        <f t="shared" si="52"/>
        <v>807</v>
      </c>
      <c r="P132" s="68">
        <f t="shared" si="52"/>
        <v>9684</v>
      </c>
      <c r="Q132" s="39"/>
      <c r="R132" s="37">
        <f>+IF(P132=0,0,P132/$P$137)</f>
        <v>4.4279446210907635E-3</v>
      </c>
      <c r="T132" s="69"/>
      <c r="U132" s="69"/>
    </row>
    <row r="133" spans="1:34" x14ac:dyDescent="0.35">
      <c r="A133" s="41"/>
      <c r="B133" s="41"/>
      <c r="C133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74"/>
      <c r="Q133" s="44"/>
      <c r="R133" s="40"/>
      <c r="T133" s="44"/>
      <c r="U133" s="44"/>
    </row>
    <row r="134" spans="1:34" x14ac:dyDescent="0.35">
      <c r="A134" s="41"/>
      <c r="B134" s="41" t="s">
        <v>133</v>
      </c>
      <c r="C134" t="s">
        <v>134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84">
        <f t="shared" ref="P134" si="53">SUM(D134:O134)</f>
        <v>0</v>
      </c>
      <c r="Q134" s="44"/>
      <c r="R134" s="40"/>
      <c r="T134" s="44"/>
      <c r="U134" s="44"/>
    </row>
    <row r="135" spans="1:34" s="28" customFormat="1" ht="13" x14ac:dyDescent="0.3">
      <c r="A135" s="70"/>
      <c r="B135" s="71"/>
      <c r="C135" s="61" t="s">
        <v>135</v>
      </c>
      <c r="D135" s="68">
        <f>+D134</f>
        <v>0</v>
      </c>
      <c r="E135" s="68">
        <f t="shared" ref="E135:P135" si="54">+E134</f>
        <v>0</v>
      </c>
      <c r="F135" s="68">
        <f t="shared" si="54"/>
        <v>0</v>
      </c>
      <c r="G135" s="68">
        <f t="shared" si="54"/>
        <v>0</v>
      </c>
      <c r="H135" s="68">
        <f t="shared" si="54"/>
        <v>0</v>
      </c>
      <c r="I135" s="68">
        <f t="shared" si="54"/>
        <v>0</v>
      </c>
      <c r="J135" s="68">
        <f t="shared" si="54"/>
        <v>0</v>
      </c>
      <c r="K135" s="68">
        <f t="shared" si="54"/>
        <v>0</v>
      </c>
      <c r="L135" s="68">
        <f t="shared" si="54"/>
        <v>0</v>
      </c>
      <c r="M135" s="68">
        <f t="shared" si="54"/>
        <v>0</v>
      </c>
      <c r="N135" s="68">
        <f t="shared" si="54"/>
        <v>0</v>
      </c>
      <c r="O135" s="68">
        <f t="shared" si="54"/>
        <v>0</v>
      </c>
      <c r="P135" s="68">
        <f t="shared" si="54"/>
        <v>0</v>
      </c>
      <c r="Q135" s="39"/>
      <c r="R135" s="37">
        <f>+IF(P135=0,0,P135/$P$137)</f>
        <v>0</v>
      </c>
      <c r="T135" s="69"/>
      <c r="U135" s="69"/>
    </row>
    <row r="136" spans="1:34" ht="15" thickBot="1" x14ac:dyDescent="0.4">
      <c r="B136" s="87"/>
      <c r="C136" s="88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39"/>
      <c r="Q136" s="44"/>
      <c r="R136" s="40"/>
      <c r="T136" s="44"/>
      <c r="U136" s="44"/>
    </row>
    <row r="137" spans="1:34" s="28" customFormat="1" ht="13" x14ac:dyDescent="0.3">
      <c r="B137" s="89"/>
      <c r="C137" s="61" t="s">
        <v>136</v>
      </c>
      <c r="D137" s="42">
        <f>+D48+D51+D54+D61+D64+D67+D75+D81+D84+D92+D101+D104+D107+D115+D123+D129+D132+D135</f>
        <v>70682.720000000001</v>
      </c>
      <c r="E137" s="42">
        <f t="shared" ref="E137:O137" si="55">+E48+E51+E54+E61+E64+E67+E75+E81+E84+E92+E101+E104+E107+E115+E123+E129+E132+E135</f>
        <v>124711.85999999999</v>
      </c>
      <c r="F137" s="42">
        <f t="shared" si="55"/>
        <v>128211.85999999999</v>
      </c>
      <c r="G137" s="42">
        <f t="shared" si="55"/>
        <v>124711.85999999999</v>
      </c>
      <c r="H137" s="42">
        <f t="shared" si="55"/>
        <v>11574.32</v>
      </c>
      <c r="I137" s="42">
        <f t="shared" si="55"/>
        <v>167260.27000000002</v>
      </c>
      <c r="J137" s="42">
        <f t="shared" si="55"/>
        <v>11574.32</v>
      </c>
      <c r="K137" s="42">
        <f t="shared" si="55"/>
        <v>104651.87</v>
      </c>
      <c r="L137" s="42">
        <f t="shared" si="55"/>
        <v>74182.720000000001</v>
      </c>
      <c r="M137" s="42">
        <f t="shared" si="55"/>
        <v>11574.32</v>
      </c>
      <c r="N137" s="42">
        <f t="shared" si="55"/>
        <v>11574.32</v>
      </c>
      <c r="O137" s="42">
        <f t="shared" si="55"/>
        <v>74182.720000000001</v>
      </c>
      <c r="P137" s="42">
        <f t="shared" ref="P137" si="56">+P45+P48+P51+P54+P61+P64+P67+P75+P81+P84+P92+P101+P104+P107+P115+P123+P129+P132+P135</f>
        <v>2187019.2219374413</v>
      </c>
      <c r="Q137" s="39"/>
      <c r="R137" s="37">
        <f>+IF(P137=0,0,P137/$P$137)</f>
        <v>1</v>
      </c>
      <c r="T137" s="43"/>
      <c r="U137" s="43"/>
    </row>
    <row r="138" spans="1:34" x14ac:dyDescent="0.35">
      <c r="B138" s="87"/>
      <c r="C138" s="90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39"/>
      <c r="Q138" s="44"/>
      <c r="R138" s="40"/>
    </row>
    <row r="139" spans="1:34" x14ac:dyDescent="0.35">
      <c r="C139" s="46" t="s">
        <v>137</v>
      </c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92">
        <f>+P137-P45</f>
        <v>914893.15999999992</v>
      </c>
      <c r="Q139" s="44"/>
      <c r="R139" s="40"/>
    </row>
    <row r="140" spans="1:34" x14ac:dyDescent="0.35">
      <c r="C140" s="93"/>
      <c r="D140" s="93"/>
      <c r="E140" s="93"/>
      <c r="F140" s="93"/>
      <c r="G140" s="93"/>
      <c r="H140" s="44"/>
      <c r="I140" s="93"/>
      <c r="J140" s="93"/>
      <c r="K140" s="93"/>
      <c r="L140" s="93"/>
      <c r="M140" s="93"/>
      <c r="N140" s="93"/>
      <c r="O140" s="93"/>
      <c r="P140" s="93"/>
      <c r="Q140" s="93"/>
      <c r="R140" s="94"/>
    </row>
    <row r="141" spans="1:34" x14ac:dyDescent="0.35">
      <c r="C141" s="95"/>
      <c r="D141" s="96"/>
      <c r="E141" s="96"/>
      <c r="F141" s="96"/>
      <c r="G141" s="96"/>
      <c r="H141" s="44"/>
      <c r="I141" s="96"/>
      <c r="J141" s="96"/>
      <c r="K141" s="96"/>
      <c r="L141" s="96"/>
      <c r="M141" s="96"/>
      <c r="N141" s="96"/>
      <c r="O141" s="96"/>
      <c r="P141" s="97"/>
      <c r="Q141" s="96"/>
      <c r="R141" s="98"/>
    </row>
    <row r="142" spans="1:34" x14ac:dyDescent="0.35">
      <c r="C142" s="99"/>
      <c r="D142" s="99"/>
      <c r="E142" s="99"/>
      <c r="F142" s="100"/>
      <c r="G142" s="99"/>
      <c r="H142" s="101"/>
      <c r="I142" s="99"/>
      <c r="J142" s="101"/>
      <c r="K142" s="99"/>
      <c r="L142" s="99"/>
      <c r="M142" s="99"/>
      <c r="N142" s="99"/>
      <c r="O142" s="99"/>
      <c r="P142" s="99"/>
      <c r="Q142" s="99"/>
      <c r="R142" s="98"/>
    </row>
    <row r="143" spans="1:34" s="91" customFormat="1" ht="13.5" customHeight="1" x14ac:dyDescent="0.35">
      <c r="B143" s="102"/>
      <c r="C143" s="102"/>
      <c r="D143" s="102"/>
      <c r="E143" s="102"/>
      <c r="F143" s="100"/>
      <c r="G143" s="99"/>
      <c r="H143" s="101"/>
      <c r="I143" s="99"/>
      <c r="J143" s="101"/>
      <c r="K143" s="99"/>
      <c r="L143" s="99"/>
      <c r="M143" s="99"/>
      <c r="N143" s="99"/>
      <c r="O143" s="99"/>
      <c r="P143" s="99"/>
      <c r="Q143" s="99"/>
      <c r="R143" s="98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</row>
    <row r="144" spans="1:34" s="91" customFormat="1" ht="24" x14ac:dyDescent="0.35">
      <c r="B144" s="368" t="s">
        <v>138</v>
      </c>
      <c r="C144" s="104" t="s">
        <v>139</v>
      </c>
      <c r="D144" s="104" t="s">
        <v>140</v>
      </c>
      <c r="E144" s="104" t="s">
        <v>141</v>
      </c>
      <c r="F144" s="104" t="s">
        <v>142</v>
      </c>
      <c r="G144" s="105" t="s">
        <v>143</v>
      </c>
      <c r="H144" s="104" t="s">
        <v>144</v>
      </c>
      <c r="I144" s="106" t="s">
        <v>145</v>
      </c>
      <c r="J144" s="106" t="s">
        <v>146</v>
      </c>
      <c r="K144" s="106" t="s">
        <v>147</v>
      </c>
      <c r="L144" s="106" t="s">
        <v>148</v>
      </c>
      <c r="M144" s="107">
        <v>0</v>
      </c>
      <c r="N144" s="107"/>
      <c r="O144" s="108">
        <v>15</v>
      </c>
      <c r="P144" s="106" t="s">
        <v>149</v>
      </c>
      <c r="Q144" s="109" t="s">
        <v>150</v>
      </c>
      <c r="R144" s="109" t="s">
        <v>151</v>
      </c>
      <c r="S144" s="104" t="s">
        <v>152</v>
      </c>
      <c r="T144" s="110">
        <v>0.03</v>
      </c>
      <c r="U144" s="104" t="s">
        <v>53</v>
      </c>
      <c r="V144" s="104" t="s">
        <v>153</v>
      </c>
      <c r="W144" s="104" t="s">
        <v>154</v>
      </c>
      <c r="X144" s="104" t="s">
        <v>155</v>
      </c>
      <c r="Y144" s="111"/>
      <c r="Z144" s="45"/>
      <c r="AA144" s="45"/>
      <c r="AB144" s="45"/>
      <c r="AC144" s="45"/>
      <c r="AF144" s="45"/>
    </row>
    <row r="145" spans="2:25" x14ac:dyDescent="0.35">
      <c r="B145" s="369"/>
      <c r="C145" s="112"/>
      <c r="D145" s="112"/>
      <c r="E145" s="113"/>
      <c r="F145" s="113"/>
      <c r="G145" s="114" t="s">
        <v>156</v>
      </c>
      <c r="H145" s="115" t="s">
        <v>157</v>
      </c>
      <c r="I145" s="116" t="s">
        <v>158</v>
      </c>
      <c r="J145" s="116" t="s">
        <v>158</v>
      </c>
      <c r="K145" s="116" t="s">
        <v>158</v>
      </c>
      <c r="L145" s="116" t="s">
        <v>158</v>
      </c>
      <c r="M145" s="116" t="s">
        <v>159</v>
      </c>
      <c r="N145" s="116" t="s">
        <v>160</v>
      </c>
      <c r="O145" s="117" t="s">
        <v>161</v>
      </c>
      <c r="P145" s="118">
        <v>1.9E-2</v>
      </c>
      <c r="Q145" s="119" t="s">
        <v>158</v>
      </c>
      <c r="R145" s="120" t="s">
        <v>162</v>
      </c>
      <c r="S145" s="116" t="s">
        <v>163</v>
      </c>
      <c r="T145" s="121" t="s">
        <v>164</v>
      </c>
      <c r="U145" s="115">
        <v>0.02</v>
      </c>
      <c r="V145" s="121">
        <v>3.15E-2</v>
      </c>
      <c r="W145" s="115" t="s">
        <v>165</v>
      </c>
      <c r="X145" s="115">
        <v>0.05</v>
      </c>
      <c r="Y145" s="111"/>
    </row>
    <row r="146" spans="2:25" x14ac:dyDescent="0.35">
      <c r="B146" s="122" t="s">
        <v>166</v>
      </c>
      <c r="C146" s="123" t="s">
        <v>167</v>
      </c>
      <c r="D146" s="122">
        <v>1</v>
      </c>
      <c r="E146" s="124">
        <v>700</v>
      </c>
      <c r="F146" s="125">
        <f t="shared" ref="F146:F179" si="57">+E146*D146*30</f>
        <v>21000</v>
      </c>
      <c r="G146" s="126">
        <f>+F146*12</f>
        <v>252000</v>
      </c>
      <c r="H146" s="127">
        <v>0</v>
      </c>
      <c r="I146" s="128"/>
      <c r="J146" s="128"/>
      <c r="K146" s="128"/>
      <c r="L146" s="128"/>
      <c r="M146" s="126">
        <f>+F146*$M$144</f>
        <v>0</v>
      </c>
      <c r="N146" s="126">
        <v>0</v>
      </c>
      <c r="O146" s="126">
        <f>+(F146/30)*$O$144/12</f>
        <v>875</v>
      </c>
      <c r="P146" s="126">
        <v>0</v>
      </c>
      <c r="Q146" s="128"/>
      <c r="R146" s="126">
        <v>2450</v>
      </c>
      <c r="S146" s="129">
        <v>0</v>
      </c>
      <c r="T146" s="126">
        <f>(+F146+J146+K146+L146+N146+P146+O146+Q146+R146)*$T$144</f>
        <v>729.75</v>
      </c>
      <c r="U146" s="126">
        <f>IF((+F146+J146+K146+L146+N146+O146+P146+Q146+R146)&gt;56617.5,1132.35,(+F146+J146+K146+L146+N146+O146+P146+Q146+R146)*$U$145)</f>
        <v>486.5</v>
      </c>
      <c r="V146" s="126">
        <f>IF((+F146+J146+K146+L146+N146+O146+P146+Q146+R146)&gt;56617.5,1783.45,(+F146+J146+K146+L146+N146+O146+P146+Q146+R146)*$V$145)</f>
        <v>766.23749999999995</v>
      </c>
      <c r="W146" s="126">
        <v>0</v>
      </c>
      <c r="X146" s="126">
        <f>IF((+F146+J146+K146+L146+N146+O146+P146+Q146+R146)&gt;56617.5,2830.88,(+F146+J146+K146+L146+N146+O146+P146+Q146+R146)*$X$145)</f>
        <v>1216.25</v>
      </c>
      <c r="Y146" s="130"/>
    </row>
    <row r="147" spans="2:25" x14ac:dyDescent="0.35">
      <c r="B147" s="122" t="s">
        <v>168</v>
      </c>
      <c r="C147" s="123" t="s">
        <v>169</v>
      </c>
      <c r="D147" s="122">
        <v>1</v>
      </c>
      <c r="E147" s="124">
        <v>433.33330000000001</v>
      </c>
      <c r="F147" s="125">
        <f t="shared" si="57"/>
        <v>12999.999</v>
      </c>
      <c r="G147" s="126">
        <f t="shared" ref="G147:G179" si="58">+F147*12</f>
        <v>155999.98800000001</v>
      </c>
      <c r="H147" s="127">
        <v>0</v>
      </c>
      <c r="I147" s="128"/>
      <c r="J147" s="128"/>
      <c r="K147" s="128"/>
      <c r="L147" s="128"/>
      <c r="M147" s="126">
        <f t="shared" ref="M147:M179" si="59">+F147*$M$144</f>
        <v>0</v>
      </c>
      <c r="N147" s="126">
        <v>0</v>
      </c>
      <c r="O147" s="126">
        <f>+(F147/30)*$O$144/12</f>
        <v>541.66662499999995</v>
      </c>
      <c r="P147" s="126">
        <v>0</v>
      </c>
      <c r="Q147" s="128"/>
      <c r="R147" s="126">
        <v>1299.9999</v>
      </c>
      <c r="S147" s="129">
        <v>0</v>
      </c>
      <c r="T147" s="126">
        <f t="shared" ref="T147:T179" si="60">(+F147+J147+K147+L147+N147+P147+O147+Q147+R147)*$T$144</f>
        <v>445.24996575</v>
      </c>
      <c r="U147" s="126">
        <f t="shared" ref="U147:U179" si="61">IF((+F147+J147+K147+L147+N147+O147+P147+Q147+R147)&gt;56617.5,1132.35,(+F147+J147+K147+L147+N147+O147+P147+Q147+R147)*$U$145)</f>
        <v>296.83331050000004</v>
      </c>
      <c r="V147" s="126">
        <f t="shared" ref="V147:V179" si="62">IF((+F147+J147+K147+L147+N147+O147+P147+Q147+R147)&gt;56617.5,1783.45,(+F147+J147+K147+L147+N147+O147+P147+Q147+R147)*$V$145)</f>
        <v>467.51246403750002</v>
      </c>
      <c r="W147" s="126">
        <v>0</v>
      </c>
      <c r="X147" s="126">
        <f t="shared" ref="X147:X179" si="63">IF((+F147+J147+K147+L147+N147+O147+P147+Q147+R147)&gt;56617.5,2830.88,(+F147+J147+K147+L147+N147+O147+P147+Q147+R147)*$X$145)</f>
        <v>742.08327625000004</v>
      </c>
      <c r="Y147" s="130"/>
    </row>
    <row r="148" spans="2:25" x14ac:dyDescent="0.35">
      <c r="B148" s="122" t="s">
        <v>168</v>
      </c>
      <c r="C148" s="123" t="s">
        <v>170</v>
      </c>
      <c r="D148" s="122">
        <v>1</v>
      </c>
      <c r="E148" s="124">
        <v>433.33330000000001</v>
      </c>
      <c r="F148" s="125">
        <f t="shared" si="57"/>
        <v>12999.999</v>
      </c>
      <c r="G148" s="126">
        <f t="shared" si="58"/>
        <v>155999.98800000001</v>
      </c>
      <c r="H148" s="127">
        <v>0</v>
      </c>
      <c r="I148" s="128"/>
      <c r="J148" s="128"/>
      <c r="K148" s="128"/>
      <c r="L148" s="128"/>
      <c r="M148" s="126">
        <f t="shared" si="59"/>
        <v>0</v>
      </c>
      <c r="N148" s="126">
        <v>0</v>
      </c>
      <c r="O148" s="126">
        <f t="shared" ref="O148:O179" si="64">+(F148/30)*$O$144/12</f>
        <v>541.66662499999995</v>
      </c>
      <c r="P148" s="126">
        <v>0</v>
      </c>
      <c r="Q148" s="128"/>
      <c r="R148" s="126">
        <v>1299.9999</v>
      </c>
      <c r="S148" s="129"/>
      <c r="T148" s="126">
        <f t="shared" si="60"/>
        <v>445.24996575</v>
      </c>
      <c r="U148" s="126">
        <f t="shared" si="61"/>
        <v>296.83331050000004</v>
      </c>
      <c r="V148" s="126">
        <f t="shared" si="62"/>
        <v>467.51246403750002</v>
      </c>
      <c r="W148" s="126">
        <v>0</v>
      </c>
      <c r="X148" s="126">
        <f t="shared" si="63"/>
        <v>742.08327625000004</v>
      </c>
      <c r="Y148" s="130"/>
    </row>
    <row r="149" spans="2:25" x14ac:dyDescent="0.35">
      <c r="B149" s="122" t="s">
        <v>171</v>
      </c>
      <c r="C149" s="123" t="s">
        <v>172</v>
      </c>
      <c r="D149" s="122">
        <v>1</v>
      </c>
      <c r="E149" s="124">
        <v>500</v>
      </c>
      <c r="F149" s="125">
        <f t="shared" si="57"/>
        <v>15000</v>
      </c>
      <c r="G149" s="126">
        <f t="shared" si="58"/>
        <v>180000</v>
      </c>
      <c r="H149" s="127">
        <v>0</v>
      </c>
      <c r="I149" s="128"/>
      <c r="J149" s="128"/>
      <c r="K149" s="128"/>
      <c r="L149" s="128"/>
      <c r="M149" s="126">
        <f t="shared" si="59"/>
        <v>0</v>
      </c>
      <c r="N149" s="126">
        <v>0</v>
      </c>
      <c r="O149" s="126">
        <f t="shared" si="64"/>
        <v>625</v>
      </c>
      <c r="P149" s="126">
        <v>0</v>
      </c>
      <c r="Q149" s="128"/>
      <c r="R149" s="126">
        <v>2000</v>
      </c>
      <c r="S149" s="129"/>
      <c r="T149" s="126">
        <f t="shared" si="60"/>
        <v>528.75</v>
      </c>
      <c r="U149" s="126">
        <f t="shared" si="61"/>
        <v>352.5</v>
      </c>
      <c r="V149" s="126">
        <f t="shared" si="62"/>
        <v>555.1875</v>
      </c>
      <c r="W149" s="126">
        <v>0</v>
      </c>
      <c r="X149" s="126">
        <f t="shared" si="63"/>
        <v>881.25</v>
      </c>
      <c r="Y149" s="130"/>
    </row>
    <row r="150" spans="2:25" x14ac:dyDescent="0.35">
      <c r="B150" s="122" t="s">
        <v>171</v>
      </c>
      <c r="C150" s="123" t="s">
        <v>173</v>
      </c>
      <c r="D150" s="122">
        <v>1</v>
      </c>
      <c r="E150" s="124">
        <v>466.66666666999998</v>
      </c>
      <c r="F150" s="125">
        <f t="shared" si="57"/>
        <v>14000.000000099999</v>
      </c>
      <c r="G150" s="126">
        <f t="shared" si="58"/>
        <v>168000.00000119998</v>
      </c>
      <c r="H150" s="127">
        <v>0</v>
      </c>
      <c r="I150" s="128"/>
      <c r="J150" s="128"/>
      <c r="K150" s="128"/>
      <c r="L150" s="128"/>
      <c r="M150" s="126">
        <f t="shared" si="59"/>
        <v>0</v>
      </c>
      <c r="N150" s="126">
        <v>0</v>
      </c>
      <c r="O150" s="126">
        <f t="shared" si="64"/>
        <v>583.33333333749999</v>
      </c>
      <c r="P150" s="126">
        <v>0</v>
      </c>
      <c r="Q150" s="128"/>
      <c r="R150" s="126">
        <v>1166.666666675</v>
      </c>
      <c r="S150" s="129"/>
      <c r="T150" s="126">
        <f t="shared" si="60"/>
        <v>472.50000000337496</v>
      </c>
      <c r="U150" s="126">
        <f t="shared" si="61"/>
        <v>315.00000000224998</v>
      </c>
      <c r="V150" s="126">
        <f t="shared" si="62"/>
        <v>496.12500000354373</v>
      </c>
      <c r="W150" s="126">
        <v>0</v>
      </c>
      <c r="X150" s="126">
        <f t="shared" si="63"/>
        <v>787.500000005625</v>
      </c>
      <c r="Y150" s="130"/>
    </row>
    <row r="151" spans="2:25" x14ac:dyDescent="0.35">
      <c r="B151" s="122" t="s">
        <v>73</v>
      </c>
      <c r="C151" s="123" t="s">
        <v>174</v>
      </c>
      <c r="D151" s="122">
        <v>1</v>
      </c>
      <c r="E151" s="124">
        <v>0</v>
      </c>
      <c r="F151" s="125">
        <v>12000</v>
      </c>
      <c r="G151" s="126">
        <f t="shared" si="58"/>
        <v>144000</v>
      </c>
      <c r="H151" s="127"/>
      <c r="I151" s="128"/>
      <c r="J151" s="128"/>
      <c r="K151" s="128"/>
      <c r="L151" s="128"/>
      <c r="M151" s="126">
        <f t="shared" si="59"/>
        <v>0</v>
      </c>
      <c r="N151" s="126">
        <v>0</v>
      </c>
      <c r="O151" s="126">
        <f>+(F151/30)*$O$144/12</f>
        <v>500</v>
      </c>
      <c r="P151" s="126">
        <v>0</v>
      </c>
      <c r="Q151" s="128"/>
      <c r="R151" s="126">
        <v>57</v>
      </c>
      <c r="S151" s="129"/>
      <c r="T151" s="126">
        <f t="shared" si="60"/>
        <v>376.71</v>
      </c>
      <c r="U151" s="126">
        <f t="shared" si="61"/>
        <v>251.14000000000001</v>
      </c>
      <c r="V151" s="126">
        <f t="shared" si="62"/>
        <v>395.5455</v>
      </c>
      <c r="W151" s="126">
        <v>0</v>
      </c>
      <c r="X151" s="126">
        <f t="shared" si="63"/>
        <v>627.85</v>
      </c>
      <c r="Y151" s="130"/>
    </row>
    <row r="152" spans="2:25" hidden="1" x14ac:dyDescent="0.35">
      <c r="B152" s="122"/>
      <c r="C152" s="123" t="s">
        <v>175</v>
      </c>
      <c r="D152" s="122">
        <v>0</v>
      </c>
      <c r="E152" s="124">
        <v>0</v>
      </c>
      <c r="F152" s="125">
        <f t="shared" si="57"/>
        <v>0</v>
      </c>
      <c r="G152" s="126">
        <f t="shared" si="58"/>
        <v>0</v>
      </c>
      <c r="H152" s="127"/>
      <c r="I152" s="128"/>
      <c r="J152" s="128"/>
      <c r="K152" s="128"/>
      <c r="L152" s="128"/>
      <c r="M152" s="126">
        <f t="shared" si="59"/>
        <v>0</v>
      </c>
      <c r="N152" s="126">
        <v>0</v>
      </c>
      <c r="O152" s="126">
        <f t="shared" si="64"/>
        <v>0</v>
      </c>
      <c r="P152" s="126">
        <f t="shared" ref="P152:P179" si="65">+F152*$P$145</f>
        <v>0</v>
      </c>
      <c r="Q152" s="128"/>
      <c r="R152" s="126">
        <v>0</v>
      </c>
      <c r="S152" s="129"/>
      <c r="T152" s="126">
        <f t="shared" si="60"/>
        <v>0</v>
      </c>
      <c r="U152" s="126">
        <f t="shared" si="61"/>
        <v>0</v>
      </c>
      <c r="V152" s="126">
        <f t="shared" si="62"/>
        <v>0</v>
      </c>
      <c r="W152" s="126">
        <v>0</v>
      </c>
      <c r="X152" s="126">
        <f t="shared" si="63"/>
        <v>0</v>
      </c>
      <c r="Y152" s="130"/>
    </row>
    <row r="153" spans="2:25" hidden="1" x14ac:dyDescent="0.35">
      <c r="B153" s="122"/>
      <c r="C153" s="123" t="s">
        <v>175</v>
      </c>
      <c r="D153" s="122">
        <v>0</v>
      </c>
      <c r="E153" s="124">
        <v>0</v>
      </c>
      <c r="F153" s="125">
        <f t="shared" si="57"/>
        <v>0</v>
      </c>
      <c r="G153" s="126">
        <f t="shared" si="58"/>
        <v>0</v>
      </c>
      <c r="H153" s="127"/>
      <c r="I153" s="128"/>
      <c r="J153" s="128"/>
      <c r="K153" s="128"/>
      <c r="L153" s="128"/>
      <c r="M153" s="126">
        <f t="shared" si="59"/>
        <v>0</v>
      </c>
      <c r="N153" s="126">
        <v>0</v>
      </c>
      <c r="O153" s="126">
        <f t="shared" si="64"/>
        <v>0</v>
      </c>
      <c r="P153" s="126">
        <f t="shared" si="65"/>
        <v>0</v>
      </c>
      <c r="Q153" s="128"/>
      <c r="R153" s="126">
        <v>0</v>
      </c>
      <c r="S153" s="129"/>
      <c r="T153" s="126">
        <f t="shared" si="60"/>
        <v>0</v>
      </c>
      <c r="U153" s="126">
        <f t="shared" si="61"/>
        <v>0</v>
      </c>
      <c r="V153" s="126">
        <f t="shared" si="62"/>
        <v>0</v>
      </c>
      <c r="W153" s="126">
        <v>0</v>
      </c>
      <c r="X153" s="126">
        <f t="shared" si="63"/>
        <v>0</v>
      </c>
      <c r="Y153" s="130"/>
    </row>
    <row r="154" spans="2:25" hidden="1" x14ac:dyDescent="0.35">
      <c r="B154" s="122"/>
      <c r="C154" s="123" t="s">
        <v>175</v>
      </c>
      <c r="D154" s="122">
        <v>0</v>
      </c>
      <c r="E154" s="124">
        <v>0</v>
      </c>
      <c r="F154" s="125">
        <f t="shared" si="57"/>
        <v>0</v>
      </c>
      <c r="G154" s="126">
        <f t="shared" si="58"/>
        <v>0</v>
      </c>
      <c r="H154" s="127"/>
      <c r="I154" s="128"/>
      <c r="J154" s="128"/>
      <c r="K154" s="128"/>
      <c r="L154" s="128"/>
      <c r="M154" s="126">
        <f t="shared" si="59"/>
        <v>0</v>
      </c>
      <c r="N154" s="126">
        <v>0</v>
      </c>
      <c r="O154" s="126">
        <f t="shared" si="64"/>
        <v>0</v>
      </c>
      <c r="P154" s="126">
        <f t="shared" si="65"/>
        <v>0</v>
      </c>
      <c r="Q154" s="128"/>
      <c r="R154" s="126">
        <v>0</v>
      </c>
      <c r="S154" s="129"/>
      <c r="T154" s="126">
        <f t="shared" si="60"/>
        <v>0</v>
      </c>
      <c r="U154" s="126">
        <f t="shared" si="61"/>
        <v>0</v>
      </c>
      <c r="V154" s="126">
        <f t="shared" si="62"/>
        <v>0</v>
      </c>
      <c r="W154" s="126">
        <v>0</v>
      </c>
      <c r="X154" s="126">
        <f t="shared" si="63"/>
        <v>0</v>
      </c>
      <c r="Y154" s="130"/>
    </row>
    <row r="155" spans="2:25" hidden="1" x14ac:dyDescent="0.35">
      <c r="B155" s="122"/>
      <c r="C155" s="123" t="s">
        <v>175</v>
      </c>
      <c r="D155" s="122">
        <v>0</v>
      </c>
      <c r="E155" s="124">
        <v>0</v>
      </c>
      <c r="F155" s="125">
        <f t="shared" si="57"/>
        <v>0</v>
      </c>
      <c r="G155" s="126">
        <f t="shared" si="58"/>
        <v>0</v>
      </c>
      <c r="H155" s="127"/>
      <c r="I155" s="128"/>
      <c r="J155" s="128"/>
      <c r="K155" s="128"/>
      <c r="L155" s="128"/>
      <c r="M155" s="126">
        <f t="shared" si="59"/>
        <v>0</v>
      </c>
      <c r="N155" s="126">
        <v>0</v>
      </c>
      <c r="O155" s="126">
        <f t="shared" si="64"/>
        <v>0</v>
      </c>
      <c r="P155" s="126">
        <f t="shared" si="65"/>
        <v>0</v>
      </c>
      <c r="Q155" s="128"/>
      <c r="R155" s="126">
        <v>0</v>
      </c>
      <c r="S155" s="129"/>
      <c r="T155" s="126">
        <f t="shared" si="60"/>
        <v>0</v>
      </c>
      <c r="U155" s="126">
        <f t="shared" si="61"/>
        <v>0</v>
      </c>
      <c r="V155" s="126">
        <f t="shared" si="62"/>
        <v>0</v>
      </c>
      <c r="W155" s="126">
        <v>0</v>
      </c>
      <c r="X155" s="126">
        <f t="shared" si="63"/>
        <v>0</v>
      </c>
      <c r="Y155" s="130"/>
    </row>
    <row r="156" spans="2:25" hidden="1" x14ac:dyDescent="0.35">
      <c r="B156" s="122"/>
      <c r="C156" s="123" t="s">
        <v>175</v>
      </c>
      <c r="D156" s="122">
        <v>0</v>
      </c>
      <c r="E156" s="124">
        <v>0</v>
      </c>
      <c r="F156" s="125">
        <f t="shared" si="57"/>
        <v>0</v>
      </c>
      <c r="G156" s="126">
        <f t="shared" si="58"/>
        <v>0</v>
      </c>
      <c r="H156" s="127"/>
      <c r="I156" s="128"/>
      <c r="J156" s="128"/>
      <c r="K156" s="128"/>
      <c r="L156" s="128"/>
      <c r="M156" s="126">
        <f t="shared" si="59"/>
        <v>0</v>
      </c>
      <c r="N156" s="126">
        <v>0</v>
      </c>
      <c r="O156" s="126">
        <f t="shared" si="64"/>
        <v>0</v>
      </c>
      <c r="P156" s="126">
        <f t="shared" si="65"/>
        <v>0</v>
      </c>
      <c r="Q156" s="128"/>
      <c r="R156" s="126">
        <v>0</v>
      </c>
      <c r="S156" s="129"/>
      <c r="T156" s="126">
        <f t="shared" si="60"/>
        <v>0</v>
      </c>
      <c r="U156" s="126">
        <f t="shared" si="61"/>
        <v>0</v>
      </c>
      <c r="V156" s="126">
        <f t="shared" si="62"/>
        <v>0</v>
      </c>
      <c r="W156" s="126">
        <v>0</v>
      </c>
      <c r="X156" s="126">
        <f t="shared" si="63"/>
        <v>0</v>
      </c>
      <c r="Y156" s="130"/>
    </row>
    <row r="157" spans="2:25" hidden="1" x14ac:dyDescent="0.35">
      <c r="B157" s="122"/>
      <c r="C157" s="123" t="s">
        <v>175</v>
      </c>
      <c r="D157" s="122">
        <v>0</v>
      </c>
      <c r="E157" s="124">
        <v>0</v>
      </c>
      <c r="F157" s="125">
        <f t="shared" si="57"/>
        <v>0</v>
      </c>
      <c r="G157" s="126">
        <f t="shared" si="58"/>
        <v>0</v>
      </c>
      <c r="H157" s="127"/>
      <c r="I157" s="128"/>
      <c r="J157" s="128"/>
      <c r="K157" s="128"/>
      <c r="L157" s="128"/>
      <c r="M157" s="126">
        <f t="shared" si="59"/>
        <v>0</v>
      </c>
      <c r="N157" s="126">
        <v>0</v>
      </c>
      <c r="O157" s="126">
        <f t="shared" si="64"/>
        <v>0</v>
      </c>
      <c r="P157" s="126">
        <f t="shared" si="65"/>
        <v>0</v>
      </c>
      <c r="Q157" s="128"/>
      <c r="R157" s="126">
        <v>0</v>
      </c>
      <c r="S157" s="129"/>
      <c r="T157" s="126">
        <f t="shared" si="60"/>
        <v>0</v>
      </c>
      <c r="U157" s="126">
        <f t="shared" si="61"/>
        <v>0</v>
      </c>
      <c r="V157" s="126">
        <f t="shared" si="62"/>
        <v>0</v>
      </c>
      <c r="W157" s="126">
        <v>0</v>
      </c>
      <c r="X157" s="126">
        <f t="shared" si="63"/>
        <v>0</v>
      </c>
      <c r="Y157" s="130"/>
    </row>
    <row r="158" spans="2:25" hidden="1" x14ac:dyDescent="0.35">
      <c r="B158" s="122"/>
      <c r="C158" s="123" t="s">
        <v>175</v>
      </c>
      <c r="D158" s="122">
        <v>0</v>
      </c>
      <c r="E158" s="124">
        <v>0</v>
      </c>
      <c r="F158" s="125">
        <f t="shared" si="57"/>
        <v>0</v>
      </c>
      <c r="G158" s="126">
        <f t="shared" si="58"/>
        <v>0</v>
      </c>
      <c r="H158" s="127"/>
      <c r="I158" s="128"/>
      <c r="J158" s="128"/>
      <c r="K158" s="128"/>
      <c r="L158" s="128"/>
      <c r="M158" s="126">
        <f t="shared" si="59"/>
        <v>0</v>
      </c>
      <c r="N158" s="126">
        <v>0</v>
      </c>
      <c r="O158" s="126">
        <f t="shared" si="64"/>
        <v>0</v>
      </c>
      <c r="P158" s="126">
        <f t="shared" si="65"/>
        <v>0</v>
      </c>
      <c r="Q158" s="128"/>
      <c r="R158" s="126">
        <v>0</v>
      </c>
      <c r="S158" s="129"/>
      <c r="T158" s="126">
        <f t="shared" si="60"/>
        <v>0</v>
      </c>
      <c r="U158" s="126">
        <f t="shared" si="61"/>
        <v>0</v>
      </c>
      <c r="V158" s="126">
        <f t="shared" si="62"/>
        <v>0</v>
      </c>
      <c r="W158" s="126">
        <v>0</v>
      </c>
      <c r="X158" s="126">
        <f t="shared" si="63"/>
        <v>0</v>
      </c>
      <c r="Y158" s="130"/>
    </row>
    <row r="159" spans="2:25" hidden="1" x14ac:dyDescent="0.35">
      <c r="B159" s="122"/>
      <c r="C159" s="123" t="s">
        <v>175</v>
      </c>
      <c r="D159" s="122">
        <v>0</v>
      </c>
      <c r="E159" s="124">
        <v>0</v>
      </c>
      <c r="F159" s="125">
        <f t="shared" si="57"/>
        <v>0</v>
      </c>
      <c r="G159" s="126">
        <f t="shared" si="58"/>
        <v>0</v>
      </c>
      <c r="H159" s="127"/>
      <c r="I159" s="128"/>
      <c r="J159" s="128"/>
      <c r="K159" s="128"/>
      <c r="L159" s="128"/>
      <c r="M159" s="126">
        <f t="shared" si="59"/>
        <v>0</v>
      </c>
      <c r="N159" s="126">
        <v>0</v>
      </c>
      <c r="O159" s="126">
        <f t="shared" si="64"/>
        <v>0</v>
      </c>
      <c r="P159" s="126">
        <f t="shared" si="65"/>
        <v>0</v>
      </c>
      <c r="Q159" s="128"/>
      <c r="R159" s="126">
        <v>0</v>
      </c>
      <c r="S159" s="129"/>
      <c r="T159" s="126">
        <f t="shared" si="60"/>
        <v>0</v>
      </c>
      <c r="U159" s="126">
        <f t="shared" si="61"/>
        <v>0</v>
      </c>
      <c r="V159" s="126">
        <f t="shared" si="62"/>
        <v>0</v>
      </c>
      <c r="W159" s="126">
        <v>0</v>
      </c>
      <c r="X159" s="126">
        <f t="shared" si="63"/>
        <v>0</v>
      </c>
      <c r="Y159" s="130"/>
    </row>
    <row r="160" spans="2:25" hidden="1" x14ac:dyDescent="0.35">
      <c r="B160" s="122"/>
      <c r="C160" s="123" t="s">
        <v>175</v>
      </c>
      <c r="D160" s="122">
        <v>0</v>
      </c>
      <c r="E160" s="124">
        <v>0</v>
      </c>
      <c r="F160" s="125">
        <f t="shared" si="57"/>
        <v>0</v>
      </c>
      <c r="G160" s="126">
        <f t="shared" si="58"/>
        <v>0</v>
      </c>
      <c r="H160" s="127"/>
      <c r="I160" s="128"/>
      <c r="J160" s="128"/>
      <c r="K160" s="128"/>
      <c r="L160" s="128"/>
      <c r="M160" s="126">
        <f t="shared" si="59"/>
        <v>0</v>
      </c>
      <c r="N160" s="126">
        <v>0</v>
      </c>
      <c r="O160" s="126">
        <f t="shared" si="64"/>
        <v>0</v>
      </c>
      <c r="P160" s="126">
        <f t="shared" si="65"/>
        <v>0</v>
      </c>
      <c r="Q160" s="128"/>
      <c r="R160" s="126">
        <v>0</v>
      </c>
      <c r="S160" s="129"/>
      <c r="T160" s="126">
        <f t="shared" si="60"/>
        <v>0</v>
      </c>
      <c r="U160" s="126">
        <f t="shared" si="61"/>
        <v>0</v>
      </c>
      <c r="V160" s="126">
        <f t="shared" si="62"/>
        <v>0</v>
      </c>
      <c r="W160" s="126">
        <v>0</v>
      </c>
      <c r="X160" s="126">
        <f t="shared" si="63"/>
        <v>0</v>
      </c>
      <c r="Y160" s="130"/>
    </row>
    <row r="161" spans="2:32" hidden="1" x14ac:dyDescent="0.35">
      <c r="B161" s="122"/>
      <c r="C161" s="123" t="s">
        <v>175</v>
      </c>
      <c r="D161" s="122">
        <v>0</v>
      </c>
      <c r="E161" s="124">
        <v>0</v>
      </c>
      <c r="F161" s="125">
        <f t="shared" si="57"/>
        <v>0</v>
      </c>
      <c r="G161" s="126">
        <f t="shared" si="58"/>
        <v>0</v>
      </c>
      <c r="H161" s="127"/>
      <c r="I161" s="128"/>
      <c r="J161" s="128"/>
      <c r="K161" s="128"/>
      <c r="L161" s="128"/>
      <c r="M161" s="126">
        <f t="shared" si="59"/>
        <v>0</v>
      </c>
      <c r="N161" s="126">
        <v>0</v>
      </c>
      <c r="O161" s="126">
        <f t="shared" si="64"/>
        <v>0</v>
      </c>
      <c r="P161" s="126">
        <f t="shared" si="65"/>
        <v>0</v>
      </c>
      <c r="Q161" s="128"/>
      <c r="R161" s="126">
        <v>0</v>
      </c>
      <c r="S161" s="129"/>
      <c r="T161" s="126">
        <f t="shared" si="60"/>
        <v>0</v>
      </c>
      <c r="U161" s="126">
        <f t="shared" si="61"/>
        <v>0</v>
      </c>
      <c r="V161" s="126">
        <f t="shared" si="62"/>
        <v>0</v>
      </c>
      <c r="W161" s="126">
        <v>0</v>
      </c>
      <c r="X161" s="126">
        <f t="shared" si="63"/>
        <v>0</v>
      </c>
      <c r="Y161" s="130"/>
    </row>
    <row r="162" spans="2:32" hidden="1" x14ac:dyDescent="0.35">
      <c r="B162" s="122"/>
      <c r="C162" s="123" t="s">
        <v>175</v>
      </c>
      <c r="D162" s="122">
        <v>0</v>
      </c>
      <c r="E162" s="124">
        <v>0</v>
      </c>
      <c r="F162" s="125">
        <f t="shared" si="57"/>
        <v>0</v>
      </c>
      <c r="G162" s="126">
        <f t="shared" si="58"/>
        <v>0</v>
      </c>
      <c r="H162" s="127"/>
      <c r="I162" s="128"/>
      <c r="J162" s="128"/>
      <c r="K162" s="128"/>
      <c r="L162" s="128"/>
      <c r="M162" s="126">
        <f t="shared" si="59"/>
        <v>0</v>
      </c>
      <c r="N162" s="126">
        <v>0</v>
      </c>
      <c r="O162" s="126">
        <f t="shared" si="64"/>
        <v>0</v>
      </c>
      <c r="P162" s="126">
        <f t="shared" si="65"/>
        <v>0</v>
      </c>
      <c r="Q162" s="128"/>
      <c r="R162" s="126">
        <v>0</v>
      </c>
      <c r="S162" s="129"/>
      <c r="T162" s="126">
        <f t="shared" si="60"/>
        <v>0</v>
      </c>
      <c r="U162" s="126">
        <f t="shared" si="61"/>
        <v>0</v>
      </c>
      <c r="V162" s="126">
        <f t="shared" si="62"/>
        <v>0</v>
      </c>
      <c r="W162" s="126">
        <v>0</v>
      </c>
      <c r="X162" s="126">
        <f t="shared" si="63"/>
        <v>0</v>
      </c>
      <c r="Y162" s="130"/>
    </row>
    <row r="163" spans="2:32" hidden="1" x14ac:dyDescent="0.35">
      <c r="B163" s="122"/>
      <c r="C163" s="123" t="s">
        <v>175</v>
      </c>
      <c r="D163" s="122">
        <v>0</v>
      </c>
      <c r="E163" s="124">
        <v>0</v>
      </c>
      <c r="F163" s="125">
        <f t="shared" si="57"/>
        <v>0</v>
      </c>
      <c r="G163" s="126">
        <f t="shared" si="58"/>
        <v>0</v>
      </c>
      <c r="H163" s="127"/>
      <c r="I163" s="128"/>
      <c r="J163" s="128"/>
      <c r="K163" s="128"/>
      <c r="L163" s="128"/>
      <c r="M163" s="126">
        <f t="shared" si="59"/>
        <v>0</v>
      </c>
      <c r="N163" s="126">
        <v>0</v>
      </c>
      <c r="O163" s="126">
        <f t="shared" si="64"/>
        <v>0</v>
      </c>
      <c r="P163" s="126">
        <f t="shared" si="65"/>
        <v>0</v>
      </c>
      <c r="Q163" s="128"/>
      <c r="R163" s="126">
        <v>0</v>
      </c>
      <c r="S163" s="129"/>
      <c r="T163" s="126">
        <f t="shared" si="60"/>
        <v>0</v>
      </c>
      <c r="U163" s="126">
        <f t="shared" si="61"/>
        <v>0</v>
      </c>
      <c r="V163" s="126">
        <f t="shared" si="62"/>
        <v>0</v>
      </c>
      <c r="W163" s="126">
        <v>0</v>
      </c>
      <c r="X163" s="126">
        <f t="shared" si="63"/>
        <v>0</v>
      </c>
      <c r="Y163" s="130"/>
    </row>
    <row r="164" spans="2:32" hidden="1" x14ac:dyDescent="0.35">
      <c r="B164" s="122"/>
      <c r="C164" s="123" t="s">
        <v>175</v>
      </c>
      <c r="D164" s="122">
        <v>0</v>
      </c>
      <c r="E164" s="124">
        <v>0</v>
      </c>
      <c r="F164" s="125">
        <f t="shared" si="57"/>
        <v>0</v>
      </c>
      <c r="G164" s="126">
        <f t="shared" si="58"/>
        <v>0</v>
      </c>
      <c r="H164" s="127"/>
      <c r="I164" s="128"/>
      <c r="J164" s="128"/>
      <c r="K164" s="128"/>
      <c r="L164" s="128"/>
      <c r="M164" s="126">
        <f t="shared" si="59"/>
        <v>0</v>
      </c>
      <c r="N164" s="126">
        <v>0</v>
      </c>
      <c r="O164" s="126">
        <f t="shared" si="64"/>
        <v>0</v>
      </c>
      <c r="P164" s="126">
        <f t="shared" si="65"/>
        <v>0</v>
      </c>
      <c r="Q164" s="128"/>
      <c r="R164" s="126">
        <v>0</v>
      </c>
      <c r="S164" s="129"/>
      <c r="T164" s="126">
        <f t="shared" si="60"/>
        <v>0</v>
      </c>
      <c r="U164" s="126">
        <f t="shared" si="61"/>
        <v>0</v>
      </c>
      <c r="V164" s="126">
        <f t="shared" si="62"/>
        <v>0</v>
      </c>
      <c r="W164" s="126">
        <v>0</v>
      </c>
      <c r="X164" s="126">
        <f t="shared" si="63"/>
        <v>0</v>
      </c>
      <c r="Y164" s="130"/>
    </row>
    <row r="165" spans="2:32" hidden="1" x14ac:dyDescent="0.35">
      <c r="B165" s="122"/>
      <c r="C165" s="123" t="s">
        <v>175</v>
      </c>
      <c r="D165" s="122">
        <v>0</v>
      </c>
      <c r="E165" s="124">
        <v>0</v>
      </c>
      <c r="F165" s="125">
        <f t="shared" si="57"/>
        <v>0</v>
      </c>
      <c r="G165" s="126">
        <f t="shared" si="58"/>
        <v>0</v>
      </c>
      <c r="H165" s="127"/>
      <c r="I165" s="128"/>
      <c r="J165" s="128"/>
      <c r="K165" s="128"/>
      <c r="L165" s="128"/>
      <c r="M165" s="126">
        <f t="shared" si="59"/>
        <v>0</v>
      </c>
      <c r="N165" s="126">
        <v>0</v>
      </c>
      <c r="O165" s="126">
        <f t="shared" si="64"/>
        <v>0</v>
      </c>
      <c r="P165" s="126">
        <f t="shared" si="65"/>
        <v>0</v>
      </c>
      <c r="Q165" s="128"/>
      <c r="R165" s="126">
        <v>0</v>
      </c>
      <c r="S165" s="129"/>
      <c r="T165" s="126">
        <f t="shared" si="60"/>
        <v>0</v>
      </c>
      <c r="U165" s="126">
        <f t="shared" si="61"/>
        <v>0</v>
      </c>
      <c r="V165" s="126">
        <f t="shared" si="62"/>
        <v>0</v>
      </c>
      <c r="W165" s="126">
        <v>0</v>
      </c>
      <c r="X165" s="126">
        <f t="shared" si="63"/>
        <v>0</v>
      </c>
      <c r="Y165" s="130"/>
    </row>
    <row r="166" spans="2:32" hidden="1" x14ac:dyDescent="0.35">
      <c r="B166" s="122"/>
      <c r="C166" s="123" t="s">
        <v>175</v>
      </c>
      <c r="D166" s="122">
        <v>0</v>
      </c>
      <c r="E166" s="124">
        <v>0</v>
      </c>
      <c r="F166" s="125">
        <f t="shared" si="57"/>
        <v>0</v>
      </c>
      <c r="G166" s="126">
        <f t="shared" si="58"/>
        <v>0</v>
      </c>
      <c r="H166" s="127"/>
      <c r="I166" s="128"/>
      <c r="J166" s="128"/>
      <c r="K166" s="128"/>
      <c r="L166" s="128"/>
      <c r="M166" s="126">
        <f t="shared" si="59"/>
        <v>0</v>
      </c>
      <c r="N166" s="126">
        <v>0</v>
      </c>
      <c r="O166" s="126">
        <f t="shared" si="64"/>
        <v>0</v>
      </c>
      <c r="P166" s="126">
        <f t="shared" si="65"/>
        <v>0</v>
      </c>
      <c r="Q166" s="128"/>
      <c r="R166" s="126">
        <v>0</v>
      </c>
      <c r="S166" s="129"/>
      <c r="T166" s="126">
        <f t="shared" si="60"/>
        <v>0</v>
      </c>
      <c r="U166" s="126">
        <f t="shared" si="61"/>
        <v>0</v>
      </c>
      <c r="V166" s="126">
        <f t="shared" si="62"/>
        <v>0</v>
      </c>
      <c r="W166" s="126">
        <v>0</v>
      </c>
      <c r="X166" s="126">
        <f t="shared" si="63"/>
        <v>0</v>
      </c>
      <c r="Y166" s="130"/>
    </row>
    <row r="167" spans="2:32" hidden="1" x14ac:dyDescent="0.35">
      <c r="B167" s="122"/>
      <c r="C167" s="123" t="s">
        <v>175</v>
      </c>
      <c r="D167" s="122">
        <v>0</v>
      </c>
      <c r="E167" s="124">
        <v>0</v>
      </c>
      <c r="F167" s="125">
        <f t="shared" si="57"/>
        <v>0</v>
      </c>
      <c r="G167" s="126">
        <f t="shared" si="58"/>
        <v>0</v>
      </c>
      <c r="H167" s="127"/>
      <c r="I167" s="128"/>
      <c r="J167" s="128"/>
      <c r="K167" s="128"/>
      <c r="L167" s="128"/>
      <c r="M167" s="126">
        <f t="shared" si="59"/>
        <v>0</v>
      </c>
      <c r="N167" s="126">
        <v>0</v>
      </c>
      <c r="O167" s="126">
        <f t="shared" si="64"/>
        <v>0</v>
      </c>
      <c r="P167" s="126">
        <f t="shared" si="65"/>
        <v>0</v>
      </c>
      <c r="Q167" s="128"/>
      <c r="R167" s="126">
        <v>0</v>
      </c>
      <c r="S167" s="129"/>
      <c r="T167" s="126">
        <f t="shared" si="60"/>
        <v>0</v>
      </c>
      <c r="U167" s="126">
        <f t="shared" si="61"/>
        <v>0</v>
      </c>
      <c r="V167" s="126">
        <f t="shared" si="62"/>
        <v>0</v>
      </c>
      <c r="W167" s="126">
        <v>0</v>
      </c>
      <c r="X167" s="126">
        <f t="shared" si="63"/>
        <v>0</v>
      </c>
      <c r="Y167" s="130"/>
    </row>
    <row r="168" spans="2:32" hidden="1" x14ac:dyDescent="0.35">
      <c r="B168" s="122"/>
      <c r="C168" s="123" t="s">
        <v>175</v>
      </c>
      <c r="D168" s="122">
        <v>0</v>
      </c>
      <c r="E168" s="124">
        <v>0</v>
      </c>
      <c r="F168" s="125">
        <f t="shared" si="57"/>
        <v>0</v>
      </c>
      <c r="G168" s="126">
        <f t="shared" si="58"/>
        <v>0</v>
      </c>
      <c r="H168" s="127"/>
      <c r="I168" s="128"/>
      <c r="J168" s="128"/>
      <c r="K168" s="128"/>
      <c r="L168" s="128"/>
      <c r="M168" s="126">
        <f t="shared" si="59"/>
        <v>0</v>
      </c>
      <c r="N168" s="126">
        <v>0</v>
      </c>
      <c r="O168" s="126">
        <f t="shared" si="64"/>
        <v>0</v>
      </c>
      <c r="P168" s="126">
        <f t="shared" si="65"/>
        <v>0</v>
      </c>
      <c r="Q168" s="128"/>
      <c r="R168" s="126">
        <v>0</v>
      </c>
      <c r="S168" s="129"/>
      <c r="T168" s="126">
        <f t="shared" si="60"/>
        <v>0</v>
      </c>
      <c r="U168" s="126">
        <f t="shared" si="61"/>
        <v>0</v>
      </c>
      <c r="V168" s="126">
        <f t="shared" si="62"/>
        <v>0</v>
      </c>
      <c r="W168" s="126">
        <v>0</v>
      </c>
      <c r="X168" s="126">
        <f t="shared" si="63"/>
        <v>0</v>
      </c>
      <c r="Y168" s="130"/>
    </row>
    <row r="169" spans="2:32" hidden="1" x14ac:dyDescent="0.35">
      <c r="B169" s="122"/>
      <c r="C169" s="123" t="s">
        <v>175</v>
      </c>
      <c r="D169" s="122">
        <v>0</v>
      </c>
      <c r="E169" s="124">
        <v>0</v>
      </c>
      <c r="F169" s="125">
        <f t="shared" si="57"/>
        <v>0</v>
      </c>
      <c r="G169" s="126">
        <f t="shared" si="58"/>
        <v>0</v>
      </c>
      <c r="H169" s="127"/>
      <c r="I169" s="128"/>
      <c r="J169" s="128"/>
      <c r="K169" s="128"/>
      <c r="L169" s="128"/>
      <c r="M169" s="126">
        <f t="shared" si="59"/>
        <v>0</v>
      </c>
      <c r="N169" s="126">
        <v>0</v>
      </c>
      <c r="O169" s="126">
        <f t="shared" si="64"/>
        <v>0</v>
      </c>
      <c r="P169" s="126">
        <f t="shared" si="65"/>
        <v>0</v>
      </c>
      <c r="Q169" s="128"/>
      <c r="R169" s="126">
        <v>0</v>
      </c>
      <c r="S169" s="129"/>
      <c r="T169" s="126">
        <f t="shared" si="60"/>
        <v>0</v>
      </c>
      <c r="U169" s="126">
        <f t="shared" si="61"/>
        <v>0</v>
      </c>
      <c r="V169" s="126">
        <f t="shared" si="62"/>
        <v>0</v>
      </c>
      <c r="W169" s="126">
        <v>0</v>
      </c>
      <c r="X169" s="126">
        <f t="shared" si="63"/>
        <v>0</v>
      </c>
      <c r="Y169" s="130"/>
    </row>
    <row r="170" spans="2:32" hidden="1" x14ac:dyDescent="0.35">
      <c r="B170" s="122"/>
      <c r="C170" s="123" t="s">
        <v>175</v>
      </c>
      <c r="D170" s="122">
        <v>0</v>
      </c>
      <c r="E170" s="124">
        <v>0</v>
      </c>
      <c r="F170" s="125">
        <f t="shared" si="57"/>
        <v>0</v>
      </c>
      <c r="G170" s="126">
        <f t="shared" si="58"/>
        <v>0</v>
      </c>
      <c r="H170" s="127"/>
      <c r="I170" s="128"/>
      <c r="J170" s="128"/>
      <c r="K170" s="128"/>
      <c r="L170" s="128"/>
      <c r="M170" s="126">
        <f t="shared" si="59"/>
        <v>0</v>
      </c>
      <c r="N170" s="126">
        <v>0</v>
      </c>
      <c r="O170" s="126">
        <f t="shared" si="64"/>
        <v>0</v>
      </c>
      <c r="P170" s="126">
        <f t="shared" si="65"/>
        <v>0</v>
      </c>
      <c r="Q170" s="128"/>
      <c r="R170" s="126">
        <v>0</v>
      </c>
      <c r="S170" s="129"/>
      <c r="T170" s="126">
        <f t="shared" si="60"/>
        <v>0</v>
      </c>
      <c r="U170" s="126">
        <f t="shared" si="61"/>
        <v>0</v>
      </c>
      <c r="V170" s="126">
        <f t="shared" si="62"/>
        <v>0</v>
      </c>
      <c r="W170" s="126">
        <v>0</v>
      </c>
      <c r="X170" s="126">
        <f t="shared" si="63"/>
        <v>0</v>
      </c>
      <c r="Y170" s="130"/>
    </row>
    <row r="171" spans="2:32" s="91" customFormat="1" hidden="1" x14ac:dyDescent="0.35">
      <c r="B171" s="122"/>
      <c r="C171" s="123" t="s">
        <v>175</v>
      </c>
      <c r="D171" s="122">
        <v>0</v>
      </c>
      <c r="E171" s="124">
        <v>0</v>
      </c>
      <c r="F171" s="125">
        <f t="shared" si="57"/>
        <v>0</v>
      </c>
      <c r="G171" s="126">
        <f t="shared" si="58"/>
        <v>0</v>
      </c>
      <c r="H171" s="127"/>
      <c r="I171" s="128"/>
      <c r="J171" s="128"/>
      <c r="K171" s="128"/>
      <c r="L171" s="128"/>
      <c r="M171" s="126">
        <f t="shared" si="59"/>
        <v>0</v>
      </c>
      <c r="N171" s="126">
        <v>0</v>
      </c>
      <c r="O171" s="126">
        <f t="shared" si="64"/>
        <v>0</v>
      </c>
      <c r="P171" s="126">
        <f t="shared" si="65"/>
        <v>0</v>
      </c>
      <c r="Q171" s="128"/>
      <c r="R171" s="126">
        <v>0</v>
      </c>
      <c r="S171" s="129"/>
      <c r="T171" s="126">
        <f t="shared" si="60"/>
        <v>0</v>
      </c>
      <c r="U171" s="126">
        <f t="shared" si="61"/>
        <v>0</v>
      </c>
      <c r="V171" s="126">
        <f t="shared" si="62"/>
        <v>0</v>
      </c>
      <c r="W171" s="126">
        <v>0</v>
      </c>
      <c r="X171" s="126">
        <f t="shared" si="63"/>
        <v>0</v>
      </c>
      <c r="Y171" s="130"/>
      <c r="Z171" s="45"/>
      <c r="AA171" s="45"/>
      <c r="AB171" s="45"/>
      <c r="AC171" s="45"/>
      <c r="AF171" s="45"/>
    </row>
    <row r="172" spans="2:32" hidden="1" x14ac:dyDescent="0.35">
      <c r="B172" s="122"/>
      <c r="C172" s="123" t="s">
        <v>175</v>
      </c>
      <c r="D172" s="122">
        <v>0</v>
      </c>
      <c r="E172" s="124">
        <v>0</v>
      </c>
      <c r="F172" s="125">
        <f t="shared" si="57"/>
        <v>0</v>
      </c>
      <c r="G172" s="126">
        <f t="shared" si="58"/>
        <v>0</v>
      </c>
      <c r="H172" s="127"/>
      <c r="I172" s="128"/>
      <c r="J172" s="128"/>
      <c r="K172" s="128"/>
      <c r="L172" s="128"/>
      <c r="M172" s="126">
        <f t="shared" si="59"/>
        <v>0</v>
      </c>
      <c r="N172" s="126">
        <v>0</v>
      </c>
      <c r="O172" s="126">
        <f t="shared" si="64"/>
        <v>0</v>
      </c>
      <c r="P172" s="126">
        <f t="shared" si="65"/>
        <v>0</v>
      </c>
      <c r="Q172" s="128"/>
      <c r="R172" s="126">
        <v>0</v>
      </c>
      <c r="S172" s="129"/>
      <c r="T172" s="126">
        <f t="shared" si="60"/>
        <v>0</v>
      </c>
      <c r="U172" s="126">
        <f t="shared" si="61"/>
        <v>0</v>
      </c>
      <c r="V172" s="126">
        <f t="shared" si="62"/>
        <v>0</v>
      </c>
      <c r="W172" s="126">
        <v>0</v>
      </c>
      <c r="X172" s="126">
        <f t="shared" si="63"/>
        <v>0</v>
      </c>
      <c r="Y172" s="130"/>
    </row>
    <row r="173" spans="2:32" hidden="1" x14ac:dyDescent="0.35">
      <c r="B173" s="122"/>
      <c r="C173" s="123" t="s">
        <v>175</v>
      </c>
      <c r="D173" s="122">
        <v>0</v>
      </c>
      <c r="E173" s="124">
        <v>0</v>
      </c>
      <c r="F173" s="125">
        <f t="shared" si="57"/>
        <v>0</v>
      </c>
      <c r="G173" s="126">
        <f t="shared" si="58"/>
        <v>0</v>
      </c>
      <c r="H173" s="127"/>
      <c r="I173" s="128"/>
      <c r="J173" s="128"/>
      <c r="K173" s="128"/>
      <c r="L173" s="128"/>
      <c r="M173" s="126">
        <f t="shared" si="59"/>
        <v>0</v>
      </c>
      <c r="N173" s="126">
        <v>0</v>
      </c>
      <c r="O173" s="126">
        <f t="shared" si="64"/>
        <v>0</v>
      </c>
      <c r="P173" s="126">
        <f t="shared" si="65"/>
        <v>0</v>
      </c>
      <c r="Q173" s="128"/>
      <c r="R173" s="126">
        <v>0</v>
      </c>
      <c r="S173" s="129"/>
      <c r="T173" s="126">
        <f t="shared" si="60"/>
        <v>0</v>
      </c>
      <c r="U173" s="126">
        <f t="shared" si="61"/>
        <v>0</v>
      </c>
      <c r="V173" s="126">
        <f t="shared" si="62"/>
        <v>0</v>
      </c>
      <c r="W173" s="126">
        <v>0</v>
      </c>
      <c r="X173" s="126">
        <f t="shared" si="63"/>
        <v>0</v>
      </c>
      <c r="Y173" s="130"/>
    </row>
    <row r="174" spans="2:32" hidden="1" x14ac:dyDescent="0.35">
      <c r="B174" s="122"/>
      <c r="C174" s="123" t="s">
        <v>175</v>
      </c>
      <c r="D174" s="122">
        <v>0</v>
      </c>
      <c r="E174" s="124">
        <v>0</v>
      </c>
      <c r="F174" s="125">
        <f t="shared" si="57"/>
        <v>0</v>
      </c>
      <c r="G174" s="126">
        <f t="shared" si="58"/>
        <v>0</v>
      </c>
      <c r="H174" s="127"/>
      <c r="I174" s="128"/>
      <c r="J174" s="128"/>
      <c r="K174" s="128"/>
      <c r="L174" s="128"/>
      <c r="M174" s="126">
        <f t="shared" si="59"/>
        <v>0</v>
      </c>
      <c r="N174" s="126">
        <v>0</v>
      </c>
      <c r="O174" s="126">
        <f t="shared" si="64"/>
        <v>0</v>
      </c>
      <c r="P174" s="126">
        <f t="shared" si="65"/>
        <v>0</v>
      </c>
      <c r="Q174" s="128"/>
      <c r="R174" s="126">
        <v>0</v>
      </c>
      <c r="S174" s="129"/>
      <c r="T174" s="126">
        <f t="shared" si="60"/>
        <v>0</v>
      </c>
      <c r="U174" s="126">
        <f t="shared" si="61"/>
        <v>0</v>
      </c>
      <c r="V174" s="126">
        <f t="shared" si="62"/>
        <v>0</v>
      </c>
      <c r="W174" s="126">
        <v>0</v>
      </c>
      <c r="X174" s="126">
        <f t="shared" si="63"/>
        <v>0</v>
      </c>
      <c r="Y174" s="130"/>
    </row>
    <row r="175" spans="2:32" hidden="1" x14ac:dyDescent="0.35">
      <c r="B175" s="122"/>
      <c r="C175" s="123" t="s">
        <v>175</v>
      </c>
      <c r="D175" s="122">
        <v>0</v>
      </c>
      <c r="E175" s="124">
        <v>0</v>
      </c>
      <c r="F175" s="125">
        <f t="shared" si="57"/>
        <v>0</v>
      </c>
      <c r="G175" s="126">
        <f t="shared" si="58"/>
        <v>0</v>
      </c>
      <c r="H175" s="127"/>
      <c r="I175" s="128"/>
      <c r="J175" s="128"/>
      <c r="K175" s="128"/>
      <c r="L175" s="128"/>
      <c r="M175" s="126">
        <f t="shared" si="59"/>
        <v>0</v>
      </c>
      <c r="N175" s="126">
        <v>0</v>
      </c>
      <c r="O175" s="126">
        <f t="shared" si="64"/>
        <v>0</v>
      </c>
      <c r="P175" s="126">
        <f t="shared" si="65"/>
        <v>0</v>
      </c>
      <c r="Q175" s="128"/>
      <c r="R175" s="126">
        <v>0</v>
      </c>
      <c r="S175" s="129"/>
      <c r="T175" s="126">
        <f t="shared" si="60"/>
        <v>0</v>
      </c>
      <c r="U175" s="126">
        <f t="shared" si="61"/>
        <v>0</v>
      </c>
      <c r="V175" s="126">
        <f t="shared" si="62"/>
        <v>0</v>
      </c>
      <c r="W175" s="126">
        <v>0</v>
      </c>
      <c r="X175" s="126">
        <f t="shared" si="63"/>
        <v>0</v>
      </c>
      <c r="Y175" s="130"/>
    </row>
    <row r="176" spans="2:32" hidden="1" x14ac:dyDescent="0.35">
      <c r="B176" s="122"/>
      <c r="C176" s="123" t="s">
        <v>175</v>
      </c>
      <c r="D176" s="122">
        <v>0</v>
      </c>
      <c r="E176" s="124">
        <v>0</v>
      </c>
      <c r="F176" s="125">
        <f t="shared" si="57"/>
        <v>0</v>
      </c>
      <c r="G176" s="126">
        <f t="shared" si="58"/>
        <v>0</v>
      </c>
      <c r="H176" s="127"/>
      <c r="I176" s="128"/>
      <c r="J176" s="128"/>
      <c r="K176" s="128"/>
      <c r="L176" s="128"/>
      <c r="M176" s="126">
        <f t="shared" si="59"/>
        <v>0</v>
      </c>
      <c r="N176" s="126">
        <v>0</v>
      </c>
      <c r="O176" s="126">
        <f t="shared" si="64"/>
        <v>0</v>
      </c>
      <c r="P176" s="126">
        <f t="shared" si="65"/>
        <v>0</v>
      </c>
      <c r="Q176" s="128"/>
      <c r="R176" s="126">
        <v>0</v>
      </c>
      <c r="S176" s="129"/>
      <c r="T176" s="126">
        <f t="shared" si="60"/>
        <v>0</v>
      </c>
      <c r="U176" s="126">
        <f t="shared" si="61"/>
        <v>0</v>
      </c>
      <c r="V176" s="126">
        <f t="shared" si="62"/>
        <v>0</v>
      </c>
      <c r="W176" s="126">
        <v>0</v>
      </c>
      <c r="X176" s="126">
        <f t="shared" si="63"/>
        <v>0</v>
      </c>
      <c r="Y176" s="130"/>
    </row>
    <row r="177" spans="2:25" hidden="1" x14ac:dyDescent="0.35">
      <c r="B177" s="122"/>
      <c r="C177" s="123" t="s">
        <v>175</v>
      </c>
      <c r="D177" s="122">
        <v>0</v>
      </c>
      <c r="E177" s="124">
        <v>0</v>
      </c>
      <c r="F177" s="125">
        <f t="shared" si="57"/>
        <v>0</v>
      </c>
      <c r="G177" s="126">
        <f t="shared" si="58"/>
        <v>0</v>
      </c>
      <c r="H177" s="127"/>
      <c r="I177" s="128"/>
      <c r="J177" s="128"/>
      <c r="K177" s="128"/>
      <c r="L177" s="128"/>
      <c r="M177" s="126">
        <f t="shared" si="59"/>
        <v>0</v>
      </c>
      <c r="N177" s="126">
        <v>0</v>
      </c>
      <c r="O177" s="126">
        <f t="shared" si="64"/>
        <v>0</v>
      </c>
      <c r="P177" s="126">
        <f t="shared" si="65"/>
        <v>0</v>
      </c>
      <c r="Q177" s="128"/>
      <c r="R177" s="126">
        <v>0</v>
      </c>
      <c r="S177" s="129"/>
      <c r="T177" s="126">
        <f t="shared" si="60"/>
        <v>0</v>
      </c>
      <c r="U177" s="126">
        <f t="shared" si="61"/>
        <v>0</v>
      </c>
      <c r="V177" s="126">
        <f t="shared" si="62"/>
        <v>0</v>
      </c>
      <c r="W177" s="126">
        <v>0</v>
      </c>
      <c r="X177" s="126">
        <f t="shared" si="63"/>
        <v>0</v>
      </c>
      <c r="Y177" s="130"/>
    </row>
    <row r="178" spans="2:25" hidden="1" x14ac:dyDescent="0.35">
      <c r="B178" s="122"/>
      <c r="C178" s="123" t="s">
        <v>175</v>
      </c>
      <c r="D178" s="122">
        <v>0</v>
      </c>
      <c r="E178" s="124">
        <v>0</v>
      </c>
      <c r="F178" s="125">
        <f t="shared" si="57"/>
        <v>0</v>
      </c>
      <c r="G178" s="126">
        <f t="shared" si="58"/>
        <v>0</v>
      </c>
      <c r="H178" s="127"/>
      <c r="I178" s="128"/>
      <c r="J178" s="128"/>
      <c r="K178" s="128"/>
      <c r="L178" s="128"/>
      <c r="M178" s="126">
        <f t="shared" si="59"/>
        <v>0</v>
      </c>
      <c r="N178" s="126">
        <v>0</v>
      </c>
      <c r="O178" s="126">
        <f t="shared" si="64"/>
        <v>0</v>
      </c>
      <c r="P178" s="126">
        <f t="shared" si="65"/>
        <v>0</v>
      </c>
      <c r="Q178" s="128"/>
      <c r="R178" s="126">
        <v>0</v>
      </c>
      <c r="S178" s="129"/>
      <c r="T178" s="126">
        <f t="shared" si="60"/>
        <v>0</v>
      </c>
      <c r="U178" s="126">
        <f t="shared" si="61"/>
        <v>0</v>
      </c>
      <c r="V178" s="126">
        <f t="shared" si="62"/>
        <v>0</v>
      </c>
      <c r="W178" s="126">
        <v>0</v>
      </c>
      <c r="X178" s="126">
        <f t="shared" si="63"/>
        <v>0</v>
      </c>
      <c r="Y178" s="130"/>
    </row>
    <row r="179" spans="2:25" x14ac:dyDescent="0.35">
      <c r="B179" s="122"/>
      <c r="C179" s="123" t="s">
        <v>175</v>
      </c>
      <c r="D179" s="122">
        <v>0</v>
      </c>
      <c r="E179" s="124">
        <v>0</v>
      </c>
      <c r="F179" s="125">
        <f t="shared" si="57"/>
        <v>0</v>
      </c>
      <c r="G179" s="126">
        <f t="shared" si="58"/>
        <v>0</v>
      </c>
      <c r="H179" s="127"/>
      <c r="I179" s="128"/>
      <c r="J179" s="128"/>
      <c r="K179" s="128"/>
      <c r="L179" s="128"/>
      <c r="M179" s="126">
        <f t="shared" si="59"/>
        <v>0</v>
      </c>
      <c r="N179" s="126">
        <v>0</v>
      </c>
      <c r="O179" s="126">
        <f t="shared" si="64"/>
        <v>0</v>
      </c>
      <c r="P179" s="126">
        <f t="shared" si="65"/>
        <v>0</v>
      </c>
      <c r="Q179" s="128"/>
      <c r="R179" s="126">
        <v>0</v>
      </c>
      <c r="S179" s="129"/>
      <c r="T179" s="126">
        <f t="shared" si="60"/>
        <v>0</v>
      </c>
      <c r="U179" s="126">
        <f t="shared" si="61"/>
        <v>0</v>
      </c>
      <c r="V179" s="126">
        <f t="shared" si="62"/>
        <v>0</v>
      </c>
      <c r="W179" s="126">
        <v>0</v>
      </c>
      <c r="X179" s="126">
        <f t="shared" si="63"/>
        <v>0</v>
      </c>
      <c r="Y179" s="130"/>
    </row>
    <row r="180" spans="2:25" x14ac:dyDescent="0.35">
      <c r="B180" s="122"/>
      <c r="C180" s="123" t="s">
        <v>175</v>
      </c>
      <c r="D180" s="131">
        <f>+SUM(D146:D179)</f>
        <v>6</v>
      </c>
      <c r="E180" s="131">
        <f t="shared" ref="E180:X180" si="66">+SUM(E146:E179)</f>
        <v>2533.3332666699998</v>
      </c>
      <c r="F180" s="132">
        <f t="shared" si="66"/>
        <v>87999.998000099993</v>
      </c>
      <c r="G180" s="133">
        <f>+SUM(G146:G179)</f>
        <v>1055999.9760012</v>
      </c>
      <c r="H180" s="134">
        <f>+SUM(H146:H179)</f>
        <v>0</v>
      </c>
      <c r="I180" s="133">
        <f t="shared" si="66"/>
        <v>0</v>
      </c>
      <c r="J180" s="133">
        <f t="shared" si="66"/>
        <v>0</v>
      </c>
      <c r="K180" s="133">
        <f t="shared" si="66"/>
        <v>0</v>
      </c>
      <c r="L180" s="133">
        <f t="shared" si="66"/>
        <v>0</v>
      </c>
      <c r="M180" s="133">
        <f t="shared" si="66"/>
        <v>0</v>
      </c>
      <c r="N180" s="133">
        <f t="shared" si="66"/>
        <v>0</v>
      </c>
      <c r="O180" s="133">
        <f t="shared" si="66"/>
        <v>3666.6665833374996</v>
      </c>
      <c r="P180" s="133">
        <f>+SUM(P146:P179)/12</f>
        <v>0</v>
      </c>
      <c r="Q180" s="133">
        <f t="shared" si="66"/>
        <v>0</v>
      </c>
      <c r="R180" s="133">
        <f>+SUM(R146:R179)/12</f>
        <v>689.47220555625006</v>
      </c>
      <c r="S180" s="133">
        <f t="shared" si="66"/>
        <v>0</v>
      </c>
      <c r="T180" s="133">
        <f>+SUM(T146:T179)</f>
        <v>2998.2099315033752</v>
      </c>
      <c r="U180" s="133">
        <f>+SUM(U146:U179)</f>
        <v>1998.80662100225</v>
      </c>
      <c r="V180" s="133">
        <f>+SUM(V146:V179)</f>
        <v>3148.1204280785437</v>
      </c>
      <c r="W180" s="133">
        <f t="shared" si="66"/>
        <v>0</v>
      </c>
      <c r="X180" s="133">
        <f t="shared" si="66"/>
        <v>4997.0165525056254</v>
      </c>
      <c r="Y180" s="130"/>
    </row>
  </sheetData>
  <mergeCells count="1">
    <mergeCell ref="B144:B145"/>
  </mergeCells>
  <pageMargins left="0.75" right="0.75" top="0.57999999999999996" bottom="1" header="0.5" footer="0.5"/>
  <pageSetup scale="60" fitToWidth="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DFD6-C507-46D7-B341-9F5E6CAE5549}">
  <dimension ref="A1:T22"/>
  <sheetViews>
    <sheetView zoomScale="70" zoomScaleNormal="7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O19" sqref="O19"/>
    </sheetView>
  </sheetViews>
  <sheetFormatPr baseColWidth="10" defaultColWidth="8.7265625" defaultRowHeight="14.5" x14ac:dyDescent="0.35"/>
  <cols>
    <col min="1" max="1" width="7.81640625" style="330" customWidth="1"/>
    <col min="2" max="2" width="16.81640625" style="330" customWidth="1"/>
    <col min="3" max="3" width="12.26953125" customWidth="1"/>
    <col min="4" max="4" width="14.1796875" customWidth="1"/>
    <col min="5" max="5" width="18.453125" style="331" customWidth="1"/>
    <col min="6" max="6" width="13.453125" style="331" customWidth="1"/>
    <col min="7" max="7" width="33.1796875" customWidth="1"/>
    <col min="8" max="8" width="13.54296875" customWidth="1"/>
    <col min="9" max="9" width="12" bestFit="1" customWidth="1"/>
    <col min="10" max="10" width="12" customWidth="1"/>
    <col min="11" max="16" width="12" bestFit="1" customWidth="1"/>
    <col min="17" max="17" width="12.1796875" bestFit="1" customWidth="1"/>
    <col min="18" max="18" width="12" bestFit="1" customWidth="1"/>
    <col min="19" max="19" width="12.1796875" bestFit="1" customWidth="1"/>
    <col min="20" max="20" width="14" bestFit="1" customWidth="1"/>
    <col min="21" max="21" width="13.81640625" bestFit="1" customWidth="1"/>
  </cols>
  <sheetData>
    <row r="1" spans="1:20" s="328" customFormat="1" ht="203.25" customHeight="1" x14ac:dyDescent="0.35">
      <c r="A1" s="159" t="s">
        <v>200</v>
      </c>
      <c r="B1" s="159" t="s">
        <v>201</v>
      </c>
      <c r="C1" s="159" t="s">
        <v>202</v>
      </c>
      <c r="D1" s="159" t="s">
        <v>203</v>
      </c>
      <c r="E1" s="159" t="s">
        <v>204</v>
      </c>
      <c r="F1" s="159" t="s">
        <v>205</v>
      </c>
      <c r="G1" s="159" t="s">
        <v>206</v>
      </c>
      <c r="H1" s="160" t="s">
        <v>207</v>
      </c>
      <c r="I1" s="160" t="s">
        <v>161</v>
      </c>
      <c r="J1" s="160" t="s">
        <v>425</v>
      </c>
      <c r="K1" s="160" t="s">
        <v>208</v>
      </c>
      <c r="L1" s="160" t="s">
        <v>209</v>
      </c>
      <c r="M1" s="160" t="s">
        <v>210</v>
      </c>
      <c r="N1" s="159" t="s">
        <v>211</v>
      </c>
      <c r="O1" s="159" t="s">
        <v>212</v>
      </c>
      <c r="P1" s="159" t="s">
        <v>213</v>
      </c>
      <c r="Q1" s="159" t="s">
        <v>214</v>
      </c>
      <c r="R1" s="159" t="s">
        <v>215</v>
      </c>
      <c r="S1" s="159" t="s">
        <v>216</v>
      </c>
      <c r="T1" s="159" t="s">
        <v>217</v>
      </c>
    </row>
    <row r="2" spans="1:20" ht="16" x14ac:dyDescent="0.35">
      <c r="A2" s="161" t="s">
        <v>495</v>
      </c>
      <c r="B2" s="161" t="s">
        <v>496</v>
      </c>
      <c r="C2" s="161" t="s">
        <v>497</v>
      </c>
      <c r="D2" s="161" t="s">
        <v>246</v>
      </c>
      <c r="E2" s="162" t="s">
        <v>222</v>
      </c>
      <c r="F2" s="162" t="s">
        <v>498</v>
      </c>
      <c r="G2" s="162" t="s">
        <v>499</v>
      </c>
      <c r="H2" s="163">
        <v>28000</v>
      </c>
      <c r="I2" s="164">
        <f t="shared" ref="I2:I18" si="0">+H2/2</f>
        <v>14000</v>
      </c>
      <c r="J2" s="164">
        <f>((H2/30)*14)*0.25</f>
        <v>3266.666666666667</v>
      </c>
      <c r="K2" s="164"/>
      <c r="L2" s="164">
        <f>H2/12</f>
        <v>2333.3333333333335</v>
      </c>
      <c r="M2" s="164"/>
      <c r="N2" s="164"/>
      <c r="O2" s="329">
        <v>46620.160000000003</v>
      </c>
      <c r="P2" s="164"/>
      <c r="Q2" s="164">
        <f t="shared" ref="Q2:Q18" si="1">H2+I2+P2</f>
        <v>42000</v>
      </c>
      <c r="R2" s="164">
        <f t="shared" ref="R2:R18" si="2">K2+L2+M2+N2+O2</f>
        <v>48953.493333333339</v>
      </c>
      <c r="S2" s="164">
        <f t="shared" ref="S2:S18" si="3">Q2+R2</f>
        <v>90953.493333333347</v>
      </c>
      <c r="T2" s="164">
        <f t="shared" ref="T2:T18" si="4">S2*12</f>
        <v>1091441.9200000002</v>
      </c>
    </row>
    <row r="3" spans="1:20" ht="16" x14ac:dyDescent="0.35">
      <c r="A3" s="161" t="s">
        <v>495</v>
      </c>
      <c r="B3" s="161" t="s">
        <v>500</v>
      </c>
      <c r="C3" s="161" t="s">
        <v>501</v>
      </c>
      <c r="D3" s="161" t="s">
        <v>502</v>
      </c>
      <c r="E3" s="162" t="s">
        <v>222</v>
      </c>
      <c r="F3" s="162" t="s">
        <v>498</v>
      </c>
      <c r="G3" s="162" t="s">
        <v>499</v>
      </c>
      <c r="H3" s="163">
        <v>35000</v>
      </c>
      <c r="I3" s="164">
        <f t="shared" si="0"/>
        <v>17500</v>
      </c>
      <c r="J3" s="164">
        <f t="shared" ref="J3:J18" si="5">((H3/30)*14)*0.25</f>
        <v>4083.3333333333335</v>
      </c>
      <c r="K3" s="164"/>
      <c r="L3" s="164">
        <f>H3/12</f>
        <v>2916.6666666666665</v>
      </c>
      <c r="M3" s="164"/>
      <c r="N3" s="164"/>
      <c r="O3" s="329">
        <v>10000</v>
      </c>
      <c r="P3" s="164"/>
      <c r="Q3" s="164">
        <f t="shared" si="1"/>
        <v>52500</v>
      </c>
      <c r="R3" s="164">
        <f t="shared" si="2"/>
        <v>12916.666666666666</v>
      </c>
      <c r="S3" s="164">
        <f t="shared" si="3"/>
        <v>65416.666666666664</v>
      </c>
      <c r="T3" s="164">
        <f t="shared" si="4"/>
        <v>785000</v>
      </c>
    </row>
    <row r="4" spans="1:20" ht="15" customHeight="1" x14ac:dyDescent="0.35">
      <c r="A4" s="161" t="s">
        <v>495</v>
      </c>
      <c r="B4" s="161" t="s">
        <v>503</v>
      </c>
      <c r="C4" s="161" t="s">
        <v>504</v>
      </c>
      <c r="D4" s="161" t="s">
        <v>501</v>
      </c>
      <c r="E4" s="162" t="s">
        <v>222</v>
      </c>
      <c r="F4" s="162" t="s">
        <v>133</v>
      </c>
      <c r="G4" s="162" t="s">
        <v>505</v>
      </c>
      <c r="H4" s="163">
        <v>28000</v>
      </c>
      <c r="I4" s="164">
        <f t="shared" si="0"/>
        <v>14000</v>
      </c>
      <c r="J4" s="164">
        <f t="shared" si="5"/>
        <v>3266.666666666667</v>
      </c>
      <c r="K4" s="164"/>
      <c r="L4" s="164">
        <f>H4/12</f>
        <v>2333.3333333333335</v>
      </c>
      <c r="M4" s="164"/>
      <c r="N4" s="164"/>
      <c r="O4" s="164"/>
      <c r="P4" s="164"/>
      <c r="Q4" s="164">
        <f t="shared" si="1"/>
        <v>42000</v>
      </c>
      <c r="R4" s="164">
        <f t="shared" si="2"/>
        <v>2333.3333333333335</v>
      </c>
      <c r="S4" s="164">
        <f t="shared" si="3"/>
        <v>44333.333333333336</v>
      </c>
      <c r="T4" s="164">
        <f t="shared" si="4"/>
        <v>532000</v>
      </c>
    </row>
    <row r="5" spans="1:20" ht="15" customHeight="1" x14ac:dyDescent="0.35">
      <c r="A5" s="161" t="s">
        <v>495</v>
      </c>
      <c r="B5" s="161" t="s">
        <v>506</v>
      </c>
      <c r="C5" s="161" t="s">
        <v>507</v>
      </c>
      <c r="D5" s="161" t="s">
        <v>508</v>
      </c>
      <c r="E5" s="162" t="s">
        <v>222</v>
      </c>
      <c r="F5" s="162" t="s">
        <v>498</v>
      </c>
      <c r="G5" s="162" t="s">
        <v>509</v>
      </c>
      <c r="H5" s="163">
        <v>18000</v>
      </c>
      <c r="I5" s="164">
        <f t="shared" si="0"/>
        <v>9000</v>
      </c>
      <c r="J5" s="164">
        <f t="shared" si="5"/>
        <v>2100</v>
      </c>
      <c r="K5" s="164"/>
      <c r="L5" s="164">
        <f>H5/12</f>
        <v>1500</v>
      </c>
      <c r="M5" s="164"/>
      <c r="N5" s="164"/>
      <c r="O5" s="329">
        <v>8243.85</v>
      </c>
      <c r="P5" s="164"/>
      <c r="Q5" s="164">
        <f t="shared" si="1"/>
        <v>27000</v>
      </c>
      <c r="R5" s="164">
        <f t="shared" si="2"/>
        <v>9743.85</v>
      </c>
      <c r="S5" s="164">
        <f t="shared" si="3"/>
        <v>36743.85</v>
      </c>
      <c r="T5" s="164">
        <f t="shared" si="4"/>
        <v>440926.19999999995</v>
      </c>
    </row>
    <row r="6" spans="1:20" ht="16" x14ac:dyDescent="0.35">
      <c r="A6" s="161"/>
      <c r="B6" s="161" t="s">
        <v>510</v>
      </c>
      <c r="C6" s="161" t="s">
        <v>511</v>
      </c>
      <c r="D6" s="161" t="s">
        <v>512</v>
      </c>
      <c r="E6" s="162" t="s">
        <v>222</v>
      </c>
      <c r="F6" s="162" t="s">
        <v>498</v>
      </c>
      <c r="G6" s="162" t="s">
        <v>513</v>
      </c>
      <c r="H6" s="163">
        <v>15000</v>
      </c>
      <c r="I6" s="164">
        <f t="shared" si="0"/>
        <v>7500</v>
      </c>
      <c r="J6" s="164">
        <f t="shared" si="5"/>
        <v>1750</v>
      </c>
      <c r="K6" s="164"/>
      <c r="L6" s="164"/>
      <c r="M6" s="164"/>
      <c r="N6" s="164"/>
      <c r="O6" s="329">
        <v>15848.57</v>
      </c>
      <c r="P6" s="164"/>
      <c r="Q6" s="164">
        <f t="shared" si="1"/>
        <v>22500</v>
      </c>
      <c r="R6" s="164">
        <f t="shared" si="2"/>
        <v>15848.57</v>
      </c>
      <c r="S6" s="164">
        <f t="shared" si="3"/>
        <v>38348.57</v>
      </c>
      <c r="T6" s="164">
        <f t="shared" si="4"/>
        <v>460182.83999999997</v>
      </c>
    </row>
    <row r="7" spans="1:20" ht="16" x14ac:dyDescent="0.35">
      <c r="A7" s="161"/>
      <c r="B7" s="161" t="s">
        <v>514</v>
      </c>
      <c r="C7" s="161" t="s">
        <v>515</v>
      </c>
      <c r="D7" s="161" t="s">
        <v>516</v>
      </c>
      <c r="E7" s="162" t="s">
        <v>222</v>
      </c>
      <c r="F7" s="162" t="s">
        <v>498</v>
      </c>
      <c r="G7" s="162" t="s">
        <v>513</v>
      </c>
      <c r="H7" s="163">
        <v>15000</v>
      </c>
      <c r="I7" s="164">
        <f t="shared" si="0"/>
        <v>7500</v>
      </c>
      <c r="J7" s="164">
        <f t="shared" si="5"/>
        <v>1750</v>
      </c>
      <c r="K7" s="164"/>
      <c r="L7" s="164"/>
      <c r="M7" s="164"/>
      <c r="N7" s="164"/>
      <c r="O7" s="329">
        <v>14824.33</v>
      </c>
      <c r="P7" s="164"/>
      <c r="Q7" s="164">
        <f t="shared" si="1"/>
        <v>22500</v>
      </c>
      <c r="R7" s="164">
        <f t="shared" si="2"/>
        <v>14824.33</v>
      </c>
      <c r="S7" s="164">
        <f t="shared" si="3"/>
        <v>37324.33</v>
      </c>
      <c r="T7" s="164">
        <f t="shared" si="4"/>
        <v>447891.96</v>
      </c>
    </row>
    <row r="8" spans="1:20" ht="16" x14ac:dyDescent="0.35">
      <c r="A8" s="161"/>
      <c r="B8" s="161" t="s">
        <v>517</v>
      </c>
      <c r="C8" s="161" t="s">
        <v>518</v>
      </c>
      <c r="D8" s="161" t="s">
        <v>519</v>
      </c>
      <c r="E8" s="162" t="s">
        <v>222</v>
      </c>
      <c r="F8" s="162" t="s">
        <v>498</v>
      </c>
      <c r="G8" s="162" t="s">
        <v>513</v>
      </c>
      <c r="H8" s="163">
        <v>15000</v>
      </c>
      <c r="I8" s="164">
        <f t="shared" si="0"/>
        <v>7500</v>
      </c>
      <c r="J8" s="164">
        <f t="shared" si="5"/>
        <v>1750</v>
      </c>
      <c r="K8" s="164"/>
      <c r="L8" s="164"/>
      <c r="M8" s="164"/>
      <c r="N8" s="164"/>
      <c r="O8" s="329">
        <v>13423.56</v>
      </c>
      <c r="P8" s="164"/>
      <c r="Q8" s="164">
        <f t="shared" si="1"/>
        <v>22500</v>
      </c>
      <c r="R8" s="164">
        <f t="shared" si="2"/>
        <v>13423.56</v>
      </c>
      <c r="S8" s="164">
        <f t="shared" si="3"/>
        <v>35923.56</v>
      </c>
      <c r="T8" s="164">
        <f t="shared" si="4"/>
        <v>431082.72</v>
      </c>
    </row>
    <row r="9" spans="1:20" ht="16" x14ac:dyDescent="0.35">
      <c r="A9" s="161"/>
      <c r="B9" s="161" t="s">
        <v>520</v>
      </c>
      <c r="C9" s="161" t="s">
        <v>521</v>
      </c>
      <c r="D9" s="161" t="s">
        <v>522</v>
      </c>
      <c r="E9" s="162" t="s">
        <v>222</v>
      </c>
      <c r="F9" s="162" t="s">
        <v>498</v>
      </c>
      <c r="G9" s="162" t="s">
        <v>513</v>
      </c>
      <c r="H9" s="163">
        <v>15000</v>
      </c>
      <c r="I9" s="164">
        <f t="shared" si="0"/>
        <v>7500</v>
      </c>
      <c r="J9" s="164">
        <f t="shared" si="5"/>
        <v>1750</v>
      </c>
      <c r="K9" s="164"/>
      <c r="L9" s="164"/>
      <c r="M9" s="164"/>
      <c r="N9" s="164"/>
      <c r="O9" s="329">
        <v>13282.56</v>
      </c>
      <c r="P9" s="164"/>
      <c r="Q9" s="164">
        <f t="shared" si="1"/>
        <v>22500</v>
      </c>
      <c r="R9" s="164">
        <f t="shared" si="2"/>
        <v>13282.56</v>
      </c>
      <c r="S9" s="164">
        <f t="shared" si="3"/>
        <v>35782.559999999998</v>
      </c>
      <c r="T9" s="164">
        <f t="shared" si="4"/>
        <v>429390.72</v>
      </c>
    </row>
    <row r="10" spans="1:20" ht="16" x14ac:dyDescent="0.35">
      <c r="A10" s="161"/>
      <c r="B10" s="161" t="s">
        <v>523</v>
      </c>
      <c r="C10" s="161" t="s">
        <v>524</v>
      </c>
      <c r="D10" s="161" t="s">
        <v>525</v>
      </c>
      <c r="E10" s="162" t="s">
        <v>222</v>
      </c>
      <c r="F10" s="162" t="s">
        <v>498</v>
      </c>
      <c r="G10" s="162" t="s">
        <v>513</v>
      </c>
      <c r="H10" s="163">
        <v>14000</v>
      </c>
      <c r="I10" s="164">
        <f t="shared" si="0"/>
        <v>7000</v>
      </c>
      <c r="J10" s="164">
        <f t="shared" si="5"/>
        <v>1633.3333333333335</v>
      </c>
      <c r="K10" s="164"/>
      <c r="L10" s="164"/>
      <c r="M10" s="164"/>
      <c r="N10" s="164"/>
      <c r="O10" s="329">
        <v>5858.23</v>
      </c>
      <c r="P10" s="164"/>
      <c r="Q10" s="164">
        <f t="shared" si="1"/>
        <v>21000</v>
      </c>
      <c r="R10" s="164">
        <f t="shared" si="2"/>
        <v>5858.23</v>
      </c>
      <c r="S10" s="164">
        <f t="shared" si="3"/>
        <v>26858.23</v>
      </c>
      <c r="T10" s="164">
        <f t="shared" si="4"/>
        <v>322298.76</v>
      </c>
    </row>
    <row r="11" spans="1:20" ht="16" x14ac:dyDescent="0.35">
      <c r="A11" s="161"/>
      <c r="B11" s="161" t="s">
        <v>526</v>
      </c>
      <c r="C11" s="161" t="s">
        <v>527</v>
      </c>
      <c r="D11" s="161" t="s">
        <v>528</v>
      </c>
      <c r="E11" s="162" t="s">
        <v>222</v>
      </c>
      <c r="F11" s="162" t="s">
        <v>529</v>
      </c>
      <c r="G11" s="162" t="s">
        <v>530</v>
      </c>
      <c r="H11" s="163">
        <v>19000</v>
      </c>
      <c r="I11" s="164">
        <f t="shared" si="0"/>
        <v>9500</v>
      </c>
      <c r="J11" s="164">
        <f t="shared" si="5"/>
        <v>2216.666666666667</v>
      </c>
      <c r="K11" s="164"/>
      <c r="L11" s="164"/>
      <c r="M11" s="164"/>
      <c r="N11" s="164"/>
      <c r="O11" s="164"/>
      <c r="P11" s="164"/>
      <c r="Q11" s="164">
        <f t="shared" si="1"/>
        <v>28500</v>
      </c>
      <c r="R11" s="164">
        <f t="shared" si="2"/>
        <v>0</v>
      </c>
      <c r="S11" s="164">
        <f t="shared" si="3"/>
        <v>28500</v>
      </c>
      <c r="T11" s="164">
        <f t="shared" si="4"/>
        <v>342000</v>
      </c>
    </row>
    <row r="12" spans="1:20" ht="16" x14ac:dyDescent="0.35">
      <c r="A12" s="161"/>
      <c r="B12" s="161" t="s">
        <v>531</v>
      </c>
      <c r="C12" s="161" t="s">
        <v>532</v>
      </c>
      <c r="D12" s="161" t="s">
        <v>533</v>
      </c>
      <c r="E12" s="162" t="s">
        <v>222</v>
      </c>
      <c r="F12" s="162" t="s">
        <v>133</v>
      </c>
      <c r="G12" s="162" t="s">
        <v>534</v>
      </c>
      <c r="H12" s="163">
        <v>16000</v>
      </c>
      <c r="I12" s="164">
        <f t="shared" si="0"/>
        <v>8000</v>
      </c>
      <c r="J12" s="164">
        <f t="shared" si="5"/>
        <v>1866.6666666666667</v>
      </c>
      <c r="K12" s="164"/>
      <c r="L12" s="164"/>
      <c r="M12" s="164"/>
      <c r="N12" s="164"/>
      <c r="O12" s="164"/>
      <c r="P12" s="164"/>
      <c r="Q12" s="164">
        <f t="shared" si="1"/>
        <v>24000</v>
      </c>
      <c r="R12" s="164">
        <f t="shared" si="2"/>
        <v>0</v>
      </c>
      <c r="S12" s="164">
        <f t="shared" si="3"/>
        <v>24000</v>
      </c>
      <c r="T12" s="164">
        <f t="shared" si="4"/>
        <v>288000</v>
      </c>
    </row>
    <row r="13" spans="1:20" ht="16" x14ac:dyDescent="0.35">
      <c r="A13" s="161"/>
      <c r="B13" s="161" t="s">
        <v>535</v>
      </c>
      <c r="C13" s="161" t="s">
        <v>536</v>
      </c>
      <c r="D13" s="161" t="s">
        <v>537</v>
      </c>
      <c r="E13" s="162" t="s">
        <v>222</v>
      </c>
      <c r="F13" s="162" t="s">
        <v>133</v>
      </c>
      <c r="G13" s="162" t="s">
        <v>534</v>
      </c>
      <c r="H13" s="163">
        <v>16000</v>
      </c>
      <c r="I13" s="164">
        <f t="shared" si="0"/>
        <v>8000</v>
      </c>
      <c r="J13" s="164">
        <f t="shared" si="5"/>
        <v>1866.6666666666667</v>
      </c>
      <c r="K13" s="164"/>
      <c r="L13" s="164"/>
      <c r="M13" s="164"/>
      <c r="N13" s="164"/>
      <c r="O13" s="164"/>
      <c r="P13" s="164"/>
      <c r="Q13" s="164">
        <f t="shared" si="1"/>
        <v>24000</v>
      </c>
      <c r="R13" s="164">
        <f t="shared" si="2"/>
        <v>0</v>
      </c>
      <c r="S13" s="164">
        <f t="shared" si="3"/>
        <v>24000</v>
      </c>
      <c r="T13" s="164">
        <f t="shared" si="4"/>
        <v>288000</v>
      </c>
    </row>
    <row r="14" spans="1:20" ht="16" x14ac:dyDescent="0.35">
      <c r="A14" s="161"/>
      <c r="B14" s="161" t="s">
        <v>538</v>
      </c>
      <c r="C14" s="161" t="s">
        <v>539</v>
      </c>
      <c r="D14" s="161" t="s">
        <v>540</v>
      </c>
      <c r="E14" s="162" t="s">
        <v>222</v>
      </c>
      <c r="F14" s="162" t="s">
        <v>529</v>
      </c>
      <c r="G14" s="162" t="s">
        <v>530</v>
      </c>
      <c r="H14" s="163">
        <v>16000</v>
      </c>
      <c r="I14" s="164">
        <f t="shared" si="0"/>
        <v>8000</v>
      </c>
      <c r="J14" s="164">
        <f t="shared" si="5"/>
        <v>1866.6666666666667</v>
      </c>
      <c r="K14" s="164"/>
      <c r="L14" s="164"/>
      <c r="M14" s="164"/>
      <c r="N14" s="164"/>
      <c r="O14" s="164"/>
      <c r="P14" s="164"/>
      <c r="Q14" s="164">
        <f t="shared" si="1"/>
        <v>24000</v>
      </c>
      <c r="R14" s="164">
        <f t="shared" si="2"/>
        <v>0</v>
      </c>
      <c r="S14" s="164">
        <f t="shared" si="3"/>
        <v>24000</v>
      </c>
      <c r="T14" s="164">
        <f t="shared" si="4"/>
        <v>288000</v>
      </c>
    </row>
    <row r="15" spans="1:20" ht="16" x14ac:dyDescent="0.35">
      <c r="A15" s="161"/>
      <c r="B15" s="161" t="s">
        <v>541</v>
      </c>
      <c r="C15" s="161" t="s">
        <v>542</v>
      </c>
      <c r="D15" s="161" t="s">
        <v>533</v>
      </c>
      <c r="E15" s="162" t="s">
        <v>222</v>
      </c>
      <c r="F15" s="162" t="s">
        <v>498</v>
      </c>
      <c r="G15" s="162" t="s">
        <v>543</v>
      </c>
      <c r="H15" s="163">
        <v>12000</v>
      </c>
      <c r="I15" s="164">
        <f t="shared" si="0"/>
        <v>6000</v>
      </c>
      <c r="J15" s="164">
        <f t="shared" si="5"/>
        <v>1400</v>
      </c>
      <c r="K15" s="164"/>
      <c r="L15" s="164"/>
      <c r="M15" s="164"/>
      <c r="N15" s="164"/>
      <c r="O15" s="164"/>
      <c r="P15" s="164"/>
      <c r="Q15" s="164">
        <f t="shared" si="1"/>
        <v>18000</v>
      </c>
      <c r="R15" s="164">
        <f t="shared" si="2"/>
        <v>0</v>
      </c>
      <c r="S15" s="164">
        <f t="shared" si="3"/>
        <v>18000</v>
      </c>
      <c r="T15" s="164">
        <f t="shared" si="4"/>
        <v>216000</v>
      </c>
    </row>
    <row r="16" spans="1:20" ht="16" x14ac:dyDescent="0.35">
      <c r="A16" s="161"/>
      <c r="B16" s="161" t="s">
        <v>544</v>
      </c>
      <c r="C16" s="161" t="s">
        <v>545</v>
      </c>
      <c r="D16" s="161" t="s">
        <v>546</v>
      </c>
      <c r="E16" s="162" t="s">
        <v>222</v>
      </c>
      <c r="F16" s="162" t="s">
        <v>529</v>
      </c>
      <c r="G16" s="162" t="s">
        <v>547</v>
      </c>
      <c r="H16" s="163">
        <v>11000</v>
      </c>
      <c r="I16" s="164">
        <f t="shared" si="0"/>
        <v>5500</v>
      </c>
      <c r="J16" s="164">
        <f t="shared" si="5"/>
        <v>1283.3333333333335</v>
      </c>
      <c r="K16" s="164"/>
      <c r="L16" s="164"/>
      <c r="M16" s="164"/>
      <c r="N16" s="164"/>
      <c r="O16" s="164"/>
      <c r="P16" s="164"/>
      <c r="Q16" s="164">
        <f t="shared" si="1"/>
        <v>16500</v>
      </c>
      <c r="R16" s="164">
        <f t="shared" si="2"/>
        <v>0</v>
      </c>
      <c r="S16" s="164">
        <f t="shared" si="3"/>
        <v>16500</v>
      </c>
      <c r="T16" s="164">
        <f t="shared" si="4"/>
        <v>198000</v>
      </c>
    </row>
    <row r="17" spans="1:20" ht="16" x14ac:dyDescent="0.35">
      <c r="A17" s="161"/>
      <c r="B17" s="161" t="s">
        <v>114</v>
      </c>
      <c r="C17" s="161" t="s">
        <v>548</v>
      </c>
      <c r="D17" s="161" t="s">
        <v>549</v>
      </c>
      <c r="E17" s="162" t="s">
        <v>222</v>
      </c>
      <c r="F17" s="162" t="s">
        <v>529</v>
      </c>
      <c r="G17" s="162" t="s">
        <v>550</v>
      </c>
      <c r="H17" s="163">
        <v>10500</v>
      </c>
      <c r="I17" s="164">
        <f t="shared" si="0"/>
        <v>5250</v>
      </c>
      <c r="J17" s="164">
        <f t="shared" si="5"/>
        <v>1225</v>
      </c>
      <c r="K17" s="164"/>
      <c r="L17" s="164"/>
      <c r="M17" s="164"/>
      <c r="N17" s="164"/>
      <c r="O17" s="164"/>
      <c r="P17" s="164"/>
      <c r="Q17" s="164">
        <f t="shared" si="1"/>
        <v>15750</v>
      </c>
      <c r="R17" s="164">
        <f t="shared" si="2"/>
        <v>0</v>
      </c>
      <c r="S17" s="164">
        <f t="shared" si="3"/>
        <v>15750</v>
      </c>
      <c r="T17" s="164">
        <f t="shared" si="4"/>
        <v>189000</v>
      </c>
    </row>
    <row r="18" spans="1:20" ht="16" x14ac:dyDescent="0.35">
      <c r="A18" s="161"/>
      <c r="B18" s="161" t="s">
        <v>551</v>
      </c>
      <c r="C18" s="161" t="s">
        <v>220</v>
      </c>
      <c r="D18" s="161" t="s">
        <v>552</v>
      </c>
      <c r="E18" s="162" t="s">
        <v>222</v>
      </c>
      <c r="F18" s="162" t="s">
        <v>529</v>
      </c>
      <c r="G18" s="162" t="s">
        <v>553</v>
      </c>
      <c r="H18" s="163">
        <v>7000</v>
      </c>
      <c r="I18" s="164">
        <f t="shared" si="0"/>
        <v>3500</v>
      </c>
      <c r="J18" s="164">
        <f t="shared" si="5"/>
        <v>816.66666666666674</v>
      </c>
      <c r="K18" s="164"/>
      <c r="L18" s="164"/>
      <c r="M18" s="164"/>
      <c r="N18" s="164"/>
      <c r="O18" s="164"/>
      <c r="P18" s="164"/>
      <c r="Q18" s="164">
        <f t="shared" si="1"/>
        <v>10500</v>
      </c>
      <c r="R18" s="164">
        <f t="shared" si="2"/>
        <v>0</v>
      </c>
      <c r="S18" s="164">
        <f t="shared" si="3"/>
        <v>10500</v>
      </c>
      <c r="T18" s="164">
        <f t="shared" si="4"/>
        <v>126000</v>
      </c>
    </row>
    <row r="19" spans="1:20" x14ac:dyDescent="0.35">
      <c r="H19" s="325">
        <f>SUM(H2:H18)</f>
        <v>290500</v>
      </c>
      <c r="I19" s="325">
        <f>SUM(I2:I18)/12</f>
        <v>12104.166666666666</v>
      </c>
      <c r="J19" s="325">
        <f>SUM(J2:J18)/12</f>
        <v>2824.3055555555552</v>
      </c>
      <c r="L19" s="325">
        <f>SUM(L2:L18)</f>
        <v>9083.3333333333339</v>
      </c>
      <c r="O19" s="325">
        <f>SUM(O2:O18)</f>
        <v>128101.26</v>
      </c>
    </row>
    <row r="20" spans="1:20" x14ac:dyDescent="0.35">
      <c r="H20" s="164">
        <f>+H19+I19+J19+O19+L19</f>
        <v>442613.06555555557</v>
      </c>
      <c r="O20" s="164"/>
    </row>
    <row r="21" spans="1:20" x14ac:dyDescent="0.35">
      <c r="H21" s="164">
        <f>+H20*1.05</f>
        <v>464743.71883333335</v>
      </c>
      <c r="O21" s="164"/>
    </row>
    <row r="22" spans="1:20" x14ac:dyDescent="0.35">
      <c r="H22" s="164">
        <f>+H21*1.16</f>
        <v>539102.71384666662</v>
      </c>
    </row>
  </sheetData>
  <autoFilter ref="A1:T18" xr:uid="{D63A3FFF-3069-49C9-A52A-27D3D929E1CA}">
    <sortState xmlns:xlrd2="http://schemas.microsoft.com/office/spreadsheetml/2017/richdata2" ref="A2:T18">
      <sortCondition descending="1" ref="T2:T18"/>
    </sortState>
  </autoFilter>
  <pageMargins left="0.7" right="0.7" top="0.75" bottom="0.75" header="0.3" footer="0.3"/>
  <pageSetup paperSize="9" orientation="portrait" copies="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94FA-74A2-40F9-BA9F-315585E683F7}">
  <dimension ref="A1:K40"/>
  <sheetViews>
    <sheetView workbookViewId="0">
      <pane ySplit="1" topLeftCell="A8" activePane="bottomLeft" state="frozen"/>
      <selection pane="bottomLeft" activeCell="K40" sqref="K40"/>
    </sheetView>
  </sheetViews>
  <sheetFormatPr baseColWidth="10" defaultRowHeight="14.5" x14ac:dyDescent="0.35"/>
  <cols>
    <col min="11" max="11" width="12.7265625" bestFit="1" customWidth="1"/>
  </cols>
  <sheetData>
    <row r="1" spans="1:11" x14ac:dyDescent="0.35">
      <c r="A1" s="170" t="s">
        <v>554</v>
      </c>
      <c r="B1" s="170" t="s">
        <v>555</v>
      </c>
      <c r="C1" s="170" t="s">
        <v>556</v>
      </c>
      <c r="D1" s="170" t="s">
        <v>557</v>
      </c>
      <c r="E1" s="170" t="s">
        <v>558</v>
      </c>
      <c r="F1" s="170" t="s">
        <v>559</v>
      </c>
      <c r="G1" s="170" t="s">
        <v>560</v>
      </c>
      <c r="H1" s="170" t="s">
        <v>561</v>
      </c>
      <c r="I1" s="170" t="s">
        <v>562</v>
      </c>
      <c r="J1" s="170" t="s">
        <v>563</v>
      </c>
      <c r="K1" s="170" t="s">
        <v>18</v>
      </c>
    </row>
    <row r="2" spans="1:11" x14ac:dyDescent="0.35">
      <c r="A2" s="332" t="s">
        <v>592</v>
      </c>
      <c r="B2" s="332" t="s">
        <v>593</v>
      </c>
      <c r="C2" s="332" t="s">
        <v>584</v>
      </c>
      <c r="D2" s="332" t="s">
        <v>7</v>
      </c>
      <c r="E2">
        <v>1</v>
      </c>
      <c r="F2" s="334">
        <v>0</v>
      </c>
      <c r="G2" s="334">
        <v>1500</v>
      </c>
      <c r="H2" s="334">
        <v>0</v>
      </c>
      <c r="I2" s="334">
        <v>1500</v>
      </c>
      <c r="J2" s="334">
        <v>0</v>
      </c>
      <c r="K2" s="334">
        <f t="shared" ref="K2:K39" si="0">SUM(F2:J2)</f>
        <v>3000</v>
      </c>
    </row>
    <row r="3" spans="1:11" x14ac:dyDescent="0.35">
      <c r="A3" s="332" t="s">
        <v>564</v>
      </c>
      <c r="B3" s="332" t="s">
        <v>565</v>
      </c>
      <c r="C3" s="332" t="s">
        <v>566</v>
      </c>
      <c r="D3" s="333" t="s">
        <v>8</v>
      </c>
      <c r="E3">
        <v>4</v>
      </c>
      <c r="F3" s="334">
        <f>E3*1400</f>
        <v>5600</v>
      </c>
      <c r="G3" s="334">
        <v>5000</v>
      </c>
      <c r="H3" s="334">
        <v>2500</v>
      </c>
      <c r="I3" s="334">
        <f>250*8</f>
        <v>2000</v>
      </c>
      <c r="J3" s="334">
        <v>0</v>
      </c>
      <c r="K3" s="334">
        <f t="shared" si="0"/>
        <v>15100</v>
      </c>
    </row>
    <row r="4" spans="1:11" x14ac:dyDescent="0.35">
      <c r="A4" s="332" t="s">
        <v>576</v>
      </c>
      <c r="B4" s="332" t="s">
        <v>577</v>
      </c>
      <c r="C4" s="332" t="s">
        <v>575</v>
      </c>
      <c r="D4" s="333" t="s">
        <v>578</v>
      </c>
      <c r="E4">
        <v>1</v>
      </c>
      <c r="F4" s="334">
        <v>0</v>
      </c>
      <c r="G4" s="334">
        <v>1500</v>
      </c>
      <c r="H4" s="334">
        <v>0</v>
      </c>
      <c r="I4" s="334">
        <v>1500</v>
      </c>
      <c r="J4" s="334">
        <v>0</v>
      </c>
      <c r="K4" s="334">
        <f t="shared" si="0"/>
        <v>3000</v>
      </c>
    </row>
    <row r="5" spans="1:11" x14ac:dyDescent="0.35">
      <c r="A5" s="332" t="s">
        <v>576</v>
      </c>
      <c r="B5" s="332" t="s">
        <v>579</v>
      </c>
      <c r="C5" s="332" t="s">
        <v>571</v>
      </c>
      <c r="D5" s="333" t="s">
        <v>578</v>
      </c>
      <c r="E5">
        <v>2</v>
      </c>
      <c r="F5" s="334">
        <f>1400*2</f>
        <v>2800</v>
      </c>
      <c r="G5" s="334">
        <v>2000</v>
      </c>
      <c r="H5" s="334">
        <v>0</v>
      </c>
      <c r="I5" s="334">
        <v>1500</v>
      </c>
      <c r="J5" s="334">
        <v>0</v>
      </c>
      <c r="K5" s="334">
        <f t="shared" si="0"/>
        <v>6300</v>
      </c>
    </row>
    <row r="6" spans="1:11" x14ac:dyDescent="0.35">
      <c r="A6" s="332" t="s">
        <v>576</v>
      </c>
      <c r="B6" s="332" t="s">
        <v>581</v>
      </c>
      <c r="C6" s="332" t="s">
        <v>582</v>
      </c>
      <c r="D6" s="333" t="s">
        <v>578</v>
      </c>
      <c r="E6">
        <v>1</v>
      </c>
      <c r="F6" s="334">
        <v>0</v>
      </c>
      <c r="G6" s="334">
        <v>2000</v>
      </c>
      <c r="H6" s="334">
        <v>0</v>
      </c>
      <c r="I6" s="334">
        <v>1500</v>
      </c>
      <c r="J6" s="334">
        <v>0</v>
      </c>
      <c r="K6" s="334">
        <f t="shared" si="0"/>
        <v>3500</v>
      </c>
    </row>
    <row r="7" spans="1:11" x14ac:dyDescent="0.35">
      <c r="A7" s="332" t="s">
        <v>586</v>
      </c>
      <c r="B7" s="332" t="s">
        <v>587</v>
      </c>
      <c r="C7" s="332" t="s">
        <v>584</v>
      </c>
      <c r="D7" s="335" t="s">
        <v>578</v>
      </c>
      <c r="E7">
        <v>1</v>
      </c>
      <c r="F7" s="334">
        <v>0</v>
      </c>
      <c r="G7" s="334">
        <v>1500</v>
      </c>
      <c r="H7" s="334">
        <v>0</v>
      </c>
      <c r="I7" s="334">
        <v>1500</v>
      </c>
      <c r="J7" s="334">
        <v>0</v>
      </c>
      <c r="K7" s="334">
        <f t="shared" si="0"/>
        <v>3000</v>
      </c>
    </row>
    <row r="8" spans="1:11" x14ac:dyDescent="0.35">
      <c r="A8" s="332" t="s">
        <v>592</v>
      </c>
      <c r="B8" s="332" t="s">
        <v>593</v>
      </c>
      <c r="C8" s="332" t="s">
        <v>584</v>
      </c>
      <c r="D8" s="332" t="s">
        <v>8</v>
      </c>
      <c r="E8">
        <v>1</v>
      </c>
      <c r="F8" s="334">
        <v>0</v>
      </c>
      <c r="G8" s="334">
        <v>1500</v>
      </c>
      <c r="H8" s="334">
        <v>0</v>
      </c>
      <c r="I8" s="334">
        <v>1500</v>
      </c>
      <c r="J8" s="334">
        <v>0</v>
      </c>
      <c r="K8" s="334">
        <f t="shared" si="0"/>
        <v>3000</v>
      </c>
    </row>
    <row r="9" spans="1:11" x14ac:dyDescent="0.35">
      <c r="A9" s="332" t="s">
        <v>592</v>
      </c>
      <c r="B9" s="332" t="s">
        <v>593</v>
      </c>
      <c r="C9" s="332" t="s">
        <v>584</v>
      </c>
      <c r="D9" s="332" t="s">
        <v>578</v>
      </c>
      <c r="E9">
        <v>1</v>
      </c>
      <c r="F9" s="334">
        <v>0</v>
      </c>
      <c r="G9" s="334">
        <v>1500</v>
      </c>
      <c r="H9" s="334">
        <v>0</v>
      </c>
      <c r="I9" s="334">
        <v>1500</v>
      </c>
      <c r="J9" s="334">
        <v>0</v>
      </c>
      <c r="K9" s="334">
        <f t="shared" si="0"/>
        <v>3000</v>
      </c>
    </row>
    <row r="10" spans="1:11" x14ac:dyDescent="0.35">
      <c r="A10" s="332" t="s">
        <v>592</v>
      </c>
      <c r="B10" s="332" t="s">
        <v>593</v>
      </c>
      <c r="C10" s="332" t="s">
        <v>584</v>
      </c>
      <c r="D10" s="332" t="s">
        <v>578</v>
      </c>
      <c r="E10">
        <v>1</v>
      </c>
      <c r="F10" s="334">
        <v>0</v>
      </c>
      <c r="G10" s="334">
        <v>1500</v>
      </c>
      <c r="H10" s="334">
        <v>0</v>
      </c>
      <c r="I10" s="334">
        <v>1500</v>
      </c>
      <c r="J10" s="334">
        <v>0</v>
      </c>
      <c r="K10" s="334">
        <f t="shared" si="0"/>
        <v>3000</v>
      </c>
    </row>
    <row r="11" spans="1:11" x14ac:dyDescent="0.35">
      <c r="A11" s="332" t="s">
        <v>595</v>
      </c>
      <c r="B11" s="332" t="s">
        <v>596</v>
      </c>
      <c r="C11" s="332" t="s">
        <v>584</v>
      </c>
      <c r="D11" s="332" t="s">
        <v>8</v>
      </c>
      <c r="E11">
        <v>1</v>
      </c>
      <c r="F11" s="334">
        <v>0</v>
      </c>
      <c r="G11" s="334">
        <v>1500</v>
      </c>
      <c r="H11" s="334">
        <v>0</v>
      </c>
      <c r="I11" s="334">
        <v>1500</v>
      </c>
      <c r="J11" s="334">
        <v>0</v>
      </c>
      <c r="K11" s="334">
        <f t="shared" si="0"/>
        <v>3000</v>
      </c>
    </row>
    <row r="12" spans="1:11" x14ac:dyDescent="0.35">
      <c r="A12" s="332" t="s">
        <v>595</v>
      </c>
      <c r="B12" s="332" t="s">
        <v>596</v>
      </c>
      <c r="C12" s="332" t="s">
        <v>584</v>
      </c>
      <c r="D12" s="332" t="s">
        <v>578</v>
      </c>
      <c r="E12">
        <v>1</v>
      </c>
      <c r="F12" s="334">
        <v>0</v>
      </c>
      <c r="G12" s="334">
        <v>1500</v>
      </c>
      <c r="H12" s="334">
        <v>0</v>
      </c>
      <c r="I12" s="334">
        <v>1500</v>
      </c>
      <c r="J12" s="334">
        <v>0</v>
      </c>
      <c r="K12" s="334">
        <f t="shared" si="0"/>
        <v>3000</v>
      </c>
    </row>
    <row r="13" spans="1:11" x14ac:dyDescent="0.35">
      <c r="A13" s="332" t="s">
        <v>595</v>
      </c>
      <c r="B13" s="332" t="s">
        <v>596</v>
      </c>
      <c r="C13" s="332" t="s">
        <v>584</v>
      </c>
      <c r="D13" s="332" t="s">
        <v>578</v>
      </c>
      <c r="E13">
        <v>1</v>
      </c>
      <c r="F13" s="334">
        <v>0</v>
      </c>
      <c r="G13" s="334">
        <v>1500</v>
      </c>
      <c r="H13" s="334">
        <v>0</v>
      </c>
      <c r="I13" s="334">
        <v>1500</v>
      </c>
      <c r="J13" s="334">
        <v>0</v>
      </c>
      <c r="K13" s="334">
        <f t="shared" si="0"/>
        <v>3000</v>
      </c>
    </row>
    <row r="14" spans="1:11" x14ac:dyDescent="0.35">
      <c r="A14" s="332" t="s">
        <v>597</v>
      </c>
      <c r="B14" s="332" t="s">
        <v>598</v>
      </c>
      <c r="C14" s="332" t="s">
        <v>584</v>
      </c>
      <c r="D14" s="332" t="s">
        <v>578</v>
      </c>
      <c r="E14">
        <v>1</v>
      </c>
      <c r="F14" s="334">
        <v>0</v>
      </c>
      <c r="G14" s="334">
        <v>1500</v>
      </c>
      <c r="H14" s="334">
        <v>0</v>
      </c>
      <c r="I14" s="334">
        <v>1500</v>
      </c>
      <c r="J14" s="334">
        <v>0</v>
      </c>
      <c r="K14" s="334">
        <f t="shared" si="0"/>
        <v>3000</v>
      </c>
    </row>
    <row r="15" spans="1:11" x14ac:dyDescent="0.35">
      <c r="A15" s="332" t="s">
        <v>586</v>
      </c>
      <c r="B15" s="332" t="s">
        <v>590</v>
      </c>
      <c r="C15" s="332" t="s">
        <v>584</v>
      </c>
      <c r="D15" s="333" t="s">
        <v>591</v>
      </c>
      <c r="E15">
        <v>1</v>
      </c>
      <c r="F15" s="334">
        <v>0</v>
      </c>
      <c r="G15" s="334">
        <v>1500</v>
      </c>
      <c r="H15" s="334">
        <v>0</v>
      </c>
      <c r="I15" s="334">
        <v>1500</v>
      </c>
      <c r="J15" s="334">
        <v>0</v>
      </c>
      <c r="K15" s="334">
        <f t="shared" si="0"/>
        <v>3000</v>
      </c>
    </row>
    <row r="16" spans="1:11" x14ac:dyDescent="0.35">
      <c r="A16" s="332" t="s">
        <v>592</v>
      </c>
      <c r="B16" s="332" t="s">
        <v>593</v>
      </c>
      <c r="C16" s="332" t="s">
        <v>584</v>
      </c>
      <c r="D16" s="332" t="s">
        <v>591</v>
      </c>
      <c r="E16">
        <v>1</v>
      </c>
      <c r="F16" s="334">
        <v>0</v>
      </c>
      <c r="G16" s="334">
        <v>1500</v>
      </c>
      <c r="H16" s="334">
        <v>0</v>
      </c>
      <c r="I16" s="334">
        <v>1500</v>
      </c>
      <c r="J16" s="334">
        <v>0</v>
      </c>
      <c r="K16" s="334">
        <f t="shared" si="0"/>
        <v>3000</v>
      </c>
    </row>
    <row r="17" spans="1:11" x14ac:dyDescent="0.35">
      <c r="A17" s="332" t="s">
        <v>595</v>
      </c>
      <c r="B17" s="332" t="s">
        <v>596</v>
      </c>
      <c r="C17" s="332" t="s">
        <v>584</v>
      </c>
      <c r="D17" s="332" t="s">
        <v>591</v>
      </c>
      <c r="E17">
        <v>1</v>
      </c>
      <c r="F17" s="334">
        <v>0</v>
      </c>
      <c r="G17" s="334">
        <v>1500</v>
      </c>
      <c r="H17" s="334">
        <v>0</v>
      </c>
      <c r="I17" s="334">
        <v>1500</v>
      </c>
      <c r="J17" s="334">
        <v>0</v>
      </c>
      <c r="K17" s="334">
        <f t="shared" si="0"/>
        <v>3000</v>
      </c>
    </row>
    <row r="18" spans="1:11" x14ac:dyDescent="0.35">
      <c r="A18" s="332" t="s">
        <v>597</v>
      </c>
      <c r="B18" s="332" t="s">
        <v>599</v>
      </c>
      <c r="C18" s="332" t="s">
        <v>584</v>
      </c>
      <c r="D18" s="332" t="s">
        <v>591</v>
      </c>
      <c r="E18">
        <v>1</v>
      </c>
      <c r="F18" s="334">
        <v>0</v>
      </c>
      <c r="G18" s="334">
        <v>1500</v>
      </c>
      <c r="H18" s="334">
        <v>0</v>
      </c>
      <c r="I18" s="334">
        <v>1500</v>
      </c>
      <c r="J18" s="334">
        <v>0</v>
      </c>
      <c r="K18" s="334">
        <f t="shared" si="0"/>
        <v>3000</v>
      </c>
    </row>
    <row r="19" spans="1:11" x14ac:dyDescent="0.35">
      <c r="A19" t="s">
        <v>602</v>
      </c>
      <c r="B19" t="s">
        <v>603</v>
      </c>
      <c r="C19" t="s">
        <v>584</v>
      </c>
      <c r="D19" t="s">
        <v>591</v>
      </c>
      <c r="E19">
        <v>1</v>
      </c>
      <c r="F19" s="334">
        <v>0</v>
      </c>
      <c r="G19" s="334">
        <v>1500</v>
      </c>
      <c r="H19" s="334">
        <v>0</v>
      </c>
      <c r="I19" s="334">
        <v>1500</v>
      </c>
      <c r="J19" s="334">
        <v>0</v>
      </c>
      <c r="K19" s="334">
        <f t="shared" si="0"/>
        <v>3000</v>
      </c>
    </row>
    <row r="20" spans="1:11" x14ac:dyDescent="0.35">
      <c r="A20" s="332" t="s">
        <v>564</v>
      </c>
      <c r="B20" s="332" t="s">
        <v>565</v>
      </c>
      <c r="C20" s="332" t="s">
        <v>567</v>
      </c>
      <c r="D20" s="333" t="s">
        <v>568</v>
      </c>
      <c r="E20">
        <v>4</v>
      </c>
      <c r="F20" s="334">
        <f>E20*1400</f>
        <v>5600</v>
      </c>
      <c r="G20" s="334">
        <v>5000</v>
      </c>
      <c r="H20" s="334">
        <v>2500</v>
      </c>
      <c r="I20" s="334">
        <f>250*8</f>
        <v>2000</v>
      </c>
      <c r="J20" s="334">
        <v>0</v>
      </c>
      <c r="K20" s="334">
        <f t="shared" si="0"/>
        <v>15100</v>
      </c>
    </row>
    <row r="21" spans="1:11" x14ac:dyDescent="0.35">
      <c r="A21" s="332" t="s">
        <v>586</v>
      </c>
      <c r="B21" s="332" t="s">
        <v>589</v>
      </c>
      <c r="C21" s="332" t="s">
        <v>584</v>
      </c>
      <c r="D21" s="336" t="s">
        <v>568</v>
      </c>
      <c r="E21">
        <v>1</v>
      </c>
      <c r="F21" s="334">
        <v>0</v>
      </c>
      <c r="G21" s="334">
        <v>1500</v>
      </c>
      <c r="H21" s="334">
        <v>0</v>
      </c>
      <c r="I21" s="334">
        <v>1500</v>
      </c>
      <c r="J21" s="334">
        <v>0</v>
      </c>
      <c r="K21" s="334">
        <f t="shared" si="0"/>
        <v>3000</v>
      </c>
    </row>
    <row r="22" spans="1:11" x14ac:dyDescent="0.35">
      <c r="A22" s="332" t="s">
        <v>592</v>
      </c>
      <c r="B22" s="332" t="s">
        <v>594</v>
      </c>
      <c r="C22" s="332" t="s">
        <v>584</v>
      </c>
      <c r="D22" s="333" t="s">
        <v>568</v>
      </c>
      <c r="E22">
        <v>1</v>
      </c>
      <c r="F22" s="334">
        <v>0</v>
      </c>
      <c r="G22" s="334">
        <v>1500</v>
      </c>
      <c r="H22" s="334">
        <v>0</v>
      </c>
      <c r="I22" s="334">
        <v>1500</v>
      </c>
      <c r="J22" s="334">
        <v>0</v>
      </c>
      <c r="K22" s="334">
        <f t="shared" si="0"/>
        <v>3000</v>
      </c>
    </row>
    <row r="23" spans="1:11" x14ac:dyDescent="0.35">
      <c r="A23" s="332" t="s">
        <v>597</v>
      </c>
      <c r="B23" s="332" t="s">
        <v>600</v>
      </c>
      <c r="C23" s="332" t="s">
        <v>584</v>
      </c>
      <c r="D23" s="332" t="s">
        <v>568</v>
      </c>
      <c r="E23">
        <v>1</v>
      </c>
      <c r="F23" s="334">
        <v>0</v>
      </c>
      <c r="G23" s="334">
        <v>1500</v>
      </c>
      <c r="H23" s="334">
        <v>0</v>
      </c>
      <c r="I23" s="334">
        <v>1500</v>
      </c>
      <c r="J23" s="334">
        <v>0</v>
      </c>
      <c r="K23" s="334">
        <f t="shared" si="0"/>
        <v>3000</v>
      </c>
    </row>
    <row r="24" spans="1:11" x14ac:dyDescent="0.35">
      <c r="A24" t="s">
        <v>602</v>
      </c>
      <c r="B24" t="s">
        <v>603</v>
      </c>
      <c r="C24" t="s">
        <v>584</v>
      </c>
      <c r="D24" t="s">
        <v>568</v>
      </c>
      <c r="E24">
        <v>1</v>
      </c>
      <c r="F24" s="334">
        <v>0</v>
      </c>
      <c r="G24" s="334">
        <v>1500</v>
      </c>
      <c r="H24" s="334">
        <v>0</v>
      </c>
      <c r="I24" s="334">
        <v>1500</v>
      </c>
      <c r="J24" s="334">
        <v>0</v>
      </c>
      <c r="K24" s="334">
        <f t="shared" si="0"/>
        <v>3000</v>
      </c>
    </row>
    <row r="25" spans="1:11" x14ac:dyDescent="0.35">
      <c r="A25" t="s">
        <v>602</v>
      </c>
      <c r="B25" t="s">
        <v>603</v>
      </c>
      <c r="C25" t="s">
        <v>604</v>
      </c>
      <c r="D25" t="s">
        <v>568</v>
      </c>
      <c r="E25">
        <v>1</v>
      </c>
      <c r="F25" s="334">
        <v>0</v>
      </c>
      <c r="G25" s="334">
        <v>1500</v>
      </c>
      <c r="H25" s="334">
        <v>0</v>
      </c>
      <c r="I25" s="334">
        <v>1500</v>
      </c>
      <c r="J25" s="334">
        <v>0</v>
      </c>
      <c r="K25" s="334">
        <f t="shared" si="0"/>
        <v>3000</v>
      </c>
    </row>
    <row r="26" spans="1:11" x14ac:dyDescent="0.35">
      <c r="A26" s="332" t="s">
        <v>576</v>
      </c>
      <c r="B26" s="332" t="s">
        <v>579</v>
      </c>
      <c r="C26" s="332" t="s">
        <v>571</v>
      </c>
      <c r="D26" s="333" t="s">
        <v>580</v>
      </c>
      <c r="E26">
        <v>2</v>
      </c>
      <c r="F26" s="334">
        <f>1400*2</f>
        <v>2800</v>
      </c>
      <c r="G26" s="334">
        <v>2000</v>
      </c>
      <c r="H26" s="334">
        <v>0</v>
      </c>
      <c r="I26" s="334">
        <v>1500</v>
      </c>
      <c r="J26" s="334">
        <v>0</v>
      </c>
      <c r="K26" s="334">
        <f t="shared" si="0"/>
        <v>6300</v>
      </c>
    </row>
    <row r="27" spans="1:11" x14ac:dyDescent="0.35">
      <c r="A27" t="s">
        <v>602</v>
      </c>
      <c r="B27" t="s">
        <v>603</v>
      </c>
      <c r="C27" t="s">
        <v>584</v>
      </c>
      <c r="D27" t="s">
        <v>580</v>
      </c>
      <c r="E27">
        <v>1</v>
      </c>
      <c r="F27" s="334">
        <v>0</v>
      </c>
      <c r="G27" s="334">
        <v>1500</v>
      </c>
      <c r="H27" s="334">
        <v>0</v>
      </c>
      <c r="I27" s="334">
        <v>1500</v>
      </c>
      <c r="J27" s="334">
        <v>0</v>
      </c>
      <c r="K27" s="334">
        <f t="shared" si="0"/>
        <v>3000</v>
      </c>
    </row>
    <row r="28" spans="1:11" x14ac:dyDescent="0.35">
      <c r="A28" t="s">
        <v>602</v>
      </c>
      <c r="B28" t="s">
        <v>603</v>
      </c>
      <c r="C28" t="s">
        <v>604</v>
      </c>
      <c r="D28" t="s">
        <v>580</v>
      </c>
      <c r="E28">
        <v>1</v>
      </c>
      <c r="F28" s="334">
        <v>0</v>
      </c>
      <c r="G28" s="334">
        <v>1500</v>
      </c>
      <c r="H28" s="334">
        <v>0</v>
      </c>
      <c r="I28" s="334">
        <v>1500</v>
      </c>
      <c r="J28" s="334">
        <v>0</v>
      </c>
      <c r="K28" s="334">
        <f t="shared" si="0"/>
        <v>3000</v>
      </c>
    </row>
    <row r="29" spans="1:11" x14ac:dyDescent="0.35">
      <c r="A29" s="332" t="s">
        <v>564</v>
      </c>
      <c r="B29" s="332" t="s">
        <v>565</v>
      </c>
      <c r="C29" s="332" t="s">
        <v>569</v>
      </c>
      <c r="D29" s="333" t="s">
        <v>570</v>
      </c>
      <c r="E29">
        <v>3</v>
      </c>
      <c r="F29" s="334">
        <f>E29*1400</f>
        <v>4200</v>
      </c>
      <c r="G29" s="334">
        <v>5000</v>
      </c>
      <c r="H29" s="334">
        <v>2500</v>
      </c>
      <c r="I29" s="334">
        <f>250*8</f>
        <v>2000</v>
      </c>
      <c r="J29" s="334">
        <v>0</v>
      </c>
      <c r="K29" s="334">
        <f t="shared" si="0"/>
        <v>13700</v>
      </c>
    </row>
    <row r="30" spans="1:11" x14ac:dyDescent="0.35">
      <c r="A30" s="332" t="s">
        <v>576</v>
      </c>
      <c r="B30" s="332" t="s">
        <v>577</v>
      </c>
      <c r="C30" s="332" t="s">
        <v>575</v>
      </c>
      <c r="D30" s="333" t="s">
        <v>570</v>
      </c>
      <c r="E30">
        <v>1</v>
      </c>
      <c r="F30" s="334">
        <v>0</v>
      </c>
      <c r="G30" s="334">
        <v>1500</v>
      </c>
      <c r="H30" s="334">
        <v>0</v>
      </c>
      <c r="I30" s="334">
        <v>1500</v>
      </c>
      <c r="J30" s="334">
        <v>0</v>
      </c>
      <c r="K30" s="334">
        <f t="shared" si="0"/>
        <v>3000</v>
      </c>
    </row>
    <row r="31" spans="1:11" x14ac:dyDescent="0.35">
      <c r="A31" s="332" t="s">
        <v>576</v>
      </c>
      <c r="B31" s="332" t="s">
        <v>581</v>
      </c>
      <c r="C31" s="332" t="s">
        <v>582</v>
      </c>
      <c r="D31" s="333" t="s">
        <v>570</v>
      </c>
      <c r="E31">
        <v>1</v>
      </c>
      <c r="F31" s="334">
        <v>0</v>
      </c>
      <c r="G31" s="334">
        <v>2000</v>
      </c>
      <c r="H31" s="334">
        <v>0</v>
      </c>
      <c r="I31" s="334">
        <v>1500</v>
      </c>
      <c r="J31" s="334">
        <v>0</v>
      </c>
      <c r="K31" s="334">
        <f t="shared" si="0"/>
        <v>3500</v>
      </c>
    </row>
    <row r="32" spans="1:11" x14ac:dyDescent="0.35">
      <c r="A32" s="332" t="s">
        <v>592</v>
      </c>
      <c r="B32" s="332" t="s">
        <v>601</v>
      </c>
      <c r="C32" s="332" t="s">
        <v>573</v>
      </c>
      <c r="D32" s="332" t="s">
        <v>570</v>
      </c>
      <c r="E32">
        <v>3</v>
      </c>
      <c r="F32" s="334">
        <f>E32*1400</f>
        <v>4200</v>
      </c>
      <c r="G32" s="334">
        <v>5000</v>
      </c>
      <c r="H32" s="334">
        <v>2500</v>
      </c>
      <c r="I32" s="334">
        <f>250*8</f>
        <v>2000</v>
      </c>
      <c r="J32" s="334">
        <v>0</v>
      </c>
      <c r="K32" s="334">
        <f t="shared" si="0"/>
        <v>13700</v>
      </c>
    </row>
    <row r="33" spans="1:11" x14ac:dyDescent="0.35">
      <c r="A33" t="s">
        <v>602</v>
      </c>
      <c r="B33" t="s">
        <v>603</v>
      </c>
      <c r="C33" t="s">
        <v>584</v>
      </c>
      <c r="D33" t="s">
        <v>570</v>
      </c>
      <c r="E33">
        <v>1</v>
      </c>
      <c r="F33" s="334">
        <v>0</v>
      </c>
      <c r="G33" s="334">
        <v>1500</v>
      </c>
      <c r="H33" s="334">
        <v>0</v>
      </c>
      <c r="I33" s="334">
        <v>1500</v>
      </c>
      <c r="J33" s="334">
        <v>0</v>
      </c>
      <c r="K33" s="334">
        <f t="shared" si="0"/>
        <v>3000</v>
      </c>
    </row>
    <row r="34" spans="1:11" x14ac:dyDescent="0.35">
      <c r="A34" s="332" t="s">
        <v>576</v>
      </c>
      <c r="B34" s="332" t="s">
        <v>583</v>
      </c>
      <c r="C34" s="332" t="s">
        <v>584</v>
      </c>
      <c r="D34" s="333" t="s">
        <v>585</v>
      </c>
      <c r="E34">
        <v>1</v>
      </c>
      <c r="F34" s="334">
        <v>0</v>
      </c>
      <c r="G34" s="334">
        <v>1500</v>
      </c>
      <c r="H34" s="334">
        <v>0</v>
      </c>
      <c r="I34" s="334">
        <v>1500</v>
      </c>
      <c r="J34" s="334">
        <v>0</v>
      </c>
      <c r="K34" s="334">
        <f t="shared" si="0"/>
        <v>3000</v>
      </c>
    </row>
    <row r="35" spans="1:11" x14ac:dyDescent="0.35">
      <c r="A35" s="332" t="s">
        <v>586</v>
      </c>
      <c r="B35" s="332" t="s">
        <v>588</v>
      </c>
      <c r="C35" s="332" t="s">
        <v>584</v>
      </c>
      <c r="D35" s="336" t="s">
        <v>585</v>
      </c>
      <c r="E35">
        <v>1</v>
      </c>
      <c r="F35" s="334">
        <v>0</v>
      </c>
      <c r="G35" s="334">
        <v>1500</v>
      </c>
      <c r="H35" s="334">
        <v>0</v>
      </c>
      <c r="I35" s="334">
        <v>1500</v>
      </c>
      <c r="J35" s="334">
        <v>0</v>
      </c>
      <c r="K35" s="334">
        <f t="shared" si="0"/>
        <v>3000</v>
      </c>
    </row>
    <row r="36" spans="1:11" x14ac:dyDescent="0.35">
      <c r="A36" s="332" t="s">
        <v>564</v>
      </c>
      <c r="B36" s="332" t="s">
        <v>565</v>
      </c>
      <c r="C36" s="332" t="s">
        <v>571</v>
      </c>
      <c r="D36" s="333" t="s">
        <v>572</v>
      </c>
      <c r="E36">
        <v>2</v>
      </c>
      <c r="F36" s="334">
        <v>1400</v>
      </c>
      <c r="G36" s="334">
        <v>5000</v>
      </c>
      <c r="H36" s="334">
        <v>2000</v>
      </c>
      <c r="I36" s="334">
        <v>1500</v>
      </c>
      <c r="J36" s="334">
        <v>0</v>
      </c>
      <c r="K36" s="334">
        <f t="shared" si="0"/>
        <v>9900</v>
      </c>
    </row>
    <row r="37" spans="1:11" x14ac:dyDescent="0.35">
      <c r="A37" s="332" t="s">
        <v>564</v>
      </c>
      <c r="B37" s="332" t="s">
        <v>565</v>
      </c>
      <c r="C37" s="332" t="s">
        <v>573</v>
      </c>
      <c r="D37" s="333" t="s">
        <v>574</v>
      </c>
      <c r="E37">
        <v>2</v>
      </c>
      <c r="F37" s="334">
        <v>1400</v>
      </c>
      <c r="G37" s="334">
        <v>5000</v>
      </c>
      <c r="H37" s="334">
        <v>2500</v>
      </c>
      <c r="I37" s="334">
        <f>250*8</f>
        <v>2000</v>
      </c>
      <c r="J37" s="334">
        <v>0</v>
      </c>
      <c r="K37" s="334">
        <f t="shared" si="0"/>
        <v>10900</v>
      </c>
    </row>
    <row r="38" spans="1:11" x14ac:dyDescent="0.35">
      <c r="A38" s="332" t="s">
        <v>564</v>
      </c>
      <c r="B38" s="332" t="s">
        <v>565</v>
      </c>
      <c r="C38" s="332" t="s">
        <v>575</v>
      </c>
      <c r="D38" s="333" t="s">
        <v>574</v>
      </c>
      <c r="E38">
        <v>2</v>
      </c>
      <c r="F38" s="334">
        <v>0</v>
      </c>
      <c r="G38" s="334">
        <v>1500</v>
      </c>
      <c r="H38" s="334">
        <v>1500</v>
      </c>
      <c r="I38" s="334">
        <v>3000</v>
      </c>
      <c r="J38" s="334">
        <v>0</v>
      </c>
      <c r="K38" s="334">
        <f t="shared" si="0"/>
        <v>6000</v>
      </c>
    </row>
    <row r="39" spans="1:11" x14ac:dyDescent="0.35">
      <c r="A39" s="332" t="s">
        <v>592</v>
      </c>
      <c r="B39" s="332" t="s">
        <v>601</v>
      </c>
      <c r="C39" s="332" t="s">
        <v>573</v>
      </c>
      <c r="D39" s="332" t="s">
        <v>15</v>
      </c>
      <c r="E39">
        <v>3</v>
      </c>
      <c r="F39" s="334">
        <f>E39*1400</f>
        <v>4200</v>
      </c>
      <c r="G39" s="334">
        <v>5000</v>
      </c>
      <c r="H39" s="334">
        <v>2500</v>
      </c>
      <c r="I39" s="334">
        <f>250*8</f>
        <v>2000</v>
      </c>
      <c r="J39" s="334">
        <v>0</v>
      </c>
      <c r="K39" s="334">
        <f t="shared" si="0"/>
        <v>13700</v>
      </c>
    </row>
    <row r="40" spans="1:11" x14ac:dyDescent="0.35">
      <c r="K40" s="337">
        <f>SUBTOTAL(9,K2:K39)</f>
        <v>195700</v>
      </c>
    </row>
  </sheetData>
  <autoFilter ref="A1:K39" xr:uid="{D3FF42EA-E6E0-497D-B6C3-94DA68C5E406}"/>
  <sortState xmlns:xlrd2="http://schemas.microsoft.com/office/spreadsheetml/2017/richdata2" ref="A2:K40">
    <sortCondition ref="D34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35E0-8857-4F75-8CEB-5168F2475990}">
  <dimension ref="A1:AH227"/>
  <sheetViews>
    <sheetView showGridLines="0" zoomScale="80" zoomScaleNormal="80" workbookViewId="0">
      <pane xSplit="3" ySplit="4" topLeftCell="D190" activePane="bottomRight" state="frozen"/>
      <selection activeCell="O30" sqref="O30"/>
      <selection pane="topRight" activeCell="O30" sqref="O30"/>
      <selection pane="bottomLeft" activeCell="O30" sqref="O30"/>
      <selection pane="bottomRight" activeCell="A227" sqref="A227"/>
    </sheetView>
  </sheetViews>
  <sheetFormatPr baseColWidth="10" defaultColWidth="9.1796875" defaultRowHeight="14.5" outlineLevelRow="1" outlineLevelCol="1" x14ac:dyDescent="0.35"/>
  <cols>
    <col min="1" max="1" width="9.1796875" style="45"/>
    <col min="2" max="2" width="19.81640625" style="91" bestFit="1" customWidth="1"/>
    <col min="3" max="3" width="43.54296875" style="45" customWidth="1" collapsed="1"/>
    <col min="4" max="8" width="15.453125" style="45" customWidth="1" outlineLevel="1"/>
    <col min="9" max="12" width="18.1796875" style="45" customWidth="1" outlineLevel="1"/>
    <col min="13" max="15" width="15.453125" style="45" customWidth="1" outlineLevel="1"/>
    <col min="16" max="16" width="15.453125" style="45" customWidth="1"/>
    <col min="17" max="17" width="10" style="45" customWidth="1"/>
    <col min="18" max="18" width="12.7265625" style="135" customWidth="1"/>
    <col min="19" max="19" width="10.81640625" style="45" bestFit="1" customWidth="1"/>
    <col min="20" max="21" width="12" style="45" bestFit="1" customWidth="1"/>
    <col min="22" max="22" width="11.26953125" style="45" bestFit="1" customWidth="1"/>
    <col min="23" max="23" width="17.7265625" style="45" customWidth="1"/>
    <col min="24" max="24" width="11" style="45" bestFit="1" customWidth="1"/>
    <col min="25" max="25" width="20.453125" style="45" bestFit="1" customWidth="1"/>
    <col min="26" max="27" width="9.1796875" style="45"/>
    <col min="28" max="28" width="10" style="45" bestFit="1" customWidth="1"/>
    <col min="29" max="16384" width="9.1796875" style="45"/>
  </cols>
  <sheetData>
    <row r="1" spans="1:25" s="1" customFormat="1" ht="13.5" thickBot="1" x14ac:dyDescent="0.35">
      <c r="B1" s="2"/>
      <c r="C1" s="3" t="s">
        <v>0</v>
      </c>
      <c r="D1" s="4" t="s">
        <v>1</v>
      </c>
      <c r="E1" s="5" t="s">
        <v>2</v>
      </c>
      <c r="F1" s="6" t="s">
        <v>3</v>
      </c>
      <c r="G1" s="6"/>
      <c r="H1" s="7"/>
      <c r="I1" s="8"/>
      <c r="R1" s="9"/>
      <c r="V1" s="10">
        <v>3.6799999999999999E-2</v>
      </c>
      <c r="W1" s="11" t="s">
        <v>4</v>
      </c>
      <c r="X1" s="11"/>
      <c r="Y1" s="11"/>
    </row>
    <row r="2" spans="1:25" s="12" customFormat="1" ht="7.5" customHeight="1" x14ac:dyDescent="0.2">
      <c r="C2" s="13"/>
      <c r="D2" s="14">
        <v>0</v>
      </c>
      <c r="E2" s="15">
        <f>+D2+1</f>
        <v>1</v>
      </c>
      <c r="F2" s="15">
        <f t="shared" ref="F2:P2" si="0">+E2+1</f>
        <v>2</v>
      </c>
      <c r="G2" s="15">
        <f t="shared" si="0"/>
        <v>3</v>
      </c>
      <c r="H2" s="16">
        <f t="shared" si="0"/>
        <v>4</v>
      </c>
      <c r="I2" s="17">
        <f t="shared" si="0"/>
        <v>5</v>
      </c>
      <c r="J2" s="17">
        <f t="shared" si="0"/>
        <v>6</v>
      </c>
      <c r="K2" s="17">
        <f t="shared" si="0"/>
        <v>7</v>
      </c>
      <c r="L2" s="17">
        <f t="shared" si="0"/>
        <v>8</v>
      </c>
      <c r="M2" s="17">
        <f t="shared" si="0"/>
        <v>9</v>
      </c>
      <c r="N2" s="17">
        <f t="shared" si="0"/>
        <v>10</v>
      </c>
      <c r="O2" s="17">
        <f t="shared" si="0"/>
        <v>11</v>
      </c>
      <c r="P2" s="18">
        <f t="shared" si="0"/>
        <v>12</v>
      </c>
      <c r="R2" s="19"/>
      <c r="T2" s="20"/>
    </row>
    <row r="3" spans="1:25" s="1" customFormat="1" ht="13" x14ac:dyDescent="0.3">
      <c r="B3" s="2"/>
      <c r="C3" s="21" t="s">
        <v>5</v>
      </c>
      <c r="D3" s="22" t="s">
        <v>6</v>
      </c>
      <c r="E3" s="23" t="s">
        <v>7</v>
      </c>
      <c r="F3" s="22" t="s">
        <v>8</v>
      </c>
      <c r="G3" s="23" t="s">
        <v>9</v>
      </c>
      <c r="H3" s="22" t="s">
        <v>10</v>
      </c>
      <c r="I3" s="23" t="s">
        <v>11</v>
      </c>
      <c r="J3" s="22" t="s">
        <v>12</v>
      </c>
      <c r="K3" s="23" t="s">
        <v>13</v>
      </c>
      <c r="L3" s="22" t="s">
        <v>14</v>
      </c>
      <c r="M3" s="23" t="s">
        <v>15</v>
      </c>
      <c r="N3" s="22" t="s">
        <v>16</v>
      </c>
      <c r="O3" s="23" t="s">
        <v>17</v>
      </c>
      <c r="P3" s="24" t="s">
        <v>18</v>
      </c>
      <c r="R3" s="25" t="s">
        <v>19</v>
      </c>
      <c r="T3" s="24"/>
      <c r="U3" s="27" t="s">
        <v>251</v>
      </c>
    </row>
    <row r="4" spans="1:25" s="1" customFormat="1" ht="13" x14ac:dyDescent="0.3">
      <c r="B4" s="2"/>
      <c r="C4" s="168" t="s">
        <v>20</v>
      </c>
      <c r="D4" s="27" t="s">
        <v>21</v>
      </c>
      <c r="E4" s="27" t="s">
        <v>21</v>
      </c>
      <c r="F4" s="27" t="s">
        <v>21</v>
      </c>
      <c r="G4" s="27" t="s">
        <v>21</v>
      </c>
      <c r="H4" s="27" t="s">
        <v>21</v>
      </c>
      <c r="I4" s="27" t="s">
        <v>21</v>
      </c>
      <c r="J4" s="27" t="s">
        <v>21</v>
      </c>
      <c r="K4" s="27" t="s">
        <v>21</v>
      </c>
      <c r="L4" s="27" t="s">
        <v>21</v>
      </c>
      <c r="M4" s="27" t="s">
        <v>21</v>
      </c>
      <c r="N4" s="27" t="s">
        <v>21</v>
      </c>
      <c r="O4" s="27" t="s">
        <v>21</v>
      </c>
      <c r="P4" s="27" t="s">
        <v>21</v>
      </c>
      <c r="Q4" s="28"/>
      <c r="R4" s="29" t="s">
        <v>22</v>
      </c>
      <c r="T4" s="30"/>
      <c r="U4" s="169"/>
    </row>
    <row r="5" spans="1:25" s="1" customFormat="1" ht="5.25" customHeight="1" x14ac:dyDescent="0.3">
      <c r="B5" s="2"/>
      <c r="C5" s="31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8"/>
      <c r="R5" s="32"/>
      <c r="T5" s="23"/>
      <c r="U5" s="23"/>
    </row>
    <row r="6" spans="1:25" s="1" customFormat="1" ht="13.5" thickBot="1" x14ac:dyDescent="0.35">
      <c r="A6" s="33" t="s">
        <v>23</v>
      </c>
      <c r="B6" s="34" t="s">
        <v>24</v>
      </c>
      <c r="C6" s="35" t="s">
        <v>25</v>
      </c>
      <c r="D6" s="35">
        <f>$D$227</f>
        <v>6</v>
      </c>
      <c r="E6" s="35">
        <f t="shared" ref="E6:O6" si="1">$D$227</f>
        <v>6</v>
      </c>
      <c r="F6" s="35">
        <f t="shared" si="1"/>
        <v>6</v>
      </c>
      <c r="G6" s="35">
        <f t="shared" si="1"/>
        <v>6</v>
      </c>
      <c r="H6" s="35">
        <f t="shared" si="1"/>
        <v>6</v>
      </c>
      <c r="I6" s="35">
        <f t="shared" si="1"/>
        <v>6</v>
      </c>
      <c r="J6" s="35">
        <f t="shared" si="1"/>
        <v>6</v>
      </c>
      <c r="K6" s="35">
        <f t="shared" si="1"/>
        <v>6</v>
      </c>
      <c r="L6" s="35">
        <f t="shared" si="1"/>
        <v>6</v>
      </c>
      <c r="M6" s="35">
        <f t="shared" si="1"/>
        <v>6</v>
      </c>
      <c r="N6" s="35">
        <f t="shared" si="1"/>
        <v>6</v>
      </c>
      <c r="O6" s="35">
        <f t="shared" si="1"/>
        <v>6</v>
      </c>
      <c r="P6" s="36">
        <f>+O6</f>
        <v>6</v>
      </c>
      <c r="R6" s="37"/>
      <c r="T6" s="38"/>
      <c r="U6" s="38"/>
    </row>
    <row r="7" spans="1:25" s="1" customFormat="1" ht="5.25" customHeight="1" x14ac:dyDescent="0.3">
      <c r="B7" s="2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R7" s="40"/>
      <c r="T7" s="39"/>
      <c r="U7" s="39"/>
    </row>
    <row r="8" spans="1:25" x14ac:dyDescent="0.35">
      <c r="A8" s="41"/>
      <c r="B8" s="41"/>
      <c r="C8" s="38" t="s">
        <v>26</v>
      </c>
      <c r="D8" s="42">
        <v>59999.798999999999</v>
      </c>
      <c r="E8" s="42">
        <v>59999.798999999999</v>
      </c>
      <c r="F8" s="42">
        <v>61999.8</v>
      </c>
      <c r="G8" s="42">
        <f t="shared" ref="G8:O8" si="2">+$F$227</f>
        <v>102499.799</v>
      </c>
      <c r="H8" s="42">
        <f t="shared" si="2"/>
        <v>102499.799</v>
      </c>
      <c r="I8" s="42">
        <f t="shared" si="2"/>
        <v>102499.799</v>
      </c>
      <c r="J8" s="42">
        <f t="shared" si="2"/>
        <v>102499.799</v>
      </c>
      <c r="K8" s="42">
        <f t="shared" si="2"/>
        <v>102499.799</v>
      </c>
      <c r="L8" s="42">
        <f t="shared" si="2"/>
        <v>102499.799</v>
      </c>
      <c r="M8" s="42">
        <f t="shared" si="2"/>
        <v>102499.799</v>
      </c>
      <c r="N8" s="42">
        <f t="shared" si="2"/>
        <v>102499.799</v>
      </c>
      <c r="O8" s="42">
        <f t="shared" si="2"/>
        <v>102499.799</v>
      </c>
      <c r="P8" s="43">
        <f>+SUM(D8:O8)</f>
        <v>1104497.5890000002</v>
      </c>
      <c r="Q8" s="44"/>
      <c r="R8" s="37">
        <f>+IF(P8=0,0,P8/$P$184)</f>
        <v>0.92140018714016525</v>
      </c>
      <c r="T8" s="46"/>
      <c r="U8" s="46"/>
    </row>
    <row r="9" spans="1:25" x14ac:dyDescent="0.35">
      <c r="A9" s="47"/>
      <c r="B9" s="48"/>
      <c r="C9" s="38" t="s">
        <v>27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39"/>
      <c r="Q9" s="44"/>
      <c r="R9" s="40"/>
      <c r="T9" s="44"/>
      <c r="U9" s="44"/>
    </row>
    <row r="10" spans="1:25" hidden="1" outlineLevel="1" x14ac:dyDescent="0.35">
      <c r="A10" s="41"/>
      <c r="B10" s="41"/>
      <c r="C10" s="49" t="s">
        <v>28</v>
      </c>
      <c r="D10" s="50">
        <f>+$S$227</f>
        <v>0</v>
      </c>
      <c r="E10" s="51">
        <f>+$S$227</f>
        <v>0</v>
      </c>
      <c r="F10" s="51">
        <f>+$S$227</f>
        <v>0</v>
      </c>
      <c r="G10" s="51">
        <f t="shared" ref="G10:O10" si="3">+$S$227*(IPC+1)</f>
        <v>0</v>
      </c>
      <c r="H10" s="51">
        <f t="shared" si="3"/>
        <v>0</v>
      </c>
      <c r="I10" s="51">
        <f t="shared" si="3"/>
        <v>0</v>
      </c>
      <c r="J10" s="51">
        <f t="shared" si="3"/>
        <v>0</v>
      </c>
      <c r="K10" s="51">
        <f t="shared" si="3"/>
        <v>0</v>
      </c>
      <c r="L10" s="51">
        <f t="shared" si="3"/>
        <v>0</v>
      </c>
      <c r="M10" s="51">
        <f t="shared" si="3"/>
        <v>0</v>
      </c>
      <c r="N10" s="51">
        <f t="shared" si="3"/>
        <v>0</v>
      </c>
      <c r="O10" s="51">
        <f t="shared" si="3"/>
        <v>0</v>
      </c>
      <c r="P10" s="52">
        <f t="shared" ref="P10:P30" si="4">+SUM(D10:O10)</f>
        <v>0</v>
      </c>
      <c r="Q10" s="44"/>
      <c r="R10" s="53">
        <f t="shared" ref="R10:R28" si="5">+IF(P10=0,0,P10/$P$184)</f>
        <v>0</v>
      </c>
      <c r="T10" s="54"/>
      <c r="U10" s="54"/>
    </row>
    <row r="11" spans="1:25" hidden="1" outlineLevel="1" x14ac:dyDescent="0.35">
      <c r="A11" s="41"/>
      <c r="B11" s="41"/>
      <c r="C11" s="55" t="s">
        <v>29</v>
      </c>
      <c r="D11" s="56">
        <f>+$O$227</f>
        <v>4270.8249583333327</v>
      </c>
      <c r="E11" s="57">
        <f>+$O$227</f>
        <v>4270.8249583333327</v>
      </c>
      <c r="F11" s="57">
        <f>+$O$227</f>
        <v>4270.8249583333327</v>
      </c>
      <c r="G11" s="57">
        <f t="shared" ref="G11:O11" si="6">+$O$227*(IPC+1)</f>
        <v>4427.9913167999994</v>
      </c>
      <c r="H11" s="57">
        <f t="shared" si="6"/>
        <v>4427.9913167999994</v>
      </c>
      <c r="I11" s="57">
        <f t="shared" si="6"/>
        <v>4427.9913167999994</v>
      </c>
      <c r="J11" s="57">
        <f t="shared" si="6"/>
        <v>4427.9913167999994</v>
      </c>
      <c r="K11" s="57">
        <f t="shared" si="6"/>
        <v>4427.9913167999994</v>
      </c>
      <c r="L11" s="57">
        <f t="shared" si="6"/>
        <v>4427.9913167999994</v>
      </c>
      <c r="M11" s="57">
        <f t="shared" si="6"/>
        <v>4427.9913167999994</v>
      </c>
      <c r="N11" s="57">
        <f t="shared" si="6"/>
        <v>4427.9913167999994</v>
      </c>
      <c r="O11" s="57">
        <f t="shared" si="6"/>
        <v>4427.9913167999994</v>
      </c>
      <c r="P11" s="58">
        <f t="shared" si="4"/>
        <v>52664.396726199986</v>
      </c>
      <c r="Q11" s="59"/>
      <c r="R11" s="60">
        <f t="shared" si="5"/>
        <v>4.3933989066538892E-2</v>
      </c>
      <c r="T11" s="61"/>
      <c r="U11" s="61"/>
    </row>
    <row r="12" spans="1:25" hidden="1" outlineLevel="1" x14ac:dyDescent="0.35">
      <c r="A12" s="41"/>
      <c r="B12" s="41"/>
      <c r="C12" s="55" t="s">
        <v>30</v>
      </c>
      <c r="D12" s="56">
        <v>0</v>
      </c>
      <c r="E12" s="57">
        <v>0</v>
      </c>
      <c r="F12" s="57">
        <v>0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7">
        <v>0</v>
      </c>
      <c r="N12" s="57">
        <v>0</v>
      </c>
      <c r="O12" s="57">
        <v>0</v>
      </c>
      <c r="P12" s="58">
        <f t="shared" si="4"/>
        <v>0</v>
      </c>
      <c r="Q12" s="59"/>
      <c r="R12" s="60">
        <f t="shared" si="5"/>
        <v>0</v>
      </c>
      <c r="T12" s="61"/>
      <c r="U12" s="61"/>
    </row>
    <row r="13" spans="1:25" hidden="1" outlineLevel="1" x14ac:dyDescent="0.35">
      <c r="A13" s="41"/>
      <c r="B13" s="41"/>
      <c r="C13" s="55" t="s">
        <v>31</v>
      </c>
      <c r="D13" s="56">
        <f>+$Q$227</f>
        <v>0</v>
      </c>
      <c r="E13" s="57">
        <f>+$Q$227</f>
        <v>0</v>
      </c>
      <c r="F13" s="57">
        <f>+$Q$227</f>
        <v>0</v>
      </c>
      <c r="G13" s="57">
        <f t="shared" ref="G13:O13" si="7">+$Q$227*(IPC+1)</f>
        <v>0</v>
      </c>
      <c r="H13" s="57">
        <f t="shared" si="7"/>
        <v>0</v>
      </c>
      <c r="I13" s="57">
        <f t="shared" si="7"/>
        <v>0</v>
      </c>
      <c r="J13" s="57">
        <f t="shared" si="7"/>
        <v>0</v>
      </c>
      <c r="K13" s="57">
        <f t="shared" si="7"/>
        <v>0</v>
      </c>
      <c r="L13" s="57">
        <f t="shared" si="7"/>
        <v>0</v>
      </c>
      <c r="M13" s="57">
        <f t="shared" si="7"/>
        <v>0</v>
      </c>
      <c r="N13" s="57">
        <f t="shared" si="7"/>
        <v>0</v>
      </c>
      <c r="O13" s="57">
        <f t="shared" si="7"/>
        <v>0</v>
      </c>
      <c r="P13" s="58">
        <f t="shared" si="4"/>
        <v>0</v>
      </c>
      <c r="Q13" s="44"/>
      <c r="R13" s="60">
        <f t="shared" si="5"/>
        <v>0</v>
      </c>
      <c r="T13" s="62"/>
      <c r="U13" s="62"/>
    </row>
    <row r="14" spans="1:25" hidden="1" outlineLevel="1" x14ac:dyDescent="0.35">
      <c r="A14" s="41"/>
      <c r="B14" s="41"/>
      <c r="C14" s="63" t="s">
        <v>32</v>
      </c>
      <c r="D14" s="56">
        <f>+$L$227</f>
        <v>0</v>
      </c>
      <c r="E14" s="57">
        <f>+$L$227</f>
        <v>0</v>
      </c>
      <c r="F14" s="57">
        <f>+$L$227</f>
        <v>0</v>
      </c>
      <c r="G14" s="57">
        <f t="shared" ref="G14:O14" si="8">+$L$227*(IPC+1)</f>
        <v>0</v>
      </c>
      <c r="H14" s="57">
        <f t="shared" si="8"/>
        <v>0</v>
      </c>
      <c r="I14" s="57">
        <f t="shared" si="8"/>
        <v>0</v>
      </c>
      <c r="J14" s="57">
        <f t="shared" si="8"/>
        <v>0</v>
      </c>
      <c r="K14" s="57">
        <f t="shared" si="8"/>
        <v>0</v>
      </c>
      <c r="L14" s="57">
        <f t="shared" si="8"/>
        <v>0</v>
      </c>
      <c r="M14" s="57">
        <f t="shared" si="8"/>
        <v>0</v>
      </c>
      <c r="N14" s="57">
        <f t="shared" si="8"/>
        <v>0</v>
      </c>
      <c r="O14" s="57">
        <f t="shared" si="8"/>
        <v>0</v>
      </c>
      <c r="P14" s="58">
        <f t="shared" si="4"/>
        <v>0</v>
      </c>
      <c r="Q14" s="44"/>
      <c r="R14" s="60">
        <f t="shared" si="5"/>
        <v>0</v>
      </c>
      <c r="T14" s="62"/>
      <c r="U14" s="62"/>
    </row>
    <row r="15" spans="1:25" hidden="1" outlineLevel="1" x14ac:dyDescent="0.35">
      <c r="A15" s="41"/>
      <c r="B15" s="41"/>
      <c r="C15" s="63" t="s">
        <v>33</v>
      </c>
      <c r="D15" s="56">
        <f>+$I$227</f>
        <v>0</v>
      </c>
      <c r="E15" s="57">
        <f>+$I$227</f>
        <v>0</v>
      </c>
      <c r="F15" s="57">
        <f>+$I$227</f>
        <v>0</v>
      </c>
      <c r="G15" s="57">
        <f t="shared" ref="G15:O15" si="9">+$I$227*(IPC+1)</f>
        <v>0</v>
      </c>
      <c r="H15" s="57">
        <f t="shared" si="9"/>
        <v>0</v>
      </c>
      <c r="I15" s="57">
        <f t="shared" si="9"/>
        <v>0</v>
      </c>
      <c r="J15" s="57">
        <f t="shared" si="9"/>
        <v>0</v>
      </c>
      <c r="K15" s="57">
        <f t="shared" si="9"/>
        <v>0</v>
      </c>
      <c r="L15" s="57">
        <f t="shared" si="9"/>
        <v>0</v>
      </c>
      <c r="M15" s="57">
        <f t="shared" si="9"/>
        <v>0</v>
      </c>
      <c r="N15" s="57">
        <f t="shared" si="9"/>
        <v>0</v>
      </c>
      <c r="O15" s="57">
        <f t="shared" si="9"/>
        <v>0</v>
      </c>
      <c r="P15" s="58">
        <f t="shared" si="4"/>
        <v>0</v>
      </c>
      <c r="Q15" s="44"/>
      <c r="R15" s="60">
        <f t="shared" si="5"/>
        <v>0</v>
      </c>
      <c r="T15" s="62"/>
      <c r="U15" s="62"/>
    </row>
    <row r="16" spans="1:25" hidden="1" outlineLevel="1" x14ac:dyDescent="0.35">
      <c r="A16" s="41"/>
      <c r="B16" s="41"/>
      <c r="C16" s="64" t="s">
        <v>34</v>
      </c>
      <c r="D16" s="57">
        <v>0</v>
      </c>
      <c r="E16" s="57"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8">
        <f t="shared" si="4"/>
        <v>0</v>
      </c>
      <c r="Q16" s="44"/>
      <c r="R16" s="60">
        <f t="shared" si="5"/>
        <v>0</v>
      </c>
      <c r="T16" s="62"/>
      <c r="U16" s="62"/>
    </row>
    <row r="17" spans="1:23" hidden="1" outlineLevel="1" x14ac:dyDescent="0.35">
      <c r="A17" s="41"/>
      <c r="B17" s="41"/>
      <c r="C17" s="64" t="s">
        <v>35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8">
        <f t="shared" si="4"/>
        <v>0</v>
      </c>
      <c r="Q17" s="44"/>
      <c r="R17" s="60">
        <f t="shared" si="5"/>
        <v>0</v>
      </c>
      <c r="T17" s="62"/>
      <c r="U17" s="62"/>
    </row>
    <row r="18" spans="1:23" hidden="1" outlineLevel="1" x14ac:dyDescent="0.35">
      <c r="A18" s="41"/>
      <c r="B18" s="41"/>
      <c r="C18" s="64" t="s">
        <v>36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8">
        <f t="shared" si="4"/>
        <v>0</v>
      </c>
      <c r="Q18" s="44"/>
      <c r="R18" s="60">
        <f t="shared" si="5"/>
        <v>0</v>
      </c>
      <c r="T18" s="62"/>
      <c r="U18" s="62"/>
    </row>
    <row r="19" spans="1:23" hidden="1" outlineLevel="1" x14ac:dyDescent="0.35">
      <c r="A19" s="41"/>
      <c r="B19" s="41"/>
      <c r="C19" s="55" t="s">
        <v>37</v>
      </c>
      <c r="D19" s="56">
        <f>+$R$227</f>
        <v>1043.0536013888889</v>
      </c>
      <c r="E19" s="57">
        <f t="shared" ref="E19:O19" si="10">+$R$227</f>
        <v>1043.0536013888889</v>
      </c>
      <c r="F19" s="57">
        <f t="shared" si="10"/>
        <v>1043.0536013888889</v>
      </c>
      <c r="G19" s="57">
        <f t="shared" si="10"/>
        <v>1043.0536013888889</v>
      </c>
      <c r="H19" s="57">
        <f t="shared" si="10"/>
        <v>1043.0536013888889</v>
      </c>
      <c r="I19" s="57">
        <f t="shared" si="10"/>
        <v>1043.0536013888889</v>
      </c>
      <c r="J19" s="57">
        <f t="shared" si="10"/>
        <v>1043.0536013888889</v>
      </c>
      <c r="K19" s="57">
        <f t="shared" si="10"/>
        <v>1043.0536013888889</v>
      </c>
      <c r="L19" s="57">
        <f t="shared" si="10"/>
        <v>1043.0536013888889</v>
      </c>
      <c r="M19" s="57">
        <f t="shared" si="10"/>
        <v>1043.0536013888889</v>
      </c>
      <c r="N19" s="57">
        <f t="shared" si="10"/>
        <v>1043.0536013888889</v>
      </c>
      <c r="O19" s="57">
        <f t="shared" si="10"/>
        <v>1043.0536013888889</v>
      </c>
      <c r="P19" s="58">
        <f t="shared" si="4"/>
        <v>12516.643216666665</v>
      </c>
      <c r="Q19" s="44"/>
      <c r="R19" s="60">
        <f t="shared" si="5"/>
        <v>1.0441704460980352E-2</v>
      </c>
      <c r="T19" s="61"/>
      <c r="U19" s="61"/>
      <c r="W19" s="45">
        <f>+O19*(IPC+1)</f>
        <v>1081.4379739199999</v>
      </c>
    </row>
    <row r="20" spans="1:23" hidden="1" outlineLevel="1" x14ac:dyDescent="0.35">
      <c r="A20" s="41"/>
      <c r="B20" s="41"/>
      <c r="C20" s="63" t="s">
        <v>38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8">
        <f t="shared" si="4"/>
        <v>0</v>
      </c>
      <c r="Q20" s="44"/>
      <c r="R20" s="60">
        <f t="shared" si="5"/>
        <v>0</v>
      </c>
      <c r="T20" s="61"/>
      <c r="U20" s="61"/>
    </row>
    <row r="21" spans="1:23" hidden="1" outlineLevel="1" x14ac:dyDescent="0.35">
      <c r="A21" s="41"/>
      <c r="B21" s="41"/>
      <c r="C21" s="63" t="s">
        <v>39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8">
        <f t="shared" si="4"/>
        <v>0</v>
      </c>
      <c r="Q21" s="44"/>
      <c r="R21" s="60">
        <f t="shared" si="5"/>
        <v>0</v>
      </c>
      <c r="T21" s="61"/>
      <c r="U21" s="61"/>
    </row>
    <row r="22" spans="1:23" hidden="1" outlineLevel="1" x14ac:dyDescent="0.35">
      <c r="A22" s="41"/>
      <c r="B22" s="41"/>
      <c r="C22" s="55" t="s">
        <v>40</v>
      </c>
      <c r="D22" s="56">
        <f t="shared" ref="D22:O22" si="11">+$P$227</f>
        <v>0</v>
      </c>
      <c r="E22" s="57">
        <f t="shared" si="11"/>
        <v>0</v>
      </c>
      <c r="F22" s="57">
        <f t="shared" si="11"/>
        <v>0</v>
      </c>
      <c r="G22" s="57">
        <f t="shared" si="11"/>
        <v>0</v>
      </c>
      <c r="H22" s="57">
        <f t="shared" si="11"/>
        <v>0</v>
      </c>
      <c r="I22" s="57">
        <f t="shared" si="11"/>
        <v>0</v>
      </c>
      <c r="J22" s="57">
        <f t="shared" si="11"/>
        <v>0</v>
      </c>
      <c r="K22" s="57">
        <f t="shared" si="11"/>
        <v>0</v>
      </c>
      <c r="L22" s="57">
        <f t="shared" si="11"/>
        <v>0</v>
      </c>
      <c r="M22" s="57">
        <f t="shared" si="11"/>
        <v>0</v>
      </c>
      <c r="N22" s="57">
        <f t="shared" si="11"/>
        <v>0</v>
      </c>
      <c r="O22" s="57">
        <f t="shared" si="11"/>
        <v>0</v>
      </c>
      <c r="P22" s="58">
        <f t="shared" si="4"/>
        <v>0</v>
      </c>
      <c r="Q22" s="44"/>
      <c r="R22" s="60">
        <f t="shared" si="5"/>
        <v>0</v>
      </c>
      <c r="T22" s="61"/>
      <c r="U22" s="61"/>
    </row>
    <row r="23" spans="1:23" hidden="1" outlineLevel="1" x14ac:dyDescent="0.35">
      <c r="A23" s="41"/>
      <c r="B23" s="41"/>
      <c r="C23" s="63" t="s">
        <v>41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8">
        <f t="shared" si="4"/>
        <v>0</v>
      </c>
      <c r="Q23" s="44"/>
      <c r="R23" s="60">
        <f t="shared" si="5"/>
        <v>0</v>
      </c>
      <c r="T23" s="62"/>
      <c r="U23" s="62"/>
    </row>
    <row r="24" spans="1:23" hidden="1" outlineLevel="1" x14ac:dyDescent="0.35">
      <c r="A24" s="41"/>
      <c r="B24" s="41"/>
      <c r="C24" s="63" t="s">
        <v>42</v>
      </c>
      <c r="D24" s="56">
        <f>+$J$227</f>
        <v>0</v>
      </c>
      <c r="E24" s="57">
        <f>+$J$227</f>
        <v>0</v>
      </c>
      <c r="F24" s="57">
        <f>+$J$227</f>
        <v>0</v>
      </c>
      <c r="G24" s="57">
        <f t="shared" ref="G24:O24" si="12">+$J$227*(IPC+1)</f>
        <v>0</v>
      </c>
      <c r="H24" s="57">
        <f t="shared" si="12"/>
        <v>0</v>
      </c>
      <c r="I24" s="57">
        <f t="shared" si="12"/>
        <v>0</v>
      </c>
      <c r="J24" s="57">
        <f t="shared" si="12"/>
        <v>0</v>
      </c>
      <c r="K24" s="57">
        <f t="shared" si="12"/>
        <v>0</v>
      </c>
      <c r="L24" s="57">
        <f t="shared" si="12"/>
        <v>0</v>
      </c>
      <c r="M24" s="57">
        <f t="shared" si="12"/>
        <v>0</v>
      </c>
      <c r="N24" s="57">
        <f t="shared" si="12"/>
        <v>0</v>
      </c>
      <c r="O24" s="57">
        <f t="shared" si="12"/>
        <v>0</v>
      </c>
      <c r="P24" s="58">
        <f t="shared" si="4"/>
        <v>0</v>
      </c>
      <c r="Q24" s="44"/>
      <c r="R24" s="60">
        <f t="shared" si="5"/>
        <v>0</v>
      </c>
      <c r="T24" s="62"/>
      <c r="U24" s="62"/>
    </row>
    <row r="25" spans="1:23" hidden="1" outlineLevel="1" x14ac:dyDescent="0.35">
      <c r="A25" s="41"/>
      <c r="B25" s="41"/>
      <c r="C25" s="63" t="s">
        <v>43</v>
      </c>
      <c r="D25" s="56">
        <f>+$M$227</f>
        <v>0</v>
      </c>
      <c r="E25" s="57">
        <f>+$M$227</f>
        <v>0</v>
      </c>
      <c r="F25" s="57">
        <f>+$M$227</f>
        <v>0</v>
      </c>
      <c r="G25" s="57">
        <f t="shared" ref="G25:O25" si="13">+$M$227*(IPC+1)</f>
        <v>0</v>
      </c>
      <c r="H25" s="57">
        <f t="shared" si="13"/>
        <v>0</v>
      </c>
      <c r="I25" s="57">
        <f t="shared" si="13"/>
        <v>0</v>
      </c>
      <c r="J25" s="57">
        <f t="shared" si="13"/>
        <v>0</v>
      </c>
      <c r="K25" s="57">
        <f t="shared" si="13"/>
        <v>0</v>
      </c>
      <c r="L25" s="57">
        <f t="shared" si="13"/>
        <v>0</v>
      </c>
      <c r="M25" s="57">
        <f t="shared" si="13"/>
        <v>0</v>
      </c>
      <c r="N25" s="57">
        <f t="shared" si="13"/>
        <v>0</v>
      </c>
      <c r="O25" s="57">
        <f t="shared" si="13"/>
        <v>0</v>
      </c>
      <c r="P25" s="58">
        <f t="shared" si="4"/>
        <v>0</v>
      </c>
      <c r="Q25" s="44"/>
      <c r="R25" s="60">
        <f t="shared" si="5"/>
        <v>0</v>
      </c>
      <c r="T25" s="62"/>
      <c r="U25" s="62"/>
    </row>
    <row r="26" spans="1:23" hidden="1" outlineLevel="1" x14ac:dyDescent="0.35">
      <c r="A26" s="41"/>
      <c r="B26" s="41"/>
      <c r="C26" s="55" t="s">
        <v>44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8">
        <f t="shared" si="4"/>
        <v>0</v>
      </c>
      <c r="Q26" s="44"/>
      <c r="R26" s="60">
        <f t="shared" si="5"/>
        <v>0</v>
      </c>
      <c r="T26" s="62"/>
      <c r="U26" s="62"/>
    </row>
    <row r="27" spans="1:23" hidden="1" outlineLevel="1" x14ac:dyDescent="0.35">
      <c r="A27" s="41"/>
      <c r="B27" s="41"/>
      <c r="C27" s="63" t="s">
        <v>45</v>
      </c>
      <c r="D27" s="56">
        <f>+$K$227</f>
        <v>0</v>
      </c>
      <c r="E27" s="57">
        <f>+$K$227</f>
        <v>0</v>
      </c>
      <c r="F27" s="57">
        <f>+$K$227</f>
        <v>0</v>
      </c>
      <c r="G27" s="57">
        <f t="shared" ref="G27:O27" si="14">+$K$227*(IPC+1)</f>
        <v>0</v>
      </c>
      <c r="H27" s="57">
        <f t="shared" si="14"/>
        <v>0</v>
      </c>
      <c r="I27" s="57">
        <f t="shared" si="14"/>
        <v>0</v>
      </c>
      <c r="J27" s="57">
        <f t="shared" si="14"/>
        <v>0</v>
      </c>
      <c r="K27" s="57">
        <f t="shared" si="14"/>
        <v>0</v>
      </c>
      <c r="L27" s="57">
        <f t="shared" si="14"/>
        <v>0</v>
      </c>
      <c r="M27" s="57">
        <f t="shared" si="14"/>
        <v>0</v>
      </c>
      <c r="N27" s="57">
        <f t="shared" si="14"/>
        <v>0</v>
      </c>
      <c r="O27" s="57">
        <f t="shared" si="14"/>
        <v>0</v>
      </c>
      <c r="P27" s="58">
        <f t="shared" si="4"/>
        <v>0</v>
      </c>
      <c r="Q27" s="44"/>
      <c r="R27" s="60">
        <f t="shared" si="5"/>
        <v>0</v>
      </c>
      <c r="T27" s="62"/>
      <c r="U27" s="62"/>
    </row>
    <row r="28" spans="1:23" hidden="1" outlineLevel="1" x14ac:dyDescent="0.35">
      <c r="A28" s="41"/>
      <c r="B28" s="41"/>
      <c r="C28" s="63" t="s">
        <v>46</v>
      </c>
      <c r="D28" s="56">
        <f>+$H$227</f>
        <v>0</v>
      </c>
      <c r="E28" s="57">
        <f>+$H$227</f>
        <v>0</v>
      </c>
      <c r="F28" s="57">
        <f>+$H$227</f>
        <v>0</v>
      </c>
      <c r="G28" s="57">
        <f t="shared" ref="G28:O28" si="15">+$H$227*(IPC+1)</f>
        <v>0</v>
      </c>
      <c r="H28" s="57">
        <f t="shared" si="15"/>
        <v>0</v>
      </c>
      <c r="I28" s="57">
        <f t="shared" si="15"/>
        <v>0</v>
      </c>
      <c r="J28" s="57">
        <f t="shared" si="15"/>
        <v>0</v>
      </c>
      <c r="K28" s="57">
        <f t="shared" si="15"/>
        <v>0</v>
      </c>
      <c r="L28" s="57">
        <f t="shared" si="15"/>
        <v>0</v>
      </c>
      <c r="M28" s="57">
        <f t="shared" si="15"/>
        <v>0</v>
      </c>
      <c r="N28" s="57">
        <f t="shared" si="15"/>
        <v>0</v>
      </c>
      <c r="O28" s="57">
        <f t="shared" si="15"/>
        <v>0</v>
      </c>
      <c r="P28" s="58">
        <f t="shared" si="4"/>
        <v>0</v>
      </c>
      <c r="Q28" s="44"/>
      <c r="R28" s="65">
        <f t="shared" si="5"/>
        <v>0</v>
      </c>
      <c r="T28" s="61"/>
      <c r="U28" s="61"/>
    </row>
    <row r="29" spans="1:23" hidden="1" outlineLevel="1" x14ac:dyDescent="0.35">
      <c r="A29" s="41"/>
      <c r="B29" s="41"/>
      <c r="C29" s="63" t="s">
        <v>47</v>
      </c>
      <c r="D29" s="57">
        <v>0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7">
        <v>0</v>
      </c>
      <c r="K29" s="57">
        <v>0</v>
      </c>
      <c r="L29" s="57">
        <v>0</v>
      </c>
      <c r="M29" s="57">
        <v>0</v>
      </c>
      <c r="N29" s="57">
        <v>0</v>
      </c>
      <c r="O29" s="57">
        <v>0</v>
      </c>
      <c r="P29" s="58">
        <f t="shared" si="4"/>
        <v>0</v>
      </c>
      <c r="Q29" s="44"/>
      <c r="R29" s="65"/>
      <c r="T29" s="61"/>
      <c r="U29" s="61"/>
    </row>
    <row r="30" spans="1:23" hidden="1" outlineLevel="1" x14ac:dyDescent="0.35">
      <c r="A30" s="41"/>
      <c r="B30" s="41"/>
      <c r="C30" s="66" t="s">
        <v>48</v>
      </c>
      <c r="D30" s="67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9">
        <f t="shared" si="4"/>
        <v>0</v>
      </c>
      <c r="Q30" s="44"/>
      <c r="R30" s="65"/>
      <c r="T30" s="58"/>
      <c r="U30" s="58"/>
    </row>
    <row r="31" spans="1:23" s="28" customFormat="1" ht="13" collapsed="1" x14ac:dyDescent="0.3">
      <c r="A31" s="70"/>
      <c r="B31" s="71"/>
      <c r="C31" s="46" t="s">
        <v>49</v>
      </c>
      <c r="D31" s="72">
        <f>SUM(D8:D30)-D22</f>
        <v>65313.677559722222</v>
      </c>
      <c r="E31" s="42">
        <f t="shared" ref="E31:P31" si="16">SUM(E8:E30)-E22</f>
        <v>65313.677559722222</v>
      </c>
      <c r="F31" s="42">
        <f t="shared" si="16"/>
        <v>67313.678559722233</v>
      </c>
      <c r="G31" s="42">
        <f t="shared" si="16"/>
        <v>107970.8439181889</v>
      </c>
      <c r="H31" s="42">
        <f t="shared" si="16"/>
        <v>107970.8439181889</v>
      </c>
      <c r="I31" s="42">
        <f t="shared" si="16"/>
        <v>107970.8439181889</v>
      </c>
      <c r="J31" s="42">
        <f t="shared" si="16"/>
        <v>107970.8439181889</v>
      </c>
      <c r="K31" s="42">
        <f t="shared" si="16"/>
        <v>107970.8439181889</v>
      </c>
      <c r="L31" s="42">
        <f t="shared" si="16"/>
        <v>107970.8439181889</v>
      </c>
      <c r="M31" s="42">
        <f t="shared" si="16"/>
        <v>107970.8439181889</v>
      </c>
      <c r="N31" s="42">
        <f t="shared" si="16"/>
        <v>107970.8439181889</v>
      </c>
      <c r="O31" s="42">
        <f t="shared" si="16"/>
        <v>107970.8439181889</v>
      </c>
      <c r="P31" s="42">
        <f t="shared" si="16"/>
        <v>1169678.6289428668</v>
      </c>
      <c r="Q31" s="39"/>
      <c r="R31" s="37">
        <f>+IF(P31=0,0,P31/$P$184)</f>
        <v>0.9757758806676845</v>
      </c>
      <c r="T31" s="43"/>
      <c r="U31" s="43"/>
    </row>
    <row r="32" spans="1:23" x14ac:dyDescent="0.35">
      <c r="A32" s="47"/>
      <c r="B32" s="48"/>
      <c r="C32" s="7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74"/>
      <c r="Q32" s="44"/>
      <c r="R32" s="40"/>
      <c r="T32" s="44"/>
      <c r="U32" s="44"/>
    </row>
    <row r="33" spans="1:21" x14ac:dyDescent="0.35">
      <c r="A33" s="47"/>
      <c r="B33" s="48"/>
      <c r="C33" s="75" t="s">
        <v>50</v>
      </c>
      <c r="P33" s="28"/>
      <c r="Q33" s="44"/>
      <c r="R33" s="76"/>
    </row>
    <row r="34" spans="1:21" hidden="1" outlineLevel="1" x14ac:dyDescent="0.35">
      <c r="A34" s="41"/>
      <c r="B34" s="41"/>
      <c r="C34" s="49" t="s">
        <v>51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1">
        <f t="shared" ref="P34:P42" si="17">+SUM(D34:O34)</f>
        <v>0</v>
      </c>
      <c r="Q34" s="44"/>
      <c r="R34" s="53">
        <f t="shared" ref="R34:R43" si="18">+IF(P34=0,0,P34/$P$184)</f>
        <v>0</v>
      </c>
      <c r="T34" s="54"/>
      <c r="U34" s="54"/>
    </row>
    <row r="35" spans="1:21" hidden="1" outlineLevel="1" x14ac:dyDescent="0.35">
      <c r="A35" s="41"/>
      <c r="B35" s="41"/>
      <c r="C35" s="63" t="s">
        <v>52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8">
        <f t="shared" si="17"/>
        <v>0</v>
      </c>
      <c r="Q35" s="44"/>
      <c r="R35" s="60">
        <f t="shared" si="18"/>
        <v>0</v>
      </c>
      <c r="T35" s="61"/>
      <c r="U35" s="61"/>
    </row>
    <row r="36" spans="1:21" hidden="1" outlineLevel="1" x14ac:dyDescent="0.35">
      <c r="A36" s="41"/>
      <c r="B36" s="41"/>
      <c r="C36" s="63" t="s">
        <v>53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8">
        <f t="shared" si="17"/>
        <v>0</v>
      </c>
      <c r="Q36" s="44"/>
      <c r="R36" s="60">
        <f t="shared" si="18"/>
        <v>0</v>
      </c>
      <c r="T36" s="61"/>
      <c r="U36" s="61"/>
    </row>
    <row r="37" spans="1:21" hidden="1" outlineLevel="1" x14ac:dyDescent="0.35">
      <c r="A37" s="41"/>
      <c r="B37" s="41"/>
      <c r="C37" s="63" t="s">
        <v>54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8">
        <f t="shared" si="17"/>
        <v>0</v>
      </c>
      <c r="Q37" s="44"/>
      <c r="R37" s="60">
        <f t="shared" si="18"/>
        <v>0</v>
      </c>
      <c r="T37" s="61"/>
      <c r="U37" s="61"/>
    </row>
    <row r="38" spans="1:21" hidden="1" outlineLevel="1" x14ac:dyDescent="0.35">
      <c r="A38" s="41"/>
      <c r="B38" s="41"/>
      <c r="C38" s="63" t="s">
        <v>55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57">
        <v>0</v>
      </c>
      <c r="O38" s="57">
        <v>0</v>
      </c>
      <c r="P38" s="58">
        <f t="shared" si="17"/>
        <v>0</v>
      </c>
      <c r="Q38" s="44"/>
      <c r="R38" s="60">
        <f t="shared" si="18"/>
        <v>0</v>
      </c>
      <c r="T38" s="61"/>
      <c r="U38" s="61"/>
    </row>
    <row r="39" spans="1:21" hidden="1" outlineLevel="1" x14ac:dyDescent="0.35">
      <c r="A39" s="41"/>
      <c r="B39" s="41"/>
      <c r="C39" s="63" t="s">
        <v>56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58">
        <f t="shared" si="17"/>
        <v>0</v>
      </c>
      <c r="Q39" s="44"/>
      <c r="R39" s="60">
        <f t="shared" si="18"/>
        <v>0</v>
      </c>
      <c r="T39" s="55"/>
      <c r="U39" s="55"/>
    </row>
    <row r="40" spans="1:21" hidden="1" outlineLevel="1" x14ac:dyDescent="0.35">
      <c r="A40" s="41"/>
      <c r="B40" s="41"/>
      <c r="C40" s="63" t="s">
        <v>57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7">
        <v>0</v>
      </c>
      <c r="O40" s="57">
        <v>0</v>
      </c>
      <c r="P40" s="58">
        <f t="shared" si="17"/>
        <v>0</v>
      </c>
      <c r="Q40" s="44"/>
      <c r="R40" s="60">
        <f t="shared" si="18"/>
        <v>0</v>
      </c>
      <c r="T40" s="55"/>
      <c r="U40" s="55"/>
    </row>
    <row r="41" spans="1:21" hidden="1" outlineLevel="1" x14ac:dyDescent="0.35">
      <c r="A41" s="41"/>
      <c r="B41" s="41"/>
      <c r="C41" s="63" t="s">
        <v>58</v>
      </c>
      <c r="D41" s="57">
        <f>SUM(+D8+D42)*0.16</f>
        <v>10122.477260477779</v>
      </c>
      <c r="E41" s="57">
        <f t="shared" ref="E41:O41" si="19">SUM(+E8+E42)*0.16</f>
        <v>10122.477260477779</v>
      </c>
      <c r="F41" s="57">
        <f t="shared" si="19"/>
        <v>10458.477428477778</v>
      </c>
      <c r="G41" s="57">
        <f t="shared" si="19"/>
        <v>17263.734591345514</v>
      </c>
      <c r="H41" s="57">
        <f t="shared" si="19"/>
        <v>17263.734591345514</v>
      </c>
      <c r="I41" s="57">
        <f t="shared" si="19"/>
        <v>17263.734591345514</v>
      </c>
      <c r="J41" s="57">
        <f t="shared" si="19"/>
        <v>17263.734591345514</v>
      </c>
      <c r="K41" s="57">
        <f t="shared" si="19"/>
        <v>17263.734591345514</v>
      </c>
      <c r="L41" s="57">
        <f t="shared" si="19"/>
        <v>17263.734591345514</v>
      </c>
      <c r="M41" s="57">
        <f t="shared" si="19"/>
        <v>17263.734591345514</v>
      </c>
      <c r="N41" s="57">
        <f t="shared" si="19"/>
        <v>17263.734591345514</v>
      </c>
      <c r="O41" s="57">
        <f t="shared" si="19"/>
        <v>17263.734591345514</v>
      </c>
      <c r="P41" s="58">
        <f t="shared" si="17"/>
        <v>186077.04327154293</v>
      </c>
      <c r="Q41" s="44"/>
      <c r="R41" s="60">
        <f t="shared" si="18"/>
        <v>0.15523023698776789</v>
      </c>
      <c r="T41" s="77"/>
      <c r="U41" s="77"/>
    </row>
    <row r="42" spans="1:21" hidden="1" outlineLevel="1" x14ac:dyDescent="0.35">
      <c r="A42" s="41"/>
      <c r="B42" s="41"/>
      <c r="C42" s="63" t="s">
        <v>59</v>
      </c>
      <c r="D42" s="57">
        <f t="shared" ref="D42:J42" si="20">+D31*0.05</f>
        <v>3265.6838779861114</v>
      </c>
      <c r="E42" s="57">
        <f t="shared" si="20"/>
        <v>3265.6838779861114</v>
      </c>
      <c r="F42" s="57">
        <f t="shared" si="20"/>
        <v>3365.6839279861119</v>
      </c>
      <c r="G42" s="57">
        <f t="shared" si="20"/>
        <v>5398.5421959094456</v>
      </c>
      <c r="H42" s="57">
        <f t="shared" si="20"/>
        <v>5398.5421959094456</v>
      </c>
      <c r="I42" s="57">
        <f t="shared" si="20"/>
        <v>5398.5421959094456</v>
      </c>
      <c r="J42" s="57">
        <f t="shared" si="20"/>
        <v>5398.5421959094456</v>
      </c>
      <c r="K42" s="57">
        <f>+K31*0.05</f>
        <v>5398.5421959094456</v>
      </c>
      <c r="L42" s="57">
        <f t="shared" ref="L42:O42" si="21">+L31*0.05</f>
        <v>5398.5421959094456</v>
      </c>
      <c r="M42" s="57">
        <f t="shared" si="21"/>
        <v>5398.5421959094456</v>
      </c>
      <c r="N42" s="57">
        <f t="shared" si="21"/>
        <v>5398.5421959094456</v>
      </c>
      <c r="O42" s="57">
        <f t="shared" si="21"/>
        <v>5398.5421959094456</v>
      </c>
      <c r="P42" s="58">
        <f t="shared" si="17"/>
        <v>58483.931447143346</v>
      </c>
      <c r="Q42" s="44"/>
      <c r="R42" s="60">
        <f t="shared" si="18"/>
        <v>4.8788794033384229E-2</v>
      </c>
      <c r="T42" s="77"/>
      <c r="U42" s="77"/>
    </row>
    <row r="43" spans="1:21" s="28" customFormat="1" ht="13" collapsed="1" x14ac:dyDescent="0.3">
      <c r="A43" s="70"/>
      <c r="B43" s="71"/>
      <c r="C43" s="54" t="s">
        <v>60</v>
      </c>
      <c r="D43" s="42">
        <f>SUM(D34:D42)</f>
        <v>13388.161138463891</v>
      </c>
      <c r="E43" s="42">
        <f t="shared" ref="E43:O43" si="22">SUM(E34:E42)</f>
        <v>13388.161138463891</v>
      </c>
      <c r="F43" s="42">
        <f t="shared" si="22"/>
        <v>13824.16135646389</v>
      </c>
      <c r="G43" s="42">
        <f t="shared" si="22"/>
        <v>22662.276787254959</v>
      </c>
      <c r="H43" s="42">
        <f t="shared" si="22"/>
        <v>22662.276787254959</v>
      </c>
      <c r="I43" s="42">
        <f t="shared" si="22"/>
        <v>22662.276787254959</v>
      </c>
      <c r="J43" s="42">
        <f t="shared" si="22"/>
        <v>22662.276787254959</v>
      </c>
      <c r="K43" s="42">
        <f t="shared" si="22"/>
        <v>22662.276787254959</v>
      </c>
      <c r="L43" s="42">
        <f t="shared" si="22"/>
        <v>22662.276787254959</v>
      </c>
      <c r="M43" s="42">
        <f t="shared" si="22"/>
        <v>22662.276787254959</v>
      </c>
      <c r="N43" s="42">
        <f t="shared" si="22"/>
        <v>22662.276787254959</v>
      </c>
      <c r="O43" s="42">
        <f t="shared" si="22"/>
        <v>22662.276787254959</v>
      </c>
      <c r="P43" s="43">
        <f>SUM(P34:P42)</f>
        <v>244560.97471868628</v>
      </c>
      <c r="Q43" s="40"/>
      <c r="R43" s="37">
        <f t="shared" si="18"/>
        <v>0.20401903102115213</v>
      </c>
      <c r="T43" s="43"/>
      <c r="U43" s="43"/>
    </row>
    <row r="44" spans="1:21" ht="9" customHeight="1" x14ac:dyDescent="0.35">
      <c r="A44" s="47"/>
      <c r="B44" s="48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  <c r="Q44" s="44"/>
      <c r="R44" s="40"/>
      <c r="T44" s="79"/>
      <c r="U44" s="79"/>
    </row>
    <row r="45" spans="1:21" s="28" customFormat="1" ht="13" x14ac:dyDescent="0.3">
      <c r="A45" s="70"/>
      <c r="B45" s="71"/>
      <c r="C45" s="61" t="s">
        <v>61</v>
      </c>
      <c r="D45" s="68">
        <f t="shared" ref="D45:P45" si="23">+D31+D43</f>
        <v>78701.838698186111</v>
      </c>
      <c r="E45" s="68">
        <f t="shared" si="23"/>
        <v>78701.838698186111</v>
      </c>
      <c r="F45" s="68">
        <f t="shared" si="23"/>
        <v>81137.839916186116</v>
      </c>
      <c r="G45" s="68">
        <f t="shared" si="23"/>
        <v>130633.12070544386</v>
      </c>
      <c r="H45" s="68">
        <f t="shared" si="23"/>
        <v>130633.12070544386</v>
      </c>
      <c r="I45" s="68">
        <f t="shared" si="23"/>
        <v>130633.12070544386</v>
      </c>
      <c r="J45" s="68">
        <f t="shared" si="23"/>
        <v>130633.12070544386</v>
      </c>
      <c r="K45" s="68">
        <f>+K31+K43</f>
        <v>130633.12070544386</v>
      </c>
      <c r="L45" s="68">
        <f t="shared" si="23"/>
        <v>130633.12070544386</v>
      </c>
      <c r="M45" s="68">
        <f t="shared" si="23"/>
        <v>130633.12070544386</v>
      </c>
      <c r="N45" s="68">
        <f t="shared" si="23"/>
        <v>130633.12070544386</v>
      </c>
      <c r="O45" s="68">
        <f t="shared" si="23"/>
        <v>130633.12070544386</v>
      </c>
      <c r="P45" s="69">
        <f t="shared" si="23"/>
        <v>1414239.603661553</v>
      </c>
      <c r="Q45" s="39"/>
      <c r="R45" s="37">
        <f>+IF(P45=0,0,P45/$P$184)</f>
        <v>1.1797949116888367</v>
      </c>
      <c r="T45" s="69"/>
      <c r="U45" s="69"/>
    </row>
    <row r="46" spans="1:21" x14ac:dyDescent="0.35">
      <c r="A46" s="47"/>
      <c r="B46" s="81"/>
      <c r="C46" s="82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74"/>
      <c r="Q46" s="44"/>
      <c r="R46" s="40"/>
      <c r="T46" s="44"/>
      <c r="U46" s="44"/>
    </row>
    <row r="47" spans="1:21" x14ac:dyDescent="0.35">
      <c r="A47" s="41"/>
      <c r="B47" s="41"/>
      <c r="C47" t="s">
        <v>62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84">
        <f>SUM(D47:O47)</f>
        <v>0</v>
      </c>
      <c r="Q47" s="44"/>
      <c r="R47" s="40"/>
      <c r="T47" s="44"/>
      <c r="U47" s="44"/>
    </row>
    <row r="48" spans="1:21" s="28" customFormat="1" ht="13" x14ac:dyDescent="0.3">
      <c r="A48" s="41"/>
      <c r="B48" s="41"/>
      <c r="C48" s="61" t="s">
        <v>63</v>
      </c>
      <c r="D48" s="68">
        <f>+D47</f>
        <v>0</v>
      </c>
      <c r="E48" s="68">
        <f t="shared" ref="E48:P48" si="24">+E47</f>
        <v>0</v>
      </c>
      <c r="F48" s="68">
        <f t="shared" si="24"/>
        <v>0</v>
      </c>
      <c r="G48" s="68">
        <f t="shared" si="24"/>
        <v>0</v>
      </c>
      <c r="H48" s="68">
        <f t="shared" si="24"/>
        <v>0</v>
      </c>
      <c r="I48" s="68">
        <f t="shared" si="24"/>
        <v>0</v>
      </c>
      <c r="J48" s="68">
        <f t="shared" si="24"/>
        <v>0</v>
      </c>
      <c r="K48" s="68">
        <f t="shared" si="24"/>
        <v>0</v>
      </c>
      <c r="L48" s="68">
        <f t="shared" si="24"/>
        <v>0</v>
      </c>
      <c r="M48" s="68">
        <f t="shared" si="24"/>
        <v>0</v>
      </c>
      <c r="N48" s="68">
        <f t="shared" si="24"/>
        <v>0</v>
      </c>
      <c r="O48" s="68">
        <f t="shared" si="24"/>
        <v>0</v>
      </c>
      <c r="P48" s="68">
        <f t="shared" si="24"/>
        <v>0</v>
      </c>
      <c r="Q48" s="39"/>
      <c r="R48" s="37">
        <f>+IF(P48=0,0,P48/$P$184)</f>
        <v>0</v>
      </c>
      <c r="T48" s="69"/>
      <c r="U48" s="69"/>
    </row>
    <row r="49" spans="1:21" x14ac:dyDescent="0.35">
      <c r="A49" s="41"/>
      <c r="B49" s="41"/>
      <c r="C49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74"/>
      <c r="Q49" s="44"/>
      <c r="R49" s="40"/>
      <c r="T49" s="44"/>
      <c r="U49" s="44"/>
    </row>
    <row r="50" spans="1:21" x14ac:dyDescent="0.35">
      <c r="A50" s="41"/>
      <c r="B50" s="41"/>
      <c r="C50" t="s">
        <v>64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84">
        <f>SUM(D50:O50)</f>
        <v>0</v>
      </c>
      <c r="Q50" s="44"/>
      <c r="R50" s="40"/>
      <c r="T50" s="44"/>
      <c r="U50" s="44"/>
    </row>
    <row r="51" spans="1:21" s="28" customFormat="1" ht="13" x14ac:dyDescent="0.3">
      <c r="A51" s="41"/>
      <c r="B51" s="41"/>
      <c r="C51" s="61" t="s">
        <v>65</v>
      </c>
      <c r="D51" s="68">
        <f>+D50</f>
        <v>0</v>
      </c>
      <c r="E51" s="68">
        <f t="shared" ref="E51:P51" si="25">+E50</f>
        <v>0</v>
      </c>
      <c r="F51" s="68">
        <f t="shared" si="25"/>
        <v>0</v>
      </c>
      <c r="G51" s="68">
        <f t="shared" si="25"/>
        <v>0</v>
      </c>
      <c r="H51" s="68">
        <f t="shared" si="25"/>
        <v>0</v>
      </c>
      <c r="I51" s="68">
        <f t="shared" si="25"/>
        <v>0</v>
      </c>
      <c r="J51" s="68">
        <f t="shared" si="25"/>
        <v>0</v>
      </c>
      <c r="K51" s="68">
        <f t="shared" si="25"/>
        <v>0</v>
      </c>
      <c r="L51" s="68">
        <f t="shared" si="25"/>
        <v>0</v>
      </c>
      <c r="M51" s="68">
        <f t="shared" si="25"/>
        <v>0</v>
      </c>
      <c r="N51" s="68">
        <f t="shared" si="25"/>
        <v>0</v>
      </c>
      <c r="O51" s="68">
        <f t="shared" si="25"/>
        <v>0</v>
      </c>
      <c r="P51" s="68">
        <f t="shared" si="25"/>
        <v>0</v>
      </c>
      <c r="Q51" s="39"/>
      <c r="R51" s="37">
        <f>+IF(P51=0,0,P51/$P$184)</f>
        <v>0</v>
      </c>
      <c r="T51" s="69"/>
      <c r="U51" s="69"/>
    </row>
    <row r="52" spans="1:21" x14ac:dyDescent="0.35">
      <c r="A52" s="41"/>
      <c r="B52" s="41"/>
      <c r="C52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74"/>
      <c r="Q52" s="44"/>
      <c r="R52" s="40"/>
      <c r="T52" s="44"/>
      <c r="U52" s="44"/>
    </row>
    <row r="53" spans="1:21" x14ac:dyDescent="0.35">
      <c r="A53" s="41"/>
      <c r="B53" s="41"/>
      <c r="C53" s="170" t="s">
        <v>252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84">
        <f>SUM(D53:O53)</f>
        <v>0</v>
      </c>
      <c r="Q53" s="44"/>
      <c r="R53" s="40"/>
      <c r="T53" s="44"/>
      <c r="U53" s="44"/>
    </row>
    <row r="54" spans="1:21" x14ac:dyDescent="0.35">
      <c r="A54" s="41"/>
      <c r="B54" s="41"/>
      <c r="C54" t="s">
        <v>253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171">
        <v>14300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84">
        <f>SUM(D54:O54)</f>
        <v>14300</v>
      </c>
      <c r="Q54" s="44"/>
      <c r="R54" s="40"/>
      <c r="T54" s="44"/>
      <c r="U54" s="44"/>
    </row>
    <row r="55" spans="1:21" x14ac:dyDescent="0.35">
      <c r="A55" s="41"/>
      <c r="B55" s="41"/>
      <c r="C55" t="s">
        <v>254</v>
      </c>
      <c r="D55" s="44">
        <v>0</v>
      </c>
      <c r="E55" s="44">
        <v>0</v>
      </c>
      <c r="F55" s="171">
        <v>191335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84">
        <f t="shared" ref="P55:P100" si="26">SUM(D55:O55)</f>
        <v>191335</v>
      </c>
      <c r="Q55" s="44"/>
      <c r="R55" s="40"/>
      <c r="T55" s="44"/>
      <c r="U55" s="44"/>
    </row>
    <row r="56" spans="1:21" x14ac:dyDescent="0.35">
      <c r="A56" s="41"/>
      <c r="B56" s="41" t="s">
        <v>255</v>
      </c>
      <c r="C56" s="172" t="s">
        <v>256</v>
      </c>
      <c r="D56" s="44">
        <v>4308</v>
      </c>
      <c r="E56" s="44">
        <v>4308</v>
      </c>
      <c r="F56" s="44">
        <v>4308</v>
      </c>
      <c r="G56" s="44">
        <v>4308</v>
      </c>
      <c r="H56" s="44">
        <v>4308</v>
      </c>
      <c r="I56" s="44">
        <v>4308</v>
      </c>
      <c r="J56" s="44">
        <v>4308</v>
      </c>
      <c r="K56" s="44">
        <v>4308</v>
      </c>
      <c r="L56" s="44">
        <v>4308</v>
      </c>
      <c r="M56" s="44">
        <v>4308</v>
      </c>
      <c r="N56" s="44">
        <v>4308</v>
      </c>
      <c r="O56" s="44">
        <v>4308</v>
      </c>
      <c r="P56" s="84">
        <f t="shared" si="26"/>
        <v>51696</v>
      </c>
      <c r="Q56" s="44"/>
      <c r="R56" s="40"/>
      <c r="T56" s="44"/>
      <c r="U56" s="44"/>
    </row>
    <row r="57" spans="1:21" x14ac:dyDescent="0.35">
      <c r="A57" s="41"/>
      <c r="B57" s="41" t="s">
        <v>255</v>
      </c>
      <c r="C57" s="172" t="s">
        <v>257</v>
      </c>
      <c r="D57" s="44">
        <v>12888</v>
      </c>
      <c r="E57" s="44">
        <v>12888</v>
      </c>
      <c r="F57" s="44">
        <v>12888</v>
      </c>
      <c r="G57" s="44">
        <v>12888</v>
      </c>
      <c r="H57" s="44">
        <v>12888</v>
      </c>
      <c r="I57" s="44">
        <v>12888</v>
      </c>
      <c r="J57" s="44">
        <v>12888</v>
      </c>
      <c r="K57" s="44">
        <v>12888</v>
      </c>
      <c r="L57" s="44">
        <v>12888</v>
      </c>
      <c r="M57" s="44">
        <v>12888</v>
      </c>
      <c r="N57" s="44">
        <v>12888</v>
      </c>
      <c r="O57" s="44">
        <v>12888</v>
      </c>
      <c r="P57" s="84">
        <f t="shared" si="26"/>
        <v>154656</v>
      </c>
      <c r="Q57" s="44"/>
      <c r="R57" s="40"/>
      <c r="T57" s="44"/>
      <c r="U57" s="44"/>
    </row>
    <row r="58" spans="1:21" x14ac:dyDescent="0.35">
      <c r="A58" s="41"/>
      <c r="B58" s="41" t="s">
        <v>258</v>
      </c>
      <c r="C58" s="173" t="s">
        <v>259</v>
      </c>
      <c r="D58" s="44">
        <v>0</v>
      </c>
      <c r="E58" s="44">
        <v>17000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17000</v>
      </c>
      <c r="P58" s="84">
        <f t="shared" si="26"/>
        <v>34000</v>
      </c>
      <c r="Q58" s="44"/>
      <c r="R58" s="40"/>
      <c r="T58" s="44"/>
      <c r="U58" s="44"/>
    </row>
    <row r="59" spans="1:21" x14ac:dyDescent="0.35">
      <c r="A59" s="41"/>
      <c r="B59" s="41" t="s">
        <v>258</v>
      </c>
      <c r="C59" s="173" t="s">
        <v>260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19000</v>
      </c>
      <c r="K59" s="44">
        <v>0</v>
      </c>
      <c r="L59" s="44">
        <v>0</v>
      </c>
      <c r="M59" s="44">
        <v>0</v>
      </c>
      <c r="N59" s="44">
        <v>7000</v>
      </c>
      <c r="O59" s="44">
        <v>7000</v>
      </c>
      <c r="P59" s="84">
        <f t="shared" si="26"/>
        <v>33000</v>
      </c>
      <c r="Q59" s="44"/>
      <c r="R59" s="40"/>
      <c r="T59" s="44"/>
      <c r="U59" s="44"/>
    </row>
    <row r="60" spans="1:21" x14ac:dyDescent="0.35">
      <c r="A60" s="41"/>
      <c r="B60" s="41"/>
      <c r="C60" s="170" t="s">
        <v>261</v>
      </c>
      <c r="D60" s="44">
        <v>3500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84">
        <f t="shared" si="26"/>
        <v>3500</v>
      </c>
      <c r="Q60" s="44"/>
      <c r="R60" s="40"/>
      <c r="T60" s="44"/>
      <c r="U60" s="44"/>
    </row>
    <row r="61" spans="1:21" x14ac:dyDescent="0.35">
      <c r="A61" s="41"/>
      <c r="B61" s="41"/>
      <c r="C61" t="s">
        <v>262</v>
      </c>
      <c r="D61" s="44">
        <v>400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84">
        <f t="shared" si="26"/>
        <v>400</v>
      </c>
      <c r="Q61" s="44"/>
      <c r="R61" s="40"/>
      <c r="T61" s="44"/>
      <c r="U61" s="44"/>
    </row>
    <row r="62" spans="1:21" x14ac:dyDescent="0.35">
      <c r="A62" s="41"/>
      <c r="B62" s="41"/>
      <c r="C62" t="s">
        <v>263</v>
      </c>
      <c r="D62" s="44">
        <v>300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84">
        <f t="shared" si="26"/>
        <v>300</v>
      </c>
      <c r="Q62" s="44"/>
      <c r="R62" s="40"/>
      <c r="T62" s="44"/>
      <c r="U62" s="44"/>
    </row>
    <row r="63" spans="1:21" x14ac:dyDescent="0.35">
      <c r="A63" s="41"/>
      <c r="B63" s="41"/>
      <c r="C63" s="170" t="s">
        <v>264</v>
      </c>
      <c r="D63" s="44">
        <v>4964.8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84">
        <f t="shared" si="26"/>
        <v>4964.8</v>
      </c>
      <c r="Q63" s="44"/>
      <c r="R63" s="40"/>
      <c r="T63" s="44"/>
      <c r="U63" s="44"/>
    </row>
    <row r="64" spans="1:21" x14ac:dyDescent="0.35">
      <c r="A64" s="41"/>
      <c r="B64" s="41"/>
      <c r="C64" t="s">
        <v>262</v>
      </c>
      <c r="D64" s="44">
        <v>500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84">
        <f t="shared" si="26"/>
        <v>500</v>
      </c>
      <c r="Q64" s="44"/>
      <c r="R64" s="40"/>
      <c r="T64" s="44"/>
      <c r="U64" s="44"/>
    </row>
    <row r="65" spans="1:21" x14ac:dyDescent="0.35">
      <c r="A65" s="41"/>
      <c r="B65" s="41"/>
      <c r="C65" t="s">
        <v>263</v>
      </c>
      <c r="D65" s="44">
        <v>300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84">
        <f t="shared" si="26"/>
        <v>300</v>
      </c>
      <c r="Q65" s="44"/>
      <c r="R65" s="40"/>
      <c r="T65" s="44"/>
      <c r="U65" s="44"/>
    </row>
    <row r="66" spans="1:21" x14ac:dyDescent="0.35">
      <c r="A66" s="41"/>
      <c r="B66" s="41"/>
      <c r="C66" s="170" t="s">
        <v>265</v>
      </c>
      <c r="D66" s="44">
        <v>0</v>
      </c>
      <c r="E66" s="44">
        <v>3500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84">
        <f t="shared" si="26"/>
        <v>3500</v>
      </c>
      <c r="Q66" s="44"/>
      <c r="R66" s="40"/>
      <c r="T66" s="44"/>
      <c r="U66" s="44"/>
    </row>
    <row r="67" spans="1:21" x14ac:dyDescent="0.35">
      <c r="A67" s="41"/>
      <c r="B67" s="41"/>
      <c r="C67" t="s">
        <v>262</v>
      </c>
      <c r="D67" s="44">
        <v>0</v>
      </c>
      <c r="E67" s="44">
        <v>845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84">
        <f t="shared" si="26"/>
        <v>845</v>
      </c>
      <c r="Q67" s="44"/>
      <c r="R67" s="40"/>
      <c r="T67" s="44"/>
      <c r="U67" s="44"/>
    </row>
    <row r="68" spans="1:21" x14ac:dyDescent="0.35">
      <c r="A68" s="41"/>
      <c r="B68" s="41"/>
      <c r="C68" t="s">
        <v>263</v>
      </c>
      <c r="D68" s="44">
        <v>0</v>
      </c>
      <c r="E68" s="44">
        <v>260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84">
        <f t="shared" si="26"/>
        <v>260</v>
      </c>
      <c r="Q68" s="44"/>
      <c r="R68" s="40"/>
      <c r="T68" s="44"/>
      <c r="U68" s="44"/>
    </row>
    <row r="69" spans="1:21" x14ac:dyDescent="0.35">
      <c r="A69" s="41"/>
      <c r="B69" s="41"/>
      <c r="C69" s="170" t="s">
        <v>266</v>
      </c>
      <c r="D69" s="44">
        <v>0</v>
      </c>
      <c r="E69" s="44">
        <v>0</v>
      </c>
      <c r="F69" s="44">
        <v>5000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84">
        <f t="shared" si="26"/>
        <v>5000</v>
      </c>
      <c r="Q69" s="44"/>
      <c r="R69" s="40"/>
      <c r="T69" s="44"/>
      <c r="U69" s="44"/>
    </row>
    <row r="70" spans="1:21" x14ac:dyDescent="0.35">
      <c r="A70" s="41"/>
      <c r="B70" s="41"/>
      <c r="C70" s="170" t="s">
        <v>267</v>
      </c>
      <c r="D70" s="44">
        <v>0</v>
      </c>
      <c r="E70" s="44">
        <v>0</v>
      </c>
      <c r="F70" s="44">
        <v>0</v>
      </c>
      <c r="G70" s="44">
        <v>7000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84">
        <f t="shared" si="26"/>
        <v>7000</v>
      </c>
      <c r="Q70" s="44"/>
      <c r="R70" s="40"/>
      <c r="T70" s="44"/>
      <c r="U70" s="44"/>
    </row>
    <row r="71" spans="1:21" x14ac:dyDescent="0.35">
      <c r="A71" s="41"/>
      <c r="B71" s="41"/>
      <c r="C71" t="s">
        <v>262</v>
      </c>
      <c r="D71" s="44">
        <v>0</v>
      </c>
      <c r="E71" s="44">
        <v>0</v>
      </c>
      <c r="F71" s="44">
        <v>0</v>
      </c>
      <c r="G71" s="44">
        <v>1000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/>
      <c r="P71" s="84">
        <f t="shared" si="26"/>
        <v>1000</v>
      </c>
      <c r="Q71" s="44"/>
      <c r="R71" s="40"/>
      <c r="T71" s="44"/>
      <c r="U71" s="44"/>
    </row>
    <row r="72" spans="1:21" x14ac:dyDescent="0.35">
      <c r="A72" s="41"/>
      <c r="B72" s="41"/>
      <c r="C72" t="s">
        <v>263</v>
      </c>
      <c r="D72" s="44">
        <v>0</v>
      </c>
      <c r="E72" s="44">
        <v>0</v>
      </c>
      <c r="F72" s="44">
        <v>0</v>
      </c>
      <c r="G72" s="44">
        <v>400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/>
      <c r="P72" s="84">
        <f t="shared" si="26"/>
        <v>400</v>
      </c>
      <c r="Q72" s="44"/>
      <c r="R72" s="40"/>
      <c r="T72" s="44"/>
      <c r="U72" s="44"/>
    </row>
    <row r="73" spans="1:21" x14ac:dyDescent="0.35">
      <c r="A73" s="41"/>
      <c r="B73" s="41"/>
      <c r="C73" s="170" t="s">
        <v>268</v>
      </c>
      <c r="D73" s="44">
        <v>0</v>
      </c>
      <c r="E73" s="44">
        <v>0</v>
      </c>
      <c r="F73" s="44">
        <v>0</v>
      </c>
      <c r="G73" s="44">
        <v>0</v>
      </c>
      <c r="H73" s="44">
        <v>20000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/>
      <c r="P73" s="84">
        <f t="shared" si="26"/>
        <v>20000</v>
      </c>
      <c r="Q73" s="44"/>
      <c r="R73" s="40"/>
      <c r="T73" s="44"/>
      <c r="U73" s="44"/>
    </row>
    <row r="74" spans="1:21" x14ac:dyDescent="0.35">
      <c r="A74" s="41"/>
      <c r="B74" s="41" t="s">
        <v>255</v>
      </c>
      <c r="C74" s="172" t="s">
        <v>269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10208</v>
      </c>
      <c r="L74" s="44">
        <v>0</v>
      </c>
      <c r="M74" s="44">
        <v>0</v>
      </c>
      <c r="N74" s="44">
        <v>0</v>
      </c>
      <c r="O74" s="44"/>
      <c r="P74" s="84">
        <f t="shared" si="26"/>
        <v>10208</v>
      </c>
      <c r="Q74" s="44"/>
      <c r="R74" s="40"/>
      <c r="T74" s="44"/>
      <c r="U74" s="44"/>
    </row>
    <row r="75" spans="1:21" x14ac:dyDescent="0.35">
      <c r="A75" s="41"/>
      <c r="B75" s="41"/>
      <c r="C75" s="170" t="s">
        <v>270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10831.32</v>
      </c>
      <c r="M75" s="44">
        <v>0</v>
      </c>
      <c r="N75" s="44">
        <v>0</v>
      </c>
      <c r="O75" s="44"/>
      <c r="P75" s="84">
        <f t="shared" si="26"/>
        <v>10831.32</v>
      </c>
      <c r="Q75" s="44"/>
      <c r="R75" s="40"/>
      <c r="T75" s="44"/>
      <c r="U75" s="44"/>
    </row>
    <row r="76" spans="1:21" x14ac:dyDescent="0.35">
      <c r="A76" s="41"/>
      <c r="B76" s="41"/>
      <c r="C76" t="s">
        <v>262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1000</v>
      </c>
      <c r="M76" s="44">
        <v>0</v>
      </c>
      <c r="N76" s="44">
        <v>0</v>
      </c>
      <c r="O76" s="44"/>
      <c r="P76" s="84">
        <f t="shared" si="26"/>
        <v>1000</v>
      </c>
      <c r="Q76" s="44"/>
      <c r="R76" s="40"/>
      <c r="T76" s="44"/>
      <c r="U76" s="44"/>
    </row>
    <row r="77" spans="1:21" x14ac:dyDescent="0.35">
      <c r="A77" s="41"/>
      <c r="B77" s="41"/>
      <c r="C77" t="s">
        <v>271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600</v>
      </c>
      <c r="M77" s="44"/>
      <c r="N77" s="44">
        <v>0</v>
      </c>
      <c r="O77" s="44"/>
      <c r="P77" s="84">
        <f t="shared" si="26"/>
        <v>600</v>
      </c>
      <c r="Q77" s="44"/>
      <c r="R77" s="40"/>
      <c r="T77" s="44"/>
      <c r="U77" s="44"/>
    </row>
    <row r="78" spans="1:21" x14ac:dyDescent="0.35">
      <c r="A78" s="174" t="s">
        <v>272</v>
      </c>
      <c r="B78" s="175" t="s">
        <v>258</v>
      </c>
      <c r="C78" s="176" t="s">
        <v>273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40000</v>
      </c>
      <c r="M78" s="44">
        <v>0</v>
      </c>
      <c r="N78" s="44">
        <v>0</v>
      </c>
      <c r="O78" s="44">
        <v>0</v>
      </c>
      <c r="P78" s="84">
        <f t="shared" si="26"/>
        <v>40000</v>
      </c>
      <c r="Q78" s="44"/>
      <c r="R78" s="40"/>
      <c r="T78" s="44"/>
      <c r="U78" s="44"/>
    </row>
    <row r="79" spans="1:21" x14ac:dyDescent="0.35">
      <c r="A79" s="41"/>
      <c r="B79" s="41"/>
      <c r="C79" t="s">
        <v>262</v>
      </c>
      <c r="D79" s="44"/>
      <c r="E79" s="44"/>
      <c r="F79" s="44"/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1800</v>
      </c>
      <c r="N79" s="44">
        <v>0</v>
      </c>
      <c r="O79" s="44"/>
      <c r="P79" s="84">
        <f t="shared" si="26"/>
        <v>1800</v>
      </c>
      <c r="Q79" s="44"/>
      <c r="R79" s="40"/>
      <c r="T79" s="44"/>
      <c r="U79" s="44"/>
    </row>
    <row r="80" spans="1:21" x14ac:dyDescent="0.35">
      <c r="A80" s="41"/>
      <c r="B80" s="41"/>
      <c r="C80" t="s">
        <v>263</v>
      </c>
      <c r="D80" s="44"/>
      <c r="E80" s="44"/>
      <c r="F80" s="44"/>
      <c r="G80" s="44"/>
      <c r="H80" s="44"/>
      <c r="I80" s="44"/>
      <c r="J80" s="44"/>
      <c r="K80" s="44"/>
      <c r="L80" s="44"/>
      <c r="M80" s="44">
        <v>1500</v>
      </c>
      <c r="N80" s="44"/>
      <c r="O80" s="44"/>
      <c r="P80" s="84">
        <f t="shared" si="26"/>
        <v>1500</v>
      </c>
      <c r="Q80" s="44"/>
      <c r="R80" s="40"/>
      <c r="T80" s="44"/>
      <c r="U80" s="44"/>
    </row>
    <row r="81" spans="1:21" s="182" customFormat="1" x14ac:dyDescent="0.35">
      <c r="A81" s="177"/>
      <c r="B81" s="177" t="s">
        <v>274</v>
      </c>
      <c r="C81" s="178" t="s">
        <v>275</v>
      </c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80">
        <f t="shared" si="26"/>
        <v>0</v>
      </c>
      <c r="Q81" s="179"/>
      <c r="R81" s="181"/>
      <c r="T81" s="179"/>
      <c r="U81" s="179"/>
    </row>
    <row r="82" spans="1:21" x14ac:dyDescent="0.35">
      <c r="A82" s="41"/>
      <c r="B82" s="41"/>
      <c r="C82" s="170" t="s">
        <v>276</v>
      </c>
      <c r="D82" s="44">
        <v>500</v>
      </c>
      <c r="E82" s="44">
        <v>2000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2000</v>
      </c>
      <c r="L82" s="44">
        <v>2000</v>
      </c>
      <c r="M82" s="44">
        <v>2000</v>
      </c>
      <c r="N82" s="44">
        <v>0</v>
      </c>
      <c r="O82" s="44">
        <v>3000</v>
      </c>
      <c r="P82" s="84">
        <f t="shared" si="26"/>
        <v>11500</v>
      </c>
      <c r="Q82" s="44"/>
      <c r="R82" s="40"/>
      <c r="T82" s="44"/>
      <c r="U82" s="44"/>
    </row>
    <row r="83" spans="1:21" x14ac:dyDescent="0.35">
      <c r="A83" s="41"/>
      <c r="B83" s="41"/>
      <c r="C83" t="s">
        <v>262</v>
      </c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>
        <v>900</v>
      </c>
      <c r="P83" s="84">
        <f t="shared" si="26"/>
        <v>900</v>
      </c>
      <c r="Q83" s="44"/>
      <c r="R83" s="40"/>
      <c r="T83" s="44"/>
      <c r="U83" s="44"/>
    </row>
    <row r="84" spans="1:21" x14ac:dyDescent="0.35">
      <c r="A84" s="41"/>
      <c r="B84" s="41"/>
      <c r="C84" t="s">
        <v>263</v>
      </c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84">
        <f t="shared" si="26"/>
        <v>0</v>
      </c>
      <c r="Q84" s="44"/>
      <c r="R84" s="40"/>
      <c r="T84" s="44"/>
      <c r="U84" s="44"/>
    </row>
    <row r="85" spans="1:21" x14ac:dyDescent="0.35">
      <c r="A85" s="41"/>
      <c r="B85" s="41"/>
      <c r="C85" s="170" t="s">
        <v>277</v>
      </c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84">
        <f t="shared" si="26"/>
        <v>0</v>
      </c>
      <c r="Q85" s="44"/>
      <c r="R85" s="40"/>
      <c r="T85" s="44"/>
      <c r="U85" s="44"/>
    </row>
    <row r="86" spans="1:21" x14ac:dyDescent="0.35">
      <c r="A86" s="41"/>
      <c r="B86" s="41"/>
      <c r="C86" t="s">
        <v>262</v>
      </c>
      <c r="D86" s="44">
        <v>1200</v>
      </c>
      <c r="E86" s="44"/>
      <c r="F86" s="44">
        <v>1200</v>
      </c>
      <c r="G86" s="44"/>
      <c r="H86" s="44">
        <v>1200</v>
      </c>
      <c r="I86" s="44"/>
      <c r="J86" s="44">
        <v>1200</v>
      </c>
      <c r="K86" s="44"/>
      <c r="L86" s="44">
        <v>1200</v>
      </c>
      <c r="M86" s="44"/>
      <c r="N86" s="44">
        <v>1200</v>
      </c>
      <c r="O86" s="44"/>
      <c r="P86" s="84">
        <f t="shared" si="26"/>
        <v>7200</v>
      </c>
      <c r="Q86" s="44"/>
      <c r="R86" s="40"/>
      <c r="T86" s="44"/>
      <c r="U86" s="44"/>
    </row>
    <row r="87" spans="1:21" x14ac:dyDescent="0.35">
      <c r="A87" s="41"/>
      <c r="B87" s="41"/>
      <c r="C87" t="s">
        <v>263</v>
      </c>
      <c r="D87" s="44"/>
      <c r="E87" s="44">
        <v>1200</v>
      </c>
      <c r="F87" s="44"/>
      <c r="G87" s="44">
        <v>1200</v>
      </c>
      <c r="H87" s="44"/>
      <c r="I87" s="44">
        <v>1200</v>
      </c>
      <c r="J87" s="44"/>
      <c r="K87" s="44">
        <v>1200</v>
      </c>
      <c r="L87" s="44"/>
      <c r="M87" s="44">
        <v>1200</v>
      </c>
      <c r="N87" s="44"/>
      <c r="O87" s="44">
        <v>1200</v>
      </c>
      <c r="P87" s="84">
        <f t="shared" si="26"/>
        <v>7200</v>
      </c>
      <c r="Q87" s="44"/>
      <c r="R87" s="40"/>
      <c r="T87" s="44"/>
      <c r="U87" s="44"/>
    </row>
    <row r="88" spans="1:21" x14ac:dyDescent="0.35">
      <c r="A88" s="41"/>
      <c r="B88" s="41"/>
      <c r="C88" s="170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84">
        <f t="shared" si="26"/>
        <v>0</v>
      </c>
      <c r="Q88" s="44"/>
      <c r="R88" s="40"/>
      <c r="T88" s="44"/>
      <c r="U88" s="44"/>
    </row>
    <row r="89" spans="1:21" x14ac:dyDescent="0.35">
      <c r="A89" s="41"/>
      <c r="B89" s="41" t="s">
        <v>258</v>
      </c>
      <c r="C89" s="176" t="s">
        <v>262</v>
      </c>
      <c r="D89" s="44">
        <v>400</v>
      </c>
      <c r="E89" s="44">
        <v>400</v>
      </c>
      <c r="F89" s="44">
        <v>400</v>
      </c>
      <c r="G89" s="44">
        <v>400</v>
      </c>
      <c r="H89" s="44">
        <v>400</v>
      </c>
      <c r="I89" s="44">
        <v>400</v>
      </c>
      <c r="J89" s="44">
        <v>400</v>
      </c>
      <c r="K89" s="44">
        <v>400</v>
      </c>
      <c r="L89" s="44">
        <v>400</v>
      </c>
      <c r="M89" s="44">
        <v>400</v>
      </c>
      <c r="N89" s="44">
        <v>400</v>
      </c>
      <c r="O89" s="44">
        <v>400</v>
      </c>
      <c r="P89" s="84">
        <f t="shared" si="26"/>
        <v>4800</v>
      </c>
      <c r="Q89" s="44"/>
      <c r="R89" s="40"/>
      <c r="T89" s="44"/>
      <c r="U89" s="44"/>
    </row>
    <row r="90" spans="1:21" x14ac:dyDescent="0.35">
      <c r="A90" s="41"/>
      <c r="B90" s="41" t="s">
        <v>258</v>
      </c>
      <c r="C90" s="176" t="s">
        <v>263</v>
      </c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84">
        <f t="shared" si="26"/>
        <v>0</v>
      </c>
      <c r="Q90" s="44"/>
      <c r="R90" s="40"/>
      <c r="T90" s="44"/>
      <c r="U90" s="44"/>
    </row>
    <row r="91" spans="1:21" x14ac:dyDescent="0.35">
      <c r="A91" s="41"/>
      <c r="B91" s="41" t="s">
        <v>258</v>
      </c>
      <c r="C91" s="176" t="s">
        <v>278</v>
      </c>
      <c r="D91" s="44">
        <v>20000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84">
        <f t="shared" si="26"/>
        <v>20000</v>
      </c>
      <c r="Q91" s="44"/>
      <c r="R91" s="40"/>
      <c r="T91" s="44"/>
      <c r="U91" s="44"/>
    </row>
    <row r="92" spans="1:21" x14ac:dyDescent="0.35">
      <c r="A92" s="41"/>
      <c r="B92" s="41"/>
      <c r="C92" s="170" t="s">
        <v>279</v>
      </c>
      <c r="D92" s="44">
        <v>300</v>
      </c>
      <c r="E92" s="44">
        <v>300</v>
      </c>
      <c r="F92" s="44">
        <v>300</v>
      </c>
      <c r="G92" s="44">
        <v>300</v>
      </c>
      <c r="H92" s="44">
        <v>300</v>
      </c>
      <c r="I92" s="44">
        <v>300</v>
      </c>
      <c r="J92" s="44">
        <v>300</v>
      </c>
      <c r="K92" s="44">
        <v>300</v>
      </c>
      <c r="L92" s="44">
        <v>300</v>
      </c>
      <c r="M92" s="44">
        <v>300</v>
      </c>
      <c r="N92" s="44">
        <v>300</v>
      </c>
      <c r="O92" s="44">
        <v>300</v>
      </c>
      <c r="P92" s="84">
        <f t="shared" si="26"/>
        <v>3600</v>
      </c>
      <c r="Q92" s="44"/>
      <c r="R92" s="40"/>
      <c r="T92" s="44"/>
      <c r="U92" s="44"/>
    </row>
    <row r="93" spans="1:21" x14ac:dyDescent="0.35">
      <c r="A93" s="41"/>
      <c r="B93" s="41"/>
      <c r="C93" t="s">
        <v>280</v>
      </c>
      <c r="D93" s="44">
        <v>500</v>
      </c>
      <c r="E93" s="44">
        <v>500</v>
      </c>
      <c r="F93" s="44">
        <v>500</v>
      </c>
      <c r="G93" s="44">
        <v>500</v>
      </c>
      <c r="H93" s="44">
        <v>500</v>
      </c>
      <c r="I93" s="44">
        <v>500</v>
      </c>
      <c r="J93" s="44">
        <v>500</v>
      </c>
      <c r="K93" s="44">
        <v>500</v>
      </c>
      <c r="L93" s="44">
        <v>500</v>
      </c>
      <c r="M93" s="44">
        <v>500</v>
      </c>
      <c r="N93" s="44">
        <v>500</v>
      </c>
      <c r="O93" s="44">
        <v>500</v>
      </c>
      <c r="P93" s="84">
        <f t="shared" si="26"/>
        <v>6000</v>
      </c>
      <c r="Q93" s="44"/>
      <c r="R93" s="40"/>
      <c r="T93" s="44"/>
      <c r="U93" s="44"/>
    </row>
    <row r="94" spans="1:21" x14ac:dyDescent="0.35">
      <c r="A94" s="41"/>
      <c r="B94" s="41" t="s">
        <v>281</v>
      </c>
      <c r="C94" s="183" t="s">
        <v>282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5">
        <v>0</v>
      </c>
      <c r="N94" s="184">
        <v>37451.4</v>
      </c>
      <c r="O94" s="44">
        <v>0</v>
      </c>
      <c r="P94" s="84">
        <f t="shared" si="26"/>
        <v>37451.4</v>
      </c>
      <c r="Q94" s="44"/>
      <c r="R94" s="40"/>
      <c r="T94" s="44"/>
      <c r="U94" s="44"/>
    </row>
    <row r="95" spans="1:21" x14ac:dyDescent="0.35">
      <c r="A95" s="41"/>
      <c r="B95" s="41" t="s">
        <v>283</v>
      </c>
      <c r="C95" s="183" t="s">
        <v>284</v>
      </c>
      <c r="D95" s="44">
        <v>51633</v>
      </c>
      <c r="E95" s="44"/>
      <c r="F95" s="44"/>
      <c r="G95" s="44"/>
      <c r="H95" s="44"/>
      <c r="I95" s="44"/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84">
        <f t="shared" si="26"/>
        <v>51633</v>
      </c>
      <c r="Q95" s="44"/>
      <c r="R95" s="40"/>
      <c r="T95" s="44"/>
      <c r="U95" s="44"/>
    </row>
    <row r="96" spans="1:21" x14ac:dyDescent="0.35">
      <c r="A96" s="41"/>
      <c r="B96" s="41" t="s">
        <v>281</v>
      </c>
      <c r="C96" s="185" t="s">
        <v>285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84"/>
      <c r="Q96" s="44"/>
      <c r="R96" s="40"/>
      <c r="T96" s="44"/>
      <c r="U96" s="44"/>
    </row>
    <row r="97" spans="1:21" x14ac:dyDescent="0.35">
      <c r="A97" s="41"/>
      <c r="B97" s="41" t="s">
        <v>258</v>
      </c>
      <c r="C97" s="185" t="s">
        <v>286</v>
      </c>
      <c r="D97" s="44">
        <v>20000</v>
      </c>
      <c r="E97" s="44">
        <v>20000</v>
      </c>
      <c r="F97" s="44">
        <v>20000</v>
      </c>
      <c r="G97" s="44">
        <v>20000</v>
      </c>
      <c r="H97" s="44">
        <v>20000</v>
      </c>
      <c r="I97" s="44">
        <v>20000</v>
      </c>
      <c r="J97" s="44">
        <v>20000</v>
      </c>
      <c r="K97" s="44">
        <v>20000</v>
      </c>
      <c r="L97" s="44">
        <v>20000</v>
      </c>
      <c r="M97" s="44">
        <v>20000</v>
      </c>
      <c r="N97" s="44">
        <v>20000</v>
      </c>
      <c r="O97" s="44">
        <v>20000</v>
      </c>
      <c r="P97" s="84">
        <f t="shared" si="26"/>
        <v>240000</v>
      </c>
      <c r="Q97" s="44"/>
      <c r="R97" s="40"/>
      <c r="T97" s="44"/>
      <c r="U97" s="44"/>
    </row>
    <row r="98" spans="1:21" x14ac:dyDescent="0.35">
      <c r="A98" s="41"/>
      <c r="B98" s="41"/>
      <c r="C98" s="170" t="s">
        <v>287</v>
      </c>
      <c r="D98" s="44">
        <v>0</v>
      </c>
      <c r="E98" s="44">
        <v>0</v>
      </c>
      <c r="F98" s="44">
        <v>4000</v>
      </c>
      <c r="G98" s="45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4000</v>
      </c>
      <c r="N98" s="44">
        <v>0</v>
      </c>
      <c r="O98" s="44">
        <v>0</v>
      </c>
      <c r="P98" s="84">
        <f t="shared" si="26"/>
        <v>8000</v>
      </c>
      <c r="Q98" s="44"/>
      <c r="R98" s="40"/>
      <c r="T98" s="44"/>
      <c r="U98" s="44"/>
    </row>
    <row r="99" spans="1:21" s="189" customFormat="1" x14ac:dyDescent="0.35">
      <c r="A99" s="186"/>
      <c r="B99" s="186" t="s">
        <v>258</v>
      </c>
      <c r="C99" s="173" t="s">
        <v>288</v>
      </c>
      <c r="D99" s="187">
        <v>1850</v>
      </c>
      <c r="E99" s="187">
        <v>1850</v>
      </c>
      <c r="F99" s="187">
        <v>1850</v>
      </c>
      <c r="G99" s="187">
        <v>1850</v>
      </c>
      <c r="H99" s="187">
        <v>1850</v>
      </c>
      <c r="I99" s="187">
        <v>1850</v>
      </c>
      <c r="J99" s="187">
        <v>1850</v>
      </c>
      <c r="K99" s="187">
        <v>1850</v>
      </c>
      <c r="L99" s="187">
        <v>1850</v>
      </c>
      <c r="M99" s="187">
        <v>1850</v>
      </c>
      <c r="N99" s="187">
        <v>1850</v>
      </c>
      <c r="O99" s="187">
        <v>1850</v>
      </c>
      <c r="P99" s="84">
        <f t="shared" si="26"/>
        <v>22200</v>
      </c>
      <c r="Q99" s="187"/>
      <c r="R99" s="188"/>
      <c r="T99" s="187"/>
      <c r="U99" s="187"/>
    </row>
    <row r="100" spans="1:21" s="182" customFormat="1" x14ac:dyDescent="0.35">
      <c r="A100" s="177" t="s">
        <v>272</v>
      </c>
      <c r="B100" s="177" t="s">
        <v>289</v>
      </c>
      <c r="C100" s="178" t="s">
        <v>290</v>
      </c>
      <c r="D100" s="179">
        <v>0</v>
      </c>
      <c r="E100" s="179">
        <v>0</v>
      </c>
      <c r="F100" s="179">
        <v>8000</v>
      </c>
      <c r="G100" s="179">
        <v>0</v>
      </c>
      <c r="H100" s="179">
        <v>0</v>
      </c>
      <c r="I100" s="179">
        <v>8000</v>
      </c>
      <c r="J100" s="179">
        <v>0</v>
      </c>
      <c r="K100" s="179">
        <v>0</v>
      </c>
      <c r="L100" s="179">
        <v>8000</v>
      </c>
      <c r="M100" s="179">
        <v>0</v>
      </c>
      <c r="N100" s="179">
        <v>0</v>
      </c>
      <c r="O100" s="179">
        <v>8000</v>
      </c>
      <c r="P100" s="180">
        <f t="shared" si="26"/>
        <v>32000</v>
      </c>
      <c r="Q100" s="179"/>
      <c r="R100" s="181"/>
      <c r="T100" s="179"/>
      <c r="U100" s="179"/>
    </row>
    <row r="101" spans="1:21" s="28" customFormat="1" ht="13" x14ac:dyDescent="0.3">
      <c r="A101" s="41"/>
      <c r="B101" s="41"/>
      <c r="C101" s="61" t="s">
        <v>67</v>
      </c>
      <c r="D101" s="68">
        <f>SUM(D54:D100)</f>
        <v>123543.8</v>
      </c>
      <c r="E101" s="68">
        <f t="shared" ref="E101:P101" si="27">SUM(E54:E100)</f>
        <v>65051</v>
      </c>
      <c r="F101" s="68">
        <f t="shared" si="27"/>
        <v>249781</v>
      </c>
      <c r="G101" s="68">
        <f t="shared" si="27"/>
        <v>49846</v>
      </c>
      <c r="H101" s="68">
        <f t="shared" si="27"/>
        <v>61446</v>
      </c>
      <c r="I101" s="68">
        <f t="shared" si="27"/>
        <v>63746</v>
      </c>
      <c r="J101" s="68">
        <f t="shared" si="27"/>
        <v>60446</v>
      </c>
      <c r="K101" s="68">
        <f t="shared" si="27"/>
        <v>53654</v>
      </c>
      <c r="L101" s="68">
        <f t="shared" si="27"/>
        <v>103877.32</v>
      </c>
      <c r="M101" s="68">
        <f t="shared" si="27"/>
        <v>50746</v>
      </c>
      <c r="N101" s="68">
        <f t="shared" si="27"/>
        <v>85897.4</v>
      </c>
      <c r="O101" s="68">
        <f t="shared" si="27"/>
        <v>77346</v>
      </c>
      <c r="P101" s="68">
        <f t="shared" si="27"/>
        <v>1045380.52</v>
      </c>
      <c r="Q101" s="39"/>
      <c r="R101" s="37">
        <f>+IF(P101=0,0,P101/$P$184)</f>
        <v>0.87208321353853413</v>
      </c>
      <c r="T101" s="69"/>
      <c r="U101" s="69"/>
    </row>
    <row r="102" spans="1:21" x14ac:dyDescent="0.35">
      <c r="A102" s="41"/>
      <c r="B102" s="41"/>
      <c r="C102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74"/>
      <c r="Q102" s="44"/>
      <c r="R102" s="40"/>
      <c r="T102" s="44"/>
      <c r="U102" s="44"/>
    </row>
    <row r="103" spans="1:21" x14ac:dyDescent="0.35">
      <c r="A103" s="41"/>
      <c r="B103" s="41"/>
      <c r="C103" t="s">
        <v>68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85">
        <f t="shared" ref="P103:P107" si="28">SUM(D103:O103)</f>
        <v>0</v>
      </c>
      <c r="Q103" s="44"/>
      <c r="R103" s="40"/>
      <c r="T103" s="44"/>
      <c r="U103" s="44"/>
    </row>
    <row r="104" spans="1:21" x14ac:dyDescent="0.35">
      <c r="A104" s="41"/>
      <c r="B104" s="41"/>
      <c r="C104" t="s">
        <v>69</v>
      </c>
      <c r="D104" s="44">
        <v>0</v>
      </c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84">
        <f t="shared" si="28"/>
        <v>0</v>
      </c>
      <c r="Q104" s="44"/>
      <c r="R104" s="40"/>
      <c r="T104" s="44"/>
      <c r="U104" s="44"/>
    </row>
    <row r="105" spans="1:21" x14ac:dyDescent="0.35">
      <c r="A105" s="41"/>
      <c r="B105" s="41"/>
      <c r="C105" t="s">
        <v>70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84">
        <f t="shared" si="28"/>
        <v>0</v>
      </c>
      <c r="Q105" s="44"/>
      <c r="R105" s="40"/>
      <c r="T105" s="44"/>
      <c r="U105" s="44"/>
    </row>
    <row r="106" spans="1:21" x14ac:dyDescent="0.35">
      <c r="A106" s="41"/>
      <c r="B106" s="41"/>
      <c r="C106" t="s">
        <v>71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84">
        <f t="shared" si="28"/>
        <v>0</v>
      </c>
      <c r="Q106" s="44"/>
      <c r="R106" s="40"/>
      <c r="T106" s="44"/>
      <c r="U106" s="44"/>
    </row>
    <row r="107" spans="1:21" x14ac:dyDescent="0.35">
      <c r="A107" s="41"/>
      <c r="B107" s="41"/>
      <c r="C107" t="s">
        <v>72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84">
        <f t="shared" si="28"/>
        <v>0</v>
      </c>
      <c r="Q107" s="44"/>
      <c r="R107" s="40"/>
      <c r="T107" s="44"/>
      <c r="U107" s="44"/>
    </row>
    <row r="108" spans="1:21" s="28" customFormat="1" ht="13" x14ac:dyDescent="0.3">
      <c r="A108" s="41"/>
      <c r="B108" s="86" t="s">
        <v>73</v>
      </c>
      <c r="C108" s="61" t="s">
        <v>74</v>
      </c>
      <c r="D108" s="68">
        <f>SUM(D103:D107)</f>
        <v>0</v>
      </c>
      <c r="E108" s="68">
        <f t="shared" ref="E108:P108" si="29">SUM(E103:E107)</f>
        <v>0</v>
      </c>
      <c r="F108" s="68">
        <f t="shared" si="29"/>
        <v>0</v>
      </c>
      <c r="G108" s="68">
        <f t="shared" si="29"/>
        <v>0</v>
      </c>
      <c r="H108" s="68">
        <f t="shared" si="29"/>
        <v>0</v>
      </c>
      <c r="I108" s="68">
        <f t="shared" si="29"/>
        <v>0</v>
      </c>
      <c r="J108" s="68">
        <f t="shared" si="29"/>
        <v>0</v>
      </c>
      <c r="K108" s="68">
        <f t="shared" si="29"/>
        <v>0</v>
      </c>
      <c r="L108" s="68">
        <f t="shared" si="29"/>
        <v>0</v>
      </c>
      <c r="M108" s="68">
        <f t="shared" si="29"/>
        <v>0</v>
      </c>
      <c r="N108" s="68">
        <f t="shared" si="29"/>
        <v>0</v>
      </c>
      <c r="O108" s="68">
        <f t="shared" si="29"/>
        <v>0</v>
      </c>
      <c r="P108" s="68">
        <f t="shared" si="29"/>
        <v>0</v>
      </c>
      <c r="Q108" s="39"/>
      <c r="R108" s="37">
        <f>+IF(P108=0,0,P108/$P$184)</f>
        <v>0</v>
      </c>
      <c r="T108" s="69"/>
      <c r="U108" s="69"/>
    </row>
    <row r="109" spans="1:21" x14ac:dyDescent="0.35">
      <c r="A109" s="41"/>
      <c r="B109" s="41"/>
      <c r="C109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74"/>
      <c r="Q109" s="44"/>
      <c r="R109" s="40"/>
      <c r="T109" s="44"/>
      <c r="U109" s="44"/>
    </row>
    <row r="110" spans="1:21" x14ac:dyDescent="0.35">
      <c r="A110" s="41"/>
      <c r="B110" s="41"/>
      <c r="C110" t="s">
        <v>75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84">
        <f>SUM(D110:O110)</f>
        <v>0</v>
      </c>
      <c r="Q110" s="44"/>
      <c r="R110" s="40"/>
      <c r="T110" s="44"/>
      <c r="U110" s="44"/>
    </row>
    <row r="111" spans="1:21" s="28" customFormat="1" ht="13" x14ac:dyDescent="0.3">
      <c r="A111" s="41"/>
      <c r="B111" s="41"/>
      <c r="C111" s="61" t="s">
        <v>76</v>
      </c>
      <c r="D111" s="68">
        <f>+D110</f>
        <v>0</v>
      </c>
      <c r="E111" s="68">
        <f t="shared" ref="E111:P111" si="30">+E110</f>
        <v>0</v>
      </c>
      <c r="F111" s="68">
        <f t="shared" si="30"/>
        <v>0</v>
      </c>
      <c r="G111" s="68">
        <f t="shared" si="30"/>
        <v>0</v>
      </c>
      <c r="H111" s="68">
        <f t="shared" si="30"/>
        <v>0</v>
      </c>
      <c r="I111" s="68">
        <f t="shared" si="30"/>
        <v>0</v>
      </c>
      <c r="J111" s="68">
        <f t="shared" si="30"/>
        <v>0</v>
      </c>
      <c r="K111" s="68">
        <f t="shared" si="30"/>
        <v>0</v>
      </c>
      <c r="L111" s="68">
        <f t="shared" si="30"/>
        <v>0</v>
      </c>
      <c r="M111" s="68">
        <f t="shared" si="30"/>
        <v>0</v>
      </c>
      <c r="N111" s="68">
        <f t="shared" si="30"/>
        <v>0</v>
      </c>
      <c r="O111" s="68">
        <f t="shared" si="30"/>
        <v>0</v>
      </c>
      <c r="P111" s="68">
        <f t="shared" si="30"/>
        <v>0</v>
      </c>
      <c r="Q111" s="39"/>
      <c r="R111" s="37">
        <f>+IF(P111=0,0,P111/$P$184)</f>
        <v>0</v>
      </c>
      <c r="T111" s="69"/>
      <c r="U111" s="69"/>
    </row>
    <row r="112" spans="1:21" x14ac:dyDescent="0.35">
      <c r="A112" s="41"/>
      <c r="B112" s="41"/>
      <c r="C112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74"/>
      <c r="Q112" s="44"/>
      <c r="R112" s="40"/>
      <c r="T112" s="44"/>
      <c r="U112" s="44"/>
    </row>
    <row r="113" spans="1:21" x14ac:dyDescent="0.35">
      <c r="A113" s="41"/>
      <c r="B113" s="41"/>
      <c r="C113" t="s">
        <v>77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84">
        <f>SUM(D113:O113)</f>
        <v>0</v>
      </c>
      <c r="Q113" s="44"/>
      <c r="R113" s="40"/>
      <c r="T113" s="44"/>
      <c r="U113" s="44"/>
    </row>
    <row r="114" spans="1:21" s="28" customFormat="1" ht="13" x14ac:dyDescent="0.3">
      <c r="A114" s="41"/>
      <c r="B114" s="41"/>
      <c r="C114" s="61" t="s">
        <v>78</v>
      </c>
      <c r="D114" s="68">
        <f>+D113</f>
        <v>0</v>
      </c>
      <c r="E114" s="68">
        <f t="shared" ref="E114:P114" si="31">+E113</f>
        <v>0</v>
      </c>
      <c r="F114" s="68">
        <f t="shared" si="31"/>
        <v>0</v>
      </c>
      <c r="G114" s="68">
        <f t="shared" si="31"/>
        <v>0</v>
      </c>
      <c r="H114" s="68">
        <f t="shared" si="31"/>
        <v>0</v>
      </c>
      <c r="I114" s="68">
        <f t="shared" si="31"/>
        <v>0</v>
      </c>
      <c r="J114" s="68">
        <f t="shared" si="31"/>
        <v>0</v>
      </c>
      <c r="K114" s="68">
        <f t="shared" si="31"/>
        <v>0</v>
      </c>
      <c r="L114" s="68">
        <f t="shared" si="31"/>
        <v>0</v>
      </c>
      <c r="M114" s="68">
        <f t="shared" si="31"/>
        <v>0</v>
      </c>
      <c r="N114" s="68">
        <f t="shared" si="31"/>
        <v>0</v>
      </c>
      <c r="O114" s="68">
        <f t="shared" si="31"/>
        <v>0</v>
      </c>
      <c r="P114" s="68">
        <f t="shared" si="31"/>
        <v>0</v>
      </c>
      <c r="Q114" s="39"/>
      <c r="R114" s="37">
        <f>+IF(P114=0,0,P114/$P$184)</f>
        <v>0</v>
      </c>
      <c r="T114" s="69"/>
      <c r="U114" s="69"/>
    </row>
    <row r="115" spans="1:21" x14ac:dyDescent="0.35">
      <c r="A115" s="41"/>
      <c r="B115" s="41"/>
      <c r="C115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74"/>
      <c r="Q115" s="44"/>
      <c r="R115" s="40"/>
      <c r="T115" s="44"/>
      <c r="U115" s="44"/>
    </row>
    <row r="116" spans="1:21" x14ac:dyDescent="0.35">
      <c r="A116" s="41"/>
      <c r="B116" s="41"/>
      <c r="C116" t="s">
        <v>79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84">
        <f t="shared" ref="P116:P121" si="32">SUM(D116:O116)</f>
        <v>0</v>
      </c>
      <c r="Q116" s="44"/>
      <c r="R116" s="40"/>
      <c r="T116" s="44"/>
      <c r="U116" s="44"/>
    </row>
    <row r="117" spans="1:21" x14ac:dyDescent="0.35">
      <c r="A117" s="41"/>
      <c r="B117" s="41"/>
      <c r="C117" t="s">
        <v>80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84">
        <f t="shared" si="32"/>
        <v>0</v>
      </c>
      <c r="Q117" s="44"/>
      <c r="R117" s="40"/>
      <c r="T117" s="44"/>
      <c r="U117" s="44"/>
    </row>
    <row r="118" spans="1:21" x14ac:dyDescent="0.35">
      <c r="A118" s="41"/>
      <c r="B118" s="41"/>
      <c r="C118" t="s">
        <v>81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84">
        <f t="shared" si="32"/>
        <v>0</v>
      </c>
      <c r="Q118" s="44"/>
      <c r="R118" s="40"/>
      <c r="T118" s="44"/>
      <c r="U118" s="44"/>
    </row>
    <row r="119" spans="1:21" x14ac:dyDescent="0.35">
      <c r="A119" s="41"/>
      <c r="B119" s="41"/>
      <c r="C119" t="s">
        <v>82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84">
        <f t="shared" si="32"/>
        <v>0</v>
      </c>
      <c r="Q119" s="44"/>
      <c r="R119" s="40"/>
      <c r="T119" s="44"/>
      <c r="U119" s="44"/>
    </row>
    <row r="120" spans="1:21" x14ac:dyDescent="0.35">
      <c r="A120" s="41"/>
      <c r="B120" s="41"/>
      <c r="C120" t="s">
        <v>83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84">
        <f t="shared" si="32"/>
        <v>0</v>
      </c>
      <c r="Q120" s="44"/>
      <c r="R120" s="40"/>
      <c r="T120" s="44"/>
      <c r="U120" s="44"/>
    </row>
    <row r="121" spans="1:21" x14ac:dyDescent="0.35">
      <c r="A121" s="41"/>
      <c r="B121" s="41"/>
      <c r="C121" t="s">
        <v>614</v>
      </c>
      <c r="D121" s="44">
        <v>8333.33</v>
      </c>
      <c r="E121" s="44">
        <v>8333.33</v>
      </c>
      <c r="F121" s="44">
        <v>8333.33</v>
      </c>
      <c r="G121" s="44">
        <v>8333.33</v>
      </c>
      <c r="H121" s="44">
        <v>8333.33</v>
      </c>
      <c r="I121" s="44">
        <v>8333.33</v>
      </c>
      <c r="J121" s="44">
        <v>8333.33</v>
      </c>
      <c r="K121" s="44">
        <v>8333.33</v>
      </c>
      <c r="L121" s="44">
        <v>8333.33</v>
      </c>
      <c r="M121" s="44">
        <v>8333.33</v>
      </c>
      <c r="N121" s="44">
        <v>8333.33</v>
      </c>
      <c r="O121" s="44">
        <v>8333.33</v>
      </c>
      <c r="P121" s="84">
        <f t="shared" si="32"/>
        <v>99999.96</v>
      </c>
      <c r="Q121" s="44"/>
      <c r="R121" s="40"/>
      <c r="T121" s="44"/>
      <c r="U121" s="44"/>
    </row>
    <row r="122" spans="1:21" s="28" customFormat="1" ht="13" x14ac:dyDescent="0.3">
      <c r="A122" s="41"/>
      <c r="B122" s="41"/>
      <c r="C122" s="61" t="s">
        <v>85</v>
      </c>
      <c r="D122" s="68">
        <f t="shared" ref="D122:P122" si="33">SUM(D116:D121)</f>
        <v>8333.33</v>
      </c>
      <c r="E122" s="68">
        <f t="shared" si="33"/>
        <v>8333.33</v>
      </c>
      <c r="F122" s="68">
        <f t="shared" si="33"/>
        <v>8333.33</v>
      </c>
      <c r="G122" s="68">
        <f t="shared" si="33"/>
        <v>8333.33</v>
      </c>
      <c r="H122" s="68">
        <f t="shared" si="33"/>
        <v>8333.33</v>
      </c>
      <c r="I122" s="68">
        <f t="shared" si="33"/>
        <v>8333.33</v>
      </c>
      <c r="J122" s="68">
        <f t="shared" si="33"/>
        <v>8333.33</v>
      </c>
      <c r="K122" s="68">
        <f t="shared" si="33"/>
        <v>8333.33</v>
      </c>
      <c r="L122" s="68">
        <f t="shared" si="33"/>
        <v>8333.33</v>
      </c>
      <c r="M122" s="68">
        <f t="shared" si="33"/>
        <v>8333.33</v>
      </c>
      <c r="N122" s="68">
        <f t="shared" si="33"/>
        <v>8333.33</v>
      </c>
      <c r="O122" s="68">
        <f t="shared" si="33"/>
        <v>8333.33</v>
      </c>
      <c r="P122" s="68">
        <f t="shared" si="33"/>
        <v>99999.96</v>
      </c>
      <c r="Q122" s="39"/>
      <c r="R122" s="37">
        <f>+IF(P122=0,0,P122/$P$184)</f>
        <v>8.342252873673682E-2</v>
      </c>
      <c r="T122" s="69"/>
      <c r="U122" s="69"/>
    </row>
    <row r="123" spans="1:21" x14ac:dyDescent="0.35">
      <c r="A123" s="41"/>
      <c r="B123" s="41"/>
      <c r="C123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74"/>
      <c r="Q123" s="44"/>
      <c r="R123" s="40"/>
      <c r="T123" s="44"/>
      <c r="U123" s="44"/>
    </row>
    <row r="124" spans="1:21" x14ac:dyDescent="0.35">
      <c r="A124" s="41"/>
      <c r="B124" s="41"/>
      <c r="C124" t="s">
        <v>86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84">
        <f t="shared" ref="P124:P127" si="34">SUM(D124:O124)</f>
        <v>0</v>
      </c>
      <c r="Q124" s="44"/>
      <c r="R124" s="40"/>
      <c r="T124" s="44"/>
      <c r="U124" s="44"/>
    </row>
    <row r="125" spans="1:21" x14ac:dyDescent="0.35">
      <c r="A125" s="41"/>
      <c r="B125" s="41"/>
      <c r="C125" t="s">
        <v>87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84">
        <f t="shared" si="34"/>
        <v>0</v>
      </c>
      <c r="Q125" s="44"/>
      <c r="R125" s="40"/>
      <c r="T125" s="44"/>
      <c r="U125" s="44"/>
    </row>
    <row r="126" spans="1:21" x14ac:dyDescent="0.35">
      <c r="A126" s="41"/>
      <c r="B126" s="41"/>
      <c r="C126" t="s">
        <v>88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84">
        <f t="shared" si="34"/>
        <v>0</v>
      </c>
      <c r="Q126" s="44"/>
      <c r="R126" s="40"/>
      <c r="T126" s="44"/>
      <c r="U126" s="44"/>
    </row>
    <row r="127" spans="1:21" x14ac:dyDescent="0.35">
      <c r="A127" s="41"/>
      <c r="B127" s="41"/>
      <c r="C127" t="s">
        <v>89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85">
        <f t="shared" si="34"/>
        <v>0</v>
      </c>
      <c r="Q127" s="44"/>
      <c r="R127" s="40"/>
      <c r="T127" s="44"/>
      <c r="U127" s="44"/>
    </row>
    <row r="128" spans="1:21" s="28" customFormat="1" ht="13" x14ac:dyDescent="0.3">
      <c r="A128" s="41"/>
      <c r="B128" s="41"/>
      <c r="C128" s="61" t="s">
        <v>90</v>
      </c>
      <c r="D128" s="68">
        <f>SUM(D124:D127)</f>
        <v>0</v>
      </c>
      <c r="E128" s="68">
        <f t="shared" ref="E128:P128" si="35">SUM(E124:E127)</f>
        <v>0</v>
      </c>
      <c r="F128" s="68">
        <f t="shared" si="35"/>
        <v>0</v>
      </c>
      <c r="G128" s="68">
        <f t="shared" si="35"/>
        <v>0</v>
      </c>
      <c r="H128" s="68">
        <f t="shared" si="35"/>
        <v>0</v>
      </c>
      <c r="I128" s="68">
        <f t="shared" si="35"/>
        <v>0</v>
      </c>
      <c r="J128" s="68">
        <f t="shared" si="35"/>
        <v>0</v>
      </c>
      <c r="K128" s="68">
        <f t="shared" si="35"/>
        <v>0</v>
      </c>
      <c r="L128" s="68">
        <f t="shared" si="35"/>
        <v>0</v>
      </c>
      <c r="M128" s="68">
        <f t="shared" si="35"/>
        <v>0</v>
      </c>
      <c r="N128" s="68">
        <f t="shared" si="35"/>
        <v>0</v>
      </c>
      <c r="O128" s="68">
        <f t="shared" si="35"/>
        <v>0</v>
      </c>
      <c r="P128" s="68">
        <f t="shared" si="35"/>
        <v>0</v>
      </c>
      <c r="Q128" s="39"/>
      <c r="R128" s="37">
        <f>+IF(P128=0,0,P128/$P$184)</f>
        <v>0</v>
      </c>
      <c r="T128" s="69"/>
      <c r="U128" s="69"/>
    </row>
    <row r="129" spans="1:21" x14ac:dyDescent="0.35">
      <c r="A129" s="41"/>
      <c r="B129" s="41"/>
      <c r="C129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74"/>
      <c r="Q129" s="44"/>
      <c r="R129" s="40"/>
      <c r="T129" s="44"/>
      <c r="U129" s="44"/>
    </row>
    <row r="130" spans="1:21" x14ac:dyDescent="0.35">
      <c r="A130" s="41"/>
      <c r="B130" s="41"/>
      <c r="C130" t="s">
        <v>91</v>
      </c>
      <c r="D130" s="44">
        <v>0</v>
      </c>
      <c r="E130" s="44">
        <v>0</v>
      </c>
      <c r="F130" s="44">
        <v>3500</v>
      </c>
      <c r="G130" s="44">
        <v>0</v>
      </c>
      <c r="H130" s="44">
        <v>0</v>
      </c>
      <c r="I130" s="44">
        <v>3000</v>
      </c>
      <c r="J130" s="44">
        <v>0</v>
      </c>
      <c r="K130" s="44">
        <v>0</v>
      </c>
      <c r="L130" s="44">
        <v>3000</v>
      </c>
      <c r="M130" s="44">
        <v>0</v>
      </c>
      <c r="N130" s="44">
        <v>0</v>
      </c>
      <c r="O130" s="44">
        <v>3000</v>
      </c>
      <c r="P130" s="84">
        <f>SUM(D130:O130)</f>
        <v>12500</v>
      </c>
      <c r="Q130" s="44"/>
      <c r="R130" s="40"/>
      <c r="T130" s="44"/>
      <c r="U130" s="44"/>
    </row>
    <row r="131" spans="1:21" s="28" customFormat="1" ht="13" x14ac:dyDescent="0.3">
      <c r="A131" s="41"/>
      <c r="B131" s="41"/>
      <c r="C131" s="61" t="s">
        <v>92</v>
      </c>
      <c r="D131" s="68">
        <f>+D130</f>
        <v>0</v>
      </c>
      <c r="E131" s="68">
        <f t="shared" ref="E131:P131" si="36">+E130</f>
        <v>0</v>
      </c>
      <c r="F131" s="68">
        <f t="shared" si="36"/>
        <v>3500</v>
      </c>
      <c r="G131" s="68">
        <f t="shared" si="36"/>
        <v>0</v>
      </c>
      <c r="H131" s="68">
        <f t="shared" si="36"/>
        <v>0</v>
      </c>
      <c r="I131" s="68">
        <f t="shared" si="36"/>
        <v>3000</v>
      </c>
      <c r="J131" s="68">
        <f t="shared" si="36"/>
        <v>0</v>
      </c>
      <c r="K131" s="68">
        <f t="shared" si="36"/>
        <v>0</v>
      </c>
      <c r="L131" s="68">
        <f t="shared" si="36"/>
        <v>3000</v>
      </c>
      <c r="M131" s="68">
        <f t="shared" si="36"/>
        <v>0</v>
      </c>
      <c r="N131" s="68">
        <f t="shared" si="36"/>
        <v>0</v>
      </c>
      <c r="O131" s="68">
        <f t="shared" si="36"/>
        <v>3000</v>
      </c>
      <c r="P131" s="68">
        <f t="shared" si="36"/>
        <v>12500</v>
      </c>
      <c r="Q131" s="39"/>
      <c r="R131" s="37">
        <f>+IF(P131=0,0,P131/$P$184)</f>
        <v>1.0427820263220207E-2</v>
      </c>
      <c r="T131" s="69"/>
      <c r="U131" s="69"/>
    </row>
    <row r="132" spans="1:21" x14ac:dyDescent="0.35">
      <c r="A132" s="41"/>
      <c r="B132" s="41"/>
      <c r="C132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74"/>
      <c r="Q132" s="44"/>
      <c r="R132" s="40"/>
      <c r="T132" s="44"/>
      <c r="U132" s="44"/>
    </row>
    <row r="133" spans="1:21" x14ac:dyDescent="0.35">
      <c r="A133" s="41"/>
      <c r="B133" s="41"/>
      <c r="C133" t="s">
        <v>93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84">
        <f t="shared" ref="P133:P138" si="37">SUM(D133:O133)</f>
        <v>0</v>
      </c>
      <c r="Q133" s="44"/>
      <c r="R133" s="40"/>
      <c r="T133" s="44"/>
      <c r="U133" s="44"/>
    </row>
    <row r="134" spans="1:21" x14ac:dyDescent="0.35">
      <c r="A134" s="41"/>
      <c r="B134" s="41"/>
      <c r="C134" t="s">
        <v>94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84">
        <f t="shared" si="37"/>
        <v>0</v>
      </c>
      <c r="Q134" s="44"/>
      <c r="R134" s="40"/>
      <c r="T134" s="44"/>
      <c r="U134" s="44"/>
    </row>
    <row r="135" spans="1:21" x14ac:dyDescent="0.35">
      <c r="A135" s="41"/>
      <c r="B135" s="41"/>
      <c r="C135" t="s">
        <v>95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84">
        <f t="shared" si="37"/>
        <v>0</v>
      </c>
      <c r="Q135" s="44"/>
      <c r="R135" s="40"/>
      <c r="T135" s="44"/>
      <c r="U135" s="44"/>
    </row>
    <row r="136" spans="1:21" x14ac:dyDescent="0.35">
      <c r="A136" s="41"/>
      <c r="B136" s="41"/>
      <c r="C136" t="s">
        <v>96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84">
        <f t="shared" si="37"/>
        <v>0</v>
      </c>
      <c r="Q136" s="44"/>
      <c r="R136" s="40"/>
      <c r="T136" s="44"/>
      <c r="U136" s="44"/>
    </row>
    <row r="137" spans="1:21" x14ac:dyDescent="0.35">
      <c r="A137" s="41"/>
      <c r="B137" s="41"/>
      <c r="C137" t="s">
        <v>97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84">
        <f t="shared" si="37"/>
        <v>0</v>
      </c>
      <c r="Q137" s="44"/>
      <c r="R137" s="40"/>
      <c r="T137" s="44"/>
      <c r="U137" s="44"/>
    </row>
    <row r="138" spans="1:21" x14ac:dyDescent="0.35">
      <c r="A138" s="41"/>
      <c r="B138" s="41"/>
      <c r="C138" t="s">
        <v>98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84">
        <f t="shared" si="37"/>
        <v>0</v>
      </c>
      <c r="Q138" s="44"/>
      <c r="R138" s="40"/>
      <c r="T138" s="44"/>
      <c r="U138" s="44"/>
    </row>
    <row r="139" spans="1:21" s="28" customFormat="1" ht="13" x14ac:dyDescent="0.3">
      <c r="A139" s="41"/>
      <c r="B139" s="41"/>
      <c r="C139" s="61" t="s">
        <v>99</v>
      </c>
      <c r="D139" s="68">
        <f>SUM(D133:D138)</f>
        <v>0</v>
      </c>
      <c r="E139" s="68">
        <f t="shared" ref="E139:P139" si="38">SUM(E133:E138)</f>
        <v>0</v>
      </c>
      <c r="F139" s="68">
        <f t="shared" si="38"/>
        <v>0</v>
      </c>
      <c r="G139" s="68">
        <f t="shared" si="38"/>
        <v>0</v>
      </c>
      <c r="H139" s="68">
        <f t="shared" si="38"/>
        <v>0</v>
      </c>
      <c r="I139" s="68">
        <f t="shared" si="38"/>
        <v>0</v>
      </c>
      <c r="J139" s="68">
        <f t="shared" si="38"/>
        <v>0</v>
      </c>
      <c r="K139" s="68">
        <f t="shared" si="38"/>
        <v>0</v>
      </c>
      <c r="L139" s="68">
        <f t="shared" si="38"/>
        <v>0</v>
      </c>
      <c r="M139" s="68">
        <f t="shared" si="38"/>
        <v>0</v>
      </c>
      <c r="N139" s="68">
        <f t="shared" si="38"/>
        <v>0</v>
      </c>
      <c r="O139" s="68">
        <f t="shared" si="38"/>
        <v>0</v>
      </c>
      <c r="P139" s="68">
        <f t="shared" si="38"/>
        <v>0</v>
      </c>
      <c r="Q139" s="39"/>
      <c r="R139" s="37">
        <f>+IF(P139=0,0,P139/$P$184)</f>
        <v>0</v>
      </c>
      <c r="T139" s="69"/>
      <c r="U139" s="69"/>
    </row>
    <row r="140" spans="1:21" x14ac:dyDescent="0.35">
      <c r="A140" s="41"/>
      <c r="B140" s="41"/>
      <c r="C140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74"/>
      <c r="Q140" s="44"/>
      <c r="R140" s="40"/>
      <c r="T140" s="44"/>
      <c r="U140" s="44"/>
    </row>
    <row r="141" spans="1:21" x14ac:dyDescent="0.35">
      <c r="A141" s="41"/>
      <c r="B141" s="41"/>
      <c r="C141" t="s">
        <v>100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84">
        <f t="shared" ref="P141:P147" si="39">SUM(D141:O141)</f>
        <v>0</v>
      </c>
      <c r="Q141" s="44"/>
      <c r="R141" s="40"/>
      <c r="T141" s="44"/>
      <c r="U141" s="44"/>
    </row>
    <row r="142" spans="1:21" x14ac:dyDescent="0.35">
      <c r="A142" s="41"/>
      <c r="B142" s="41"/>
      <c r="C142" t="s">
        <v>101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84">
        <f t="shared" si="39"/>
        <v>0</v>
      </c>
      <c r="Q142" s="44"/>
      <c r="R142" s="40"/>
      <c r="T142" s="44"/>
      <c r="U142" s="44"/>
    </row>
    <row r="143" spans="1:21" x14ac:dyDescent="0.35">
      <c r="A143" s="41"/>
      <c r="B143" s="41"/>
      <c r="C143" t="s">
        <v>102</v>
      </c>
      <c r="D143" s="44">
        <v>0</v>
      </c>
      <c r="E143" s="44">
        <v>0</v>
      </c>
      <c r="F143" s="44">
        <v>0</v>
      </c>
      <c r="G143" s="44">
        <v>0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0</v>
      </c>
      <c r="N143" s="44">
        <v>0</v>
      </c>
      <c r="O143" s="44">
        <v>0</v>
      </c>
      <c r="P143" s="84">
        <f t="shared" si="39"/>
        <v>0</v>
      </c>
      <c r="Q143" s="44"/>
      <c r="R143" s="40"/>
      <c r="T143" s="44"/>
      <c r="U143" s="44"/>
    </row>
    <row r="144" spans="1:21" x14ac:dyDescent="0.35">
      <c r="A144" s="41"/>
      <c r="B144" s="41"/>
      <c r="C144" t="s">
        <v>103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84">
        <f t="shared" si="39"/>
        <v>0</v>
      </c>
      <c r="Q144" s="44"/>
      <c r="R144" s="40"/>
      <c r="T144" s="44"/>
      <c r="U144" s="44"/>
    </row>
    <row r="145" spans="1:21" x14ac:dyDescent="0.35">
      <c r="A145" s="41"/>
      <c r="B145" s="41"/>
      <c r="C145" t="s">
        <v>104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84">
        <f t="shared" si="39"/>
        <v>0</v>
      </c>
      <c r="Q145" s="44"/>
      <c r="R145" s="40"/>
      <c r="T145" s="44"/>
      <c r="U145" s="44"/>
    </row>
    <row r="146" spans="1:21" x14ac:dyDescent="0.35">
      <c r="A146" s="41"/>
      <c r="B146" s="41"/>
      <c r="C146" t="s">
        <v>105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84">
        <f t="shared" si="39"/>
        <v>0</v>
      </c>
      <c r="Q146" s="44"/>
      <c r="R146" s="40"/>
      <c r="T146" s="44"/>
      <c r="U146" s="44"/>
    </row>
    <row r="147" spans="1:21" x14ac:dyDescent="0.35">
      <c r="A147" s="41"/>
      <c r="B147" s="41"/>
      <c r="C147" t="s">
        <v>106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84">
        <f t="shared" si="39"/>
        <v>0</v>
      </c>
      <c r="Q147" s="44"/>
      <c r="R147" s="40"/>
      <c r="T147" s="44"/>
      <c r="U147" s="44"/>
    </row>
    <row r="148" spans="1:21" s="28" customFormat="1" ht="13" x14ac:dyDescent="0.3">
      <c r="A148" s="41"/>
      <c r="B148" s="41"/>
      <c r="C148" s="61" t="s">
        <v>107</v>
      </c>
      <c r="D148" s="68">
        <f t="shared" ref="D148:P148" si="40">SUM(D141:D147)</f>
        <v>0</v>
      </c>
      <c r="E148" s="68">
        <f t="shared" si="40"/>
        <v>0</v>
      </c>
      <c r="F148" s="68">
        <f t="shared" si="40"/>
        <v>0</v>
      </c>
      <c r="G148" s="68">
        <f t="shared" si="40"/>
        <v>0</v>
      </c>
      <c r="H148" s="68">
        <f t="shared" si="40"/>
        <v>0</v>
      </c>
      <c r="I148" s="68">
        <f t="shared" si="40"/>
        <v>0</v>
      </c>
      <c r="J148" s="68">
        <f t="shared" si="40"/>
        <v>0</v>
      </c>
      <c r="K148" s="68">
        <f t="shared" si="40"/>
        <v>0</v>
      </c>
      <c r="L148" s="68">
        <f t="shared" si="40"/>
        <v>0</v>
      </c>
      <c r="M148" s="68">
        <f t="shared" si="40"/>
        <v>0</v>
      </c>
      <c r="N148" s="68">
        <f t="shared" si="40"/>
        <v>0</v>
      </c>
      <c r="O148" s="68">
        <f t="shared" si="40"/>
        <v>0</v>
      </c>
      <c r="P148" s="68">
        <f t="shared" si="40"/>
        <v>0</v>
      </c>
      <c r="Q148" s="39"/>
      <c r="R148" s="37">
        <f>+IF(P148=0,0,P148/$P$184)</f>
        <v>0</v>
      </c>
      <c r="T148" s="69"/>
      <c r="U148" s="69"/>
    </row>
    <row r="149" spans="1:21" x14ac:dyDescent="0.35">
      <c r="A149" s="41"/>
      <c r="B149" s="41"/>
      <c r="C149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74"/>
      <c r="Q149" s="44"/>
      <c r="R149" s="40"/>
      <c r="T149" s="44"/>
      <c r="U149" s="44"/>
    </row>
    <row r="150" spans="1:21" x14ac:dyDescent="0.35">
      <c r="A150" s="41"/>
      <c r="B150" s="41"/>
      <c r="C150" t="s">
        <v>108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84">
        <f t="shared" ref="P150" si="41">SUM(D150:O150)</f>
        <v>0</v>
      </c>
      <c r="Q150" s="44"/>
      <c r="R150" s="40"/>
      <c r="T150" s="44"/>
      <c r="U150" s="44"/>
    </row>
    <row r="151" spans="1:21" s="28" customFormat="1" ht="13" x14ac:dyDescent="0.3">
      <c r="A151" s="41"/>
      <c r="B151" s="41"/>
      <c r="C151" s="61" t="s">
        <v>109</v>
      </c>
      <c r="D151" s="68">
        <f>SUM(D150)</f>
        <v>0</v>
      </c>
      <c r="E151" s="68">
        <f t="shared" ref="E151:O151" si="42">SUM(E150)</f>
        <v>0</v>
      </c>
      <c r="F151" s="68">
        <f t="shared" si="42"/>
        <v>0</v>
      </c>
      <c r="G151" s="68">
        <f t="shared" si="42"/>
        <v>0</v>
      </c>
      <c r="H151" s="68">
        <f t="shared" si="42"/>
        <v>0</v>
      </c>
      <c r="I151" s="68">
        <f t="shared" si="42"/>
        <v>0</v>
      </c>
      <c r="J151" s="68">
        <f t="shared" si="42"/>
        <v>0</v>
      </c>
      <c r="K151" s="68">
        <f t="shared" si="42"/>
        <v>0</v>
      </c>
      <c r="L151" s="68">
        <f t="shared" si="42"/>
        <v>0</v>
      </c>
      <c r="M151" s="68">
        <f t="shared" si="42"/>
        <v>0</v>
      </c>
      <c r="N151" s="68">
        <f t="shared" si="42"/>
        <v>0</v>
      </c>
      <c r="O151" s="68">
        <f t="shared" si="42"/>
        <v>0</v>
      </c>
      <c r="P151" s="68">
        <f>+P150</f>
        <v>0</v>
      </c>
      <c r="Q151" s="39"/>
      <c r="R151" s="37">
        <f>+IF(P151=0,0,P151/$P$184)</f>
        <v>0</v>
      </c>
      <c r="T151" s="69"/>
      <c r="U151" s="69"/>
    </row>
    <row r="152" spans="1:21" x14ac:dyDescent="0.35">
      <c r="A152" s="41"/>
      <c r="B152" s="41"/>
      <c r="C152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74"/>
      <c r="Q152" s="44"/>
      <c r="R152" s="40"/>
      <c r="T152" s="44"/>
      <c r="U152" s="44"/>
    </row>
    <row r="153" spans="1:21" x14ac:dyDescent="0.35">
      <c r="A153" s="41"/>
      <c r="B153" s="41"/>
      <c r="C153" t="s">
        <v>110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84">
        <v>0</v>
      </c>
      <c r="Q153" s="44"/>
      <c r="R153" s="40"/>
      <c r="T153" s="44"/>
      <c r="U153" s="44"/>
    </row>
    <row r="154" spans="1:21" s="28" customFormat="1" ht="13" x14ac:dyDescent="0.3">
      <c r="A154" s="41"/>
      <c r="B154" s="41"/>
      <c r="C154" s="61" t="s">
        <v>111</v>
      </c>
      <c r="D154" s="68">
        <f>+D153</f>
        <v>0</v>
      </c>
      <c r="E154" s="68">
        <f t="shared" ref="E154:P154" si="43">+E153</f>
        <v>0</v>
      </c>
      <c r="F154" s="68">
        <f t="shared" si="43"/>
        <v>0</v>
      </c>
      <c r="G154" s="68">
        <f t="shared" si="43"/>
        <v>0</v>
      </c>
      <c r="H154" s="68">
        <f t="shared" si="43"/>
        <v>0</v>
      </c>
      <c r="I154" s="68">
        <f t="shared" si="43"/>
        <v>0</v>
      </c>
      <c r="J154" s="68">
        <f t="shared" si="43"/>
        <v>0</v>
      </c>
      <c r="K154" s="68">
        <f t="shared" si="43"/>
        <v>0</v>
      </c>
      <c r="L154" s="68">
        <f t="shared" si="43"/>
        <v>0</v>
      </c>
      <c r="M154" s="68">
        <f t="shared" si="43"/>
        <v>0</v>
      </c>
      <c r="N154" s="68">
        <f t="shared" si="43"/>
        <v>0</v>
      </c>
      <c r="O154" s="68">
        <f t="shared" si="43"/>
        <v>0</v>
      </c>
      <c r="P154" s="68">
        <f t="shared" si="43"/>
        <v>0</v>
      </c>
      <c r="Q154" s="39"/>
      <c r="R154" s="37">
        <f>+IF(P154=0,0,P154/$P$184)</f>
        <v>0</v>
      </c>
      <c r="T154" s="69"/>
      <c r="U154" s="69"/>
    </row>
    <row r="155" spans="1:21" x14ac:dyDescent="0.35">
      <c r="A155" s="41"/>
      <c r="B155" s="41"/>
      <c r="C155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74"/>
      <c r="Q155" s="44"/>
      <c r="R155" s="40"/>
      <c r="T155" s="44"/>
      <c r="U155" s="44"/>
    </row>
    <row r="156" spans="1:21" x14ac:dyDescent="0.35">
      <c r="A156" s="41"/>
      <c r="B156" s="41"/>
      <c r="C156" t="s">
        <v>96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84">
        <f t="shared" ref="P156:P161" si="44">SUM(D156:O156)</f>
        <v>0</v>
      </c>
      <c r="Q156" s="44"/>
      <c r="R156" s="40"/>
      <c r="T156" s="44"/>
      <c r="U156" s="44"/>
    </row>
    <row r="157" spans="1:21" x14ac:dyDescent="0.35">
      <c r="A157" s="41"/>
      <c r="B157" s="41"/>
      <c r="C157" t="s">
        <v>112</v>
      </c>
      <c r="D157" s="44">
        <v>0</v>
      </c>
      <c r="E157" s="44">
        <v>0</v>
      </c>
      <c r="F157" s="44">
        <v>0</v>
      </c>
      <c r="G157" s="44">
        <v>0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84">
        <f t="shared" si="44"/>
        <v>0</v>
      </c>
      <c r="Q157" s="44"/>
      <c r="R157" s="40"/>
      <c r="T157" s="44"/>
      <c r="U157" s="44"/>
    </row>
    <row r="158" spans="1:21" x14ac:dyDescent="0.35">
      <c r="A158" s="41"/>
      <c r="B158" s="41"/>
      <c r="C158" t="s">
        <v>113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84">
        <f t="shared" si="44"/>
        <v>0</v>
      </c>
      <c r="Q158" s="44"/>
      <c r="R158" s="40"/>
      <c r="T158" s="44"/>
      <c r="U158" s="44"/>
    </row>
    <row r="159" spans="1:21" x14ac:dyDescent="0.35">
      <c r="A159" s="41"/>
      <c r="B159" s="41" t="s">
        <v>114</v>
      </c>
      <c r="C159" s="170" t="s">
        <v>115</v>
      </c>
      <c r="D159" s="44">
        <v>2145</v>
      </c>
      <c r="E159" s="44">
        <v>2145</v>
      </c>
      <c r="F159" s="44">
        <v>2145</v>
      </c>
      <c r="G159" s="44">
        <v>2145</v>
      </c>
      <c r="H159" s="44">
        <v>2145</v>
      </c>
      <c r="I159" s="44">
        <v>2145</v>
      </c>
      <c r="J159" s="44">
        <v>2145</v>
      </c>
      <c r="K159" s="44">
        <v>2145</v>
      </c>
      <c r="L159" s="44">
        <v>2145</v>
      </c>
      <c r="M159" s="44">
        <v>2145</v>
      </c>
      <c r="N159" s="44">
        <v>2145</v>
      </c>
      <c r="O159" s="44">
        <v>2145</v>
      </c>
      <c r="P159" s="84">
        <f t="shared" si="44"/>
        <v>25740</v>
      </c>
      <c r="Q159" s="44"/>
      <c r="R159" s="40"/>
      <c r="T159" s="44"/>
      <c r="U159" s="44"/>
    </row>
    <row r="160" spans="1:21" x14ac:dyDescent="0.35">
      <c r="A160" s="41"/>
      <c r="B160" s="41" t="s">
        <v>73</v>
      </c>
      <c r="C160" t="s">
        <v>116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84">
        <f t="shared" si="44"/>
        <v>0</v>
      </c>
      <c r="Q160" s="44"/>
      <c r="R160" s="40"/>
      <c r="T160" s="44"/>
      <c r="U160" s="44"/>
    </row>
    <row r="161" spans="1:21" x14ac:dyDescent="0.35">
      <c r="A161" s="41"/>
      <c r="B161" s="41"/>
      <c r="C161" t="s">
        <v>117</v>
      </c>
      <c r="D161" s="44">
        <v>0</v>
      </c>
      <c r="E161" s="44">
        <v>0</v>
      </c>
      <c r="F161" s="44">
        <v>0</v>
      </c>
      <c r="G161" s="44">
        <v>0</v>
      </c>
      <c r="H161" s="44">
        <v>0</v>
      </c>
      <c r="I161" s="44">
        <v>0</v>
      </c>
      <c r="J161" s="44">
        <v>0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84">
        <f t="shared" si="44"/>
        <v>0</v>
      </c>
      <c r="Q161" s="44"/>
      <c r="R161" s="40"/>
      <c r="T161" s="44"/>
      <c r="U161" s="44"/>
    </row>
    <row r="162" spans="1:21" s="28" customFormat="1" ht="13" x14ac:dyDescent="0.3">
      <c r="A162" s="41"/>
      <c r="B162" s="41"/>
      <c r="C162" s="61" t="s">
        <v>118</v>
      </c>
      <c r="D162" s="68">
        <f t="shared" ref="D162:P162" si="45">SUM(D156:D161)</f>
        <v>2145</v>
      </c>
      <c r="E162" s="68">
        <f t="shared" si="45"/>
        <v>2145</v>
      </c>
      <c r="F162" s="68">
        <f t="shared" si="45"/>
        <v>2145</v>
      </c>
      <c r="G162" s="68">
        <f t="shared" si="45"/>
        <v>2145</v>
      </c>
      <c r="H162" s="68">
        <f t="shared" si="45"/>
        <v>2145</v>
      </c>
      <c r="I162" s="68">
        <f t="shared" si="45"/>
        <v>2145</v>
      </c>
      <c r="J162" s="68">
        <f t="shared" si="45"/>
        <v>2145</v>
      </c>
      <c r="K162" s="68">
        <f t="shared" si="45"/>
        <v>2145</v>
      </c>
      <c r="L162" s="68">
        <f t="shared" si="45"/>
        <v>2145</v>
      </c>
      <c r="M162" s="68">
        <f t="shared" si="45"/>
        <v>2145</v>
      </c>
      <c r="N162" s="68">
        <f t="shared" si="45"/>
        <v>2145</v>
      </c>
      <c r="O162" s="68">
        <f t="shared" si="45"/>
        <v>2145</v>
      </c>
      <c r="P162" s="68">
        <f t="shared" si="45"/>
        <v>25740</v>
      </c>
      <c r="Q162" s="39"/>
      <c r="R162" s="37">
        <f>+IF(P162=0,0,P162/$P$184)</f>
        <v>2.1472967486023051E-2</v>
      </c>
      <c r="T162" s="69"/>
      <c r="U162" s="69"/>
    </row>
    <row r="163" spans="1:21" x14ac:dyDescent="0.35">
      <c r="A163" s="41"/>
      <c r="B163" s="41"/>
      <c r="C163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74"/>
      <c r="Q163" s="44"/>
      <c r="R163" s="40"/>
      <c r="T163" s="44"/>
      <c r="U163" s="44"/>
    </row>
    <row r="164" spans="1:21" x14ac:dyDescent="0.35">
      <c r="A164" s="41"/>
      <c r="B164" s="41"/>
      <c r="C164" t="s">
        <v>119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84">
        <f t="shared" ref="P164:P169" si="46">SUM(D164:O164)</f>
        <v>0</v>
      </c>
      <c r="Q164" s="44"/>
      <c r="R164" s="40"/>
      <c r="T164" s="44"/>
      <c r="U164" s="44"/>
    </row>
    <row r="165" spans="1:21" x14ac:dyDescent="0.35">
      <c r="A165" s="41"/>
      <c r="B165" s="41"/>
      <c r="C165" t="s">
        <v>120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84">
        <f t="shared" si="46"/>
        <v>0</v>
      </c>
      <c r="Q165" s="44"/>
      <c r="R165" s="40"/>
      <c r="T165" s="44"/>
      <c r="U165" s="44"/>
    </row>
    <row r="166" spans="1:21" x14ac:dyDescent="0.35">
      <c r="A166" s="41"/>
      <c r="B166" s="41"/>
      <c r="C166" t="s">
        <v>121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84">
        <f t="shared" si="46"/>
        <v>0</v>
      </c>
      <c r="Q166" s="44"/>
      <c r="R166" s="40"/>
      <c r="T166" s="44"/>
      <c r="U166" s="44"/>
    </row>
    <row r="167" spans="1:21" x14ac:dyDescent="0.35">
      <c r="A167" s="41"/>
      <c r="B167" s="41"/>
      <c r="C167" t="s">
        <v>122</v>
      </c>
      <c r="D167" s="44">
        <v>0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84">
        <f t="shared" si="46"/>
        <v>0</v>
      </c>
      <c r="Q167" s="44"/>
      <c r="R167" s="40"/>
      <c r="T167" s="44"/>
      <c r="U167" s="44"/>
    </row>
    <row r="168" spans="1:21" x14ac:dyDescent="0.35">
      <c r="A168" s="41"/>
      <c r="B168" s="41"/>
      <c r="C168" t="s">
        <v>123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84">
        <f t="shared" si="46"/>
        <v>0</v>
      </c>
      <c r="Q168" s="44"/>
      <c r="R168" s="40"/>
      <c r="T168" s="44"/>
      <c r="U168" s="44"/>
    </row>
    <row r="169" spans="1:21" x14ac:dyDescent="0.35">
      <c r="A169" s="41"/>
      <c r="B169" s="41"/>
      <c r="C169" t="s">
        <v>124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84">
        <f t="shared" si="46"/>
        <v>0</v>
      </c>
      <c r="Q169" s="44"/>
      <c r="R169" s="40"/>
      <c r="T169" s="44"/>
      <c r="U169" s="44"/>
    </row>
    <row r="170" spans="1:21" s="28" customFormat="1" ht="13" x14ac:dyDescent="0.3">
      <c r="A170" s="41"/>
      <c r="B170" s="41"/>
      <c r="C170" s="61" t="s">
        <v>125</v>
      </c>
      <c r="D170" s="68">
        <f>SUM(D164:D169)</f>
        <v>0</v>
      </c>
      <c r="E170" s="68">
        <f t="shared" ref="E170:P170" si="47">SUM(E164:E169)</f>
        <v>0</v>
      </c>
      <c r="F170" s="68">
        <f t="shared" si="47"/>
        <v>0</v>
      </c>
      <c r="G170" s="68">
        <f t="shared" si="47"/>
        <v>0</v>
      </c>
      <c r="H170" s="68">
        <f t="shared" si="47"/>
        <v>0</v>
      </c>
      <c r="I170" s="68">
        <f t="shared" si="47"/>
        <v>0</v>
      </c>
      <c r="J170" s="68">
        <f t="shared" si="47"/>
        <v>0</v>
      </c>
      <c r="K170" s="68">
        <f t="shared" si="47"/>
        <v>0</v>
      </c>
      <c r="L170" s="68">
        <f t="shared" si="47"/>
        <v>0</v>
      </c>
      <c r="M170" s="68">
        <f t="shared" si="47"/>
        <v>0</v>
      </c>
      <c r="N170" s="68">
        <f t="shared" si="47"/>
        <v>0</v>
      </c>
      <c r="O170" s="68">
        <f t="shared" si="47"/>
        <v>0</v>
      </c>
      <c r="P170" s="68">
        <f t="shared" si="47"/>
        <v>0</v>
      </c>
      <c r="Q170" s="39"/>
      <c r="R170" s="37">
        <f>+IF(P170=0,0,P170/$P$184)</f>
        <v>0</v>
      </c>
      <c r="T170" s="69"/>
      <c r="U170" s="69"/>
    </row>
    <row r="171" spans="1:21" x14ac:dyDescent="0.35">
      <c r="A171" s="41"/>
      <c r="B171" s="41"/>
      <c r="C171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74"/>
      <c r="Q171" s="44"/>
      <c r="R171" s="40"/>
      <c r="T171" s="44"/>
      <c r="U171" s="44"/>
    </row>
    <row r="172" spans="1:21" x14ac:dyDescent="0.35">
      <c r="A172" s="41"/>
      <c r="B172" s="41"/>
      <c r="C172" t="s">
        <v>126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84">
        <f t="shared" ref="P172:P175" si="48">SUM(D172:O172)</f>
        <v>0</v>
      </c>
      <c r="Q172" s="44"/>
      <c r="R172" s="40"/>
      <c r="T172" s="44"/>
      <c r="U172" s="44"/>
    </row>
    <row r="173" spans="1:21" x14ac:dyDescent="0.35">
      <c r="A173" s="41"/>
      <c r="B173" s="41"/>
      <c r="C173" t="s">
        <v>127</v>
      </c>
      <c r="D173" s="44">
        <v>0</v>
      </c>
      <c r="E173" s="44">
        <v>0</v>
      </c>
      <c r="F173" s="44">
        <v>0</v>
      </c>
      <c r="G173" s="44">
        <v>0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0</v>
      </c>
      <c r="N173" s="44">
        <v>0</v>
      </c>
      <c r="O173" s="44">
        <v>0</v>
      </c>
      <c r="P173" s="84">
        <f t="shared" si="48"/>
        <v>0</v>
      </c>
      <c r="Q173" s="44"/>
      <c r="R173" s="40"/>
      <c r="T173" s="44"/>
      <c r="U173" s="44"/>
    </row>
    <row r="174" spans="1:21" x14ac:dyDescent="0.35">
      <c r="A174" s="41"/>
      <c r="B174" s="41"/>
      <c r="C174" t="s">
        <v>128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84">
        <f t="shared" si="48"/>
        <v>0</v>
      </c>
      <c r="Q174" s="44"/>
      <c r="R174" s="40"/>
      <c r="T174" s="44"/>
      <c r="U174" s="44"/>
    </row>
    <row r="175" spans="1:21" x14ac:dyDescent="0.35">
      <c r="A175" s="41"/>
      <c r="B175" s="41"/>
      <c r="C175" t="s">
        <v>129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84">
        <f t="shared" si="48"/>
        <v>0</v>
      </c>
      <c r="Q175" s="44"/>
      <c r="R175" s="40"/>
      <c r="T175" s="44"/>
      <c r="U175" s="44"/>
    </row>
    <row r="176" spans="1:21" s="28" customFormat="1" ht="13" x14ac:dyDescent="0.3">
      <c r="A176" s="41"/>
      <c r="B176" s="41"/>
      <c r="C176" s="61" t="s">
        <v>130</v>
      </c>
      <c r="D176" s="68">
        <f>SUM(D172:D175)</f>
        <v>0</v>
      </c>
      <c r="E176" s="68">
        <f t="shared" ref="E176:P176" si="49">SUM(E172:E175)</f>
        <v>0</v>
      </c>
      <c r="F176" s="68">
        <f t="shared" si="49"/>
        <v>0</v>
      </c>
      <c r="G176" s="68">
        <f t="shared" si="49"/>
        <v>0</v>
      </c>
      <c r="H176" s="68">
        <f t="shared" si="49"/>
        <v>0</v>
      </c>
      <c r="I176" s="68">
        <f t="shared" si="49"/>
        <v>0</v>
      </c>
      <c r="J176" s="68">
        <f t="shared" si="49"/>
        <v>0</v>
      </c>
      <c r="K176" s="68">
        <f t="shared" si="49"/>
        <v>0</v>
      </c>
      <c r="L176" s="68">
        <f t="shared" si="49"/>
        <v>0</v>
      </c>
      <c r="M176" s="68">
        <f t="shared" si="49"/>
        <v>0</v>
      </c>
      <c r="N176" s="68">
        <f t="shared" si="49"/>
        <v>0</v>
      </c>
      <c r="O176" s="68">
        <f t="shared" si="49"/>
        <v>0</v>
      </c>
      <c r="P176" s="68">
        <f t="shared" si="49"/>
        <v>0</v>
      </c>
      <c r="Q176" s="39"/>
      <c r="R176" s="37">
        <f>+IF(P176=0,0,P176/$P$184)</f>
        <v>0</v>
      </c>
      <c r="T176" s="69"/>
      <c r="U176" s="69"/>
    </row>
    <row r="177" spans="1:34" x14ac:dyDescent="0.35">
      <c r="A177" s="41"/>
      <c r="B177" s="41"/>
      <c r="C177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74"/>
      <c r="Q177" s="44"/>
      <c r="R177" s="40"/>
      <c r="T177" s="44"/>
      <c r="U177" s="44"/>
    </row>
    <row r="178" spans="1:34" x14ac:dyDescent="0.35">
      <c r="A178" s="41"/>
      <c r="B178" s="41" t="s">
        <v>114</v>
      </c>
      <c r="C178" t="s">
        <v>131</v>
      </c>
      <c r="D178" s="44">
        <v>1258</v>
      </c>
      <c r="E178" s="44">
        <v>1258</v>
      </c>
      <c r="F178" s="44">
        <v>1258</v>
      </c>
      <c r="G178" s="44">
        <v>1258</v>
      </c>
      <c r="H178" s="44">
        <v>1258</v>
      </c>
      <c r="I178" s="44">
        <v>1258</v>
      </c>
      <c r="J178" s="44">
        <v>1258</v>
      </c>
      <c r="K178" s="44">
        <v>1258</v>
      </c>
      <c r="L178" s="44">
        <v>1258</v>
      </c>
      <c r="M178" s="44">
        <v>1258</v>
      </c>
      <c r="N178" s="44">
        <v>1258</v>
      </c>
      <c r="O178" s="44">
        <v>1258</v>
      </c>
      <c r="P178" s="84">
        <f>SUM(D178:O178)</f>
        <v>15096</v>
      </c>
      <c r="Q178" s="44"/>
      <c r="R178" s="40"/>
      <c r="T178" s="44"/>
      <c r="U178" s="44"/>
    </row>
    <row r="179" spans="1:34" s="28" customFormat="1" ht="13" x14ac:dyDescent="0.3">
      <c r="A179" s="41"/>
      <c r="B179" s="41"/>
      <c r="C179" s="61" t="s">
        <v>132</v>
      </c>
      <c r="D179" s="68">
        <f>+D178</f>
        <v>1258</v>
      </c>
      <c r="E179" s="68">
        <f t="shared" ref="E179:P179" si="50">+E178</f>
        <v>1258</v>
      </c>
      <c r="F179" s="68">
        <f t="shared" si="50"/>
        <v>1258</v>
      </c>
      <c r="G179" s="68">
        <f t="shared" si="50"/>
        <v>1258</v>
      </c>
      <c r="H179" s="68">
        <f t="shared" si="50"/>
        <v>1258</v>
      </c>
      <c r="I179" s="68">
        <f t="shared" si="50"/>
        <v>1258</v>
      </c>
      <c r="J179" s="68">
        <f t="shared" si="50"/>
        <v>1258</v>
      </c>
      <c r="K179" s="68">
        <f t="shared" si="50"/>
        <v>1258</v>
      </c>
      <c r="L179" s="68">
        <f t="shared" si="50"/>
        <v>1258</v>
      </c>
      <c r="M179" s="68">
        <f t="shared" si="50"/>
        <v>1258</v>
      </c>
      <c r="N179" s="68">
        <f t="shared" si="50"/>
        <v>1258</v>
      </c>
      <c r="O179" s="68">
        <f t="shared" si="50"/>
        <v>1258</v>
      </c>
      <c r="P179" s="68">
        <f t="shared" si="50"/>
        <v>15096</v>
      </c>
      <c r="Q179" s="39"/>
      <c r="R179" s="37">
        <f>+IF(P179=0,0,P179/$P$184)</f>
        <v>1.259346997548578E-2</v>
      </c>
      <c r="T179" s="69"/>
      <c r="U179" s="69"/>
    </row>
    <row r="180" spans="1:34" x14ac:dyDescent="0.35">
      <c r="A180" s="41"/>
      <c r="B180" s="41"/>
      <c r="C180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74"/>
      <c r="Q180" s="44"/>
      <c r="R180" s="40"/>
      <c r="T180" s="44"/>
      <c r="U180" s="44"/>
    </row>
    <row r="181" spans="1:34" x14ac:dyDescent="0.35">
      <c r="A181" s="41"/>
      <c r="B181" s="41" t="s">
        <v>133</v>
      </c>
      <c r="C181" t="s">
        <v>134</v>
      </c>
      <c r="D181" s="44">
        <v>0</v>
      </c>
      <c r="E181" s="44">
        <v>0</v>
      </c>
      <c r="F181" s="44">
        <v>0</v>
      </c>
      <c r="G181" s="44">
        <v>0</v>
      </c>
      <c r="H181" s="44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84">
        <f t="shared" ref="P181" si="51">SUM(D181:O181)</f>
        <v>0</v>
      </c>
      <c r="Q181" s="44"/>
      <c r="R181" s="40"/>
      <c r="T181" s="44"/>
      <c r="U181" s="44"/>
    </row>
    <row r="182" spans="1:34" s="28" customFormat="1" ht="13" x14ac:dyDescent="0.3">
      <c r="A182" s="70"/>
      <c r="B182" s="71"/>
      <c r="C182" s="61" t="s">
        <v>135</v>
      </c>
      <c r="D182" s="68">
        <f>+D181</f>
        <v>0</v>
      </c>
      <c r="E182" s="68">
        <f t="shared" ref="E182:P182" si="52">+E181</f>
        <v>0</v>
      </c>
      <c r="F182" s="68">
        <f t="shared" si="52"/>
        <v>0</v>
      </c>
      <c r="G182" s="68">
        <f t="shared" si="52"/>
        <v>0</v>
      </c>
      <c r="H182" s="68">
        <f t="shared" si="52"/>
        <v>0</v>
      </c>
      <c r="I182" s="68">
        <f t="shared" si="52"/>
        <v>0</v>
      </c>
      <c r="J182" s="68">
        <f t="shared" si="52"/>
        <v>0</v>
      </c>
      <c r="K182" s="68">
        <f t="shared" si="52"/>
        <v>0</v>
      </c>
      <c r="L182" s="68">
        <f t="shared" si="52"/>
        <v>0</v>
      </c>
      <c r="M182" s="68">
        <f t="shared" si="52"/>
        <v>0</v>
      </c>
      <c r="N182" s="68">
        <f t="shared" si="52"/>
        <v>0</v>
      </c>
      <c r="O182" s="68">
        <f t="shared" si="52"/>
        <v>0</v>
      </c>
      <c r="P182" s="68">
        <f t="shared" si="52"/>
        <v>0</v>
      </c>
      <c r="Q182" s="39"/>
      <c r="R182" s="37">
        <f>+IF(P182=0,0,P182/$P$184)</f>
        <v>0</v>
      </c>
      <c r="T182" s="69"/>
      <c r="U182" s="69"/>
    </row>
    <row r="183" spans="1:34" ht="15" thickBot="1" x14ac:dyDescent="0.4">
      <c r="B183" s="87"/>
      <c r="C183" s="88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39"/>
      <c r="Q183" s="44"/>
      <c r="R183" s="40"/>
      <c r="T183" s="44"/>
      <c r="U183" s="44"/>
    </row>
    <row r="184" spans="1:34" s="28" customFormat="1" ht="13" x14ac:dyDescent="0.3">
      <c r="B184" s="89"/>
      <c r="C184" s="61" t="s">
        <v>136</v>
      </c>
      <c r="D184" s="42">
        <f>+D48+D51+D101+D108+D111+D114+D122+D128+D131+D139+D148+D151+D154+D162+D170+D176+D179+D182</f>
        <v>135280.13</v>
      </c>
      <c r="E184" s="42">
        <f t="shared" ref="E184:O184" si="53">+E48+E51+E101+E108+E111+E114+E122+E128+E131+E139+E148+E151+E154+E162+E170+E176+E179+E182</f>
        <v>76787.33</v>
      </c>
      <c r="F184" s="42">
        <f t="shared" si="53"/>
        <v>265017.32999999996</v>
      </c>
      <c r="G184" s="42">
        <f t="shared" si="53"/>
        <v>61582.33</v>
      </c>
      <c r="H184" s="42">
        <f t="shared" si="53"/>
        <v>73182.33</v>
      </c>
      <c r="I184" s="42">
        <f t="shared" si="53"/>
        <v>78482.33</v>
      </c>
      <c r="J184" s="42">
        <f t="shared" si="53"/>
        <v>72182.33</v>
      </c>
      <c r="K184" s="42">
        <f t="shared" si="53"/>
        <v>65390.33</v>
      </c>
      <c r="L184" s="42">
        <f t="shared" si="53"/>
        <v>118613.65000000001</v>
      </c>
      <c r="M184" s="42">
        <f t="shared" si="53"/>
        <v>62482.33</v>
      </c>
      <c r="N184" s="42">
        <f t="shared" si="53"/>
        <v>97633.73</v>
      </c>
      <c r="O184" s="42">
        <f t="shared" si="53"/>
        <v>92082.33</v>
      </c>
      <c r="P184" s="42">
        <f>+P48+P51+P101+P108+P111+P114+P122+P128+P131+P139+P148+P151+P154+P162+P170+P176+P179+P182</f>
        <v>1198716.48</v>
      </c>
      <c r="Q184" s="39"/>
      <c r="R184" s="37">
        <f>+IF(P184=0,0,P184/$P$184)</f>
        <v>1</v>
      </c>
      <c r="T184" s="43"/>
      <c r="U184" s="43"/>
    </row>
    <row r="185" spans="1:34" x14ac:dyDescent="0.35">
      <c r="B185" s="87"/>
      <c r="C185" s="90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39"/>
      <c r="Q185" s="44"/>
      <c r="R185" s="40"/>
    </row>
    <row r="186" spans="1:34" x14ac:dyDescent="0.35">
      <c r="C186" s="46" t="s">
        <v>137</v>
      </c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39"/>
      <c r="Q186" s="44"/>
      <c r="R186" s="40"/>
    </row>
    <row r="187" spans="1:34" x14ac:dyDescent="0.35">
      <c r="C187" s="93"/>
      <c r="D187" s="93"/>
      <c r="E187" s="93"/>
      <c r="F187" s="93"/>
      <c r="G187" s="93"/>
      <c r="H187" s="44"/>
      <c r="I187" s="93"/>
      <c r="J187" s="93"/>
      <c r="K187" s="93"/>
      <c r="L187" s="93"/>
      <c r="M187" s="93"/>
      <c r="N187" s="93"/>
      <c r="O187" s="93"/>
      <c r="P187" s="93"/>
      <c r="Q187" s="93"/>
      <c r="R187" s="94"/>
    </row>
    <row r="188" spans="1:34" x14ac:dyDescent="0.35">
      <c r="C188" s="95"/>
      <c r="D188" s="96"/>
      <c r="E188" s="96"/>
      <c r="F188" s="96"/>
      <c r="G188" s="96"/>
      <c r="H188" s="44"/>
      <c r="I188" s="96"/>
      <c r="J188" s="96"/>
      <c r="K188" s="96"/>
      <c r="L188" s="96"/>
      <c r="M188" s="96"/>
      <c r="N188" s="96"/>
      <c r="O188" s="96"/>
      <c r="P188" s="97"/>
      <c r="Q188" s="96"/>
      <c r="R188" s="98"/>
    </row>
    <row r="189" spans="1:34" x14ac:dyDescent="0.35">
      <c r="C189" s="99"/>
      <c r="D189" s="99"/>
      <c r="E189" s="99"/>
      <c r="F189" s="100"/>
      <c r="G189" s="99"/>
      <c r="H189" s="101"/>
      <c r="I189" s="99"/>
      <c r="J189" s="101"/>
      <c r="K189" s="99"/>
      <c r="L189" s="99"/>
      <c r="M189" s="99"/>
      <c r="N189" s="99"/>
      <c r="O189" s="99"/>
      <c r="P189" s="99"/>
      <c r="Q189" s="99"/>
      <c r="R189" s="98"/>
    </row>
    <row r="190" spans="1:34" s="91" customFormat="1" ht="13.5" customHeight="1" x14ac:dyDescent="0.35">
      <c r="B190" s="102"/>
      <c r="C190" s="102"/>
      <c r="D190" s="102"/>
      <c r="E190" s="102"/>
      <c r="F190" s="100"/>
      <c r="G190" s="99"/>
      <c r="H190" s="101"/>
      <c r="I190" s="99"/>
      <c r="J190" s="101"/>
      <c r="K190" s="99"/>
      <c r="L190" s="99"/>
      <c r="M190" s="99"/>
      <c r="N190" s="99"/>
      <c r="O190" s="99"/>
      <c r="P190" s="99"/>
      <c r="Q190" s="99"/>
      <c r="R190" s="98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34" s="91" customFormat="1" ht="24" x14ac:dyDescent="0.35">
      <c r="B191" s="368" t="s">
        <v>138</v>
      </c>
      <c r="C191" s="104" t="s">
        <v>139</v>
      </c>
      <c r="D191" s="104" t="s">
        <v>140</v>
      </c>
      <c r="E191" s="104" t="s">
        <v>141</v>
      </c>
      <c r="F191" s="104" t="s">
        <v>142</v>
      </c>
      <c r="G191" s="105" t="s">
        <v>143</v>
      </c>
      <c r="H191" s="104" t="s">
        <v>144</v>
      </c>
      <c r="I191" s="106" t="s">
        <v>145</v>
      </c>
      <c r="J191" s="106" t="s">
        <v>146</v>
      </c>
      <c r="K191" s="106" t="s">
        <v>147</v>
      </c>
      <c r="L191" s="106" t="s">
        <v>148</v>
      </c>
      <c r="M191" s="107">
        <v>0</v>
      </c>
      <c r="N191" s="107"/>
      <c r="O191" s="108">
        <v>15</v>
      </c>
      <c r="P191" s="106" t="s">
        <v>149</v>
      </c>
      <c r="Q191" s="109" t="s">
        <v>150</v>
      </c>
      <c r="R191" s="109" t="s">
        <v>151</v>
      </c>
      <c r="S191" s="104" t="s">
        <v>152</v>
      </c>
      <c r="T191" s="110">
        <v>0.03</v>
      </c>
      <c r="U191" s="104" t="s">
        <v>53</v>
      </c>
      <c r="V191" s="104" t="s">
        <v>153</v>
      </c>
      <c r="W191" s="104" t="s">
        <v>154</v>
      </c>
      <c r="X191" s="104" t="s">
        <v>155</v>
      </c>
      <c r="Y191" s="111"/>
      <c r="Z191" s="45"/>
      <c r="AA191" s="45"/>
      <c r="AB191" s="45"/>
      <c r="AC191" s="45"/>
      <c r="AF191" s="45"/>
    </row>
    <row r="192" spans="1:34" x14ac:dyDescent="0.35">
      <c r="B192" s="369"/>
      <c r="C192" s="112"/>
      <c r="D192" s="112"/>
      <c r="E192" s="113"/>
      <c r="F192" s="113"/>
      <c r="G192" s="114" t="s">
        <v>156</v>
      </c>
      <c r="H192" s="115" t="s">
        <v>157</v>
      </c>
      <c r="I192" s="116" t="s">
        <v>158</v>
      </c>
      <c r="J192" s="116" t="s">
        <v>158</v>
      </c>
      <c r="K192" s="116" t="s">
        <v>158</v>
      </c>
      <c r="L192" s="116" t="s">
        <v>158</v>
      </c>
      <c r="M192" s="116" t="s">
        <v>159</v>
      </c>
      <c r="N192" s="116" t="s">
        <v>160</v>
      </c>
      <c r="O192" s="117" t="s">
        <v>161</v>
      </c>
      <c r="P192" s="118">
        <v>1.9E-2</v>
      </c>
      <c r="Q192" s="119" t="s">
        <v>158</v>
      </c>
      <c r="R192" s="120" t="s">
        <v>162</v>
      </c>
      <c r="S192" s="116" t="s">
        <v>163</v>
      </c>
      <c r="T192" s="121" t="s">
        <v>164</v>
      </c>
      <c r="U192" s="115">
        <v>0.02</v>
      </c>
      <c r="V192" s="121">
        <v>3.15E-2</v>
      </c>
      <c r="W192" s="115" t="s">
        <v>165</v>
      </c>
      <c r="X192" s="115">
        <v>0.05</v>
      </c>
      <c r="Y192" s="111"/>
    </row>
    <row r="193" spans="2:25" x14ac:dyDescent="0.35">
      <c r="B193" s="122" t="s">
        <v>291</v>
      </c>
      <c r="C193" s="123"/>
      <c r="D193" s="122">
        <v>1</v>
      </c>
      <c r="E193" s="124">
        <v>500</v>
      </c>
      <c r="F193" s="125">
        <f t="shared" ref="F193:F196" si="54">+E193*D193*30</f>
        <v>15000</v>
      </c>
      <c r="G193" s="126">
        <f>+F193*12</f>
        <v>180000</v>
      </c>
      <c r="H193" s="127">
        <v>0</v>
      </c>
      <c r="I193" s="128"/>
      <c r="J193" s="128"/>
      <c r="K193" s="128"/>
      <c r="L193" s="128"/>
      <c r="M193" s="126">
        <f>+F193*$M$191</f>
        <v>0</v>
      </c>
      <c r="N193" s="126">
        <v>0</v>
      </c>
      <c r="O193" s="126">
        <f>+(F193/30)*$O$191/12</f>
        <v>625</v>
      </c>
      <c r="P193" s="126">
        <v>0</v>
      </c>
      <c r="Q193" s="128"/>
      <c r="R193" s="126">
        <v>1750</v>
      </c>
      <c r="S193" s="129">
        <v>0</v>
      </c>
      <c r="T193" s="126">
        <f>(+F193+J193+K193+L193+N193+P193+O193+Q193+R193)*$T$191</f>
        <v>521.25</v>
      </c>
      <c r="U193" s="126">
        <f>IF((+F193+J193+K193+L193+N193+O193+P193+Q193+R193)&gt;56617.5,1132.35,(+F193+J193+K193+L193+N193+O193+P193+Q193+R193)*$U$192)</f>
        <v>347.5</v>
      </c>
      <c r="V193" s="126">
        <f>IF((+F193+J193+K193+L193+N193+O193+P193+Q193+R193)&gt;56617.5,1783.45,(+F193+J193+K193+L193+N193+O193+P193+Q193+R193)*$V$192)</f>
        <v>547.3125</v>
      </c>
      <c r="W193" s="126">
        <v>0</v>
      </c>
      <c r="X193" s="126">
        <f>IF((+F193+J193+K193+L193+N193+O193+P193+Q193+R193)&gt;56617.5,2830.88,(+F193+J193+K193+L193+N193+O193+P193+Q193+R193)*$X$192)</f>
        <v>868.75</v>
      </c>
      <c r="Y193" s="130"/>
    </row>
    <row r="194" spans="2:25" x14ac:dyDescent="0.35">
      <c r="B194" s="122" t="s">
        <v>292</v>
      </c>
      <c r="C194" s="123"/>
      <c r="D194" s="122">
        <v>1</v>
      </c>
      <c r="E194" s="124">
        <v>566.66</v>
      </c>
      <c r="F194" s="125">
        <f t="shared" si="54"/>
        <v>16999.8</v>
      </c>
      <c r="G194" s="126">
        <f t="shared" ref="G194:G226" si="55">+F194*12</f>
        <v>203997.59999999998</v>
      </c>
      <c r="H194" s="127">
        <v>0</v>
      </c>
      <c r="I194" s="128"/>
      <c r="J194" s="128"/>
      <c r="K194" s="128"/>
      <c r="L194" s="128"/>
      <c r="M194" s="126">
        <f t="shared" ref="M194:M226" si="56">+F194*$M$191</f>
        <v>0</v>
      </c>
      <c r="N194" s="126">
        <v>0</v>
      </c>
      <c r="O194" s="126">
        <f>+(F194/30)*$O$191/12</f>
        <v>708.32499999999993</v>
      </c>
      <c r="P194" s="126">
        <v>0</v>
      </c>
      <c r="Q194" s="128"/>
      <c r="R194" s="126">
        <v>1983.31</v>
      </c>
      <c r="S194" s="129">
        <v>0</v>
      </c>
      <c r="T194" s="126">
        <f t="shared" ref="T194:T226" si="57">(+F194+J194+K194+L194+N194+P194+O194+Q194+R194)*$T$191</f>
        <v>590.74305000000004</v>
      </c>
      <c r="U194" s="126">
        <f t="shared" ref="U194:U226" si="58">IF((+F194+J194+K194+L194+N194+O194+P194+Q194+R194)&gt;56617.5,1132.35,(+F194+J194+K194+L194+N194+O194+P194+Q194+R194)*$U$192)</f>
        <v>393.82870000000003</v>
      </c>
      <c r="V194" s="126">
        <f t="shared" ref="V194:V226" si="59">IF((+F194+J194+K194+L194+N194+O194+P194+Q194+R194)&gt;56617.5,1783.45,(+F194+J194+K194+L194+N194+O194+P194+Q194+R194)*$V$192)</f>
        <v>620.28020250000009</v>
      </c>
      <c r="W194" s="126">
        <v>0</v>
      </c>
      <c r="X194" s="126">
        <f t="shared" ref="X194:X226" si="60">IF((+F194+J194+K194+L194+N194+O194+P194+Q194+R194)&gt;56617.5,2830.88,(+F194+J194+K194+L194+N194+O194+P194+Q194+R194)*$X$192)</f>
        <v>984.57175000000007</v>
      </c>
      <c r="Y194" s="130"/>
    </row>
    <row r="195" spans="2:25" x14ac:dyDescent="0.35">
      <c r="B195" s="122" t="s">
        <v>293</v>
      </c>
      <c r="C195" s="123"/>
      <c r="D195" s="122">
        <v>1</v>
      </c>
      <c r="E195" s="124">
        <v>500</v>
      </c>
      <c r="F195" s="125">
        <f t="shared" si="54"/>
        <v>15000</v>
      </c>
      <c r="G195" s="126">
        <f t="shared" si="55"/>
        <v>180000</v>
      </c>
      <c r="H195" s="127">
        <v>0</v>
      </c>
      <c r="I195" s="128"/>
      <c r="J195" s="128"/>
      <c r="K195" s="128"/>
      <c r="L195" s="128"/>
      <c r="M195" s="126">
        <f t="shared" si="56"/>
        <v>0</v>
      </c>
      <c r="N195" s="126">
        <v>0</v>
      </c>
      <c r="O195" s="126">
        <f t="shared" ref="O195:O226" si="61">+(F195/30)*$O$191/12</f>
        <v>625</v>
      </c>
      <c r="P195" s="126">
        <v>0</v>
      </c>
      <c r="Q195" s="128"/>
      <c r="R195" s="126">
        <v>1750</v>
      </c>
      <c r="S195" s="129"/>
      <c r="T195" s="126">
        <f t="shared" si="57"/>
        <v>521.25</v>
      </c>
      <c r="U195" s="126">
        <f t="shared" si="58"/>
        <v>347.5</v>
      </c>
      <c r="V195" s="126">
        <f t="shared" si="59"/>
        <v>547.3125</v>
      </c>
      <c r="W195" s="126">
        <v>0</v>
      </c>
      <c r="X195" s="126">
        <f t="shared" si="60"/>
        <v>868.75</v>
      </c>
      <c r="Y195" s="130"/>
    </row>
    <row r="196" spans="2:25" x14ac:dyDescent="0.35">
      <c r="B196" s="122" t="s">
        <v>293</v>
      </c>
      <c r="C196" s="123"/>
      <c r="D196" s="122">
        <v>1</v>
      </c>
      <c r="E196" s="124">
        <v>500</v>
      </c>
      <c r="F196" s="125">
        <f t="shared" si="54"/>
        <v>15000</v>
      </c>
      <c r="G196" s="126">
        <f t="shared" si="55"/>
        <v>180000</v>
      </c>
      <c r="H196" s="127">
        <v>0</v>
      </c>
      <c r="I196" s="128"/>
      <c r="J196" s="128"/>
      <c r="K196" s="128"/>
      <c r="L196" s="128"/>
      <c r="M196" s="126">
        <f t="shared" si="56"/>
        <v>0</v>
      </c>
      <c r="N196" s="126">
        <v>0</v>
      </c>
      <c r="O196" s="126">
        <f t="shared" si="61"/>
        <v>625</v>
      </c>
      <c r="P196" s="126">
        <v>0</v>
      </c>
      <c r="Q196" s="128"/>
      <c r="R196" s="126">
        <v>1750</v>
      </c>
      <c r="S196" s="129"/>
      <c r="T196" s="126">
        <f t="shared" si="57"/>
        <v>521.25</v>
      </c>
      <c r="U196" s="126">
        <f t="shared" si="58"/>
        <v>347.5</v>
      </c>
      <c r="V196" s="126">
        <f t="shared" si="59"/>
        <v>547.3125</v>
      </c>
      <c r="W196" s="126">
        <v>0</v>
      </c>
      <c r="X196" s="126">
        <f t="shared" si="60"/>
        <v>868.75</v>
      </c>
      <c r="Y196" s="130"/>
    </row>
    <row r="197" spans="2:25" x14ac:dyDescent="0.35">
      <c r="B197" s="122" t="s">
        <v>294</v>
      </c>
      <c r="C197" s="123"/>
      <c r="D197" s="122">
        <v>1</v>
      </c>
      <c r="E197" s="124">
        <v>233.33330000000001</v>
      </c>
      <c r="F197" s="125">
        <f>+E197*D197*30</f>
        <v>6999.9989999999998</v>
      </c>
      <c r="G197" s="126">
        <f t="shared" si="55"/>
        <v>83999.987999999998</v>
      </c>
      <c r="H197" s="127">
        <v>0</v>
      </c>
      <c r="I197" s="128"/>
      <c r="J197" s="128"/>
      <c r="K197" s="128"/>
      <c r="L197" s="128"/>
      <c r="M197" s="126">
        <f t="shared" si="56"/>
        <v>0</v>
      </c>
      <c r="N197" s="126">
        <v>0</v>
      </c>
      <c r="O197" s="126">
        <f t="shared" si="61"/>
        <v>291.66662500000001</v>
      </c>
      <c r="P197" s="126">
        <v>0</v>
      </c>
      <c r="Q197" s="128"/>
      <c r="R197" s="126">
        <v>816.66655000000003</v>
      </c>
      <c r="S197" s="129"/>
      <c r="T197" s="126">
        <f t="shared" si="57"/>
        <v>243.24996524999997</v>
      </c>
      <c r="U197" s="126">
        <f t="shared" si="58"/>
        <v>162.16664349999999</v>
      </c>
      <c r="V197" s="126">
        <f t="shared" si="59"/>
        <v>255.41246351249998</v>
      </c>
      <c r="W197" s="126">
        <v>0</v>
      </c>
      <c r="X197" s="126">
        <f t="shared" si="60"/>
        <v>405.41660875000002</v>
      </c>
      <c r="Y197" s="130"/>
    </row>
    <row r="198" spans="2:25" x14ac:dyDescent="0.35">
      <c r="B198" s="122" t="s">
        <v>621</v>
      </c>
      <c r="C198" s="123"/>
      <c r="D198" s="122">
        <v>1</v>
      </c>
      <c r="E198" s="124">
        <f>33500/30</f>
        <v>1116.6666666666667</v>
      </c>
      <c r="F198" s="125">
        <f t="shared" ref="F198:F226" si="62">+E198*D198*30</f>
        <v>33500</v>
      </c>
      <c r="G198" s="126">
        <f t="shared" si="55"/>
        <v>402000</v>
      </c>
      <c r="H198" s="127"/>
      <c r="I198" s="128"/>
      <c r="J198" s="128"/>
      <c r="K198" s="128"/>
      <c r="L198" s="128"/>
      <c r="M198" s="126">
        <f t="shared" si="56"/>
        <v>0</v>
      </c>
      <c r="N198" s="126">
        <v>0</v>
      </c>
      <c r="O198" s="126">
        <f t="shared" si="61"/>
        <v>1395.8333333333333</v>
      </c>
      <c r="P198" s="126">
        <v>0</v>
      </c>
      <c r="Q198" s="128"/>
      <c r="R198" s="126">
        <f>(E198*16)*0.25</f>
        <v>4466.666666666667</v>
      </c>
      <c r="S198" s="129"/>
      <c r="T198" s="126">
        <f t="shared" si="57"/>
        <v>1180.875</v>
      </c>
      <c r="U198" s="126">
        <f t="shared" si="58"/>
        <v>787.25</v>
      </c>
      <c r="V198" s="126">
        <f t="shared" si="59"/>
        <v>1239.91875</v>
      </c>
      <c r="W198" s="126">
        <v>0</v>
      </c>
      <c r="X198" s="126">
        <f t="shared" si="60"/>
        <v>1968.125</v>
      </c>
      <c r="Y198" s="130"/>
    </row>
    <row r="199" spans="2:25" hidden="1" x14ac:dyDescent="0.35">
      <c r="B199" s="122"/>
      <c r="C199" s="123" t="s">
        <v>175</v>
      </c>
      <c r="D199" s="122">
        <v>0</v>
      </c>
      <c r="E199" s="124">
        <v>0</v>
      </c>
      <c r="F199" s="125">
        <f t="shared" si="62"/>
        <v>0</v>
      </c>
      <c r="G199" s="126">
        <f t="shared" si="55"/>
        <v>0</v>
      </c>
      <c r="H199" s="127"/>
      <c r="I199" s="128"/>
      <c r="J199" s="128"/>
      <c r="K199" s="128"/>
      <c r="L199" s="128"/>
      <c r="M199" s="126">
        <f t="shared" si="56"/>
        <v>0</v>
      </c>
      <c r="N199" s="126">
        <v>0</v>
      </c>
      <c r="O199" s="126">
        <f t="shared" si="61"/>
        <v>0</v>
      </c>
      <c r="P199" s="126">
        <f t="shared" ref="P199:P226" si="63">+F199*$P$192</f>
        <v>0</v>
      </c>
      <c r="Q199" s="128"/>
      <c r="R199" s="126">
        <f t="shared" ref="R199:R226" si="64">+P199*25%</f>
        <v>0</v>
      </c>
      <c r="S199" s="129"/>
      <c r="T199" s="126">
        <f t="shared" si="57"/>
        <v>0</v>
      </c>
      <c r="U199" s="126">
        <f t="shared" si="58"/>
        <v>0</v>
      </c>
      <c r="V199" s="126">
        <f t="shared" si="59"/>
        <v>0</v>
      </c>
      <c r="W199" s="126">
        <v>0</v>
      </c>
      <c r="X199" s="126">
        <f t="shared" si="60"/>
        <v>0</v>
      </c>
      <c r="Y199" s="130"/>
    </row>
    <row r="200" spans="2:25" hidden="1" x14ac:dyDescent="0.35">
      <c r="B200" s="122"/>
      <c r="C200" s="123" t="s">
        <v>175</v>
      </c>
      <c r="D200" s="122">
        <v>0</v>
      </c>
      <c r="E200" s="124">
        <v>0</v>
      </c>
      <c r="F200" s="125">
        <f t="shared" si="62"/>
        <v>0</v>
      </c>
      <c r="G200" s="126">
        <f t="shared" si="55"/>
        <v>0</v>
      </c>
      <c r="H200" s="127"/>
      <c r="I200" s="128"/>
      <c r="J200" s="128"/>
      <c r="K200" s="128"/>
      <c r="L200" s="128"/>
      <c r="M200" s="126">
        <f t="shared" si="56"/>
        <v>0</v>
      </c>
      <c r="N200" s="126">
        <v>0</v>
      </c>
      <c r="O200" s="126">
        <f t="shared" si="61"/>
        <v>0</v>
      </c>
      <c r="P200" s="126">
        <f t="shared" si="63"/>
        <v>0</v>
      </c>
      <c r="Q200" s="128"/>
      <c r="R200" s="126">
        <f t="shared" si="64"/>
        <v>0</v>
      </c>
      <c r="S200" s="129"/>
      <c r="T200" s="126">
        <f t="shared" si="57"/>
        <v>0</v>
      </c>
      <c r="U200" s="126">
        <f t="shared" si="58"/>
        <v>0</v>
      </c>
      <c r="V200" s="126">
        <f t="shared" si="59"/>
        <v>0</v>
      </c>
      <c r="W200" s="126">
        <v>0</v>
      </c>
      <c r="X200" s="126">
        <f t="shared" si="60"/>
        <v>0</v>
      </c>
      <c r="Y200" s="130"/>
    </row>
    <row r="201" spans="2:25" hidden="1" x14ac:dyDescent="0.35">
      <c r="B201" s="122"/>
      <c r="C201" s="123" t="s">
        <v>175</v>
      </c>
      <c r="D201" s="122">
        <v>0</v>
      </c>
      <c r="E201" s="124">
        <v>0</v>
      </c>
      <c r="F201" s="125">
        <f t="shared" si="62"/>
        <v>0</v>
      </c>
      <c r="G201" s="126">
        <f t="shared" si="55"/>
        <v>0</v>
      </c>
      <c r="H201" s="127"/>
      <c r="I201" s="128"/>
      <c r="J201" s="128"/>
      <c r="K201" s="128"/>
      <c r="L201" s="128"/>
      <c r="M201" s="126">
        <f t="shared" si="56"/>
        <v>0</v>
      </c>
      <c r="N201" s="126">
        <v>0</v>
      </c>
      <c r="O201" s="126">
        <f t="shared" si="61"/>
        <v>0</v>
      </c>
      <c r="P201" s="126">
        <f t="shared" si="63"/>
        <v>0</v>
      </c>
      <c r="Q201" s="128"/>
      <c r="R201" s="126">
        <f t="shared" si="64"/>
        <v>0</v>
      </c>
      <c r="S201" s="129"/>
      <c r="T201" s="126">
        <f t="shared" si="57"/>
        <v>0</v>
      </c>
      <c r="U201" s="126">
        <f t="shared" si="58"/>
        <v>0</v>
      </c>
      <c r="V201" s="126">
        <f t="shared" si="59"/>
        <v>0</v>
      </c>
      <c r="W201" s="126">
        <v>0</v>
      </c>
      <c r="X201" s="126">
        <f t="shared" si="60"/>
        <v>0</v>
      </c>
      <c r="Y201" s="130"/>
    </row>
    <row r="202" spans="2:25" hidden="1" x14ac:dyDescent="0.35">
      <c r="B202" s="122"/>
      <c r="C202" s="123" t="s">
        <v>175</v>
      </c>
      <c r="D202" s="122">
        <v>0</v>
      </c>
      <c r="E202" s="124">
        <v>0</v>
      </c>
      <c r="F202" s="125">
        <f t="shared" si="62"/>
        <v>0</v>
      </c>
      <c r="G202" s="126">
        <f t="shared" si="55"/>
        <v>0</v>
      </c>
      <c r="H202" s="127"/>
      <c r="I202" s="128"/>
      <c r="J202" s="128"/>
      <c r="K202" s="128"/>
      <c r="L202" s="128"/>
      <c r="M202" s="126">
        <f t="shared" si="56"/>
        <v>0</v>
      </c>
      <c r="N202" s="126">
        <v>0</v>
      </c>
      <c r="O202" s="126">
        <f t="shared" si="61"/>
        <v>0</v>
      </c>
      <c r="P202" s="126">
        <f t="shared" si="63"/>
        <v>0</v>
      </c>
      <c r="Q202" s="128"/>
      <c r="R202" s="126">
        <f t="shared" si="64"/>
        <v>0</v>
      </c>
      <c r="S202" s="129"/>
      <c r="T202" s="126">
        <f t="shared" si="57"/>
        <v>0</v>
      </c>
      <c r="U202" s="126">
        <f t="shared" si="58"/>
        <v>0</v>
      </c>
      <c r="V202" s="126">
        <f t="shared" si="59"/>
        <v>0</v>
      </c>
      <c r="W202" s="126">
        <v>0</v>
      </c>
      <c r="X202" s="126">
        <f t="shared" si="60"/>
        <v>0</v>
      </c>
      <c r="Y202" s="130"/>
    </row>
    <row r="203" spans="2:25" hidden="1" x14ac:dyDescent="0.35">
      <c r="B203" s="122"/>
      <c r="C203" s="123" t="s">
        <v>175</v>
      </c>
      <c r="D203" s="122">
        <v>0</v>
      </c>
      <c r="E203" s="124">
        <v>0</v>
      </c>
      <c r="F203" s="125">
        <f t="shared" si="62"/>
        <v>0</v>
      </c>
      <c r="G203" s="126">
        <f t="shared" si="55"/>
        <v>0</v>
      </c>
      <c r="H203" s="127"/>
      <c r="I203" s="128"/>
      <c r="J203" s="128"/>
      <c r="K203" s="128"/>
      <c r="L203" s="128"/>
      <c r="M203" s="126">
        <f t="shared" si="56"/>
        <v>0</v>
      </c>
      <c r="N203" s="126">
        <v>0</v>
      </c>
      <c r="O203" s="126">
        <f t="shared" si="61"/>
        <v>0</v>
      </c>
      <c r="P203" s="126">
        <f t="shared" si="63"/>
        <v>0</v>
      </c>
      <c r="Q203" s="128"/>
      <c r="R203" s="126">
        <f t="shared" si="64"/>
        <v>0</v>
      </c>
      <c r="S203" s="129"/>
      <c r="T203" s="126">
        <f t="shared" si="57"/>
        <v>0</v>
      </c>
      <c r="U203" s="126">
        <f t="shared" si="58"/>
        <v>0</v>
      </c>
      <c r="V203" s="126">
        <f t="shared" si="59"/>
        <v>0</v>
      </c>
      <c r="W203" s="126">
        <v>0</v>
      </c>
      <c r="X203" s="126">
        <f t="shared" si="60"/>
        <v>0</v>
      </c>
      <c r="Y203" s="130"/>
    </row>
    <row r="204" spans="2:25" hidden="1" x14ac:dyDescent="0.35">
      <c r="B204" s="122"/>
      <c r="C204" s="123" t="s">
        <v>175</v>
      </c>
      <c r="D204" s="122">
        <v>0</v>
      </c>
      <c r="E204" s="124">
        <v>0</v>
      </c>
      <c r="F204" s="125">
        <f t="shared" si="62"/>
        <v>0</v>
      </c>
      <c r="G204" s="126">
        <f t="shared" si="55"/>
        <v>0</v>
      </c>
      <c r="H204" s="127"/>
      <c r="I204" s="128"/>
      <c r="J204" s="128"/>
      <c r="K204" s="128"/>
      <c r="L204" s="128"/>
      <c r="M204" s="126">
        <f t="shared" si="56"/>
        <v>0</v>
      </c>
      <c r="N204" s="126">
        <v>0</v>
      </c>
      <c r="O204" s="126">
        <f t="shared" si="61"/>
        <v>0</v>
      </c>
      <c r="P204" s="126">
        <f t="shared" si="63"/>
        <v>0</v>
      </c>
      <c r="Q204" s="128"/>
      <c r="R204" s="126">
        <f t="shared" si="64"/>
        <v>0</v>
      </c>
      <c r="S204" s="129"/>
      <c r="T204" s="126">
        <f t="shared" si="57"/>
        <v>0</v>
      </c>
      <c r="U204" s="126">
        <f t="shared" si="58"/>
        <v>0</v>
      </c>
      <c r="V204" s="126">
        <f t="shared" si="59"/>
        <v>0</v>
      </c>
      <c r="W204" s="126">
        <v>0</v>
      </c>
      <c r="X204" s="126">
        <f t="shared" si="60"/>
        <v>0</v>
      </c>
      <c r="Y204" s="130"/>
    </row>
    <row r="205" spans="2:25" hidden="1" x14ac:dyDescent="0.35">
      <c r="B205" s="122"/>
      <c r="C205" s="123" t="s">
        <v>175</v>
      </c>
      <c r="D205" s="122">
        <v>0</v>
      </c>
      <c r="E205" s="124">
        <v>0</v>
      </c>
      <c r="F205" s="125">
        <f t="shared" si="62"/>
        <v>0</v>
      </c>
      <c r="G205" s="126">
        <f t="shared" si="55"/>
        <v>0</v>
      </c>
      <c r="H205" s="127"/>
      <c r="I205" s="128"/>
      <c r="J205" s="128"/>
      <c r="K205" s="128"/>
      <c r="L205" s="128"/>
      <c r="M205" s="126">
        <f t="shared" si="56"/>
        <v>0</v>
      </c>
      <c r="N205" s="126">
        <v>0</v>
      </c>
      <c r="O205" s="126">
        <f t="shared" si="61"/>
        <v>0</v>
      </c>
      <c r="P205" s="126">
        <f t="shared" si="63"/>
        <v>0</v>
      </c>
      <c r="Q205" s="128"/>
      <c r="R205" s="126">
        <f t="shared" si="64"/>
        <v>0</v>
      </c>
      <c r="S205" s="129"/>
      <c r="T205" s="126">
        <f t="shared" si="57"/>
        <v>0</v>
      </c>
      <c r="U205" s="126">
        <f t="shared" si="58"/>
        <v>0</v>
      </c>
      <c r="V205" s="126">
        <f t="shared" si="59"/>
        <v>0</v>
      </c>
      <c r="W205" s="126">
        <v>0</v>
      </c>
      <c r="X205" s="126">
        <f t="shared" si="60"/>
        <v>0</v>
      </c>
      <c r="Y205" s="130"/>
    </row>
    <row r="206" spans="2:25" hidden="1" x14ac:dyDescent="0.35">
      <c r="B206" s="122"/>
      <c r="C206" s="123" t="s">
        <v>175</v>
      </c>
      <c r="D206" s="122">
        <v>0</v>
      </c>
      <c r="E206" s="124">
        <v>0</v>
      </c>
      <c r="F206" s="125">
        <f t="shared" si="62"/>
        <v>0</v>
      </c>
      <c r="G206" s="126">
        <f t="shared" si="55"/>
        <v>0</v>
      </c>
      <c r="H206" s="127"/>
      <c r="I206" s="128"/>
      <c r="J206" s="128"/>
      <c r="K206" s="128"/>
      <c r="L206" s="128"/>
      <c r="M206" s="126">
        <f t="shared" si="56"/>
        <v>0</v>
      </c>
      <c r="N206" s="126">
        <v>0</v>
      </c>
      <c r="O206" s="126">
        <f t="shared" si="61"/>
        <v>0</v>
      </c>
      <c r="P206" s="126">
        <f t="shared" si="63"/>
        <v>0</v>
      </c>
      <c r="Q206" s="128"/>
      <c r="R206" s="126">
        <f t="shared" si="64"/>
        <v>0</v>
      </c>
      <c r="S206" s="129"/>
      <c r="T206" s="126">
        <f t="shared" si="57"/>
        <v>0</v>
      </c>
      <c r="U206" s="126">
        <f t="shared" si="58"/>
        <v>0</v>
      </c>
      <c r="V206" s="126">
        <f t="shared" si="59"/>
        <v>0</v>
      </c>
      <c r="W206" s="126">
        <v>0</v>
      </c>
      <c r="X206" s="126">
        <f t="shared" si="60"/>
        <v>0</v>
      </c>
      <c r="Y206" s="130"/>
    </row>
    <row r="207" spans="2:25" hidden="1" x14ac:dyDescent="0.35">
      <c r="B207" s="122"/>
      <c r="C207" s="123" t="s">
        <v>175</v>
      </c>
      <c r="D207" s="122">
        <v>0</v>
      </c>
      <c r="E207" s="124">
        <v>0</v>
      </c>
      <c r="F207" s="125">
        <f t="shared" si="62"/>
        <v>0</v>
      </c>
      <c r="G207" s="126">
        <f t="shared" si="55"/>
        <v>0</v>
      </c>
      <c r="H207" s="127"/>
      <c r="I207" s="128"/>
      <c r="J207" s="128"/>
      <c r="K207" s="128"/>
      <c r="L207" s="128"/>
      <c r="M207" s="126">
        <f t="shared" si="56"/>
        <v>0</v>
      </c>
      <c r="N207" s="126">
        <v>0</v>
      </c>
      <c r="O207" s="126">
        <f t="shared" si="61"/>
        <v>0</v>
      </c>
      <c r="P207" s="126">
        <f t="shared" si="63"/>
        <v>0</v>
      </c>
      <c r="Q207" s="128"/>
      <c r="R207" s="126">
        <f t="shared" si="64"/>
        <v>0</v>
      </c>
      <c r="S207" s="129"/>
      <c r="T207" s="126">
        <f t="shared" si="57"/>
        <v>0</v>
      </c>
      <c r="U207" s="126">
        <f t="shared" si="58"/>
        <v>0</v>
      </c>
      <c r="V207" s="126">
        <f t="shared" si="59"/>
        <v>0</v>
      </c>
      <c r="W207" s="126">
        <v>0</v>
      </c>
      <c r="X207" s="126">
        <f t="shared" si="60"/>
        <v>0</v>
      </c>
      <c r="Y207" s="130"/>
    </row>
    <row r="208" spans="2:25" hidden="1" x14ac:dyDescent="0.35">
      <c r="B208" s="122"/>
      <c r="C208" s="123" t="s">
        <v>175</v>
      </c>
      <c r="D208" s="122">
        <v>0</v>
      </c>
      <c r="E208" s="124">
        <v>0</v>
      </c>
      <c r="F208" s="125">
        <f t="shared" si="62"/>
        <v>0</v>
      </c>
      <c r="G208" s="126">
        <f t="shared" si="55"/>
        <v>0</v>
      </c>
      <c r="H208" s="127"/>
      <c r="I208" s="128"/>
      <c r="J208" s="128"/>
      <c r="K208" s="128"/>
      <c r="L208" s="128"/>
      <c r="M208" s="126">
        <f t="shared" si="56"/>
        <v>0</v>
      </c>
      <c r="N208" s="126">
        <v>0</v>
      </c>
      <c r="O208" s="126">
        <f t="shared" si="61"/>
        <v>0</v>
      </c>
      <c r="P208" s="126">
        <f t="shared" si="63"/>
        <v>0</v>
      </c>
      <c r="Q208" s="128"/>
      <c r="R208" s="126">
        <f t="shared" si="64"/>
        <v>0</v>
      </c>
      <c r="S208" s="129"/>
      <c r="T208" s="126">
        <f t="shared" si="57"/>
        <v>0</v>
      </c>
      <c r="U208" s="126">
        <f t="shared" si="58"/>
        <v>0</v>
      </c>
      <c r="V208" s="126">
        <f t="shared" si="59"/>
        <v>0</v>
      </c>
      <c r="W208" s="126">
        <v>0</v>
      </c>
      <c r="X208" s="126">
        <f t="shared" si="60"/>
        <v>0</v>
      </c>
      <c r="Y208" s="130"/>
    </row>
    <row r="209" spans="2:32" hidden="1" x14ac:dyDescent="0.35">
      <c r="B209" s="122"/>
      <c r="C209" s="123" t="s">
        <v>175</v>
      </c>
      <c r="D209" s="122">
        <v>0</v>
      </c>
      <c r="E209" s="124">
        <v>0</v>
      </c>
      <c r="F209" s="125">
        <f t="shared" si="62"/>
        <v>0</v>
      </c>
      <c r="G209" s="126">
        <f t="shared" si="55"/>
        <v>0</v>
      </c>
      <c r="H209" s="127"/>
      <c r="I209" s="128"/>
      <c r="J209" s="128"/>
      <c r="K209" s="128"/>
      <c r="L209" s="128"/>
      <c r="M209" s="126">
        <f t="shared" si="56"/>
        <v>0</v>
      </c>
      <c r="N209" s="126">
        <v>0</v>
      </c>
      <c r="O209" s="126">
        <f t="shared" si="61"/>
        <v>0</v>
      </c>
      <c r="P209" s="126">
        <f t="shared" si="63"/>
        <v>0</v>
      </c>
      <c r="Q209" s="128"/>
      <c r="R209" s="126">
        <f t="shared" si="64"/>
        <v>0</v>
      </c>
      <c r="S209" s="129"/>
      <c r="T209" s="126">
        <f t="shared" si="57"/>
        <v>0</v>
      </c>
      <c r="U209" s="126">
        <f t="shared" si="58"/>
        <v>0</v>
      </c>
      <c r="V209" s="126">
        <f t="shared" si="59"/>
        <v>0</v>
      </c>
      <c r="W209" s="126">
        <v>0</v>
      </c>
      <c r="X209" s="126">
        <f t="shared" si="60"/>
        <v>0</v>
      </c>
      <c r="Y209" s="130"/>
    </row>
    <row r="210" spans="2:32" hidden="1" x14ac:dyDescent="0.35">
      <c r="B210" s="122"/>
      <c r="C210" s="123" t="s">
        <v>175</v>
      </c>
      <c r="D210" s="122">
        <v>0</v>
      </c>
      <c r="E210" s="124">
        <v>0</v>
      </c>
      <c r="F210" s="125">
        <f t="shared" si="62"/>
        <v>0</v>
      </c>
      <c r="G210" s="126">
        <f t="shared" si="55"/>
        <v>0</v>
      </c>
      <c r="H210" s="127"/>
      <c r="I210" s="128"/>
      <c r="J210" s="128"/>
      <c r="K210" s="128"/>
      <c r="L210" s="128"/>
      <c r="M210" s="126">
        <f t="shared" si="56"/>
        <v>0</v>
      </c>
      <c r="N210" s="126">
        <v>0</v>
      </c>
      <c r="O210" s="126">
        <f t="shared" si="61"/>
        <v>0</v>
      </c>
      <c r="P210" s="126">
        <f t="shared" si="63"/>
        <v>0</v>
      </c>
      <c r="Q210" s="128"/>
      <c r="R210" s="126">
        <f t="shared" si="64"/>
        <v>0</v>
      </c>
      <c r="S210" s="129"/>
      <c r="T210" s="126">
        <f t="shared" si="57"/>
        <v>0</v>
      </c>
      <c r="U210" s="126">
        <f t="shared" si="58"/>
        <v>0</v>
      </c>
      <c r="V210" s="126">
        <f t="shared" si="59"/>
        <v>0</v>
      </c>
      <c r="W210" s="126">
        <v>0</v>
      </c>
      <c r="X210" s="126">
        <f t="shared" si="60"/>
        <v>0</v>
      </c>
      <c r="Y210" s="130"/>
    </row>
    <row r="211" spans="2:32" hidden="1" x14ac:dyDescent="0.35">
      <c r="B211" s="122"/>
      <c r="C211" s="123" t="s">
        <v>175</v>
      </c>
      <c r="D211" s="122">
        <v>0</v>
      </c>
      <c r="E211" s="124">
        <v>0</v>
      </c>
      <c r="F211" s="125">
        <f t="shared" si="62"/>
        <v>0</v>
      </c>
      <c r="G211" s="126">
        <f t="shared" si="55"/>
        <v>0</v>
      </c>
      <c r="H211" s="127"/>
      <c r="I211" s="128"/>
      <c r="J211" s="128"/>
      <c r="K211" s="128"/>
      <c r="L211" s="128"/>
      <c r="M211" s="126">
        <f t="shared" si="56"/>
        <v>0</v>
      </c>
      <c r="N211" s="126">
        <v>0</v>
      </c>
      <c r="O211" s="126">
        <f t="shared" si="61"/>
        <v>0</v>
      </c>
      <c r="P211" s="126">
        <f t="shared" si="63"/>
        <v>0</v>
      </c>
      <c r="Q211" s="128"/>
      <c r="R211" s="126">
        <f t="shared" si="64"/>
        <v>0</v>
      </c>
      <c r="S211" s="129"/>
      <c r="T211" s="126">
        <f t="shared" si="57"/>
        <v>0</v>
      </c>
      <c r="U211" s="126">
        <f t="shared" si="58"/>
        <v>0</v>
      </c>
      <c r="V211" s="126">
        <f t="shared" si="59"/>
        <v>0</v>
      </c>
      <c r="W211" s="126">
        <v>0</v>
      </c>
      <c r="X211" s="126">
        <f t="shared" si="60"/>
        <v>0</v>
      </c>
      <c r="Y211" s="130"/>
    </row>
    <row r="212" spans="2:32" hidden="1" x14ac:dyDescent="0.35">
      <c r="B212" s="122"/>
      <c r="C212" s="123" t="s">
        <v>175</v>
      </c>
      <c r="D212" s="122">
        <v>0</v>
      </c>
      <c r="E212" s="124">
        <v>0</v>
      </c>
      <c r="F212" s="125">
        <f t="shared" si="62"/>
        <v>0</v>
      </c>
      <c r="G212" s="126">
        <f t="shared" si="55"/>
        <v>0</v>
      </c>
      <c r="H212" s="127"/>
      <c r="I212" s="128"/>
      <c r="J212" s="128"/>
      <c r="K212" s="128"/>
      <c r="L212" s="128"/>
      <c r="M212" s="126">
        <f t="shared" si="56"/>
        <v>0</v>
      </c>
      <c r="N212" s="126">
        <v>0</v>
      </c>
      <c r="O212" s="126">
        <f t="shared" si="61"/>
        <v>0</v>
      </c>
      <c r="P212" s="126">
        <f t="shared" si="63"/>
        <v>0</v>
      </c>
      <c r="Q212" s="128"/>
      <c r="R212" s="126">
        <f t="shared" si="64"/>
        <v>0</v>
      </c>
      <c r="S212" s="129"/>
      <c r="T212" s="126">
        <f t="shared" si="57"/>
        <v>0</v>
      </c>
      <c r="U212" s="126">
        <f t="shared" si="58"/>
        <v>0</v>
      </c>
      <c r="V212" s="126">
        <f t="shared" si="59"/>
        <v>0</v>
      </c>
      <c r="W212" s="126">
        <v>0</v>
      </c>
      <c r="X212" s="126">
        <f t="shared" si="60"/>
        <v>0</v>
      </c>
      <c r="Y212" s="130"/>
    </row>
    <row r="213" spans="2:32" hidden="1" x14ac:dyDescent="0.35">
      <c r="B213" s="122"/>
      <c r="C213" s="123" t="s">
        <v>175</v>
      </c>
      <c r="D213" s="122">
        <v>0</v>
      </c>
      <c r="E213" s="124">
        <v>0</v>
      </c>
      <c r="F213" s="125">
        <f t="shared" si="62"/>
        <v>0</v>
      </c>
      <c r="G213" s="126">
        <f t="shared" si="55"/>
        <v>0</v>
      </c>
      <c r="H213" s="127"/>
      <c r="I213" s="128"/>
      <c r="J213" s="128"/>
      <c r="K213" s="128"/>
      <c r="L213" s="128"/>
      <c r="M213" s="126">
        <f t="shared" si="56"/>
        <v>0</v>
      </c>
      <c r="N213" s="126">
        <v>0</v>
      </c>
      <c r="O213" s="126">
        <f t="shared" si="61"/>
        <v>0</v>
      </c>
      <c r="P213" s="126">
        <f t="shared" si="63"/>
        <v>0</v>
      </c>
      <c r="Q213" s="128"/>
      <c r="R213" s="126">
        <f t="shared" si="64"/>
        <v>0</v>
      </c>
      <c r="S213" s="129"/>
      <c r="T213" s="126">
        <f t="shared" si="57"/>
        <v>0</v>
      </c>
      <c r="U213" s="126">
        <f t="shared" si="58"/>
        <v>0</v>
      </c>
      <c r="V213" s="126">
        <f t="shared" si="59"/>
        <v>0</v>
      </c>
      <c r="W213" s="126">
        <v>0</v>
      </c>
      <c r="X213" s="126">
        <f t="shared" si="60"/>
        <v>0</v>
      </c>
      <c r="Y213" s="130"/>
    </row>
    <row r="214" spans="2:32" hidden="1" x14ac:dyDescent="0.35">
      <c r="B214" s="122"/>
      <c r="C214" s="123" t="s">
        <v>175</v>
      </c>
      <c r="D214" s="122">
        <v>0</v>
      </c>
      <c r="E214" s="124">
        <v>0</v>
      </c>
      <c r="F214" s="125">
        <f t="shared" si="62"/>
        <v>0</v>
      </c>
      <c r="G214" s="126">
        <f t="shared" si="55"/>
        <v>0</v>
      </c>
      <c r="H214" s="127"/>
      <c r="I214" s="128"/>
      <c r="J214" s="128"/>
      <c r="K214" s="128"/>
      <c r="L214" s="128"/>
      <c r="M214" s="126">
        <f t="shared" si="56"/>
        <v>0</v>
      </c>
      <c r="N214" s="126">
        <v>0</v>
      </c>
      <c r="O214" s="126">
        <f t="shared" si="61"/>
        <v>0</v>
      </c>
      <c r="P214" s="126">
        <f t="shared" si="63"/>
        <v>0</v>
      </c>
      <c r="Q214" s="128"/>
      <c r="R214" s="126">
        <f t="shared" si="64"/>
        <v>0</v>
      </c>
      <c r="S214" s="129"/>
      <c r="T214" s="126">
        <f t="shared" si="57"/>
        <v>0</v>
      </c>
      <c r="U214" s="126">
        <f t="shared" si="58"/>
        <v>0</v>
      </c>
      <c r="V214" s="126">
        <f t="shared" si="59"/>
        <v>0</v>
      </c>
      <c r="W214" s="126">
        <v>0</v>
      </c>
      <c r="X214" s="126">
        <f t="shared" si="60"/>
        <v>0</v>
      </c>
      <c r="Y214" s="130"/>
    </row>
    <row r="215" spans="2:32" hidden="1" x14ac:dyDescent="0.35">
      <c r="B215" s="122"/>
      <c r="C215" s="123" t="s">
        <v>175</v>
      </c>
      <c r="D215" s="122">
        <v>0</v>
      </c>
      <c r="E215" s="124">
        <v>0</v>
      </c>
      <c r="F215" s="125">
        <f t="shared" si="62"/>
        <v>0</v>
      </c>
      <c r="G215" s="126">
        <f t="shared" si="55"/>
        <v>0</v>
      </c>
      <c r="H215" s="127"/>
      <c r="I215" s="128"/>
      <c r="J215" s="128"/>
      <c r="K215" s="128"/>
      <c r="L215" s="128"/>
      <c r="M215" s="126">
        <f t="shared" si="56"/>
        <v>0</v>
      </c>
      <c r="N215" s="126">
        <v>0</v>
      </c>
      <c r="O215" s="126">
        <f t="shared" si="61"/>
        <v>0</v>
      </c>
      <c r="P215" s="126">
        <f t="shared" si="63"/>
        <v>0</v>
      </c>
      <c r="Q215" s="128"/>
      <c r="R215" s="126">
        <f t="shared" si="64"/>
        <v>0</v>
      </c>
      <c r="S215" s="129"/>
      <c r="T215" s="126">
        <f t="shared" si="57"/>
        <v>0</v>
      </c>
      <c r="U215" s="126">
        <f t="shared" si="58"/>
        <v>0</v>
      </c>
      <c r="V215" s="126">
        <f t="shared" si="59"/>
        <v>0</v>
      </c>
      <c r="W215" s="126">
        <v>0</v>
      </c>
      <c r="X215" s="126">
        <f t="shared" si="60"/>
        <v>0</v>
      </c>
      <c r="Y215" s="130"/>
    </row>
    <row r="216" spans="2:32" hidden="1" x14ac:dyDescent="0.35">
      <c r="B216" s="122"/>
      <c r="C216" s="123" t="s">
        <v>175</v>
      </c>
      <c r="D216" s="122">
        <v>0</v>
      </c>
      <c r="E216" s="124">
        <v>0</v>
      </c>
      <c r="F216" s="125">
        <f t="shared" si="62"/>
        <v>0</v>
      </c>
      <c r="G216" s="126">
        <f t="shared" si="55"/>
        <v>0</v>
      </c>
      <c r="H216" s="127"/>
      <c r="I216" s="128"/>
      <c r="J216" s="128"/>
      <c r="K216" s="128"/>
      <c r="L216" s="128"/>
      <c r="M216" s="126">
        <f t="shared" si="56"/>
        <v>0</v>
      </c>
      <c r="N216" s="126">
        <v>0</v>
      </c>
      <c r="O216" s="126">
        <f t="shared" si="61"/>
        <v>0</v>
      </c>
      <c r="P216" s="126">
        <f t="shared" si="63"/>
        <v>0</v>
      </c>
      <c r="Q216" s="128"/>
      <c r="R216" s="126">
        <f t="shared" si="64"/>
        <v>0</v>
      </c>
      <c r="S216" s="129"/>
      <c r="T216" s="126">
        <f t="shared" si="57"/>
        <v>0</v>
      </c>
      <c r="U216" s="126">
        <f t="shared" si="58"/>
        <v>0</v>
      </c>
      <c r="V216" s="126">
        <f t="shared" si="59"/>
        <v>0</v>
      </c>
      <c r="W216" s="126">
        <v>0</v>
      </c>
      <c r="X216" s="126">
        <f t="shared" si="60"/>
        <v>0</v>
      </c>
      <c r="Y216" s="130"/>
    </row>
    <row r="217" spans="2:32" hidden="1" x14ac:dyDescent="0.35">
      <c r="B217" s="122"/>
      <c r="C217" s="123" t="s">
        <v>175</v>
      </c>
      <c r="D217" s="122">
        <v>0</v>
      </c>
      <c r="E217" s="124">
        <v>0</v>
      </c>
      <c r="F217" s="125">
        <f t="shared" si="62"/>
        <v>0</v>
      </c>
      <c r="G217" s="126">
        <f t="shared" si="55"/>
        <v>0</v>
      </c>
      <c r="H217" s="127"/>
      <c r="I217" s="128"/>
      <c r="J217" s="128"/>
      <c r="K217" s="128"/>
      <c r="L217" s="128"/>
      <c r="M217" s="126">
        <f t="shared" si="56"/>
        <v>0</v>
      </c>
      <c r="N217" s="126">
        <v>0</v>
      </c>
      <c r="O217" s="126">
        <f t="shared" si="61"/>
        <v>0</v>
      </c>
      <c r="P217" s="126">
        <f t="shared" si="63"/>
        <v>0</v>
      </c>
      <c r="Q217" s="128"/>
      <c r="R217" s="126">
        <f t="shared" si="64"/>
        <v>0</v>
      </c>
      <c r="S217" s="129"/>
      <c r="T217" s="126">
        <f t="shared" si="57"/>
        <v>0</v>
      </c>
      <c r="U217" s="126">
        <f t="shared" si="58"/>
        <v>0</v>
      </c>
      <c r="V217" s="126">
        <f t="shared" si="59"/>
        <v>0</v>
      </c>
      <c r="W217" s="126">
        <v>0</v>
      </c>
      <c r="X217" s="126">
        <f t="shared" si="60"/>
        <v>0</v>
      </c>
      <c r="Y217" s="130"/>
    </row>
    <row r="218" spans="2:32" s="91" customFormat="1" hidden="1" x14ac:dyDescent="0.35">
      <c r="B218" s="122"/>
      <c r="C218" s="123" t="s">
        <v>175</v>
      </c>
      <c r="D218" s="122">
        <v>0</v>
      </c>
      <c r="E218" s="124">
        <v>0</v>
      </c>
      <c r="F218" s="125">
        <f t="shared" si="62"/>
        <v>0</v>
      </c>
      <c r="G218" s="126">
        <f t="shared" si="55"/>
        <v>0</v>
      </c>
      <c r="H218" s="127"/>
      <c r="I218" s="128"/>
      <c r="J218" s="128"/>
      <c r="K218" s="128"/>
      <c r="L218" s="128"/>
      <c r="M218" s="126">
        <f t="shared" si="56"/>
        <v>0</v>
      </c>
      <c r="N218" s="126">
        <v>0</v>
      </c>
      <c r="O218" s="126">
        <f t="shared" si="61"/>
        <v>0</v>
      </c>
      <c r="P218" s="126">
        <f t="shared" si="63"/>
        <v>0</v>
      </c>
      <c r="Q218" s="128"/>
      <c r="R218" s="126">
        <f t="shared" si="64"/>
        <v>0</v>
      </c>
      <c r="S218" s="129"/>
      <c r="T218" s="126">
        <f t="shared" si="57"/>
        <v>0</v>
      </c>
      <c r="U218" s="126">
        <f t="shared" si="58"/>
        <v>0</v>
      </c>
      <c r="V218" s="126">
        <f t="shared" si="59"/>
        <v>0</v>
      </c>
      <c r="W218" s="126">
        <v>0</v>
      </c>
      <c r="X218" s="126">
        <f t="shared" si="60"/>
        <v>0</v>
      </c>
      <c r="Y218" s="130"/>
      <c r="Z218" s="45"/>
      <c r="AA218" s="45"/>
      <c r="AB218" s="45"/>
      <c r="AC218" s="45"/>
      <c r="AF218" s="45"/>
    </row>
    <row r="219" spans="2:32" hidden="1" x14ac:dyDescent="0.35">
      <c r="B219" s="122"/>
      <c r="C219" s="123" t="s">
        <v>175</v>
      </c>
      <c r="D219" s="122">
        <v>0</v>
      </c>
      <c r="E219" s="124">
        <v>0</v>
      </c>
      <c r="F219" s="125">
        <f t="shared" si="62"/>
        <v>0</v>
      </c>
      <c r="G219" s="126">
        <f t="shared" si="55"/>
        <v>0</v>
      </c>
      <c r="H219" s="127"/>
      <c r="I219" s="128"/>
      <c r="J219" s="128"/>
      <c r="K219" s="128"/>
      <c r="L219" s="128"/>
      <c r="M219" s="126">
        <f t="shared" si="56"/>
        <v>0</v>
      </c>
      <c r="N219" s="126">
        <v>0</v>
      </c>
      <c r="O219" s="126">
        <f t="shared" si="61"/>
        <v>0</v>
      </c>
      <c r="P219" s="126">
        <f t="shared" si="63"/>
        <v>0</v>
      </c>
      <c r="Q219" s="128"/>
      <c r="R219" s="126">
        <f t="shared" si="64"/>
        <v>0</v>
      </c>
      <c r="S219" s="129"/>
      <c r="T219" s="126">
        <f t="shared" si="57"/>
        <v>0</v>
      </c>
      <c r="U219" s="126">
        <f t="shared" si="58"/>
        <v>0</v>
      </c>
      <c r="V219" s="126">
        <f t="shared" si="59"/>
        <v>0</v>
      </c>
      <c r="W219" s="126">
        <v>0</v>
      </c>
      <c r="X219" s="126">
        <f t="shared" si="60"/>
        <v>0</v>
      </c>
      <c r="Y219" s="130"/>
    </row>
    <row r="220" spans="2:32" hidden="1" x14ac:dyDescent="0.35">
      <c r="B220" s="122"/>
      <c r="C220" s="123" t="s">
        <v>175</v>
      </c>
      <c r="D220" s="122">
        <v>0</v>
      </c>
      <c r="E220" s="124">
        <v>0</v>
      </c>
      <c r="F220" s="125">
        <f t="shared" si="62"/>
        <v>0</v>
      </c>
      <c r="G220" s="126">
        <f t="shared" si="55"/>
        <v>0</v>
      </c>
      <c r="H220" s="127"/>
      <c r="I220" s="128"/>
      <c r="J220" s="128"/>
      <c r="K220" s="128"/>
      <c r="L220" s="128"/>
      <c r="M220" s="126">
        <f t="shared" si="56"/>
        <v>0</v>
      </c>
      <c r="N220" s="126">
        <v>0</v>
      </c>
      <c r="O220" s="126">
        <f t="shared" si="61"/>
        <v>0</v>
      </c>
      <c r="P220" s="126">
        <f t="shared" si="63"/>
        <v>0</v>
      </c>
      <c r="Q220" s="128"/>
      <c r="R220" s="126">
        <f t="shared" si="64"/>
        <v>0</v>
      </c>
      <c r="S220" s="129"/>
      <c r="T220" s="126">
        <f t="shared" si="57"/>
        <v>0</v>
      </c>
      <c r="U220" s="126">
        <f t="shared" si="58"/>
        <v>0</v>
      </c>
      <c r="V220" s="126">
        <f t="shared" si="59"/>
        <v>0</v>
      </c>
      <c r="W220" s="126">
        <v>0</v>
      </c>
      <c r="X220" s="126">
        <f t="shared" si="60"/>
        <v>0</v>
      </c>
      <c r="Y220" s="130"/>
    </row>
    <row r="221" spans="2:32" hidden="1" x14ac:dyDescent="0.35">
      <c r="B221" s="122"/>
      <c r="C221" s="123" t="s">
        <v>175</v>
      </c>
      <c r="D221" s="122">
        <v>0</v>
      </c>
      <c r="E221" s="124">
        <v>0</v>
      </c>
      <c r="F221" s="125">
        <f t="shared" si="62"/>
        <v>0</v>
      </c>
      <c r="G221" s="126">
        <f t="shared" si="55"/>
        <v>0</v>
      </c>
      <c r="H221" s="127"/>
      <c r="I221" s="128"/>
      <c r="J221" s="128"/>
      <c r="K221" s="128"/>
      <c r="L221" s="128"/>
      <c r="M221" s="126">
        <f t="shared" si="56"/>
        <v>0</v>
      </c>
      <c r="N221" s="126">
        <v>0</v>
      </c>
      <c r="O221" s="126">
        <f t="shared" si="61"/>
        <v>0</v>
      </c>
      <c r="P221" s="126">
        <f t="shared" si="63"/>
        <v>0</v>
      </c>
      <c r="Q221" s="128"/>
      <c r="R221" s="126">
        <f t="shared" si="64"/>
        <v>0</v>
      </c>
      <c r="S221" s="129"/>
      <c r="T221" s="126">
        <f t="shared" si="57"/>
        <v>0</v>
      </c>
      <c r="U221" s="126">
        <f t="shared" si="58"/>
        <v>0</v>
      </c>
      <c r="V221" s="126">
        <f t="shared" si="59"/>
        <v>0</v>
      </c>
      <c r="W221" s="126">
        <v>0</v>
      </c>
      <c r="X221" s="126">
        <f t="shared" si="60"/>
        <v>0</v>
      </c>
      <c r="Y221" s="130"/>
    </row>
    <row r="222" spans="2:32" hidden="1" x14ac:dyDescent="0.35">
      <c r="B222" s="122"/>
      <c r="C222" s="123" t="s">
        <v>175</v>
      </c>
      <c r="D222" s="122">
        <v>0</v>
      </c>
      <c r="E222" s="124">
        <v>0</v>
      </c>
      <c r="F222" s="125">
        <f t="shared" si="62"/>
        <v>0</v>
      </c>
      <c r="G222" s="126">
        <f t="shared" si="55"/>
        <v>0</v>
      </c>
      <c r="H222" s="127"/>
      <c r="I222" s="128"/>
      <c r="J222" s="128"/>
      <c r="K222" s="128"/>
      <c r="L222" s="128"/>
      <c r="M222" s="126">
        <f t="shared" si="56"/>
        <v>0</v>
      </c>
      <c r="N222" s="126">
        <v>0</v>
      </c>
      <c r="O222" s="126">
        <f t="shared" si="61"/>
        <v>0</v>
      </c>
      <c r="P222" s="126">
        <f t="shared" si="63"/>
        <v>0</v>
      </c>
      <c r="Q222" s="128"/>
      <c r="R222" s="126">
        <f t="shared" si="64"/>
        <v>0</v>
      </c>
      <c r="S222" s="129"/>
      <c r="T222" s="126">
        <f t="shared" si="57"/>
        <v>0</v>
      </c>
      <c r="U222" s="126">
        <f t="shared" si="58"/>
        <v>0</v>
      </c>
      <c r="V222" s="126">
        <f t="shared" si="59"/>
        <v>0</v>
      </c>
      <c r="W222" s="126">
        <v>0</v>
      </c>
      <c r="X222" s="126">
        <f t="shared" si="60"/>
        <v>0</v>
      </c>
      <c r="Y222" s="130"/>
    </row>
    <row r="223" spans="2:32" hidden="1" x14ac:dyDescent="0.35">
      <c r="B223" s="122"/>
      <c r="C223" s="123" t="s">
        <v>175</v>
      </c>
      <c r="D223" s="122">
        <v>0</v>
      </c>
      <c r="E223" s="124">
        <v>0</v>
      </c>
      <c r="F223" s="125">
        <f t="shared" si="62"/>
        <v>0</v>
      </c>
      <c r="G223" s="126">
        <f t="shared" si="55"/>
        <v>0</v>
      </c>
      <c r="H223" s="127"/>
      <c r="I223" s="128"/>
      <c r="J223" s="128"/>
      <c r="K223" s="128"/>
      <c r="L223" s="128"/>
      <c r="M223" s="126">
        <f t="shared" si="56"/>
        <v>0</v>
      </c>
      <c r="N223" s="126">
        <v>0</v>
      </c>
      <c r="O223" s="126">
        <f t="shared" si="61"/>
        <v>0</v>
      </c>
      <c r="P223" s="126">
        <f t="shared" si="63"/>
        <v>0</v>
      </c>
      <c r="Q223" s="128"/>
      <c r="R223" s="126">
        <f t="shared" si="64"/>
        <v>0</v>
      </c>
      <c r="S223" s="129"/>
      <c r="T223" s="126">
        <f t="shared" si="57"/>
        <v>0</v>
      </c>
      <c r="U223" s="126">
        <f t="shared" si="58"/>
        <v>0</v>
      </c>
      <c r="V223" s="126">
        <f t="shared" si="59"/>
        <v>0</v>
      </c>
      <c r="W223" s="126">
        <v>0</v>
      </c>
      <c r="X223" s="126">
        <f t="shared" si="60"/>
        <v>0</v>
      </c>
      <c r="Y223" s="130"/>
    </row>
    <row r="224" spans="2:32" hidden="1" x14ac:dyDescent="0.35">
      <c r="B224" s="122"/>
      <c r="C224" s="123" t="s">
        <v>175</v>
      </c>
      <c r="D224" s="122">
        <v>0</v>
      </c>
      <c r="E224" s="124">
        <v>0</v>
      </c>
      <c r="F224" s="125">
        <f t="shared" si="62"/>
        <v>0</v>
      </c>
      <c r="G224" s="126">
        <f t="shared" si="55"/>
        <v>0</v>
      </c>
      <c r="H224" s="127"/>
      <c r="I224" s="128"/>
      <c r="J224" s="128"/>
      <c r="K224" s="128"/>
      <c r="L224" s="128"/>
      <c r="M224" s="126">
        <f t="shared" si="56"/>
        <v>0</v>
      </c>
      <c r="N224" s="126">
        <v>0</v>
      </c>
      <c r="O224" s="126">
        <f t="shared" si="61"/>
        <v>0</v>
      </c>
      <c r="P224" s="126">
        <f t="shared" si="63"/>
        <v>0</v>
      </c>
      <c r="Q224" s="128"/>
      <c r="R224" s="126">
        <f t="shared" si="64"/>
        <v>0</v>
      </c>
      <c r="S224" s="129"/>
      <c r="T224" s="126">
        <f t="shared" si="57"/>
        <v>0</v>
      </c>
      <c r="U224" s="126">
        <f t="shared" si="58"/>
        <v>0</v>
      </c>
      <c r="V224" s="126">
        <f t="shared" si="59"/>
        <v>0</v>
      </c>
      <c r="W224" s="126">
        <v>0</v>
      </c>
      <c r="X224" s="126">
        <f t="shared" si="60"/>
        <v>0</v>
      </c>
      <c r="Y224" s="130"/>
    </row>
    <row r="225" spans="2:25" hidden="1" x14ac:dyDescent="0.35">
      <c r="B225" s="122"/>
      <c r="C225" s="123" t="s">
        <v>175</v>
      </c>
      <c r="D225" s="122">
        <v>0</v>
      </c>
      <c r="E225" s="124">
        <v>0</v>
      </c>
      <c r="F225" s="125">
        <f t="shared" si="62"/>
        <v>0</v>
      </c>
      <c r="G225" s="126">
        <f t="shared" si="55"/>
        <v>0</v>
      </c>
      <c r="H225" s="127"/>
      <c r="I225" s="128"/>
      <c r="J225" s="128"/>
      <c r="K225" s="128"/>
      <c r="L225" s="128"/>
      <c r="M225" s="126">
        <f t="shared" si="56"/>
        <v>0</v>
      </c>
      <c r="N225" s="126">
        <v>0</v>
      </c>
      <c r="O225" s="126">
        <f t="shared" si="61"/>
        <v>0</v>
      </c>
      <c r="P225" s="126">
        <f t="shared" si="63"/>
        <v>0</v>
      </c>
      <c r="Q225" s="128"/>
      <c r="R225" s="126">
        <f t="shared" si="64"/>
        <v>0</v>
      </c>
      <c r="S225" s="129"/>
      <c r="T225" s="126">
        <f t="shared" si="57"/>
        <v>0</v>
      </c>
      <c r="U225" s="126">
        <f t="shared" si="58"/>
        <v>0</v>
      </c>
      <c r="V225" s="126">
        <f t="shared" si="59"/>
        <v>0</v>
      </c>
      <c r="W225" s="126">
        <v>0</v>
      </c>
      <c r="X225" s="126">
        <f t="shared" si="60"/>
        <v>0</v>
      </c>
      <c r="Y225" s="130"/>
    </row>
    <row r="226" spans="2:25" hidden="1" x14ac:dyDescent="0.35">
      <c r="B226" s="122"/>
      <c r="C226" s="123" t="s">
        <v>175</v>
      </c>
      <c r="D226" s="122">
        <v>0</v>
      </c>
      <c r="E226" s="124">
        <v>0</v>
      </c>
      <c r="F226" s="125">
        <f t="shared" si="62"/>
        <v>0</v>
      </c>
      <c r="G226" s="126">
        <f t="shared" si="55"/>
        <v>0</v>
      </c>
      <c r="H226" s="127"/>
      <c r="I226" s="128"/>
      <c r="J226" s="128"/>
      <c r="K226" s="128"/>
      <c r="L226" s="128"/>
      <c r="M226" s="126">
        <f t="shared" si="56"/>
        <v>0</v>
      </c>
      <c r="N226" s="126">
        <v>0</v>
      </c>
      <c r="O226" s="126">
        <f t="shared" si="61"/>
        <v>0</v>
      </c>
      <c r="P226" s="126">
        <f t="shared" si="63"/>
        <v>0</v>
      </c>
      <c r="Q226" s="128"/>
      <c r="R226" s="126">
        <f t="shared" si="64"/>
        <v>0</v>
      </c>
      <c r="S226" s="129"/>
      <c r="T226" s="126">
        <f t="shared" si="57"/>
        <v>0</v>
      </c>
      <c r="U226" s="126">
        <f t="shared" si="58"/>
        <v>0</v>
      </c>
      <c r="V226" s="126">
        <f t="shared" si="59"/>
        <v>0</v>
      </c>
      <c r="W226" s="126">
        <v>0</v>
      </c>
      <c r="X226" s="126">
        <f t="shared" si="60"/>
        <v>0</v>
      </c>
      <c r="Y226" s="130"/>
    </row>
    <row r="227" spans="2:25" x14ac:dyDescent="0.35">
      <c r="B227" s="122"/>
      <c r="C227" s="123" t="s">
        <v>175</v>
      </c>
      <c r="D227" s="131">
        <f>+SUM(D193:D226)</f>
        <v>6</v>
      </c>
      <c r="E227" s="131">
        <f t="shared" ref="E227:X227" si="65">+SUM(E193:E226)</f>
        <v>3416.6599666666671</v>
      </c>
      <c r="F227" s="132">
        <f t="shared" si="65"/>
        <v>102499.799</v>
      </c>
      <c r="G227" s="133">
        <f>+SUM(G193:G226)</f>
        <v>1229997.588</v>
      </c>
      <c r="H227" s="134">
        <f>+SUM(H193:H226)</f>
        <v>0</v>
      </c>
      <c r="I227" s="133">
        <f t="shared" si="65"/>
        <v>0</v>
      </c>
      <c r="J227" s="133">
        <f t="shared" si="65"/>
        <v>0</v>
      </c>
      <c r="K227" s="133">
        <f t="shared" si="65"/>
        <v>0</v>
      </c>
      <c r="L227" s="133">
        <f t="shared" si="65"/>
        <v>0</v>
      </c>
      <c r="M227" s="133">
        <f t="shared" si="65"/>
        <v>0</v>
      </c>
      <c r="N227" s="133">
        <f t="shared" si="65"/>
        <v>0</v>
      </c>
      <c r="O227" s="133">
        <f t="shared" si="65"/>
        <v>4270.8249583333327</v>
      </c>
      <c r="P227" s="133">
        <f>+SUM(P193:P226)/12</f>
        <v>0</v>
      </c>
      <c r="Q227" s="133">
        <f t="shared" si="65"/>
        <v>0</v>
      </c>
      <c r="R227" s="133">
        <f>+SUM(R193:R226)/12</f>
        <v>1043.0536013888889</v>
      </c>
      <c r="S227" s="133">
        <f t="shared" si="65"/>
        <v>0</v>
      </c>
      <c r="T227" s="133">
        <f>+SUM(T193:T226)</f>
        <v>3578.6180152500001</v>
      </c>
      <c r="U227" s="133">
        <f>+SUM(U193:U226)</f>
        <v>2385.7453434999998</v>
      </c>
      <c r="V227" s="133">
        <f>+SUM(V193:V226)</f>
        <v>3757.5489160124998</v>
      </c>
      <c r="W227" s="133">
        <f t="shared" si="65"/>
        <v>0</v>
      </c>
      <c r="X227" s="133">
        <f t="shared" si="65"/>
        <v>5964.3633587499999</v>
      </c>
      <c r="Y227" s="130"/>
    </row>
  </sheetData>
  <mergeCells count="1">
    <mergeCell ref="B191:B192"/>
  </mergeCells>
  <pageMargins left="0.75" right="0.75" top="0.57999999999999996" bottom="1" header="0.5" footer="0.5"/>
  <pageSetup scale="60" fitToWidth="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Budget</vt:lpstr>
      <vt:lpstr>Ops</vt:lpstr>
      <vt:lpstr>Tech</vt:lpstr>
      <vt:lpstr>Gral</vt:lpstr>
      <vt:lpstr>Gtos Gral</vt:lpstr>
      <vt:lpstr>Finanzas</vt:lpstr>
      <vt:lpstr>Comercial</vt:lpstr>
      <vt:lpstr>Gtos Com</vt:lpstr>
      <vt:lpstr>RH</vt:lpstr>
      <vt:lpstr>Finanzas!IPC</vt:lpstr>
      <vt:lpstr>Ops!IPC</vt:lpstr>
      <vt:lpstr>RH!IPC</vt:lpstr>
      <vt:lpstr>Tech!IPC</vt:lpstr>
      <vt:lpstr>Finanzas!Títulos_a_imprimir</vt:lpstr>
      <vt:lpstr>Ops!Títulos_a_imprimir</vt:lpstr>
      <vt:lpstr>RH!Títulos_a_imprimir</vt:lpstr>
      <vt:lpstr>Tech!Títulos_a_imprimir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Pallares</dc:creator>
  <cp:lastModifiedBy>Ernesto Pallares</cp:lastModifiedBy>
  <dcterms:created xsi:type="dcterms:W3CDTF">2026-05-05T21:52:08Z</dcterms:created>
  <dcterms:modified xsi:type="dcterms:W3CDTF">2026-05-08T21:26:13Z</dcterms:modified>
</cp:coreProperties>
</file>